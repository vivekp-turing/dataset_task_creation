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=25" sheetId="1" r:id="rId5"/>
    <sheet state="hidden" name="Model_Performance_Comparison_ra" sheetId="2" r:id="rId6"/>
    <sheet state="visible" name="Samples Metadata &amp; Evals (n=25)" sheetId="3" r:id="rId7"/>
    <sheet state="visible" name="Full Dataset Metadata (n=2551)" sheetId="4" r:id="rId8"/>
    <sheet state="visible" name="raw_data_n=2551" sheetId="5" r:id="rId9"/>
  </sheets>
  <definedNames>
    <definedName hidden="1" localSheetId="0" name="_xlnm._FilterDatabase">'n=25'!$A$1:$N$26</definedName>
    <definedName hidden="1" localSheetId="1" name="_xlnm._FilterDatabase">Model_Performance_Comparison_ra!$A$4:$AK$29</definedName>
  </definedNames>
  <calcPr/>
</workbook>
</file>

<file path=xl/sharedStrings.xml><?xml version="1.0" encoding="utf-8"?>
<sst xmlns="http://schemas.openxmlformats.org/spreadsheetml/2006/main" count="39304" uniqueCount="14153">
  <si>
    <t>instance_id</t>
  </si>
  <si>
    <t>repo_full_name</t>
  </si>
  <si>
    <t>language</t>
  </si>
  <si>
    <t>difficulty_label</t>
  </si>
  <si>
    <t>issue_type_primary</t>
  </si>
  <si>
    <t>repo_type_primary</t>
  </si>
  <si>
    <t>code_type_primary</t>
  </si>
  <si>
    <t>long_horizon_tag</t>
  </si>
  <si>
    <t>stars</t>
  </si>
  <si>
    <t>loc_value</t>
  </si>
  <si>
    <t>pr_merged_at</t>
  </si>
  <si>
    <t>harbor_deliverable_url</t>
  </si>
  <si>
    <t>deliverable_url</t>
  </si>
  <si>
    <t>pr_url</t>
  </si>
  <si>
    <t>Basic Data Summary</t>
  </si>
  <si>
    <t>deepset-ai__haystack-9680</t>
  </si>
  <si>
    <t>deepset-ai/haystack</t>
  </si>
  <si>
    <t>Python</t>
  </si>
  <si>
    <t>Medium</t>
  </si>
  <si>
    <t>feature-request</t>
  </si>
  <si>
    <t>ai-ml</t>
  </si>
  <si>
    <t>feature</t>
  </si>
  <si>
    <t>multi-component-feature</t>
  </si>
  <si>
    <t>https://drive.google.com/drive/folders/1_GD8fDtHHpt3M6VCLxP8ad_p_3W6tkpy</t>
  </si>
  <si>
    <t>https://drive.google.com/drive/folders/1oa7-DAboVKDtmJFns7feqhKh-929Ir0Z</t>
  </si>
  <si>
    <t>https://github.com/deepset-ai/haystack/issues/9680</t>
  </si>
  <si>
    <t>akkadotnet__akka.net-7444</t>
  </si>
  <si>
    <t>akkadotnet/akka.net</t>
  </si>
  <si>
    <t>C#</t>
  </si>
  <si>
    <t>webdev</t>
  </si>
  <si>
    <t>https://drive.google.com/drive/folders/1TEK4hUKn_AW94ntovYadxDXZdxwlrAqm</t>
  </si>
  <si>
    <t>https://drive.google.com/drive/folders/1KBzqNnl02pikqkDvHEZDjik6gqElCSV6</t>
  </si>
  <si>
    <t>https://github.com/akkadotnet/akka.net/issues/7444</t>
  </si>
  <si>
    <t>Metric</t>
  </si>
  <si>
    <t>Value</t>
  </si>
  <si>
    <t>Language mix</t>
  </si>
  <si>
    <t>TedDriggs__darling-363</t>
  </si>
  <si>
    <t>TedDriggs/darling</t>
  </si>
  <si>
    <t>Rust</t>
  </si>
  <si>
    <t>devtools</t>
  </si>
  <si>
    <t>https://drive.google.com/drive/folders/1QNiqDzUI3qr8IW6uek6BUeGcOli8ivsV</t>
  </si>
  <si>
    <t>gs://swe-bench-plus/evaluations/019b0df7-ade4-70bc-89dc-2dc1c6248f76-TedDriggs__darling-363-swe-agent-claude-opus-4.5</t>
  </si>
  <si>
    <t>https://github.com/TedDriggs/darling/issues/363</t>
  </si>
  <si>
    <t>Total selections</t>
  </si>
  <si>
    <t>Category</t>
  </si>
  <si>
    <t>Count</t>
  </si>
  <si>
    <t>Share</t>
  </si>
  <si>
    <t>0xMiden__miden-vm-1971</t>
  </si>
  <si>
    <t>0xMiden/miden-vm</t>
  </si>
  <si>
    <t>blockchain</t>
  </si>
  <si>
    <t>https://drive.google.com/drive/folders/10ESmICg53p5aCezkQcQBoyCzIdFiMHzJ</t>
  </si>
  <si>
    <t>https://drive.google.com/drive/folders/1Q5032tvEX-g-ilz6_53LA10y1u2O-oGC</t>
  </si>
  <si>
    <t>https://github.com/0xMiden/miden-vm/issues/1971</t>
  </si>
  <si>
    <t>Languages</t>
  </si>
  <si>
    <t>Go</t>
  </si>
  <si>
    <t>kubernetes-sigs__aws-ebs-csi-driver-2467</t>
  </si>
  <si>
    <t>kubernetes-sigs/aws-ebs-csi-driver</t>
  </si>
  <si>
    <t>Hard</t>
  </si>
  <si>
    <t>chore</t>
  </si>
  <si>
    <t>infra-devops</t>
  </si>
  <si>
    <t>refactor</t>
  </si>
  <si>
    <t>https://drive.google.com/drive/folders/1gijpPd-rMdTURMnsfHsQiWTQiY49ekvK</t>
  </si>
  <si>
    <t>gs://swe-bench-plus/evaluations/019b6aa7-0380-771f-9e02-24cda0fe6639-kubernetes-sigs__aws-ebs-csi-driver-2467-swe-agent-claude-sonnet-4.5</t>
  </si>
  <si>
    <t>https://github.com/kubernetes-sigs/aws-ebs-csi-driver/issues/2467</t>
  </si>
  <si>
    <t>Issue types</t>
  </si>
  <si>
    <t>cedarcode__webauthn-ruby-459</t>
  </si>
  <si>
    <t>cedarcode/webauthn-ruby</t>
  </si>
  <si>
    <t>Ruby</t>
  </si>
  <si>
    <t>security</t>
  </si>
  <si>
    <t>transitive-dependency-repair</t>
  </si>
  <si>
    <t>https://drive.google.com/drive/folders/1SXYFmv65VSQRCqoTaJOieIL4rcYCfkPz</t>
  </si>
  <si>
    <t>gs://swe-bench-plus/evaluations/019b6aaf-1788-707e-b6dd-d4dc12d72279-cedarcode__webauthn-ruby-459-swe-agent-claude-sonnet-4.5</t>
  </si>
  <si>
    <t>https://github.com/cedarcode/webauthn-ruby/issues/459</t>
  </si>
  <si>
    <t>Repo types</t>
  </si>
  <si>
    <t>TypeScript</t>
  </si>
  <si>
    <t>inocan-group__vue3-google-map-351</t>
  </si>
  <si>
    <t>inocan-group/vue3-google-map</t>
  </si>
  <si>
    <t>dependency-update</t>
  </si>
  <si>
    <t>https://drive.google.com/drive/folders/1VsICMzShw2KNjpQRMLoQJ6i3Z_0wTTxK</t>
  </si>
  <si>
    <t>gs://swe-bench-plus/evaluations/019b6aa7-0380-771f-9e02-24cda0fe6639-inocan-group__vue3-google-map-351-swe-agent-claude-sonnet-4.5</t>
  </si>
  <si>
    <t>https://github.com/inocan-group/vue3-google-map/issues/351</t>
  </si>
  <si>
    <t>ovechkin-dm__mockio-89</t>
  </si>
  <si>
    <t>ovechkin-dm/mockio</t>
  </si>
  <si>
    <t>https://drive.google.com/drive/folders/15Vtr-JJG_I9JwqUBtJJRNn41_7Edh_oK</t>
  </si>
  <si>
    <t>gs://swe-bench-plus/evaluations/019b6aa7-0380-771f-9e02-24cda0fe6639-ovechkin-dm__mockio-89-swe-agent-claude-sonnet-4.5</t>
  </si>
  <si>
    <t>https://github.com/ovechkin-dm/mockio/issues/89</t>
  </si>
  <si>
    <t>Azure__template-analyzer-399</t>
  </si>
  <si>
    <t>Azure/template-analyzer</t>
  </si>
  <si>
    <t>bug-report</t>
  </si>
  <si>
    <t>bug-fix</t>
  </si>
  <si>
    <t>https://drive.google.com/drive/folders/1qFOtKvH5onggl44jE-UAT92SlUAQQn_d</t>
  </si>
  <si>
    <t>gs://swe-bench-plus/evaluations/019a25fc-6046-74dd-9a6b-6259f32e9dff-Azure__template-analyzer-399-swe-agent-claude-sonnet-4-20250514</t>
  </si>
  <si>
    <t>https://github.com/Azure/template-analyzer/issues/399</t>
  </si>
  <si>
    <t>Java</t>
  </si>
  <si>
    <t>grafana__alloy-3618</t>
  </si>
  <si>
    <t>grafana/alloy</t>
  </si>
  <si>
    <t>https://drive.google.com/drive/folders/19tMOF-5HnFRqwNnWNfiWdEIyO6FqH-jY</t>
  </si>
  <si>
    <t>https://drive.google.com/drive/folders/1OkpzwQNpO9weu9Eo8Ri3zc9NAUQL1fYV</t>
  </si>
  <si>
    <t>https://github.com/grafana/alloy/issues/3618</t>
  </si>
  <si>
    <t>gopherguides__hype-42</t>
  </si>
  <si>
    <t>gopherguides/hype</t>
  </si>
  <si>
    <t>full-tool-implementation</t>
  </si>
  <si>
    <t>https://drive.google.com/drive/folders/1IwgoTHJ3q4myhutDVaYQBy5PkQk7Yn4p</t>
  </si>
  <si>
    <t>gs://swe-bench-plus/evaluations/019b6ab1-4e74-7019-9e81-9c96e98a145d-gopherguides__hype-42-swe-agent-claude-sonnet-4.5</t>
  </si>
  <si>
    <t>https://github.com/gopherguides/hype/issues/42</t>
  </si>
  <si>
    <t>C++</t>
  </si>
  <si>
    <t>actor-framework__actor-framework-1643</t>
  </si>
  <si>
    <t>actor-framework/actor-framework</t>
  </si>
  <si>
    <t>https://drive.google.com/drive/folders/18x61Pct8CbNMhuUvX0pVdmjUviGmi_Kf</t>
  </si>
  <si>
    <t>https://drive.google.com/drive/folders/1mvQuqrQFvr0jVMtTdF-UQHW3vUphtxlZ</t>
  </si>
  <si>
    <t>https://github.com/actor-framework/actor-framework/issues/1643</t>
  </si>
  <si>
    <t>blackstork-io__fabric-264</t>
  </si>
  <si>
    <t>blackstork-io/fabric</t>
  </si>
  <si>
    <t>https://drive.google.com/drive/folders/1VdiN55dk8w5kiOfjthsHn0WCFZpq_NlH</t>
  </si>
  <si>
    <t>gs://swe-bench-plus/evaluations/019b6ab1-4e74-7019-9e81-9c96e98a145d-blackstork-io__fabric-264-swe-agent-claude-sonnet-4.5</t>
  </si>
  <si>
    <t>https://github.com/blackstork-io/fabric/issues/264</t>
  </si>
  <si>
    <t>arabold__docs-mcp-server-27</t>
  </si>
  <si>
    <t>arabold/docs-mcp-server</t>
  </si>
  <si>
    <t>https://drive.google.com/drive/folders/1aoAGTqR2IDAnF7gO0Rje8lL7BPz-NSuA</t>
  </si>
  <si>
    <t>gs://swe-bench-plus/evaluations/019b6aaf-1788-707e-b6dd-d4dc12d72279-arabold__docs-mcp-server-27-swe-agent-claude-sonnet-4.5</t>
  </si>
  <si>
    <t>https://github.com/arabold/docs-mcp-server/issues/27</t>
  </si>
  <si>
    <t>Difficulty split</t>
  </si>
  <si>
    <t>eclipse__openvsx-1327</t>
  </si>
  <si>
    <t>eclipse/openvsx</t>
  </si>
  <si>
    <t>applications</t>
  </si>
  <si>
    <t>https://drive.google.com/drive/folders/1MG6OaJapipUIz0NzjA7DV2MtE2S7dbi6</t>
  </si>
  <si>
    <t>gs://swe-bench-plus/evaluations/019bc794-8b97-710a-8eb1-715be5148c6c-eclipse__openvsx-1327-swe-agent-claude-sonnet-4-20250514</t>
  </si>
  <si>
    <t>https://github.com/eclipse/openvsx/issues/1327</t>
  </si>
  <si>
    <t>argoproj-labs__hera-1481</t>
  </si>
  <si>
    <t>argoproj-labs/hera</t>
  </si>
  <si>
    <t>data-eng</t>
  </si>
  <si>
    <t>code-refactoring-migration</t>
  </si>
  <si>
    <t>https://drive.google.com/drive/folders/1GhJIbPLyMg9HY_MQTCffpZkMYY81jzvr</t>
  </si>
  <si>
    <t>https://drive.google.com/drive/folders/1iZRIJ5-4jqqCJ2aUBVKNArwwSE_Ep6mi</t>
  </si>
  <si>
    <t>https://github.com/argoproj-labs/hera/issues/1481</t>
  </si>
  <si>
    <t>deepset-ai__haystack-8725</t>
  </si>
  <si>
    <t>maintenance</t>
  </si>
  <si>
    <t>https://drive.google.com/drive/folders/1JY9x8vir8T6VG_Up8wfEO3aactskF_rB</t>
  </si>
  <si>
    <t>https://drive.google.com/drive/folders/1zBYYlFJJ0hJLGPrVmMu38He_MIGYYfVP</t>
  </si>
  <si>
    <t>https://github.com/deepset-ai/haystack/issues/8725</t>
  </si>
  <si>
    <t>openyurtio__openyurt-2316</t>
  </si>
  <si>
    <t>openyurtio/openyurt</t>
  </si>
  <si>
    <t>https://drive.google.com/drive/folders/1a1uG9A2EaVb4_37RkLwh2ZqiubfeyON3</t>
  </si>
  <si>
    <t>gs://swe-bench-plus/evaluations/019b6aaf-1788-707e-b6dd-d4dc12d72279-openyurtio__openyurt-2316-swe-agent-claude-sonnet-4.5</t>
  </si>
  <si>
    <t>https://github.com/openyurtio/openyurt/issues/2316</t>
  </si>
  <si>
    <t>formwerkjs__formwerk-76</t>
  </si>
  <si>
    <t>formwerkjs/formwerk</t>
  </si>
  <si>
    <t>https://drive.google.com/drive/folders/18ZrWYSlaarH7B2Az2Xw7d2EiTIw3DKQ0</t>
  </si>
  <si>
    <t>gs://swe-bench-plus/evaluations/019b6aaf-1788-707e-b6dd-d4dc12d72279-formwerkjs__formwerk-76-swe-agent-claude-sonnet-4.5</t>
  </si>
  <si>
    <t>https://github.com/formwerkjs/formwerk/issues/76</t>
  </si>
  <si>
    <t>ethereum-optimism__superchain-registry-951</t>
  </si>
  <si>
    <t>ethereum-optimism/superchain-registry</t>
  </si>
  <si>
    <t>https://drive.google.com/drive/folders/1D0xFtPErDPotZix1dKOMlz4racadE4hP</t>
  </si>
  <si>
    <t>gs://swe-bench-plus/evaluations/019b6aa7-0380-771f-9e02-24cda0fe6639-ethereum-optimism__superchain-registry-951-swe-agent-claude-sonnet-4.5</t>
  </si>
  <si>
    <t>https://github.com/ethereum-optimism/superchain-registry/issues/951</t>
  </si>
  <si>
    <t>Peternator7__strum-391</t>
  </si>
  <si>
    <t>Peternator7/strum</t>
  </si>
  <si>
    <t>repo-evolution-replay</t>
  </si>
  <si>
    <t>https://drive.google.com/drive/folders/1v_D5KhiY2MABxxaHPoSSgSh9wuEV8wlt</t>
  </si>
  <si>
    <t>gs://swe-bench-plus/evaluations/019a850a-f25b-779a-b3d5-48edf0cdebff-Peternator7__strum-391-swe-agent-claude-sonnet-4-20250514</t>
  </si>
  <si>
    <t>https://github.com/Peternator7/strum/issues/391</t>
  </si>
  <si>
    <t>apache__gravitino-9839</t>
  </si>
  <si>
    <t>apache/gravitino</t>
  </si>
  <si>
    <t>https://drive.google.com/drive/folders/1wWmOswrfXGjP7vxYYTWG4CKOkfHZmZ-b</t>
  </si>
  <si>
    <t>gs://swe-bench-plus/evaluations/019c6646-ea55-7645-a600-58791210a874-apache__gravitino-9839-swe-agent-claude-sonnet-4-20250514</t>
  </si>
  <si>
    <t>https://github.com/apache/gravitino/issues/9839</t>
  </si>
  <si>
    <t>geopandas__dask-geopandas-322</t>
  </si>
  <si>
    <t>geopandas/dask-geopandas</t>
  </si>
  <si>
    <t>sci-comp</t>
  </si>
  <si>
    <t>https://drive.google.com/drive/folders/1fGHUf8wvnCijio_zQoMnrUylaUviH2Cw</t>
  </si>
  <si>
    <t>https://drive.google.com/drive/folders/1tN0LJ86ydkfgDZWaCDkOZvQ24FMTjAAI</t>
  </si>
  <si>
    <t>https://github.com/geopandas/dask-geopandas/issues/322</t>
  </si>
  <si>
    <t>codefori__vscode-db2i-391</t>
  </si>
  <si>
    <t>codefori/vscode-db2i</t>
  </si>
  <si>
    <t>https://drive.google.com/drive/folders/1V6ne529jEz11T1s6Vp1jkn2xOh4VSXop</t>
  </si>
  <si>
    <t>https://drive.google.com/drive/folders/1a9jJpStkAHKj0jVHp6gN7uPt2OUchAxv</t>
  </si>
  <si>
    <t>https://github.com/codefori/vscode-db2i/issues/391</t>
  </si>
  <si>
    <t>akkadotnet__akka.net-7720</t>
  </si>
  <si>
    <t>https://drive.google.com/drive/folders/1hVnwPST9swAu0WaGQUsq2I__ZqgCI7cq</t>
  </si>
  <si>
    <t>gs://swe-bench-plus/evaluations/019a25fc-6046-74dd-9a6b-6259f32e9dff-akkadotnet__akka.net-7720-swe-agent-claude-sonnet-4-20250514</t>
  </si>
  <si>
    <t>https://github.com/akkadotnet/akka.net/issues/7720</t>
  </si>
  <si>
    <t>LONG RANGE 25 — RAW PASS@3 INPUT</t>
  </si>
  <si>
    <t>Rules: reward=1 means resolved. Pass@3=1 if any of the 3 runs resolved the task.</t>
  </si>
  <si>
    <t>pick_order</t>
  </si>
  <si>
    <t>Opus 4.6 run_1_id</t>
  </si>
  <si>
    <t>Opus 4.6 run_1_result</t>
  </si>
  <si>
    <t>Opus 4.6 run_2_id</t>
  </si>
  <si>
    <t>Opus 4.6 run_2_result</t>
  </si>
  <si>
    <t>Opus 4.6 run_3_id</t>
  </si>
  <si>
    <t>Opus 4.6 run_3_result</t>
  </si>
  <si>
    <t>Opus 4.6 success_count</t>
  </si>
  <si>
    <t>Opus 4.6 pass@3</t>
  </si>
  <si>
    <t>GPT-5.4 run_1_id</t>
  </si>
  <si>
    <t>GPT-5.4 run_1_result</t>
  </si>
  <si>
    <t>GPT-5.4 run_2_id</t>
  </si>
  <si>
    <t>GPT-5.4 run_2_result</t>
  </si>
  <si>
    <t>GPT-5.4 run_3_id</t>
  </si>
  <si>
    <t>GPT-5.4 run_3_result</t>
  </si>
  <si>
    <t>GPT-5.4 success_count</t>
  </si>
  <si>
    <t>GPT-5.4 exception_count</t>
  </si>
  <si>
    <t>GPT-5.4 pass@3</t>
  </si>
  <si>
    <t>Gemini 3.1 Pro run_1_id</t>
  </si>
  <si>
    <t>Gemini 3.1 Pro run_1_result</t>
  </si>
  <si>
    <t>Gemini 3.1 Pro run_2_id</t>
  </si>
  <si>
    <t>Gemini 3.1 Pro run_2_result</t>
  </si>
  <si>
    <t>Gemini 3.1 Pro run_3_id</t>
  </si>
  <si>
    <t>Gemini 3.1 Pro run_3_result</t>
  </si>
  <si>
    <t>Gemini 3.1 Pro success_count</t>
  </si>
  <si>
    <t>Gemini 3.1 Pro exception_count</t>
  </si>
  <si>
    <t>Gemini 3.1 Pro pass@3</t>
  </si>
  <si>
    <t>models_solved_count</t>
  </si>
  <si>
    <t>solved_by_all_3_models</t>
  </si>
  <si>
    <t>solved_by_none</t>
  </si>
  <si>
    <t>deepset-ai__haystack-9680__3RYJwhB</t>
  </si>
  <si>
    <t>resolved</t>
  </si>
  <si>
    <t>deepset-ai__haystack-9680__6GZsTqE</t>
  </si>
  <si>
    <t>deepset-ai__haystack-9680__HCE7aQh</t>
  </si>
  <si>
    <t>deepset-ai__haystack-9680__c5ssHL4</t>
  </si>
  <si>
    <t>deepset-ai__haystack-9680__eZniWbm</t>
  </si>
  <si>
    <t>deepset-ai__haystack-9680__p2EEbAq</t>
  </si>
  <si>
    <t>deepset-ai__haystack-9680__AkeCMZg</t>
  </si>
  <si>
    <t>deepset-ai__haystack-9680__LxsQznn</t>
  </si>
  <si>
    <t>deepset-ai__haystack-9680__S2VWdDD</t>
  </si>
  <si>
    <t>failure</t>
  </si>
  <si>
    <t>akkadotnet__akka.net-7444__9QE7jmQ</t>
  </si>
  <si>
    <t>akkadotnet__akka.net-7444__9AUUwH4</t>
  </si>
  <si>
    <t>akkadotnet__akka.net-7444__EHFQfPy</t>
  </si>
  <si>
    <t>akkadotnet__akka.net-7444__fmku5wM</t>
  </si>
  <si>
    <t>akkadotnet__akka.net-7444__yzKhsv6</t>
  </si>
  <si>
    <t>akkadotnet__akka.net-7444__2z7sPsz</t>
  </si>
  <si>
    <t>akkadotnet__akka.net-7444__UPRDMLN</t>
  </si>
  <si>
    <t>akkadotnet__akka.net-7444__fLkrcef</t>
  </si>
  <si>
    <t>akkadotnet__akka.net-7444__3VdbPL7</t>
  </si>
  <si>
    <t>TedDriggs__darling-363__6fiBdsX</t>
  </si>
  <si>
    <t>TedDriggs__darling-363__HsNHktG</t>
  </si>
  <si>
    <t>TedDriggs__darling-363__m8GhSSM</t>
  </si>
  <si>
    <t>TedDriggs__darling-363__DgWxaph</t>
  </si>
  <si>
    <t>TedDriggs__darling-363__NLJgHTL</t>
  </si>
  <si>
    <t>TedDriggs__darling-363__UbMXQX5</t>
  </si>
  <si>
    <t>TedDriggs__darling-363__7Nc4UUt</t>
  </si>
  <si>
    <t>TedDriggs__darling-363__YE2bphc</t>
  </si>
  <si>
    <t>TedDriggs__darling-363__iMGQLHD</t>
  </si>
  <si>
    <t>0xMiden__miden-vm-1971__TL8xfNZ</t>
  </si>
  <si>
    <t>0xMiden__miden-vm-1971__WYFHv8f</t>
  </si>
  <si>
    <t>0xMiden__miden-vm-1971__tQUdrgH</t>
  </si>
  <si>
    <t>0xMiden__miden-vm-1971__BPTNoSb</t>
  </si>
  <si>
    <t>0xMiden__miden-vm-1971__JjjRt5E</t>
  </si>
  <si>
    <t>0xMiden__miden-vm-1971__rkwu9Af</t>
  </si>
  <si>
    <t>0xMiden__miden-vm-1971__b4gHxJD</t>
  </si>
  <si>
    <t>0xMiden__miden-vm-1971__kYvRZVJ</t>
  </si>
  <si>
    <t>0xMiden__miden-vm-1971__ovjerZx</t>
  </si>
  <si>
    <t>kubernetes-sigs__aws-ebs-csi-dri__3RfDkFp</t>
  </si>
  <si>
    <t>kubernetes-sigs__aws-ebs-csi-dri__xbyfkqW</t>
  </si>
  <si>
    <t>kubernetes-sigs__aws-ebs-csi-dri__yUG64wf</t>
  </si>
  <si>
    <t>kubernetes-sigs__aws-ebs-csi-dri__3f5cysJ</t>
  </si>
  <si>
    <t>kubernetes-sigs__aws-ebs-csi-dri__R45zj6o</t>
  </si>
  <si>
    <t>kubernetes-sigs__aws-ebs-csi-dri__YUWvaf3</t>
  </si>
  <si>
    <t>kubernetes-sigs__aws-ebs-csi-dri__HpxSZ6N</t>
  </si>
  <si>
    <t>kubernetes-sigs__aws-ebs-csi-dri__UG5UxEb</t>
  </si>
  <si>
    <t>kubernetes-sigs__aws-ebs-csi-dri__rBRq5Dw</t>
  </si>
  <si>
    <t>cedarcode__webauthn-ruby-459__X9ri953</t>
  </si>
  <si>
    <t>cedarcode__webauthn-ruby-459__fWJmfuM</t>
  </si>
  <si>
    <t>cedarcode__webauthn-ruby-459__tnabJjm</t>
  </si>
  <si>
    <t>cedarcode__webauthn-ruby-459__A4tiino</t>
  </si>
  <si>
    <t>cedarcode__webauthn-ruby-459__HFBa3iR</t>
  </si>
  <si>
    <t>cedarcode__webauthn-ruby-459__HtgqccF</t>
  </si>
  <si>
    <t>cedarcode__webauthn-ruby-459__8YGZdSD</t>
  </si>
  <si>
    <t>cedarcode__webauthn-ruby-459__YKhm2pr</t>
  </si>
  <si>
    <t>cedarcode__webauthn-ruby-459__okFnrjR</t>
  </si>
  <si>
    <t>inocan-group__vue3-google-map-35__HDgEteQ</t>
  </si>
  <si>
    <t>inocan-group__vue3-google-map-35__Wm8FrT2</t>
  </si>
  <si>
    <t>inocan-group__vue3-google-map-35__vP7C8wZ</t>
  </si>
  <si>
    <t>inocan-group__vue3-google-map-35__RaxYH8k</t>
  </si>
  <si>
    <t>inocan-group__vue3-google-map-35__StjpbUx</t>
  </si>
  <si>
    <t>inocan-group__vue3-google-map-35__osBBAoL</t>
  </si>
  <si>
    <t>inocan-group__vue3-google-map-35__fjuR93b</t>
  </si>
  <si>
    <t>inocan-group__vue3-google-map-35__rFx2nrj</t>
  </si>
  <si>
    <t>inocan-group__vue3-google-map-35__yTtEgas</t>
  </si>
  <si>
    <t>ovechkin-dm__mockio-89__EugwiU6</t>
  </si>
  <si>
    <t>ovechkin-dm__mockio-89__MijonZA</t>
  </si>
  <si>
    <t>ovechkin-dm__mockio-89__nTKtxuW</t>
  </si>
  <si>
    <t>ovechkin-dm__mockio-89__2twNv4N</t>
  </si>
  <si>
    <t>ovechkin-dm__mockio-89__gFmrwUi</t>
  </si>
  <si>
    <t>ovechkin-dm__mockio-89__yNNyMFd</t>
  </si>
  <si>
    <t>ovechkin-dm__mockio-89__8sNkYoV</t>
  </si>
  <si>
    <t>ovechkin-dm__mockio-89__8zLQvyf</t>
  </si>
  <si>
    <t>ovechkin-dm__mockio-89__tETq67z</t>
  </si>
  <si>
    <t>Azure__template-analyzer-399__MkhHBoo</t>
  </si>
  <si>
    <t>Azure__template-analyzer-399__Qd9KcGa</t>
  </si>
  <si>
    <t>Azure__template-analyzer-399__dPNLwMe</t>
  </si>
  <si>
    <t>Azure__template-analyzer-399__WGiFLmm</t>
  </si>
  <si>
    <t>Azure__template-analyzer-399__gaGuHdb</t>
  </si>
  <si>
    <t>Azure__template-analyzer-399__kPrm7V8</t>
  </si>
  <si>
    <t>Azure__template-analyzer-399__3q5hExj</t>
  </si>
  <si>
    <t>Azure__template-analyzer-399__CWLajNH</t>
  </si>
  <si>
    <t>Azure__template-analyzer-399__qCSYgQL</t>
  </si>
  <si>
    <t>grafana__alloy-3618__3Prnh3A</t>
  </si>
  <si>
    <t>grafana__alloy-3618__LYCJoqq</t>
  </si>
  <si>
    <t>grafana__alloy-3618__cmAUP8S</t>
  </si>
  <si>
    <t>grafana__alloy-3618__MYMpcg7</t>
  </si>
  <si>
    <t>grafana__alloy-3618__WcdpKSm</t>
  </si>
  <si>
    <t>grafana__alloy-3618__y9Na5k6</t>
  </si>
  <si>
    <t>grafana__alloy-3618__HtVLWQ3</t>
  </si>
  <si>
    <t>grafana__alloy-3618__cGcMRr8</t>
  </si>
  <si>
    <t>grafana__alloy-3618__eWiEmxG</t>
  </si>
  <si>
    <t>gopherguides__hype-42__4MnqMYp</t>
  </si>
  <si>
    <t>gopherguides__hype-42__oqSKFzb</t>
  </si>
  <si>
    <t>gopherguides__hype-42__tBwwEcr</t>
  </si>
  <si>
    <t>gopherguides__hype-42__Ca4f39h</t>
  </si>
  <si>
    <t>gopherguides__hype-42__XnviEf4</t>
  </si>
  <si>
    <t>gopherguides__hype-42__Y8GC87F</t>
  </si>
  <si>
    <t>gopherguides__hype-42__PHrhfmL</t>
  </si>
  <si>
    <t>gopherguides__hype-42__WxksP7s</t>
  </si>
  <si>
    <t>gopherguides__hype-42__nPrjk9G</t>
  </si>
  <si>
    <t>actor-framework__actor-framework__KaWHNpD</t>
  </si>
  <si>
    <t>actor-framework__actor-framework__eUDMvhw</t>
  </si>
  <si>
    <t>actor-framework__actor-framework__iW5CYyQ</t>
  </si>
  <si>
    <t>actor-framework__actor-framework__WPehBr4</t>
  </si>
  <si>
    <t>actor-framework__actor-framework__zAcSiVC</t>
  </si>
  <si>
    <t>actor-framework__actor-framework__JjREUMK</t>
  </si>
  <si>
    <t>actor-framework__actor-framework__dMMuvhX</t>
  </si>
  <si>
    <t>actor-framework__actor-framework__oh7Knpx</t>
  </si>
  <si>
    <t>actor-framework__actor-framework__JQ7zZQh</t>
  </si>
  <si>
    <t>blackstork-io__fabric-264__3YeFUdW</t>
  </si>
  <si>
    <t>blackstork-io__fabric-264__NHxsV3u</t>
  </si>
  <si>
    <t>blackstork-io__fabric-264__aQQBsii</t>
  </si>
  <si>
    <t>blackstork-io__fabric-264__Ro3GLav</t>
  </si>
  <si>
    <t>blackstork-io__fabric-264__b2trHWp</t>
  </si>
  <si>
    <t>blackstork-io__fabric-264__wRduNQD</t>
  </si>
  <si>
    <t>blackstork-io__fabric-264__fNKo7NW</t>
  </si>
  <si>
    <t>blackstork-io__fabric-264__n5bbzS5</t>
  </si>
  <si>
    <t>blackstork-io__fabric-264__z3pnZuK</t>
  </si>
  <si>
    <t>arabold__docs-mcp-server-27__QzAi9Hp</t>
  </si>
  <si>
    <t>arabold__docs-mcp-server-27__SQyp9dw</t>
  </si>
  <si>
    <t>arabold__docs-mcp-server-27__fkJtJHC</t>
  </si>
  <si>
    <t>arabold__docs-mcp-server-27__7Niyru5</t>
  </si>
  <si>
    <t>arabold__docs-mcp-server-27__9H7rabY</t>
  </si>
  <si>
    <t>arabold__docs-mcp-server-27__fMtiim4</t>
  </si>
  <si>
    <t>arabold__docs-mcp-server-27__7JiBpNN</t>
  </si>
  <si>
    <t>arabold__docs-mcp-server-27__coaaUqk</t>
  </si>
  <si>
    <t>arabold__docs-mcp-server-27__dLGF2rm</t>
  </si>
  <si>
    <t>eclipse__openvsx-1327__6TCZ5bG</t>
  </si>
  <si>
    <t>eclipse__openvsx-1327__bUDSddE</t>
  </si>
  <si>
    <t>eclipse__openvsx-1327__zBnWHCL</t>
  </si>
  <si>
    <t>eclipse__openvsx-1327__6hvkA3m</t>
  </si>
  <si>
    <t>eclipse__openvsx-1327__RVk7kVE</t>
  </si>
  <si>
    <t>eclipse__openvsx-1327__h2vfvTp</t>
  </si>
  <si>
    <t>eclipse__openvsx-1327__KGCjsRp</t>
  </si>
  <si>
    <t>eclipse__openvsx-1327__Y6WnZxu</t>
  </si>
  <si>
    <t>eclipse__openvsx-1327__p5jCRjr</t>
  </si>
  <si>
    <t>argoproj-labs__hera-1481__MLDvAQU</t>
  </si>
  <si>
    <t>argoproj-labs__hera-1481__RTQLtdM</t>
  </si>
  <si>
    <t>argoproj-labs__hera-1481__vKfZwgo</t>
  </si>
  <si>
    <t>argoproj-labs__hera-1481__5whTtsH</t>
  </si>
  <si>
    <t>argoproj-labs__hera-1481__6J9ev6a</t>
  </si>
  <si>
    <t>argoproj-labs__hera-1481__CVHNtLA</t>
  </si>
  <si>
    <t>argoproj-labs__hera-1481__HSSxa3x</t>
  </si>
  <si>
    <t>argoproj-labs__hera-1481__dZkc7p7</t>
  </si>
  <si>
    <t>argoproj-labs__hera-1481__yeKWCUb</t>
  </si>
  <si>
    <t>deepset-ai__haystack-8725__4LHrMn2</t>
  </si>
  <si>
    <t>deepset-ai__haystack-8725__TwLkdPC</t>
  </si>
  <si>
    <t>deepset-ai__haystack-8725__shdwcRc</t>
  </si>
  <si>
    <t>deepset-ai__haystack-8725__FJJzJhX</t>
  </si>
  <si>
    <t>deepset-ai__haystack-8725__UwrWkwp</t>
  </si>
  <si>
    <t>deepset-ai__haystack-8725__YQknT8F</t>
  </si>
  <si>
    <t>deepset-ai__haystack-8725__4Vtcacp</t>
  </si>
  <si>
    <t>deepset-ai__haystack-8725__TuxS9gq</t>
  </si>
  <si>
    <t>deepset-ai__haystack-8725__s2Nvove</t>
  </si>
  <si>
    <t>openyurtio__openyurt-2316__WCEMXNf</t>
  </si>
  <si>
    <t>openyurtio__openyurt-2316__aJvSRaV</t>
  </si>
  <si>
    <t>openyurtio__openyurt-2316__uMHKTQA</t>
  </si>
  <si>
    <t>openyurtio__openyurt-2316__3MiCwpZ</t>
  </si>
  <si>
    <t>openyurtio__openyurt-2316__aJWkiKE</t>
  </si>
  <si>
    <t>openyurtio__openyurt-2316__gFvtFUV</t>
  </si>
  <si>
    <t>openyurtio__openyurt-2316__vYddcqC</t>
  </si>
  <si>
    <t>openyurtio__openyurt-2316__xtEnCJh</t>
  </si>
  <si>
    <t>openyurtio__openyurt-2316__2jKUPy7</t>
  </si>
  <si>
    <t>formwerkjs__formwerk-76__DkvrwKp</t>
  </si>
  <si>
    <t>formwerkjs__formwerk-76__QqzyuWe</t>
  </si>
  <si>
    <t>formwerkjs__formwerk-76__rP8QGK3</t>
  </si>
  <si>
    <t>formwerkjs__formwerk-76__AnevKq9</t>
  </si>
  <si>
    <t>formwerkjs__formwerk-76__RWrGAKT</t>
  </si>
  <si>
    <t>formwerkjs__formwerk-76__wmRMmCH</t>
  </si>
  <si>
    <t>formwerkjs__formwerk-76__HEDdu6B</t>
  </si>
  <si>
    <t>formwerkjs__formwerk-76__LREaM9K</t>
  </si>
  <si>
    <t>formwerkjs__formwerk-76__uJhFcLL</t>
  </si>
  <si>
    <t>ethereum-optimism__superchain-re__CaVzAKd</t>
  </si>
  <si>
    <t>ethereum-optimism__superchain-re__DV6znqG</t>
  </si>
  <si>
    <t>ethereum-optimism__superchain-re__w5srPGi</t>
  </si>
  <si>
    <t>ethereum-optimism__superchain-re__EW4jFoy</t>
  </si>
  <si>
    <t>ethereum-optimism__superchain-re__UsBGbXq</t>
  </si>
  <si>
    <t>ethereum-optimism__superchain-re__xd4cRqS</t>
  </si>
  <si>
    <t>ethereum-optimism__superchain-re__9Jg44KU</t>
  </si>
  <si>
    <t>ethereum-optimism__superchain-re__J9kKUQU</t>
  </si>
  <si>
    <t>ethereum-optimism__superchain-re__tnFEqYK</t>
  </si>
  <si>
    <t>Peternator7__strum-391__Dz6bdMR</t>
  </si>
  <si>
    <t>Peternator7__strum-391__EZpGSE2</t>
  </si>
  <si>
    <t>Peternator7__strum-391__cn2nHjK</t>
  </si>
  <si>
    <t>Peternator7__strum-391__AKTy3Ra</t>
  </si>
  <si>
    <t>Peternator7__strum-391__ScurvpV</t>
  </si>
  <si>
    <t>Peternator7__strum-391__draxqKk</t>
  </si>
  <si>
    <t>Peternator7__strum-391__FCvaxqv</t>
  </si>
  <si>
    <t>Peternator7__strum-391__wAtapzj</t>
  </si>
  <si>
    <t>Peternator7__strum-391__wdsF5Pu</t>
  </si>
  <si>
    <t>apache__gravitino-9839__4z48NMj</t>
  </si>
  <si>
    <t>apache__gravitino-9839__U8kcpuM</t>
  </si>
  <si>
    <t>apache__gravitino-9839__tf3rXQ5</t>
  </si>
  <si>
    <t>apache__gravitino-9839__QUQxc6K</t>
  </si>
  <si>
    <t>apache__gravitino-9839__R2JpVWc</t>
  </si>
  <si>
    <t>apache__gravitino-9839__mKcj3ad</t>
  </si>
  <si>
    <t>apache__gravitino-9839__f4xcYNX</t>
  </si>
  <si>
    <t>apache__gravitino-9839__pQUxWQb</t>
  </si>
  <si>
    <t>apache__gravitino-9839__t9bkaku</t>
  </si>
  <si>
    <t>geopandas__dask-geopandas-322__V8arV8F</t>
  </si>
  <si>
    <t>geopandas__dask-geopandas-322__kShN6qL</t>
  </si>
  <si>
    <t>geopandas__dask-geopandas-322__Wi58UjS</t>
  </si>
  <si>
    <t>geopandas__dask-geopandas-322__e4gpQCU</t>
  </si>
  <si>
    <t>geopandas__dask-geopandas-322__ggBa6JR</t>
  </si>
  <si>
    <t>geopandas__dask-geopandas-322__wuZEejZ</t>
  </si>
  <si>
    <t>geopandas__dask-geopandas-322__4E7P2WD</t>
  </si>
  <si>
    <t>geopandas__dask-geopandas-322__bGtfRky</t>
  </si>
  <si>
    <t>geopandas__dask-geopandas-322__wAJXK2N</t>
  </si>
  <si>
    <t>codefori__vscode-db2i-391__Eyi9zQF</t>
  </si>
  <si>
    <t>codefori__vscode-db2i-391__WRWNtnS</t>
  </si>
  <si>
    <t>codefori__vscode-db2i-391__uGTnkzQ</t>
  </si>
  <si>
    <t>codefori__vscode-db2i-391__4YQqPup</t>
  </si>
  <si>
    <t>codefori__vscode-db2i-391__FSqiXQo</t>
  </si>
  <si>
    <t>codefori__vscode-db2i-391__rXRjHsh</t>
  </si>
  <si>
    <t>codefori__vscode-db2i-391__66gRAyR</t>
  </si>
  <si>
    <t>codefori__vscode-db2i-391__gyxJ4ig</t>
  </si>
  <si>
    <t>codefori__vscode-db2i-391__kbVreTj</t>
  </si>
  <si>
    <t>akkadotnet__akka.net-7720__CkHh24i</t>
  </si>
  <si>
    <t>akkadotnet__akka.net-7720__XW9k6v3</t>
  </si>
  <si>
    <t>akkadotnet__akka.net-7720__oZoyLeU</t>
  </si>
  <si>
    <t>akkadotnet__akka.net-7720__22Rj8BW</t>
  </si>
  <si>
    <t>akkadotnet__akka.net-7720__7pKr5bK</t>
  </si>
  <si>
    <t>akkadotnet__akka.net-7720__DWvXMCS</t>
  </si>
  <si>
    <t>akkadotnet__akka.net-7720__oFnmavR</t>
  </si>
  <si>
    <t>akkadotnet__akka.net-7720__oeeHXHc</t>
  </si>
  <si>
    <t>akkadotnet__akka.net-7720__zdQZKCs</t>
  </si>
  <si>
    <t>LONG RANGE n=25 tasks — PASS@3 VISUALS</t>
  </si>
  <si>
    <t>Model</t>
  </si>
  <si>
    <t>Pass@3 resolved tasks</t>
  </si>
  <si>
    <t>Pass@3 failed tasks</t>
  </si>
  <si>
    <t>Pass@3 rate</t>
  </si>
  <si>
    <t>Trial successes</t>
  </si>
  <si>
    <t>Trial failures</t>
  </si>
  <si>
    <t>Trial success rate</t>
  </si>
  <si>
    <t>Opus 4.6</t>
  </si>
  <si>
    <t>GPT-5.4</t>
  </si>
  <si>
    <t>Gemini 3.1 Pro</t>
  </si>
  <si>
    <t>Reward Rate (# successful runs / total runs) across 25 tasks * 3 runs each = 75 runs</t>
  </si>
  <si>
    <t>Reward Rate by Long-Range task type</t>
  </si>
  <si>
    <t>Pass@3 by difficulty</t>
  </si>
  <si>
    <t>Difficulty</t>
  </si>
  <si>
    <t>Task count</t>
  </si>
  <si>
    <t>Resolution % (Pass@3) -- a task is considered resolved if at least one attempt (out of 3) succeeded</t>
  </si>
  <si>
    <t>Resolution % (Pass@3) by Long-Range task type</t>
  </si>
  <si>
    <t>Pass@3 by long horizon tag</t>
  </si>
  <si>
    <t>Long horizon tag</t>
  </si>
  <si>
    <t>How many models solved each task</t>
  </si>
  <si>
    <t>Models solved count</t>
  </si>
  <si>
    <t>Language Distribution of Tasks</t>
  </si>
  <si>
    <t>Repo Type distribution</t>
  </si>
  <si>
    <t>Long-Range task type distribution</t>
  </si>
  <si>
    <t>Long-Range task type</t>
  </si>
  <si>
    <t>Opus successful runs</t>
  </si>
  <si>
    <t>Opus total runs</t>
  </si>
  <si>
    <t>Opus reward rate</t>
  </si>
  <si>
    <t>GPT-5.4 successful runs</t>
  </si>
  <si>
    <t>GPT-5.4 total runs</t>
  </si>
  <si>
    <t>GPT-5.4 reward rate</t>
  </si>
  <si>
    <t>Gemini 3 Pro successful runs</t>
  </si>
  <si>
    <t>Gemini 3 Pro total runs</t>
  </si>
  <si>
    <t>Gemini 3 Pro reward rate</t>
  </si>
  <si>
    <t>Task-by-task Resolution% (pass@3) details</t>
  </si>
  <si>
    <t>Instance ID</t>
  </si>
  <si>
    <t>Language</t>
  </si>
  <si>
    <t>Models solved</t>
  </si>
  <si>
    <t>Opus resolved tasks</t>
  </si>
  <si>
    <t>Opus total tasks</t>
  </si>
  <si>
    <t>Opus Pass@3</t>
  </si>
  <si>
    <t>GPT-5.4 resolved tasks</t>
  </si>
  <si>
    <t>GPT-5.4 total tasks</t>
  </si>
  <si>
    <t>GPT-5.4 Pass@3</t>
  </si>
  <si>
    <t>Gemini 3 Pro resolved tasks</t>
  </si>
  <si>
    <t>Gemini 3 Pro total tasks</t>
  </si>
  <si>
    <t>Gemini 3 Pro Pass@3</t>
  </si>
  <si>
    <t>Model summary</t>
  </si>
  <si>
    <t>SweBench++ Long Horizon Range (n=2251) Dataset FactSheet</t>
  </si>
  <si>
    <t>Summary</t>
  </si>
  <si>
    <t>Visuals</t>
  </si>
  <si>
    <t>Total tasks</t>
  </si>
  <si>
    <t>Median stars</t>
  </si>
  <si>
    <t>Median repo LOC</t>
  </si>
  <si>
    <t>Median instance LOC</t>
  </si>
  <si>
    <t>Long Horizon Definition</t>
  </si>
  <si>
    <r>
      <rPr>
        <rFont val="Calibri"/>
        <color rgb="FF1F2937"/>
        <sz val="11.0"/>
      </rPr>
      <t xml:space="preserve">Long-horizon tasks are software changes that involve multi-step, system-level engineering work, rather than isolated or single-purpose updates. These tasks typically span multiple components, require coordinated changes, and reflect broader evolution of the codebase. We categorize long-horizon tasks into the following 5 types:
• </t>
    </r>
    <r>
      <rPr>
        <rFont val="Calibri"/>
        <b/>
        <color rgb="FF1F2937"/>
        <sz val="11.0"/>
      </rPr>
      <t>Code Refactoring &amp; Migration</t>
    </r>
    <r>
      <rPr>
        <rFont val="Calibri"/>
        <color rgb="FF1F2937"/>
        <sz val="11.0"/>
      </rPr>
      <t xml:space="preserve">
Large-scale structural changes or technology shifts that affect core architecture or frameworks (e.g., Django → Flask, Python 2 → 3, pip → Poetry, Maven → Gradle, Make → Bazel). These often require coordinated updates across many parts of the codebase.
• </t>
    </r>
    <r>
      <rPr>
        <rFont val="Calibri"/>
        <b/>
        <color rgb="FF1F2937"/>
        <sz val="11.0"/>
      </rPr>
      <t>Repo Evolution Replay</t>
    </r>
    <r>
      <rPr>
        <rFont val="Calibri"/>
        <color rgb="FF1F2937"/>
        <sz val="11.0"/>
      </rPr>
      <t xml:space="preserve">
 Tasks that reproduce or simulate real-world repository evolution over time, often based on release notes or version changes. These involve a sequence of related updates rather than a single isolated change.
• </t>
    </r>
    <r>
      <rPr>
        <rFont val="Calibri"/>
        <b/>
        <color rgb="FF1F2937"/>
        <sz val="11.0"/>
      </rPr>
      <t>Transitive Dependency Repair</t>
    </r>
    <r>
      <rPr>
        <rFont val="Calibri"/>
        <color rgb="FF1F2937"/>
        <sz val="11.0"/>
      </rPr>
      <t xml:space="preserve">
 Changes that originate from dependency updates or core abstraction changes and require fixing all affected downstream components (e.g., updating APIs and adapting all dependent modules accordingly).
• </t>
    </r>
    <r>
      <rPr>
        <rFont val="Calibri"/>
        <b/>
        <color rgb="FF1F2937"/>
        <sz val="11.0"/>
      </rPr>
      <t>Full Tool Implementation</t>
    </r>
    <r>
      <rPr>
        <rFont val="Calibri"/>
        <color rgb="FF1F2937"/>
        <sz val="11.0"/>
      </rPr>
      <t xml:space="preserve">
 Building complete, production-level tools or systems from scratch, rather than adding incremental features. This typically includes core logic, interfaces, and supporting components such as tests or configuration.
• </t>
    </r>
    <r>
      <rPr>
        <rFont val="Calibri"/>
        <b/>
        <color rgb="FF1F2937"/>
        <sz val="11.0"/>
      </rPr>
      <t>Multi-Component Features</t>
    </r>
    <r>
      <rPr>
        <rFont val="Calibri"/>
        <color rgb="FF1F2937"/>
        <sz val="11.0"/>
      </rPr>
      <t xml:space="preserve">
 End-to-end feature development that spans multiple layers or components (e.g., backend, frontend, storage, APIs, and tests), requiring coordinated implementation across the system.</t>
    </r>
  </si>
  <si>
    <t>Language distribution</t>
  </si>
  <si>
    <t>Harbor converted</t>
  </si>
  <si>
    <t>Long-horizon tag distribution</t>
  </si>
  <si>
    <t>Converted</t>
  </si>
  <si>
    <t>Not converted yet</t>
  </si>
  <si>
    <t>JavaScript</t>
  </si>
  <si>
    <t>PHP</t>
  </si>
  <si>
    <t>Swift</t>
  </si>
  <si>
    <t>Stars bucket distribution</t>
  </si>
  <si>
    <t>Instance LOC distribution</t>
  </si>
  <si>
    <t>Issue type distribution</t>
  </si>
  <si>
    <t>0-100</t>
  </si>
  <si>
    <t>0-50</t>
  </si>
  <si>
    <t>101-1k</t>
  </si>
  <si>
    <t>51-100</t>
  </si>
  <si>
    <t>1k-5k</t>
  </si>
  <si>
    <t>101-250</t>
  </si>
  <si>
    <t>5k-20k</t>
  </si>
  <si>
    <t>251-500</t>
  </si>
  <si>
    <t>performance-issue</t>
  </si>
  <si>
    <t>20k+</t>
  </si>
  <si>
    <t>501-1k</t>
  </si>
  <si>
    <t>documentation</t>
  </si>
  <si>
    <t>1k+</t>
  </si>
  <si>
    <t>Unknown</t>
  </si>
  <si>
    <t>Repository LOC distribution</t>
  </si>
  <si>
    <t>Difficulty distribution</t>
  </si>
  <si>
    <t>Code type distribution</t>
  </si>
  <si>
    <t>0-10k</t>
  </si>
  <si>
    <t>1</t>
  </si>
  <si>
    <t>10k-50k</t>
  </si>
  <si>
    <t>2</t>
  </si>
  <si>
    <t>50k-100k</t>
  </si>
  <si>
    <t>3</t>
  </si>
  <si>
    <t>100k-500k</t>
  </si>
  <si>
    <t>Missing</t>
  </si>
  <si>
    <t>500k-1M</t>
  </si>
  <si>
    <t>1M+</t>
  </si>
  <si>
    <t>performance</t>
  </si>
  <si>
    <t>build-ci</t>
  </si>
  <si>
    <t>test</t>
  </si>
  <si>
    <t>p2p/f2p merge-rate distribution</t>
  </si>
  <si>
    <t>Repo type distribution</t>
  </si>
  <si>
    <t>0-50%</t>
  </si>
  <si>
    <t>50-75%</t>
  </si>
  <si>
    <t>75-90%</t>
  </si>
  <si>
    <t>90-97%</t>
  </si>
  <si>
    <t>97-99%</t>
  </si>
  <si>
    <t>99%+</t>
  </si>
  <si>
    <t>graphics-media</t>
  </si>
  <si>
    <t>autonomy</t>
  </si>
  <si>
    <t>Cross analysis: Language × Difficulty</t>
  </si>
  <si>
    <t>Cross analysis: Repo Type × Issue Type</t>
  </si>
  <si>
    <t>other</t>
  </si>
  <si>
    <t>Cross analysis: Long-Horizon Tag × Difficulty</t>
  </si>
  <si>
    <t>Cross analysis: Code Type × Difficulty</t>
  </si>
  <si>
    <t>repo_type_relevant</t>
  </si>
  <si>
    <t>issue_type_relevant</t>
  </si>
  <si>
    <t>code_type_relevant</t>
  </si>
  <si>
    <t>created_at</t>
  </si>
  <si>
    <t>repo</t>
  </si>
  <si>
    <t>repo_id</t>
  </si>
  <si>
    <t>difficulty_score</t>
  </si>
  <si>
    <t>p2p_count</t>
  </si>
  <si>
    <t>f2p_count</t>
  </si>
  <si>
    <t>instance_loc</t>
  </si>
  <si>
    <t>loc</t>
  </si>
  <si>
    <t>0x2a-42__lelwel-4</t>
  </si>
  <si>
    <t>https://github.com/0x2a-42/lelwel/issues/4</t>
  </si>
  <si>
    <t>feature;refactor</t>
  </si>
  <si>
    <t>gs://swe-bench-plus/evaluations/019b6aaf-1788-707e-b6dd-d4dc12d72279-0x2a-42__lelwel-4-swe-agent-claude-sonnet-4.5</t>
  </si>
  <si>
    <t>https://drive.google.com/drive/folders/1LlHIhkRm7oR-lD7kuwyi6Glujfya9hEm</t>
  </si>
  <si>
    <t>0x2a-42/lelwel</t>
  </si>
  <si>
    <t>0x2a-42__lelwel</t>
  </si>
  <si>
    <t>0xMiden__miden-base-1421</t>
  </si>
  <si>
    <t>https://github.com/0xMiden/miden-base/issues/1421</t>
  </si>
  <si>
    <t>feature-request;chore</t>
  </si>
  <si>
    <t>https://drive.google.com/drive/folders/16ONI16m86ZIcfDUXJfsRg35R8cV32Lce</t>
  </si>
  <si>
    <t>https://drive.google.com/drive/folders/1QPBS9OraGcxI49Jqr_R7Q89u3EU22LbF</t>
  </si>
  <si>
    <t>0xMiden/miden-base</t>
  </si>
  <si>
    <t>0xMiden__miden-base</t>
  </si>
  <si>
    <t>0xMiden__miden-vm-1996</t>
  </si>
  <si>
    <t>https://github.com/0xMiden/miden-vm/issues/1996</t>
  </si>
  <si>
    <t>blockchain;security</t>
  </si>
  <si>
    <t>https://drive.google.com/drive/folders/1ch_rmum8n1Wo74l_QRXbMIpFuTumHVeg</t>
  </si>
  <si>
    <t>https://drive.google.com/drive/folders/14Iqe0ntCd4-fpj376ZjBzr5ab7YTkRJY</t>
  </si>
  <si>
    <t>0xMiden__miden-vm</t>
  </si>
  <si>
    <t>0xMiden__miden-vm-1941</t>
  </si>
  <si>
    <t>https://github.com/0xMiden/miden-vm/issues/1941</t>
  </si>
  <si>
    <t>blockchain;security;infra-devops</t>
  </si>
  <si>
    <t>feature-request;documentation</t>
  </si>
  <si>
    <t>feature;documentation</t>
  </si>
  <si>
    <t>gs://swe-bench-plus/evaluations/019ac789-4ba4-708b-ae17-2b559b5f6cf3-0xMiden__miden-vm-1941-open-hands-claude-sonnet-4-20250514</t>
  </si>
  <si>
    <t>https://drive.google.com/drive/folders/1H5sS_HlaGO9tzjuF17Yb6xJ7FkXUCxeX</t>
  </si>
  <si>
    <t>0xMiden__miden-vm-1997</t>
  </si>
  <si>
    <t>https://github.com/0xMiden/miden-vm/issues/1997</t>
  </si>
  <si>
    <t>gs://swe-bench-plus/evaluations/0199cf73-9ae4-732f-9d08-b5169ce19959-0xMiden__miden-vm-1997-open-hands-claude-sonnet-4-20250514</t>
  </si>
  <si>
    <t>https://drive.google.com/drive/folders/1ZwzJmqglvy2iJF-59j8xxSdXygqUHcX9</t>
  </si>
  <si>
    <t>11ty__webc-229</t>
  </si>
  <si>
    <t>https://github.com/11ty/webc/issues/229</t>
  </si>
  <si>
    <t>webdev;devtools</t>
  </si>
  <si>
    <t>dependency-update;refactor</t>
  </si>
  <si>
    <t>gs://swe-bench-plus/evaluations/019b6ab1-4e74-7019-9e81-9c96e98a145d-11ty__webc-229-swe-agent-claude-sonnet-4.5</t>
  </si>
  <si>
    <t>https://drive.google.com/drive/folders/1TYF3ckNC1yB07cFD3CuhFvN8PS9hyWGD</t>
  </si>
  <si>
    <t>11ty/webc</t>
  </si>
  <si>
    <t>11ty__webc</t>
  </si>
  <si>
    <t>5cript__interval-tree-45</t>
  </si>
  <si>
    <t>https://github.com/5cript/interval-tree/issues/45</t>
  </si>
  <si>
    <t>sci-comp;graphics-media</t>
  </si>
  <si>
    <t>feature;documentation;build-ci</t>
  </si>
  <si>
    <t>gs://swe-bench-plus/evaluations/019b6aa7-0380-771f-9e02-24cda0fe6639-5cript__interval-tree-45-swe-agent-claude-sonnet-4.5</t>
  </si>
  <si>
    <t>https://drive.google.com/drive/folders/1ielaC0XyWyuFqm3prKyK6wVtQiuC5rLt</t>
  </si>
  <si>
    <t>5cript/interval-tree</t>
  </si>
  <si>
    <t>5cript__interval-tree</t>
  </si>
  <si>
    <t>a-chacon__oas_rails-106</t>
  </si>
  <si>
    <t>https://github.com/a-chacon/oas_rails/issues/106</t>
  </si>
  <si>
    <t>devtools;webdev</t>
  </si>
  <si>
    <t>gs://swe-bench-plus/evaluations/019b6aa7-0380-771f-9e02-24cda0fe6639-a-chacon__oas_rails-106-swe-agent-claude-sonnet-4.5</t>
  </si>
  <si>
    <t>https://drive.google.com/drive/folders/1DZAkZ727LmIIYTGpT_X8dFA3ImC0LU7Z</t>
  </si>
  <si>
    <t>a-chacon/oas_rails</t>
  </si>
  <si>
    <t>a-chacon__oas_rails</t>
  </si>
  <si>
    <t>a-chacon__oas_rails-121</t>
  </si>
  <si>
    <t>https://github.com/a-chacon/oas_rails/issues/121</t>
  </si>
  <si>
    <t>https://drive.google.com/drive/folders/1ofb-sezKnj9eX-93_9Kto6V_x0Mh4y4N</t>
  </si>
  <si>
    <t>https://drive.google.com/drive/folders/1AmOtUUVT3O6mOkZYNjTWWlxN-tJSbp_s</t>
  </si>
  <si>
    <t>a-ghorbani__pocketpal-ai-369</t>
  </si>
  <si>
    <t>https://github.com/a-ghorbani/pocketpal-ai/issues/369</t>
  </si>
  <si>
    <t>applications;ai-ml</t>
  </si>
  <si>
    <t>gs://swe-bench-plus/evaluations/019b6aaf-1788-707e-b6dd-d4dc12d72279-a-ghorbani__pocketpal-ai-369-swe-agent-claude-sonnet-4.5</t>
  </si>
  <si>
    <t>https://drive.google.com/drive/folders/1akkiUgdC05P8gR3BipY1f5JmnkG7o7-X</t>
  </si>
  <si>
    <t>a-ghorbani/pocketpal-ai</t>
  </si>
  <si>
    <t>a-ghorbani__pocketpal-ai</t>
  </si>
  <si>
    <t>a-ghorbani__pocketpal-ai-148</t>
  </si>
  <si>
    <t>https://github.com/a-ghorbani/pocketpal-ai/issues/148</t>
  </si>
  <si>
    <t>ai-ml;applications</t>
  </si>
  <si>
    <t>feature;performance;refactor</t>
  </si>
  <si>
    <t>gs://swe-bench-plus/evaluations/019b6aaf-1788-707e-b6dd-d4dc12d72279-a-ghorbani__pocketpal-ai-148-swe-agent-claude-sonnet-4.5</t>
  </si>
  <si>
    <t>https://drive.google.com/drive/folders/1ceL8KRwKn-zYBNKqYDosKUrv4lWtGv6U</t>
  </si>
  <si>
    <t>a2aproject__a2a-dotnet-163</t>
  </si>
  <si>
    <t>https://github.com/a2aproject/a2a-dotnet/issues/163</t>
  </si>
  <si>
    <t>ai-ml;devtools</t>
  </si>
  <si>
    <t>bug-report;chore</t>
  </si>
  <si>
    <t>bug-fix;dependency-update</t>
  </si>
  <si>
    <t>https://drive.google.com/drive/folders/1m7d452EB2fY8kzy4Yx-ILzpE1kKtGjiP</t>
  </si>
  <si>
    <t>https://drive.google.com/drive/folders/1xFtpkopD3rIBYaJo9JModq4e2ys_8Vuk</t>
  </si>
  <si>
    <t>a2aproject/a2a-dotnet</t>
  </si>
  <si>
    <t>a2aproject__a2a-dotnet</t>
  </si>
  <si>
    <t>a2aproject__a2a-dotnet-12</t>
  </si>
  <si>
    <t>https://github.com/a2aproject/a2a-dotnet/issues/12</t>
  </si>
  <si>
    <t>feature;refactor;build-ci</t>
  </si>
  <si>
    <t>gs://swe-bench-plus/evaluations/019b6aa7-0380-771f-9e02-24cda0fe6639-a2aproject__a2a-dotnet-12-swe-agent-claude-sonnet-4.5</t>
  </si>
  <si>
    <t>https://drive.google.com/drive/folders/1GFvwzc02JgLrPpEnwFSHlW0AQ8jeBbLV</t>
  </si>
  <si>
    <t>a2aproject__a2a-go-60</t>
  </si>
  <si>
    <t>https://github.com/a2aproject/a2a-go/issues/60</t>
  </si>
  <si>
    <t>gs://swe-bench-plus/evaluations/019b6ab1-4e74-7019-9e81-9c96e98a145d-a2aproject__a2a-go-60-swe-agent-claude-sonnet-4.5</t>
  </si>
  <si>
    <t>https://drive.google.com/drive/folders/1ILZhUUHBW5nHtkBsYY3HVvilx31bMtaz</t>
  </si>
  <si>
    <t>a2aproject/a2a-go</t>
  </si>
  <si>
    <t>a2aproject__a2a-go</t>
  </si>
  <si>
    <t>a2aproject__a2a-js-108</t>
  </si>
  <si>
    <t>https://github.com/a2aproject/a2a-js/issues/108</t>
  </si>
  <si>
    <t>webdev;infra-devops</t>
  </si>
  <si>
    <t>gs://swe-bench-plus/evaluations/019c8ad6-24d8-74d7-bfdb-849e95e51fa5-a2aproject__a2a-js-108-swe-agent-claude-sonnet-4-20250514</t>
  </si>
  <si>
    <t>https://drive.google.com/drive/folders/1CYXVodzlLkGzI_RhPGpDGHZoFagBfKm9</t>
  </si>
  <si>
    <t>a2aproject/a2a-js</t>
  </si>
  <si>
    <t>a2aproject__a2a-js</t>
  </si>
  <si>
    <t>a2aproject__a2a-python-443</t>
  </si>
  <si>
    <t>https://github.com/a2aproject/a2a-python/issues/443</t>
  </si>
  <si>
    <t>infra-devops;security</t>
  </si>
  <si>
    <t>gs://swe-bench-plus/evaluations/019ac57e-f665-72ea-8d22-b2c491531db5-a2aproject__a2a-python-443-open-hands-claude-sonnet-4-20250514</t>
  </si>
  <si>
    <t>https://drive.google.com/drive/folders/15ueDoEAtkUiwJFozcO_aWwmgTe2IRcPr</t>
  </si>
  <si>
    <t>a2aproject/a2a-python</t>
  </si>
  <si>
    <t>a2aproject__a2a-python</t>
  </si>
  <si>
    <t>a2aproject__a2a-python-104</t>
  </si>
  <si>
    <t>https://github.com/a2aproject/a2a-python/issues/104</t>
  </si>
  <si>
    <t>webdev;ai-ml</t>
  </si>
  <si>
    <t>https://drive.google.com/drive/folders/13yvx8L0dX9FfqiBRU9nRBZAoNaIUSL_S</t>
  </si>
  <si>
    <t>https://drive.google.com/drive/folders/1_oUxqGFVoszFKue8obAkt_2P-u-SYZRV</t>
  </si>
  <si>
    <t>AArnott__Nerdbank.MessagePack-47</t>
  </si>
  <si>
    <t>https://github.com/AArnott/Nerdbank.MessagePack/issues/47</t>
  </si>
  <si>
    <t>feature;refactor;documentation</t>
  </si>
  <si>
    <t>gs://swe-bench-plus/evaluations/019b6aa7-0380-771f-9e02-24cda0fe6639-AArnott__Nerdbank.MessagePack-47-swe-agent-claude-sonnet-4.5</t>
  </si>
  <si>
    <t>https://drive.google.com/drive/folders/1JokOtx3-Ki6YJPZOCSX2_mQv9EMGN0UW</t>
  </si>
  <si>
    <t>AArnott/Nerdbank.MessagePack</t>
  </si>
  <si>
    <t>AArnott__Nerdbank.MessagePack</t>
  </si>
  <si>
    <t>AArnott__Nerdbank.MessagePack-310</t>
  </si>
  <si>
    <t>https://github.com/AArnott/Nerdbank.MessagePack/issues/310</t>
  </si>
  <si>
    <t>feature;dependency-update;documentation</t>
  </si>
  <si>
    <t>gs://swe-bench-plus/evaluations/019b6ab1-4e74-7019-9e81-9c96e98a145d-AArnott__Nerdbank.MessagePack-310-swe-agent-claude-sonnet-4.5</t>
  </si>
  <si>
    <t>https://drive.google.com/drive/folders/1DjEArdOkp93vsb_ocv0rq2IlGnCCq0gn</t>
  </si>
  <si>
    <t>aaronpowell__httpstatus-164</t>
  </si>
  <si>
    <t>https://github.com/aaronpowell/httpstatus/issues/164</t>
  </si>
  <si>
    <t>webdev;devtools;infra-devops</t>
  </si>
  <si>
    <t>performance-issue;feature-request</t>
  </si>
  <si>
    <t>gs://swe-bench-plus/evaluations/019b6aa7-0380-771f-9e02-24cda0fe6639-aaronpowell__httpstatus-164-swe-agent-claude-sonnet-4.5</t>
  </si>
  <si>
    <t>https://drive.google.com/drive/folders/130uJp-tA23Aw5bo9T4NeFnPnWtNO4fQJ</t>
  </si>
  <si>
    <t>aaronpowell/httpstatus</t>
  </si>
  <si>
    <t>aaronpowell__httpstatus</t>
  </si>
  <si>
    <t>aaronriekenberg__rust-parallel-37</t>
  </si>
  <si>
    <t>https://github.com/aaronriekenberg/rust-parallel/issues/37</t>
  </si>
  <si>
    <t>devtools;sci-comp</t>
  </si>
  <si>
    <t>gs://swe-bench-plus/evaluations/019b6aaf-1788-707e-b6dd-d4dc12d72279-aaronriekenberg__rust-parallel-37-swe-agent-claude-sonnet-4.5</t>
  </si>
  <si>
    <t>https://drive.google.com/drive/folders/1a2fTP5iT8k2WobmtuaJa7bqZb2wtV_2q</t>
  </si>
  <si>
    <t>aaronriekenberg/rust-parallel</t>
  </si>
  <si>
    <t>aaronriekenberg__rust-parallel</t>
  </si>
  <si>
    <t>AbdelrhmanHamouda__locust-k8s-operator-237</t>
  </si>
  <si>
    <t>https://github.com/AbdelrhmanHamouda/locust-k8s-operator/issues/237</t>
  </si>
  <si>
    <t>https://drive.google.com/drive/folders/1_7KdK0OGTBEwNqbYSb5QE8YvuhBboKPi</t>
  </si>
  <si>
    <t>https://drive.google.com/drive/folders/1d-boWVsnod-51gnyeBD6ZGsdOqeNWyD1</t>
  </si>
  <si>
    <t>AbdelrhmanHamouda/locust-k8s-operator</t>
  </si>
  <si>
    <t>AbdelrhmanHamouda__locust-k8s-operator</t>
  </si>
  <si>
    <t>abey79__vpype-808</t>
  </si>
  <si>
    <t>https://github.com/abey79/vpype/issues/808</t>
  </si>
  <si>
    <t>graphics-media;devtools</t>
  </si>
  <si>
    <t>feature;documentation;refactor</t>
  </si>
  <si>
    <t>gs://swe-bench-plus/evaluations/019a6f31-5865-7528-b3d7-dd9431bd3aac-abey79__vpype-808-swe-agent-claude-sonnet-4.5</t>
  </si>
  <si>
    <t>https://drive.google.com/drive/folders/1HUxKlQlzQQDihYv-DlYiO8ySWR2V-Tu7</t>
  </si>
  <si>
    <t>abey79/vpype</t>
  </si>
  <si>
    <t>abey79__vpype</t>
  </si>
  <si>
    <t>aboutsip__pkts-148</t>
  </si>
  <si>
    <t>https://github.com/aboutsip/pkts/issues/148</t>
  </si>
  <si>
    <t>devtools;security</t>
  </si>
  <si>
    <t>feature;dependency-update;refactor</t>
  </si>
  <si>
    <t>gs://swe-bench-plus/evaluations/019bc793-e669-7019-a196-00e47f245ddc-aboutsip__pkts-148-swe-agent-claude-sonnet-4-20250514</t>
  </si>
  <si>
    <t>https://drive.google.com/drive/folders/1eN7gqY8XYaggV7u3XaCAfojC0AT68ERX</t>
  </si>
  <si>
    <t>aboutsip/pkts</t>
  </si>
  <si>
    <t>aboutsip__pkts</t>
  </si>
  <si>
    <t>achimnol__aiotools-79</t>
  </si>
  <si>
    <t>https://github.com/achimnol/aiotools/issues/79</t>
  </si>
  <si>
    <t>bug-fix;refactor;build-ci</t>
  </si>
  <si>
    <t>https://drive.google.com/drive/folders/1L7lOEDi0wfGy5yrrI6wtkWVspIac_FOE</t>
  </si>
  <si>
    <t>https://drive.google.com/drive/folders/1WjFHu_02PpZ2e-VYbMWRcJMYIih8Wq-Y</t>
  </si>
  <si>
    <t>achimnol/aiotools</t>
  </si>
  <si>
    <t>achimnol__aiotools</t>
  </si>
  <si>
    <t>acoular__acoular-368</t>
  </si>
  <si>
    <t>https://github.com/acoular/acoular/issues/368</t>
  </si>
  <si>
    <t>gs://swe-bench-plus/evaluations/019a6f31-5865-7528-b3d7-dd9431bd3aac-acoular__acoular-368-swe-agent-claude-sonnet-4.5</t>
  </si>
  <si>
    <t>acoular/acoular</t>
  </si>
  <si>
    <t>acoular__acoular</t>
  </si>
  <si>
    <t>actions__download-artifact-401</t>
  </si>
  <si>
    <t>https://github.com/actions/download-artifact/issues/401</t>
  </si>
  <si>
    <t>infra-devops;devtools</t>
  </si>
  <si>
    <t>gs://swe-bench-plus/evaluations/019b6aaf-1788-707e-b6dd-d4dc12d72279-actions__download-artifact-401-swe-agent-claude-sonnet-4.5</t>
  </si>
  <si>
    <t>https://drive.google.com/drive/folders/1e-U9w5QPrBq2Tzw9otmjDfXlaKYHDU5x</t>
  </si>
  <si>
    <t>actions/download-artifact</t>
  </si>
  <si>
    <t>actions__download-artifact</t>
  </si>
  <si>
    <t>actions__setup-java-736</t>
  </si>
  <si>
    <t>https://github.com/actions/setup-java/issues/736</t>
  </si>
  <si>
    <t>feature;test;documentation</t>
  </si>
  <si>
    <t>gs://swe-bench-plus/evaluations/019c8ad6-24d8-74d7-bfdb-849e95e51fa5-actions__setup-java-736-swe-agent-claude-sonnet-4-20250514</t>
  </si>
  <si>
    <t>https://drive.google.com/drive/folders/1A8Ad3_Ol9T2mRI-_Ejkx9xbgQZR4l4bL</t>
  </si>
  <si>
    <t>actions/setup-java</t>
  </si>
  <si>
    <t>actions__setup-java</t>
  </si>
  <si>
    <t>actions__setup-node-1240</t>
  </si>
  <si>
    <t>https://github.com/actions/setup-node/issues/1240</t>
  </si>
  <si>
    <t>https://drive.google.com/drive/folders/1yPiWUsoKtz6QmS-AEluLVSpDi1MA9MRU</t>
  </si>
  <si>
    <t>https://drive.google.com/drive/folders/12ucPicJNCouhB7xTsr_zowIXsUnRtsZV</t>
  </si>
  <si>
    <t>actions/setup-node</t>
  </si>
  <si>
    <t>actions__setup-node</t>
  </si>
  <si>
    <t>actions__setup-node-1348</t>
  </si>
  <si>
    <t>https://github.com/actions/setup-node/issues/1348</t>
  </si>
  <si>
    <t>gs://swe-bench-plus/evaluations/019a9c38-de10-75b7-94c4-e7ed346fd3eb-actions__setup-node-1348-swe-agent-claude-sonnet-4-20250514</t>
  </si>
  <si>
    <t>https://drive.google.com/drive/folders/1VWrWPq5qQ3CynK3-rvhq6eatEYOeM4PQ</t>
  </si>
  <si>
    <t>activeagents__activeagent-90</t>
  </si>
  <si>
    <t>https://github.com/activeagents/activeagent/issues/90</t>
  </si>
  <si>
    <t>ai-ml;webdev</t>
  </si>
  <si>
    <t>gs://swe-bench-plus/evaluations/019b6aaf-1788-707e-b6dd-d4dc12d72279-activeagents__activeagent-90-swe-agent-claude-sonnet-4.5</t>
  </si>
  <si>
    <t>https://drive.google.com/drive/folders/10p4D2ipiO57QBNDiowC0t5kuNFYH9z4F</t>
  </si>
  <si>
    <t>activeagents/activeagent</t>
  </si>
  <si>
    <t>activeagents__activeagent</t>
  </si>
  <si>
    <t>ActiveLogin__ActiveLogin.Authentication-483</t>
  </si>
  <si>
    <t>https://github.com/ActiveLogin/ActiveLogin.Authentication/issues/483</t>
  </si>
  <si>
    <t>security;devtools</t>
  </si>
  <si>
    <t>gs://swe-bench-plus/evaluations/019b6aa7-0380-771f-9e02-24cda0fe6639-ActiveLogin__ActiveLogin.Authentication-483-swe-agent-claude-sonnet-4.5</t>
  </si>
  <si>
    <t>https://drive.google.com/drive/folders/1IuzS1JI-5cwvGgEncaYxLtSAEVKgZz7Z</t>
  </si>
  <si>
    <t>ActiveLogin/ActiveLogin.Authentication</t>
  </si>
  <si>
    <t>ActiveLogin__ActiveLogin.Authentication</t>
  </si>
  <si>
    <t>actor-framework__actor-framework-1821</t>
  </si>
  <si>
    <t>https://github.com/actor-framework/actor-framework/issues/1821</t>
  </si>
  <si>
    <t>feature;test;build-ci</t>
  </si>
  <si>
    <t>https://drive.google.com/drive/folders/194t7HN4Krln7KVJuREAAzpM1ROhOCXc-</t>
  </si>
  <si>
    <t>https://drive.google.com/drive/folders/1SwrYxjwtB7UnFF0-qAgXT5UZ0o9c6eWD</t>
  </si>
  <si>
    <t>actor-framework__actor-framework</t>
  </si>
  <si>
    <t>sci-comp;devtools</t>
  </si>
  <si>
    <t>feature;test;refactor</t>
  </si>
  <si>
    <t>actor-framework__actor-framework-2067</t>
  </si>
  <si>
    <t>https://github.com/actor-framework/actor-framework/issues/2067</t>
  </si>
  <si>
    <t>https://drive.google.com/drive/folders/11aa5nuY7yEwRY1Eg31YBl9FhBsUIv2Tu</t>
  </si>
  <si>
    <t>https://drive.google.com/drive/folders/1yerp-f9d9Jm0Fj3z-hJxH9fK4_LJEh54</t>
  </si>
  <si>
    <t>actualbudget__actual-4257</t>
  </si>
  <si>
    <t>https://github.com/actualbudget/actual/issues/4257</t>
  </si>
  <si>
    <t>https://drive.google.com/drive/folders/1iO5OfeZYgZ9Xj4JhCU5kYQoUDZHeiodo</t>
  </si>
  <si>
    <t>https://drive.google.com/drive/folders/1UluJwcnQ_e_gvgT8Dhasjtg9OaYtXqCC</t>
  </si>
  <si>
    <t>actualbudget/actual</t>
  </si>
  <si>
    <t>actualbudget__actual</t>
  </si>
  <si>
    <t>actualbudget__actual-4221</t>
  </si>
  <si>
    <t>https://github.com/actualbudget/actual/issues/4221</t>
  </si>
  <si>
    <t>applications;webdev</t>
  </si>
  <si>
    <t>refactor;maintenance</t>
  </si>
  <si>
    <t>https://drive.google.com/drive/folders/1BfQ27VuWDJMrByqeN46HT90x48K1s_LY</t>
  </si>
  <si>
    <t>https://drive.google.com/drive/folders/1AgDG1nD95UC49IKxhp2d4pIOhlFC61Uq</t>
  </si>
  <si>
    <t>adamreisnz__replace-in-file-205</t>
  </si>
  <si>
    <t>https://github.com/adamreisnz/replace-in-file/issues/205</t>
  </si>
  <si>
    <t>gs://swe-bench-plus/evaluations/019b6aaf-1788-707e-b6dd-d4dc12d72279-adamreisnz__replace-in-file-205-swe-agent-claude-sonnet-4.5</t>
  </si>
  <si>
    <t>https://drive.google.com/drive/folders/1c3zvnwGpzKGuX_GCzhpHaIu0rwP-hzpV</t>
  </si>
  <si>
    <t>adamreisnz/replace-in-file</t>
  </si>
  <si>
    <t>adamreisnz__replace-in-file</t>
  </si>
  <si>
    <t>AdnaneKhan__gato-x-188</t>
  </si>
  <si>
    <t>https://github.com/AdnaneKhan/gato-x/issues/188</t>
  </si>
  <si>
    <t>https://drive.google.com/drive/folders/13YpbcrEH5vUQxF1ir-icECL5Ad_G_sZD</t>
  </si>
  <si>
    <t>https://drive.google.com/drive/folders/1EIgLZD1N7sJO7Q_N8OW9l0F9Yod7IVmm</t>
  </si>
  <si>
    <t>AdnaneKhan/gato-x</t>
  </si>
  <si>
    <t>AdnaneKhan__gato-x</t>
  </si>
  <si>
    <t>adtzlr__felupe-940</t>
  </si>
  <si>
    <t>https://github.com/adtzlr/felupe/issues/940</t>
  </si>
  <si>
    <t>https://drive.google.com/drive/folders/1QgHfO0jY-Hfi50jHKjKQqeNDKFNvQl_u</t>
  </si>
  <si>
    <t>https://drive.google.com/drive/folders/1JV4o_J_zk2fyFzRpnUMsICfEyz79chOh</t>
  </si>
  <si>
    <t>adtzlr/felupe</t>
  </si>
  <si>
    <t>adtzlr__felupe</t>
  </si>
  <si>
    <t>AFM-SPM__TopoStats-1108</t>
  </si>
  <si>
    <t>https://github.com/AFM-SPM/TopoStats/issues/1108</t>
  </si>
  <si>
    <t>sci-comp;ai-ml;graphics-media</t>
  </si>
  <si>
    <t>https://drive.google.com/drive/folders/15oCL7DKSMyQq00sajg0uZBd8jHdHIVKz</t>
  </si>
  <si>
    <t>https://drive.google.com/drive/folders/1LQvrnsLMRs0nCkKB51bkQejWjK9DCtpN</t>
  </si>
  <si>
    <t>AFM-SPM/TopoStats</t>
  </si>
  <si>
    <t>AFM-SPM__TopoStats</t>
  </si>
  <si>
    <t>ag2ai__ag2-145</t>
  </si>
  <si>
    <t>https://github.com/ag2ai/ag2/issues/145</t>
  </si>
  <si>
    <t>https://drive.google.com/drive/folders/157ZavLRozLV5jj-HydHSUrdJCeweM6R4</t>
  </si>
  <si>
    <t>https://drive.google.com/drive/folders/1ANmN4BbHNeAYheiSvOYUVKuKQMEKv3vi</t>
  </si>
  <si>
    <t>ag2ai/ag2</t>
  </si>
  <si>
    <t>ag2ai__ag2</t>
  </si>
  <si>
    <t>ag2ai__ag2-1562</t>
  </si>
  <si>
    <t>https://github.com/ag2ai/ag2/issues/1562</t>
  </si>
  <si>
    <t>https://drive.google.com/drive/folders/1H2SeLb8LK2OgUU-xP5OzXNzKJGcbMW7r</t>
  </si>
  <si>
    <t>https://drive.google.com/drive/folders/1bKu_FBVHN4ZU9R6LQtjTYx_dR7o4xtUq</t>
  </si>
  <si>
    <t>ag2ai__ag2-336</t>
  </si>
  <si>
    <t>https://github.com/ag2ai/ag2/issues/336</t>
  </si>
  <si>
    <t>https://drive.google.com/drive/folders/1DlujUkz8hkcXmZ1l-jgEJHklGhjEy0EO</t>
  </si>
  <si>
    <t>https://drive.google.com/drive/folders/1_M1qIy7y7yHyBZMTkR3Wqsf6LoP5Uz-U</t>
  </si>
  <si>
    <t>ag2ai__ag2-539</t>
  </si>
  <si>
    <t>https://github.com/ag2ai/ag2/issues/539</t>
  </si>
  <si>
    <t>feature-request;chore;documentation</t>
  </si>
  <si>
    <t>refactor;build-ci;dependency-update</t>
  </si>
  <si>
    <t>https://drive.google.com/drive/folders/1w2TGg5QR6U1IKs2wt7ufsBFen3cfnZRT</t>
  </si>
  <si>
    <t>https://drive.google.com/drive/folders/1gtfvk79VCvYY2lXhXBSg78JX1WHv9DUw</t>
  </si>
  <si>
    <t>ag2ai__fastagency-532</t>
  </si>
  <si>
    <t>https://github.com/ag2ai/fastagency/issues/532</t>
  </si>
  <si>
    <t>ai-ml;webdev;applications</t>
  </si>
  <si>
    <t>https://drive.google.com/drive/folders/1ol6ysjg3gyQgZ-QK-39AY8E1saGK8MfA</t>
  </si>
  <si>
    <t>https://drive.google.com/drive/folders/1r9-0KK8JPW2jbaTUsSA-gUoiLqaaB_Db</t>
  </si>
  <si>
    <t>ag2ai/fastagency</t>
  </si>
  <si>
    <t>ag2ai__fastagency</t>
  </si>
  <si>
    <t>ag2ai__fastagency-512</t>
  </si>
  <si>
    <t>https://github.com/ag2ai/fastagency/issues/512</t>
  </si>
  <si>
    <t>ai-ml;security;webdev;applications</t>
  </si>
  <si>
    <t>feature;documentation;dependency-update;build-ci</t>
  </si>
  <si>
    <t>https://drive.google.com/drive/folders/1cQXUhorI0icnWPTdpAuReMoZES5CjPfv</t>
  </si>
  <si>
    <t>https://drive.google.com/drive/folders/19VOoXGrYy24Iz9TwJ7ofSsHQ9CdmTBVx</t>
  </si>
  <si>
    <t>agentscope-ai__agentscope-java-119</t>
  </si>
  <si>
    <t>https://github.com/agentscope-ai/agentscope-java/issues/119</t>
  </si>
  <si>
    <t>bug-report;feature-request</t>
  </si>
  <si>
    <t>bug-fix;feature;refactor</t>
  </si>
  <si>
    <t>gs://swe-bench-plus/evaluations/019b3c26-16fe-7517-9031-f89dfd2f980c-agentscope-ai__agentscope-java-119-swe-agent-claude-sonnet-4-20250514</t>
  </si>
  <si>
    <t>https://drive.google.com/drive/folders/1X7kOH6lyOQWgDrtxytdIWS6O8zyI3hqQ</t>
  </si>
  <si>
    <t>agentscope-ai/agentscope-java</t>
  </si>
  <si>
    <t>agentscope-ai__agentscope-java</t>
  </si>
  <si>
    <t>agentstack-ai__AgentStack-77</t>
  </si>
  <si>
    <t>https://github.com/agentstack-ai/AgentStack/issues/77</t>
  </si>
  <si>
    <t>gs://swe-bench-plus/evaluations/019a8f6e-f527-7515-a718-906fa514558f-agentstack-ai__AgentStack-77-open-hands-claude-sonnet-4-20250514</t>
  </si>
  <si>
    <t>https://drive.google.com/drive/folders/1tfY2eNKuTwwvufMTz44x8r1K4GAWGq7U</t>
  </si>
  <si>
    <t>agentstack-ai/AgentStack</t>
  </si>
  <si>
    <t>agentstack-ai__AgentStack</t>
  </si>
  <si>
    <t>agntcy__dir-537</t>
  </si>
  <si>
    <t>https://github.com/agntcy/dir/issues/537</t>
  </si>
  <si>
    <t>ai-ml;infra-devops</t>
  </si>
  <si>
    <t>gs://swe-bench-plus/evaluations/019b6ab1-4e74-7019-9e81-9c96e98a145d-agntcy__dir-537-swe-agent-claude-sonnet-4.5</t>
  </si>
  <si>
    <t>https://drive.google.com/drive/folders/1Q8GLuSKjDV957B8JQLb1OPRjvk_88fIT</t>
  </si>
  <si>
    <t>agntcy/dir</t>
  </si>
  <si>
    <t>agntcy__dir</t>
  </si>
  <si>
    <t>agntcy__dir-265</t>
  </si>
  <si>
    <t>https://github.com/agntcy/dir/issues/265</t>
  </si>
  <si>
    <t>ai-ml;infra-devops;devtools</t>
  </si>
  <si>
    <t>gs://swe-bench-plus/evaluations/019b6ab1-4e74-7019-9e81-9c96e98a145d-agntcy__dir-265-swe-agent-claude-sonnet-4.5</t>
  </si>
  <si>
    <t>https://drive.google.com/drive/folders/1o_vm-McpDvSME74Js0ZhX0wQKRF5Im2a</t>
  </si>
  <si>
    <t>ai-zerolab__mcp-email-server-11</t>
  </si>
  <si>
    <t>https://github.com/ai-zerolab/mcp-email-server/issues/11</t>
  </si>
  <si>
    <t>https://drive.google.com/drive/folders/1SnXUuQ9YhqZL0TLkXxFcxBwTYfKHn8Qv</t>
  </si>
  <si>
    <t>https://drive.google.com/drive/folders/1mSuyVgQEqC6pvMWpGi78u7BUjS5L3V94</t>
  </si>
  <si>
    <t>ai-zerolab/mcp-email-server</t>
  </si>
  <si>
    <t>ai-zerolab__mcp-email-server</t>
  </si>
  <si>
    <t>ai__size-limit-382</t>
  </si>
  <si>
    <t>https://github.com/ai/size-limit/issues/382</t>
  </si>
  <si>
    <t>feature;documentation;test</t>
  </si>
  <si>
    <t>gs://swe-bench-plus/evaluations/019bb790-00c3-731f-bfe7-c55413fd6291-ai__size-limit-382-swe-agent-claude-sonnet-4-20250514</t>
  </si>
  <si>
    <t>https://drive.google.com/drive/folders/1gmIb-lsfsMznkJI7YtYS3du2s5s0OnxM</t>
  </si>
  <si>
    <t>ai/size-limit</t>
  </si>
  <si>
    <t>ai__size-limit</t>
  </si>
  <si>
    <t>AIGNE-io__aigne-framework-50</t>
  </si>
  <si>
    <t>https://github.com/AIGNE-io/aigne-framework/issues/50</t>
  </si>
  <si>
    <t>bug-fix;refactor;feature</t>
  </si>
  <si>
    <t>https://drive.google.com/drive/folders/1VXKKmrieNrLfbFq7mIKKawFaZxKjrN7R</t>
  </si>
  <si>
    <t>AIGNE-io/aigne-framework</t>
  </si>
  <si>
    <t>AIGNE-io__aigne-framework</t>
  </si>
  <si>
    <t>aio-libs__aiohttp-11094</t>
  </si>
  <si>
    <t>https://github.com/aio-libs/aiohttp/issues/11094</t>
  </si>
  <si>
    <t>bug-report;performance-issue</t>
  </si>
  <si>
    <t>https://drive.google.com/drive/folders/1wetHNU0mPn3FjZKdDUu3E4C6N7rxIgZ8</t>
  </si>
  <si>
    <t>https://drive.google.com/drive/folders/1AN9u_5vNVIjsnszztPxz8FF-bomoOa5R</t>
  </si>
  <si>
    <t>aio-libs/aiohttp</t>
  </si>
  <si>
    <t>aio-libs__aiohttp</t>
  </si>
  <si>
    <t>aiogram__aiogram-1642</t>
  </si>
  <si>
    <t>https://github.com/aiogram/aiogram/issues/1642</t>
  </si>
  <si>
    <t>webdev;applications</t>
  </si>
  <si>
    <t>https://drive.google.com/drive/folders/1uZ46-hCArV7nVycGK3f6eEon9FuNp2uO</t>
  </si>
  <si>
    <t>https://drive.google.com/drive/folders/1y-7nKCLW1-9sA-KwQ32wvriTEURSfjsc</t>
  </si>
  <si>
    <t>aiogram/aiogram</t>
  </si>
  <si>
    <t>aiogram__aiogram</t>
  </si>
  <si>
    <t>Aiven-Open__http-connector-for-apache-kafka-295</t>
  </si>
  <si>
    <t>https://github.com/Aiven-Open/http-connector-for-apache-kafka/issues/295</t>
  </si>
  <si>
    <t>data-eng;infra-devops</t>
  </si>
  <si>
    <t>gs://swe-bench-plus/evaluations/019b6ab1-4e74-7019-9e81-9c96e98a145d-Aiven-Open__http-connector-for-apache-kafka-295-swe-agent-claude-sonnet-4.5</t>
  </si>
  <si>
    <t>https://drive.google.com/drive/folders/1Xxn4n4TdBUqgbAPfGF_ZtPjZwYtEYWQA</t>
  </si>
  <si>
    <t>Aiven-Open/http-connector-for-apache-kafka</t>
  </si>
  <si>
    <t>Aiven-Open__http-connector-for-apache-kafka</t>
  </si>
  <si>
    <t>Aiven-Open__http-connector-for-apache-kafka-281</t>
  </si>
  <si>
    <t>https://github.com/Aiven-Open/http-connector-for-apache-kafka/issues/281</t>
  </si>
  <si>
    <t>feature;refactor;documentation;build-ci</t>
  </si>
  <si>
    <t>gs://swe-bench-plus/evaluations/019b6ab1-4e74-7019-9e81-9c96e98a145d-Aiven-Open__http-connector-for-apache-kafka-281-swe-agent-claude-sonnet-4.5</t>
  </si>
  <si>
    <t>https://drive.google.com/drive/folders/147ZEWNkg5lcOxtGm3JKEk6y5dzU6RgEu</t>
  </si>
  <si>
    <t>ajoberstar__reckon-205</t>
  </si>
  <si>
    <t>https://github.com/ajoberstar/reckon/issues/205</t>
  </si>
  <si>
    <t>gs://swe-bench-plus/evaluations/019c2527-069d-76b8-a805-96d478bdb559-ajoberstar__reckon-205-swe-agent-claude-sonnet-4-20250514</t>
  </si>
  <si>
    <t>https://drive.google.com/drive/folders/166LF-vYbQFdVj7M6EMjeNUGe35O3P9lZ</t>
  </si>
  <si>
    <t>ajoberstar/reckon</t>
  </si>
  <si>
    <t>ajoberstar__reckon</t>
  </si>
  <si>
    <t>akash-network__console-1933</t>
  </si>
  <si>
    <t>https://github.com/akash-network/console/issues/1933</t>
  </si>
  <si>
    <t>applications;blockchain;infra-devops</t>
  </si>
  <si>
    <t>gs://swe-bench-plus/evaluations/019b6ab1-4e74-7019-9e81-9c96e98a145d-akash-network__console-1933-swe-agent-claude-sonnet-4.5</t>
  </si>
  <si>
    <t>https://drive.google.com/drive/folders/1JdCGlxmg-NCIp6wl1Qg8SDmDxJbB1AnK</t>
  </si>
  <si>
    <t>akash-network/console</t>
  </si>
  <si>
    <t>akash-network__console</t>
  </si>
  <si>
    <t>akash-network__console-924</t>
  </si>
  <si>
    <t>https://github.com/akash-network/console/issues/924</t>
  </si>
  <si>
    <t>applications;webdev;blockchain;infra-devops</t>
  </si>
  <si>
    <t>feature;refactor;performance</t>
  </si>
  <si>
    <t>gs://swe-bench-plus/evaluations/019b6ab1-4e74-7019-9e81-9c96e98a145d-akash-network__console-924-swe-agent-claude-sonnet-4.5</t>
  </si>
  <si>
    <t>https://drive.google.com/drive/folders/1G9hncHLVMFsqyPfEu2ulvPmap6MvmkIf</t>
  </si>
  <si>
    <t>akash-network__console-2256</t>
  </si>
  <si>
    <t>https://github.com/akash-network/console/issues/2256</t>
  </si>
  <si>
    <t>blockchain;infra-devops</t>
  </si>
  <si>
    <t>performance;refactor;dependency-update</t>
  </si>
  <si>
    <t>gs://swe-bench-plus/evaluations/019b6ab1-4e74-7019-9e81-9c96e98a145d-akash-network__console-2256-swe-agent-claude-sonnet-4.5</t>
  </si>
  <si>
    <t>https://drive.google.com/drive/folders/1S3pravV7ElFR-S7wzg6eyDHSGjCD54te</t>
  </si>
  <si>
    <t>akash-network__console-2421</t>
  </si>
  <si>
    <t>https://github.com/akash-network/console/issues/2421</t>
  </si>
  <si>
    <t>applications;webdev;blockchain</t>
  </si>
  <si>
    <t>feature;build-ci</t>
  </si>
  <si>
    <t>gs://swe-bench-plus/evaluations/019c8ad6-24d8-74d7-bfdb-849e95e51fa5-akash-network__console-2421-swe-agent-claude-sonnet-4-20250514</t>
  </si>
  <si>
    <t>https://drive.google.com/drive/folders/1OyOmls186tBhGH6J6W666tWOckWLuVGD</t>
  </si>
  <si>
    <t>akkadotnet__akka.net-7633</t>
  </si>
  <si>
    <t>https://github.com/akkadotnet/akka.net/issues/7633</t>
  </si>
  <si>
    <t>devtools;infra-devops</t>
  </si>
  <si>
    <t>https://drive.google.com/drive/folders/1EGTu3kcOnp4da_Ib3flv_eqm3RKvu9qp</t>
  </si>
  <si>
    <t>https://drive.google.com/drive/folders/1csys9vwjDFdPFOD_YnIUz1EbD4KbEBjd</t>
  </si>
  <si>
    <t>akkadotnet__akka.net</t>
  </si>
  <si>
    <t>akkadotnet__akka.net-7897</t>
  </si>
  <si>
    <t>https://github.com/akkadotnet/akka.net/issues/7897</t>
  </si>
  <si>
    <t>bug-fix;feature;refactor;documentation</t>
  </si>
  <si>
    <t>gs://swe-bench-plus/evaluations/019a9c67-c90c-7602-9a7e-58220182c7c3-akkadotnet__akka.net-7897-swe-agent-claude-sonnet-4-20250514</t>
  </si>
  <si>
    <t>https://drive.google.com/drive/folders/10BQuBcyZaTaQDyIzd_-Tc4531YK-XShN</t>
  </si>
  <si>
    <t>Akkudoktor-EOS__EOS-500</t>
  </si>
  <si>
    <t>https://github.com/Akkudoktor-EOS/EOS/issues/500</t>
  </si>
  <si>
    <t>applications;autonomy;webdev</t>
  </si>
  <si>
    <t>https://drive.google.com/drive/folders/11j_KxSPFdBFLsV37789xTg1j9W6ohJUr</t>
  </si>
  <si>
    <t>Akkudoktor-EOS/EOS</t>
  </si>
  <si>
    <t>Akkudoktor-EOS__EOS</t>
  </si>
  <si>
    <t>aku11i__phantom-100</t>
  </si>
  <si>
    <t>https://github.com/aku11i/phantom/issues/100</t>
  </si>
  <si>
    <t>https://drive.google.com/drive/folders/1QLwWahMeER43wMNO-dav16NEizoUjt-z</t>
  </si>
  <si>
    <t>https://drive.google.com/drive/folders/1KSb4a0WroehIOgOMDAinGuQdGnp5U8V0</t>
  </si>
  <si>
    <t>aku11i/phantom</t>
  </si>
  <si>
    <t>aku11i__phantom</t>
  </si>
  <si>
    <t>alam00000__bentopdf-58</t>
  </si>
  <si>
    <t>https://github.com/alam00000/bentopdf/issues/58</t>
  </si>
  <si>
    <t>applications;graphics-media</t>
  </si>
  <si>
    <t>gs://swe-bench-plus/evaluations/019b6ab1-4e74-7019-9e81-9c96e98a145d-alam00000__bentopdf-58-swe-agent-claude-sonnet-4.5</t>
  </si>
  <si>
    <t>https://drive.google.com/drive/folders/1YMfm0zAwp5mzlKXyRiVsQa9mrP557Wdo</t>
  </si>
  <si>
    <t>alam00000/bentopdf</t>
  </si>
  <si>
    <t>alam00000__bentopdf</t>
  </si>
  <si>
    <t>alan-turing-institute__data-safe-haven-2389</t>
  </si>
  <si>
    <t>https://github.com/alan-turing-institute/data-safe-haven/issues/2389</t>
  </si>
  <si>
    <t>https://drive.google.com/drive/folders/1UNXsU3IFym3R68LogdPpIJNiMUsOj4tQ</t>
  </si>
  <si>
    <t>https://drive.google.com/drive/folders/111FLFFUbrH7ER5T--R0GYJoh3mlrtK3i</t>
  </si>
  <si>
    <t>alan-turing-institute/data-safe-haven</t>
  </si>
  <si>
    <t>alan-turing-institute__data-safe-haven</t>
  </si>
  <si>
    <t>albumentations-team__albumentations-2147</t>
  </si>
  <si>
    <t>https://github.com/albumentations-team/albumentations/issues/2147</t>
  </si>
  <si>
    <t>ai-ml;graphics-media</t>
  </si>
  <si>
    <t>feature-request;documentation;chore</t>
  </si>
  <si>
    <t>feature;refactor;dependency-update</t>
  </si>
  <si>
    <t>gs://swe-bench-plus/evaluations/019a11d0-17d3-730b-bffc-06f187eef661-albumentations-team__albumentations-2147-swe-agent-claude-sonnet-4-20250514</t>
  </si>
  <si>
    <t>albumentations-team/albumentations</t>
  </si>
  <si>
    <t>albumentations-team__albumentations</t>
  </si>
  <si>
    <t>albumentations-team__albumentations-2122</t>
  </si>
  <si>
    <t>https://github.com/albumentations-team/albumentations/issues/2122</t>
  </si>
  <si>
    <t>feature-request;bug-report;chore</t>
  </si>
  <si>
    <t>feature;bug-fix;dependency-update</t>
  </si>
  <si>
    <t>https://drive.google.com/drive/folders/1XT2nSA0_f8MvMk3WeFk00Nwx6geadH_4</t>
  </si>
  <si>
    <t>albumentations-team__albumentations-2314</t>
  </si>
  <si>
    <t>https://github.com/albumentations-team/albumentations/issues/2314</t>
  </si>
  <si>
    <t>gs://swe-bench-plus/evaluations/019a8f6e-136c-7345-a414-a1ed9c7f4f2d-albumentations-team__albumentations-2314-open-hands-claude-sonnet-4-20250514</t>
  </si>
  <si>
    <t>albumentations-team__albumentations-2130</t>
  </si>
  <si>
    <t>https://github.com/albumentations-team/albumentations/issues/2130</t>
  </si>
  <si>
    <t>gs://swe-bench-plus/evaluations/019a11d0-17d3-730b-bffc-06f187eef661-albumentations-team__albumentations-2130-swe-agent-claude-sonnet-4-20250514</t>
  </si>
  <si>
    <t>albumentations-team__albumentations-2121</t>
  </si>
  <si>
    <t>https://github.com/albumentations-team/albumentations/issues/2121</t>
  </si>
  <si>
    <t>gs://swe-bench-plus/evaluations/019a11d0-17d3-730b-bffc-06f187eef661-albumentations-team__albumentations-2121-swe-agent-claude-sonnet-4-20250514</t>
  </si>
  <si>
    <t>Aleph-Alpha__ts-rs-425</t>
  </si>
  <si>
    <t>https://github.com/Aleph-Alpha/ts-rs/issues/425</t>
  </si>
  <si>
    <t>feature-request;question</t>
  </si>
  <si>
    <t>gs://swe-bench-plus/evaluations/019b6aaf-1788-707e-b6dd-d4dc12d72279-Aleph-Alpha__ts-rs-425-swe-agent-claude-sonnet-4.5</t>
  </si>
  <si>
    <t>https://drive.google.com/drive/folders/1GEAlrP4cAx3GxYng9EpuYZG1UGbB4i1a</t>
  </si>
  <si>
    <t>Aleph-Alpha/ts-rs</t>
  </si>
  <si>
    <t>Aleph-Alpha__ts-rs</t>
  </si>
  <si>
    <t>AlertaDengue__PySUS-210</t>
  </si>
  <si>
    <t>https://github.com/AlertaDengue/PySUS/issues/210</t>
  </si>
  <si>
    <t>data-eng;sci-comp</t>
  </si>
  <si>
    <t>feature;documentation;dependency-update</t>
  </si>
  <si>
    <t>gs://swe-bench-plus/evaluations/019a11d0-17d3-730b-bffc-06f187eef661-AlertaDengue__PySUS-210-swe-agent-claude-sonnet-4-20250514</t>
  </si>
  <si>
    <t>AlertaDengue/PySUS</t>
  </si>
  <si>
    <t>AlertaDengue__PySUS</t>
  </si>
  <si>
    <t>alexdlaird__amazon-orders-21</t>
  </si>
  <si>
    <t>https://github.com/alexdlaird/amazon-orders/issues/21</t>
  </si>
  <si>
    <t>https://drive.google.com/drive/folders/1-YPDFf6ascniQ9cY6AwfDcbO2Zh0eKJD</t>
  </si>
  <si>
    <t>https://drive.google.com/drive/folders/1g7xrbnsSEIcNr8pI5k0BAsFG1dfwoj36</t>
  </si>
  <si>
    <t>alexdlaird/amazon-orders</t>
  </si>
  <si>
    <t>alexdlaird__amazon-orders</t>
  </si>
  <si>
    <t>alexmojaki__executing-95</t>
  </si>
  <si>
    <t>https://github.com/alexmojaki/executing/issues/95</t>
  </si>
  <si>
    <t>https://drive.google.com/drive/folders/1CRG0g7LbnhPTFL_W15DNVdDcXw9ahraK</t>
  </si>
  <si>
    <t>https://drive.google.com/drive/folders/1uiMXtpGj0z2uyVwF-e2B_vBYS_TwVi9i</t>
  </si>
  <si>
    <t>alexmojaki/executing</t>
  </si>
  <si>
    <t>alexmojaki__executing</t>
  </si>
  <si>
    <t>alexneo2003__playwright-azure-reporter-118</t>
  </si>
  <si>
    <t>https://github.com/alexneo2003/playwright-azure-reporter/issues/118</t>
  </si>
  <si>
    <t>feature;refactor;dependency-update;documentation</t>
  </si>
  <si>
    <t>gs://swe-bench-plus/evaluations/019b6aaf-1788-707e-b6dd-d4dc12d72279-alexneo2003__playwright-azure-reporter-118-swe-agent-claude-sonnet-4.5</t>
  </si>
  <si>
    <t>https://drive.google.com/drive/folders/1FRdOo0j2Suamiv_I7DttseuveOsXCeC5</t>
  </si>
  <si>
    <t>alexneo2003/playwright-azure-reporter</t>
  </si>
  <si>
    <t>alexneo2003__playwright-azure-reporter</t>
  </si>
  <si>
    <t>alexrudall__ruby-openai-620</t>
  </si>
  <si>
    <t>https://github.com/alexrudall/ruby-openai/issues/620</t>
  </si>
  <si>
    <t>https://drive.google.com/drive/folders/1zgjaV410m1BI4deD96esgxity0XSMgEU</t>
  </si>
  <si>
    <t>https://drive.google.com/drive/folders/1kHTyuYTi_uWopJ7AKBsh1u6uGYbBskdA</t>
  </si>
  <si>
    <t>alexrudall/ruby-openai</t>
  </si>
  <si>
    <t>alexrudall__ruby-openai</t>
  </si>
  <si>
    <t>alibaba__yalantinglibs-532</t>
  </si>
  <si>
    <t>https://github.com/alibaba/yalantinglibs/issues/532</t>
  </si>
  <si>
    <t>gs://swe-bench-plus/evaluations/019b6aa7-0380-771f-9e02-24cda0fe6639-alibaba__yalantinglibs-532-swe-agent-claude-sonnet-4.5</t>
  </si>
  <si>
    <t>https://drive.google.com/drive/folders/1fKFxWxUb988c8VpS2qh4Gd_I_HlAab_x</t>
  </si>
  <si>
    <t>alibaba/yalantinglibs</t>
  </si>
  <si>
    <t>alibaba__yalantinglibs</t>
  </si>
  <si>
    <t>All-Hands-AI__OpenHands-9213</t>
  </si>
  <si>
    <t>https://github.com/All-Hands-AI/OpenHands/issues/9213</t>
  </si>
  <si>
    <t>refactor;build-ci;feature;documentation</t>
  </si>
  <si>
    <t>https://drive.google.com/drive/folders/1GjYt-4-6GJTbnLKNpqwJhyRqO_gUJJkb</t>
  </si>
  <si>
    <t>https://drive.google.com/drive/folders/1tYa5jUWrZXckuiz4xCbuUk4uLuYS7_fa</t>
  </si>
  <si>
    <t>All-Hands-AI/OpenHands</t>
  </si>
  <si>
    <t>All-Hands-AI__OpenHands</t>
  </si>
  <si>
    <t>AllayMC__Allay-578</t>
  </si>
  <si>
    <t>https://github.com/AllayMC/Allay/issues/578</t>
  </si>
  <si>
    <t>gs://swe-bench-plus/evaluations/019b6ab1-4e74-7019-9e81-9c96e98a145d-AllayMC__Allay-578-swe-agent-claude-sonnet-4.5</t>
  </si>
  <si>
    <t>https://drive.google.com/drive/folders/14zSMF0oH-in0phZML4PL3v4wHiDC6Q_t</t>
  </si>
  <si>
    <t>AllayMC/Allay</t>
  </si>
  <si>
    <t>AllayMC__Allay</t>
  </si>
  <si>
    <t>allenhutchison__obsidian-gemini-317</t>
  </si>
  <si>
    <t>https://github.com/allenhutchison/obsidian-gemini/issues/317</t>
  </si>
  <si>
    <t>gs://swe-bench-plus/evaluations/019c8ad6-24d8-74d7-bfdb-849e95e51fa5-allenhutchison__obsidian-gemini-317-swe-agent-claude-sonnet-4-20250514</t>
  </si>
  <si>
    <t>https://drive.google.com/drive/folders/1Yuag1nnpSpfBDrMMTKLGwt2mHVXbL_vq</t>
  </si>
  <si>
    <t>allenhutchison/obsidian-gemini</t>
  </si>
  <si>
    <t>allenhutchison__obsidian-gemini</t>
  </si>
  <si>
    <t>alpacahq__alpaca-py-552</t>
  </si>
  <si>
    <t>https://github.com/alpacahq/alpaca-py/issues/552</t>
  </si>
  <si>
    <t>blockchain;devtools</t>
  </si>
  <si>
    <t>https://drive.google.com/drive/folders/1XLGBzj3w7xKCgsxaD_UjEX5byNafB2IE</t>
  </si>
  <si>
    <t>https://drive.google.com/drive/folders/1K770xhB8LWxMw8ieFQXabtxb16ermjWL</t>
  </si>
  <si>
    <t>alpacahq/alpaca-py</t>
  </si>
  <si>
    <t>alpacahq__alpaca-py</t>
  </si>
  <si>
    <t>alpaka-group__alpaka-2242</t>
  </si>
  <si>
    <t>https://github.com/alpaka-group/alpaka/issues/2242</t>
  </si>
  <si>
    <t>gs://swe-bench-plus/evaluations/019b6aa7-0380-771f-9e02-24cda0fe6639-alpaka-group__alpaka-2242-swe-agent-claude-sonnet-4.5</t>
  </si>
  <si>
    <t>https://drive.google.com/drive/folders/1-CyDaMHdE-4aPY8Yr_aN3nPFPJETXrWD</t>
  </si>
  <si>
    <t>alpaka-group/alpaka</t>
  </si>
  <si>
    <t>alpaka-group__alpaka</t>
  </si>
  <si>
    <t>alphagov__whitehall-10042</t>
  </si>
  <si>
    <t>https://github.com/alphagov/whitehall/issues/10042</t>
  </si>
  <si>
    <t>chore;performance-issue</t>
  </si>
  <si>
    <t>refactor;performance;maintenance</t>
  </si>
  <si>
    <t>gs://swe-bench-plus/evaluations/019b6aaf-1788-707e-b6dd-d4dc12d72279-alphagov__whitehall-10042-swe-agent-claude-sonnet-4.5</t>
  </si>
  <si>
    <t>https://drive.google.com/drive/folders/1BnFmVdlawYkeyT6aYCrBpNVETNJ7hwQ-</t>
  </si>
  <si>
    <t>alphagov/whitehall</t>
  </si>
  <si>
    <t>alphagov__whitehall</t>
  </si>
  <si>
    <t>alvinunreal__oh-my-opencode-slim-113</t>
  </si>
  <si>
    <t>https://github.com/alvinunreal/oh-my-opencode-slim/issues/113</t>
  </si>
  <si>
    <t>gs://swe-bench-plus/evaluations/019c8ad6-24d8-74d7-bfdb-849e95e51fa5-alvinunreal__oh-my-opencode-slim-113-swe-agent-claude-sonnet-4-20250514</t>
  </si>
  <si>
    <t>https://drive.google.com/drive/folders/1s6yQFGdSnzf43aK5HjlfZahqhD3sII5R</t>
  </si>
  <si>
    <t>alvinunreal/oh-my-opencode-slim</t>
  </si>
  <si>
    <t>alvinunreal__oh-my-opencode-slim</t>
  </si>
  <si>
    <t>amannn__next-intl-1734</t>
  </si>
  <si>
    <t>https://github.com/amannn/next-intl/issues/1734</t>
  </si>
  <si>
    <t>gs://swe-bench-plus/evaluations/019bdc10-e47f-75ba-85a4-6ca54e588df4-amannn__next-intl-1734-swe-agent-claude-sonnet-4.5</t>
  </si>
  <si>
    <t>amannn/next-intl</t>
  </si>
  <si>
    <t>amannn__next-intl</t>
  </si>
  <si>
    <t>amazing-print__amazing_print-83</t>
  </si>
  <si>
    <t>https://github.com/amazing-print/amazing_print/issues/83</t>
  </si>
  <si>
    <t>gs://swe-bench-plus/evaluations/019b6aaf-1788-707e-b6dd-d4dc12d72279-amazing-print__amazing_print-83-swe-agent-claude-sonnet-4.5</t>
  </si>
  <si>
    <t>https://drive.google.com/drive/folders/1tbu_pMrDm971vQ1N2Ph1JVug5R6NxOpG</t>
  </si>
  <si>
    <t>amazing-print/amazing_print</t>
  </si>
  <si>
    <t>amazing-print__amazing_print</t>
  </si>
  <si>
    <t>amplify-education__python-hcl2-214</t>
  </si>
  <si>
    <t>https://github.com/amplify-education/python-hcl2/issues/214</t>
  </si>
  <si>
    <t>https://drive.google.com/drive/folders/11BliRL0_rzSIIihnKIL5FwnhkHJzkF5U</t>
  </si>
  <si>
    <t>https://drive.google.com/drive/folders/1auvHx5VjLGdBN7Qy47Uc8hDS-UqY7Iay</t>
  </si>
  <si>
    <t>amplify-education/python-hcl2</t>
  </si>
  <si>
    <t>amplify-education__python-hcl2</t>
  </si>
  <si>
    <t>anancarv__python-artifactory-221</t>
  </si>
  <si>
    <t>https://github.com/anancarv/python-artifactory/issues/221</t>
  </si>
  <si>
    <t>https://drive.google.com/drive/folders/1fTl_vRvI-Ae5xGvFkMb3k0T1OtlpUapf</t>
  </si>
  <si>
    <t>https://drive.google.com/drive/folders/1b2gNHx8xx_gdiT5ez-WGyZBw7Siey7yR</t>
  </si>
  <si>
    <t>anancarv/python-artifactory</t>
  </si>
  <si>
    <t>anancarv__python-artifactory</t>
  </si>
  <si>
    <t>andrewbaxter__genemichaels-115</t>
  </si>
  <si>
    <t>https://github.com/andrewbaxter/genemichaels/issues/115</t>
  </si>
  <si>
    <t>gs://swe-bench-plus/evaluations/019b6aaf-1788-707e-b6dd-d4dc12d72279-andrewbaxter__genemichaels-115-swe-agent-claude-sonnet-4.5</t>
  </si>
  <si>
    <t>https://drive.google.com/drive/folders/1T_DWCZgcD9t6CxYN5_XQO4H9ZA6BckPB</t>
  </si>
  <si>
    <t>andrewbaxter/genemichaels</t>
  </si>
  <si>
    <t>andrewbaxter__genemichaels</t>
  </si>
  <si>
    <t>AndreWohnsland__CocktailBerry-297</t>
  </si>
  <si>
    <t>https://github.com/AndreWohnsland/CocktailBerry/issues/297</t>
  </si>
  <si>
    <t>applications;autonomy</t>
  </si>
  <si>
    <t>https://drive.google.com/drive/folders/1NPyIXgPoOwifjYUTP6j70sAZmZfXt4SX</t>
  </si>
  <si>
    <t>https://drive.google.com/drive/folders/1RwzUrBpULM0ljDYNEH8AJaJ_PB7G2MH3</t>
  </si>
  <si>
    <t>AndreWohnsland/CocktailBerry</t>
  </si>
  <si>
    <t>AndreWohnsland__CocktailBerry</t>
  </si>
  <si>
    <t>androidx__media-1979</t>
  </si>
  <si>
    <t>https://github.com/androidx/media/issues/1979</t>
  </si>
  <si>
    <t>gs://swe-bench-plus/evaluations/019c63b0-5201-7257-9916-f49303cabd22-androidx__media-1979-swe-agent-claude-sonnet-4.5</t>
  </si>
  <si>
    <t>https://drive.google.com/drive/folders/1Dl0w3yD8S_9xREJ-Nmic5uCogwIUWUn2</t>
  </si>
  <si>
    <t>androidx/media</t>
  </si>
  <si>
    <t>androidx__media</t>
  </si>
  <si>
    <t>andydunstall__piko-208</t>
  </si>
  <si>
    <t>https://github.com/andydunstall/piko/issues/208</t>
  </si>
  <si>
    <t>infra-devops;security;devtools</t>
  </si>
  <si>
    <t>https://drive.google.com/drive/folders/12aPfArQC51hdDWLi20lWuehRWLY78dVb</t>
  </si>
  <si>
    <t>https://drive.google.com/drive/folders/1mFwAxw4-BtdNe83rJDvgtcXsUkTvWY6b</t>
  </si>
  <si>
    <t>andydunstall/piko</t>
  </si>
  <si>
    <t>andydunstall__piko</t>
  </si>
  <si>
    <t>anephenix__sarus-547</t>
  </si>
  <si>
    <t>https://github.com/anephenix/sarus/issues/547</t>
  </si>
  <si>
    <t>gs://swe-bench-plus/evaluations/019bdc10-e47f-75ba-85a4-6ca54e588df4-anephenix__sarus-547-swe-agent-claude-sonnet-4-20250514</t>
  </si>
  <si>
    <t>https://drive.google.com/drive/folders/1EuyGANiFtvlBjbUwIhnmPmrY10nbGxWq</t>
  </si>
  <si>
    <t>anephenix/sarus</t>
  </si>
  <si>
    <t>anephenix__sarus</t>
  </si>
  <si>
    <t>anomalyco__opencode-7333</t>
  </si>
  <si>
    <t>https://github.com/anomalyco/opencode/issues/7333</t>
  </si>
  <si>
    <t>gs://swe-bench-plus/evaluations/019c8ad6-24d8-74d7-bfdb-849e95e51fa5-anomalyco__opencode-7333-swe-agent-claude-sonnet-4-20250514</t>
  </si>
  <si>
    <t>https://drive.google.com/drive/folders/1nThSHmK8JF65IBp7CjnTrZ3VHXmFbAJ3</t>
  </si>
  <si>
    <t>anomalyco/opencode</t>
  </si>
  <si>
    <t>anomalyco__opencode</t>
  </si>
  <si>
    <t>ansible__molecule-4405</t>
  </si>
  <si>
    <t>https://github.com/ansible/molecule/issues/4405</t>
  </si>
  <si>
    <t>https://drive.google.com/drive/folders/1CwHaAmqLJS0bLMhoRf4kAPEZohE6zJVb</t>
  </si>
  <si>
    <t>https://drive.google.com/drive/folders/1SXQYzm8D8Tce9eqR5zX7WMFubE3xiyLE</t>
  </si>
  <si>
    <t>ansible/molecule</t>
  </si>
  <si>
    <t>ansible__molecule</t>
  </si>
  <si>
    <t>ant-design__ant-design-54338</t>
  </si>
  <si>
    <t>https://github.com/ant-design/ant-design/issues/54338</t>
  </si>
  <si>
    <t>gs://swe-bench-plus/evaluations/019bdc10-e47f-75ba-85a4-6ca54e588df4-ant-design__ant-design-54338-swe-agent-claude-sonnet-4-20250514</t>
  </si>
  <si>
    <t>https://drive.google.com/drive/folders/1ov8LIbKqmHsdA4I3s4-18JFtBS915cwT</t>
  </si>
  <si>
    <t>ant-design/ant-design</t>
  </si>
  <si>
    <t>ant-design__ant-design</t>
  </si>
  <si>
    <t>ant-design__ant-design-54707</t>
  </si>
  <si>
    <t>https://github.com/ant-design/ant-design/issues/54707</t>
  </si>
  <si>
    <t>gs://swe-bench-plus/evaluations/019bdc10-e47f-75ba-85a4-6ca54e588df4-ant-design__ant-design-54707-swe-agent-claude-sonnet-4.5</t>
  </si>
  <si>
    <t>ant-design__ant-design-56578</t>
  </si>
  <si>
    <t>https://github.com/ant-design/ant-design/issues/56578</t>
  </si>
  <si>
    <t>gs://swe-bench-plus/evaluations/019c8ad6-24d8-74d7-bfdb-849e95e51fa5-ant-design__ant-design-56578-swe-agent-claude-sonnet-4-20250514</t>
  </si>
  <si>
    <t>https://drive.google.com/drive/folders/1YisHGdFc6GSU_nBsguhHHGnob5nIqL57</t>
  </si>
  <si>
    <t>AntennaPod__AntennaPod-7537</t>
  </si>
  <si>
    <t>https://github.com/AntennaPod/AntennaPod/issues/7537</t>
  </si>
  <si>
    <t>gs://swe-bench-plus/evaluations/019c2528-578b-73cc-ad42-8f1328ded528-AntennaPod__AntennaPod-7537-swe-agent-claude-sonnet-4-20250514</t>
  </si>
  <si>
    <t>https://drive.google.com/drive/folders/1gLLvxZhwqgKlL89gMQGoIkDFOkfxnJwG</t>
  </si>
  <si>
    <t>AntennaPod/AntennaPod</t>
  </si>
  <si>
    <t>AntennaPod__AntennaPod</t>
  </si>
  <si>
    <t>antfu-collective__taze-153</t>
  </si>
  <si>
    <t>https://github.com/antfu-collective/taze/issues/153</t>
  </si>
  <si>
    <t>gs://swe-bench-plus/evaluations/019b6ab1-4e74-7019-9e81-9c96e98a145d-antfu-collective__taze-153-swe-agent-claude-sonnet-4.5</t>
  </si>
  <si>
    <t>https://drive.google.com/drive/folders/1E3eQEnr2gfKhHk7qfPzCcdFWTGJROImr</t>
  </si>
  <si>
    <t>antfu-collective/taze</t>
  </si>
  <si>
    <t>antfu-collective__taze</t>
  </si>
  <si>
    <t>anthropics__claude-code-action-117</t>
  </si>
  <si>
    <t>https://github.com/anthropics/claude-code-action/issues/117</t>
  </si>
  <si>
    <t>devtools;ai-ml</t>
  </si>
  <si>
    <t>https://drive.google.com/drive/folders/1SL6fOc-YR9FhlBEejGod0havdsQTAXq5</t>
  </si>
  <si>
    <t>https://drive.google.com/drive/folders/10qIWmaQAbrkaWC7SAbGjfeniNUVzlKWJ</t>
  </si>
  <si>
    <t>anthropics/claude-code-action</t>
  </si>
  <si>
    <t>anthropics__claude-code-action</t>
  </si>
  <si>
    <t>anuraghazra__github-readme-stats-3708</t>
  </si>
  <si>
    <t>https://github.com/anuraghazra/github-readme-stats/issues/3708</t>
  </si>
  <si>
    <t>devtools;graphics-media</t>
  </si>
  <si>
    <t>gs://swe-bench-plus/evaluations/019c24f6-17a2-762a-848c-5d6a38d8a915-anuraghazra__github-readme-stats-3708-swe-agent-claude-sonnet-4-20250514</t>
  </si>
  <si>
    <t>https://drive.google.com/drive/folders/1XRwZPZhhffg1K7P8beFOlcHb0TzZ7CRh</t>
  </si>
  <si>
    <t>anuraghazra/github-readme-stats</t>
  </si>
  <si>
    <t>anuraghazra__github-readme-stats</t>
  </si>
  <si>
    <t>anza-xyz__kit-1154</t>
  </si>
  <si>
    <t>https://github.com/anza-xyz/kit/issues/1154</t>
  </si>
  <si>
    <t>blockchain;webdev</t>
  </si>
  <si>
    <t>gs://swe-bench-plus/evaluations/019c8ad6-24d8-74d7-bfdb-849e95e51fa5-anza-xyz__kit-1154-swe-agent-claude-sonnet-4-20250514</t>
  </si>
  <si>
    <t>https://drive.google.com/drive/folders/18F934RaT2M6JLfC0iI8Q41dU3jMWFRZU</t>
  </si>
  <si>
    <t>anza-xyz/kit</t>
  </si>
  <si>
    <t>anza-xyz__kit</t>
  </si>
  <si>
    <t>apache__accumulo-5779</t>
  </si>
  <si>
    <t>https://github.com/apache/accumulo/issues/5779</t>
  </si>
  <si>
    <t>gs://swe-bench-plus/evaluations/019b6ab1-4e74-7019-9e81-9c96e98a145d-apache__accumulo-5779-swe-agent-claude-sonnet-4.5</t>
  </si>
  <si>
    <t>https://drive.google.com/drive/folders/1QZCI57z5HtVPLq4B-Rzihsn2HZSXIZEF</t>
  </si>
  <si>
    <t>apache/accumulo</t>
  </si>
  <si>
    <t>apache__accumulo</t>
  </si>
  <si>
    <t>apache__arrow-46779</t>
  </si>
  <si>
    <t>https://github.com/apache/arrow/issues/46779</t>
  </si>
  <si>
    <t>sci-comp;data-eng</t>
  </si>
  <si>
    <t>gs://swe-bench-plus/evaluations/019a0242-6b7a-708e-89b1-224cfd5d39fe-apache__arrow-46779-open-hands-claude-sonnet-4-20250514</t>
  </si>
  <si>
    <t>https://drive.google.com/drive/folders/1oQrV_iscZ1EJkn_VbXBAAbSRzI2-9PAg</t>
  </si>
  <si>
    <t>apache/arrow</t>
  </si>
  <si>
    <t>apache__arrow</t>
  </si>
  <si>
    <t>apache__arrow-46180</t>
  </si>
  <si>
    <t>https://github.com/apache/arrow/issues/46180</t>
  </si>
  <si>
    <t>gs://swe-bench-plus/evaluations/019b6aa7-0380-771f-9e02-24cda0fe6639-apache__arrow-46180-swe-agent-claude-sonnet-4.5</t>
  </si>
  <si>
    <t>https://drive.google.com/drive/folders/1qWFzB9eFT4nCRcsD1NJ-Wcf0ffYdCHEg</t>
  </si>
  <si>
    <t>apache__arrow-45677</t>
  </si>
  <si>
    <t>https://github.com/apache/arrow/issues/45677</t>
  </si>
  <si>
    <t>gs://swe-bench-plus/evaluations/019b6aa7-0380-771f-9e02-24cda0fe6639-apache__arrow-45677-swe-agent-claude-sonnet-4.5</t>
  </si>
  <si>
    <t>https://drive.google.com/drive/folders/17v1r2ZJz_n6keRDxRuf_9TWUkT3-FKoP</t>
  </si>
  <si>
    <t>apache__arrow-45259</t>
  </si>
  <si>
    <t>https://github.com/apache/arrow/issues/45259</t>
  </si>
  <si>
    <t>gs://swe-bench-plus/evaluations/019b6aa7-0380-771f-9e02-24cda0fe6639-apache__arrow-45259-swe-agent-claude-sonnet-4.5</t>
  </si>
  <si>
    <t>https://drive.google.com/drive/folders/1ZdITiQbA7Bk56GefDiCiDAckN_vwxtPE</t>
  </si>
  <si>
    <t>apache__camel-k-6269</t>
  </si>
  <si>
    <t>https://github.com/apache/camel-k/issues/6269</t>
  </si>
  <si>
    <t>gs://swe-bench-plus/evaluations/019b6aa7-0380-771f-9e02-24cda0fe6639-apache__camel-k-6269-swe-agent-claude-sonnet-4.5</t>
  </si>
  <si>
    <t>https://drive.google.com/drive/folders/1iiZ0v5TaTeH2v9N9J5NCiZZJRxB_nRWz</t>
  </si>
  <si>
    <t>apache/camel-k</t>
  </si>
  <si>
    <t>apache__camel-k</t>
  </si>
  <si>
    <t>apache__camel-quarkus-8171</t>
  </si>
  <si>
    <t>https://github.com/apache/camel-quarkus/issues/8171</t>
  </si>
  <si>
    <t>data-eng;webdev</t>
  </si>
  <si>
    <t>gs://swe-bench-plus/evaluations/019c2529-a1c8-746f-909c-97aadb2f8ca7-apache__camel-quarkus-8171-swe-agent-claude-sonnet-4.5</t>
  </si>
  <si>
    <t>https://drive.google.com/drive/folders/1H-nJWzzxaDhsOj4SfFWbrMzcuOZJTYWP</t>
  </si>
  <si>
    <t>apache/camel-quarkus</t>
  </si>
  <si>
    <t>apache__camel-quarkus</t>
  </si>
  <si>
    <t>apache__camel-quarkus-7982</t>
  </si>
  <si>
    <t>https://github.com/apache/camel-quarkus/issues/7982</t>
  </si>
  <si>
    <t>gs://swe-bench-plus/evaluations/019b6ab1-4e74-7019-9e81-9c96e98a145d-apache__camel-quarkus-7982-swe-agent-claude-sonnet-4.5</t>
  </si>
  <si>
    <t>https://drive.google.com/drive/folders/1CXdqgqK8uF9l9oP0WjFOWMYRDZZhXYo_</t>
  </si>
  <si>
    <t>apache__camel-quarkus-7227</t>
  </si>
  <si>
    <t>https://github.com/apache/camel-quarkus/issues/7227</t>
  </si>
  <si>
    <t>data-eng;webdev;infra-devops</t>
  </si>
  <si>
    <t>gs://swe-bench-plus/evaluations/019bc31c-2360-7079-b8da-e850535b9cd1-apache__camel-quarkus-7227-swe-agent-claude-sonnet-4-20250514</t>
  </si>
  <si>
    <t>https://drive.google.com/drive/folders/1aBL2kLWQv6zK4m0Vff7PX2MuPl4INnEl</t>
  </si>
  <si>
    <t>apache__datafusion-sqlparser-rs-1869</t>
  </si>
  <si>
    <t>https://github.com/apache/datafusion-sqlparser-rs/issues/1869</t>
  </si>
  <si>
    <t>devtools;data-eng</t>
  </si>
  <si>
    <t>gs://swe-bench-plus/evaluations/019a6ebd-83c1-77e0-8232-17c9935d310f-apache__datafusion-sqlparser-rs-1869-swe-agent-claude-sonnet-4.5</t>
  </si>
  <si>
    <t>apache/datafusion-sqlparser-rs</t>
  </si>
  <si>
    <t>apache__datafusion-sqlparser-rs</t>
  </si>
  <si>
    <t>apache__dolphinscheduler-17159</t>
  </si>
  <si>
    <t>https://github.com/apache/dolphinscheduler/issues/17159</t>
  </si>
  <si>
    <t>gs://swe-bench-plus/evaluations/019c6646-ea55-7645-a600-58791210a874-apache__dolphinscheduler-17159-swe-agent-claude-sonnet-4.5</t>
  </si>
  <si>
    <t>apache/dolphinscheduler</t>
  </si>
  <si>
    <t>apache__dolphinscheduler</t>
  </si>
  <si>
    <t>apache__dolphinscheduler-16121</t>
  </si>
  <si>
    <t>https://github.com/apache/dolphinscheduler/issues/16121</t>
  </si>
  <si>
    <t>https://drive.google.com/drive/folders/1sTpabhY43Iu8RT0NX-rRdo_LNkuTvsBf</t>
  </si>
  <si>
    <t>https://drive.google.com/drive/folders/11CQdhDTrltr8NP67Zu4Lxt0sSPuVoy90</t>
  </si>
  <si>
    <t>apache__druid-18281</t>
  </si>
  <si>
    <t>https://github.com/apache/druid/issues/18281</t>
  </si>
  <si>
    <t>gs://swe-bench-plus/evaluations/019c63b0-5201-7257-9916-f49303cabd22-apache__druid-18281-swe-agent-claude-sonnet-4-20250514</t>
  </si>
  <si>
    <t>https://drive.google.com/drive/folders/1kmQNlru1vVoFafpbHGHeZNqV4O7bcStW</t>
  </si>
  <si>
    <t>apache/druid</t>
  </si>
  <si>
    <t>apache__druid</t>
  </si>
  <si>
    <t>apache__fesod-567</t>
  </si>
  <si>
    <t>https://github.com/apache/fesod/issues/567</t>
  </si>
  <si>
    <t>https://drive.google.com/drive/folders/1h3YWwPwrS936wjUTjBaNnLEzJdBb1n5B</t>
  </si>
  <si>
    <t>apache/fesod</t>
  </si>
  <si>
    <t>apache__fesod</t>
  </si>
  <si>
    <t>apache__fluss-1024</t>
  </si>
  <si>
    <t>https://github.com/apache/fluss/issues/1024</t>
  </si>
  <si>
    <t>gs://swe-bench-plus/evaluations/019bcd77-2925-7748-82f0-eda561be7006-apache__fluss-1024-swe-agent-claude-sonnet-4.5</t>
  </si>
  <si>
    <t>https://drive.google.com/drive/folders/1m0XfVDCRTJH07BTs0iisS5nzQp8JNI_7</t>
  </si>
  <si>
    <t>apache/fluss</t>
  </si>
  <si>
    <t>apache__fluss</t>
  </si>
  <si>
    <t>apache__fluss-1159</t>
  </si>
  <si>
    <t>https://github.com/apache/fluss/issues/1159</t>
  </si>
  <si>
    <t>gs://swe-bench-plus/evaluations/019bc31c-2360-7079-b8da-e850535b9cd1-apache__fluss-1159-swe-agent-claude-sonnet-4-20250514</t>
  </si>
  <si>
    <t>https://drive.google.com/drive/folders/1NdCVZ6r3lzj176hLb3_EoNOvghKc-8UV</t>
  </si>
  <si>
    <t>apache__fluss-2523</t>
  </si>
  <si>
    <t>https://github.com/apache/fluss/issues/2523</t>
  </si>
  <si>
    <t>gs://swe-bench-plus/evaluations/019c39f3-67b5-70d2-af96-ec1f2697604b-apache__fluss-2523-swe-agent-claude-sonnet-4-20250514</t>
  </si>
  <si>
    <t>https://drive.google.com/drive/folders/1euRpv6u752ocwlw1C7CI_LOOZPWdkCdC</t>
  </si>
  <si>
    <t>apache__fluss-2080</t>
  </si>
  <si>
    <t>https://github.com/apache/fluss/issues/2080</t>
  </si>
  <si>
    <t>gs://swe-bench-plus/evaluations/019c6646-7363-7129-a755-983bd4a97b5a-apache__fluss-2080-swe-agent-claude-sonnet-4-20250514</t>
  </si>
  <si>
    <t>apache__gravitino-7883</t>
  </si>
  <si>
    <t>https://github.com/apache/gravitino/issues/7883</t>
  </si>
  <si>
    <t>data-eng;security;ai-ml;applications</t>
  </si>
  <si>
    <t>https://drive.google.com/drive/folders/1Cgn2dqdNqSwhKSm2gIdff_lcvpmGlAtK</t>
  </si>
  <si>
    <t>https://drive.google.com/drive/folders/1WrtfFvQjkOg35xjOMi3lkIC7jclkgEiG</t>
  </si>
  <si>
    <t>apache__gravitino</t>
  </si>
  <si>
    <t>apache__gravitino-6670</t>
  </si>
  <si>
    <t>https://github.com/apache/gravitino/issues/6670</t>
  </si>
  <si>
    <t>data-eng;ai-ml;infra-devops</t>
  </si>
  <si>
    <t>https://drive.google.com/drive/folders/1OZQbHDeG47zUSDYLU9u6R-IIWt66bFD8</t>
  </si>
  <si>
    <t>https://drive.google.com/drive/folders/1bnJ5x1R_a3hmZy7iNPVRXL_YOGaLiEQ4</t>
  </si>
  <si>
    <t>apache__gravitino-7695</t>
  </si>
  <si>
    <t>https://github.com/apache/gravitino/issues/7695</t>
  </si>
  <si>
    <t>data-eng;ai-ml</t>
  </si>
  <si>
    <t>https://drive.google.com/drive/folders/1vwtwrw5bPftgCL84brjw6A3UsGhnWRrO</t>
  </si>
  <si>
    <t>https://drive.google.com/drive/folders/19zHB-6QNTs3n7JH-Bj93zm4wQwqbOwQ6</t>
  </si>
  <si>
    <t>apache__gravitino-7329</t>
  </si>
  <si>
    <t>https://github.com/apache/gravitino/issues/7329</t>
  </si>
  <si>
    <t>gs://swe-bench-plus/evaluations/019bc31c-2360-7079-b8da-e850535b9cd1-apache__gravitino-7329-swe-agent-claude-sonnet-4-20250514</t>
  </si>
  <si>
    <t>https://drive.google.com/drive/folders/1y_C2d4NhOLmIGeBljpMALHC4rHyBG1bM</t>
  </si>
  <si>
    <t>apache__gravitino-7820</t>
  </si>
  <si>
    <t>https://github.com/apache/gravitino/issues/7820</t>
  </si>
  <si>
    <t>gs://swe-bench-plus/evaluations/019bc794-8b97-710a-8eb1-715be5148c6c-apache__gravitino-7820-swe-agent-claude-sonnet-4-20250514</t>
  </si>
  <si>
    <t>https://drive.google.com/drive/folders/1DjmOOkSp8TLntoPdKZ--VOxiQDvn8RNG</t>
  </si>
  <si>
    <t>apache__gravitino-8635</t>
  </si>
  <si>
    <t>https://github.com/apache/gravitino/issues/8635</t>
  </si>
  <si>
    <t>gs://swe-bench-plus/evaluations/019bc794-8b97-710a-8eb1-715be5148c6c-apache__gravitino-8635-swe-agent-claude-sonnet-4-20250514</t>
  </si>
  <si>
    <t>https://drive.google.com/drive/folders/14HDoNZ2JfM8b6AFAHQFzh1qkwM3oLv1M</t>
  </si>
  <si>
    <t>apache__gravitino-9779</t>
  </si>
  <si>
    <t>https://github.com/apache/gravitino/issues/9779</t>
  </si>
  <si>
    <t>gs://swe-bench-plus/evaluations/019c6646-ea55-7645-a600-58791210a874-apache__gravitino-9779-swe-agent-claude-sonnet-4.5</t>
  </si>
  <si>
    <t>apache__gravitino-7502</t>
  </si>
  <si>
    <t>https://github.com/apache/gravitino/issues/7502</t>
  </si>
  <si>
    <t>gs://swe-bench-plus/evaluations/019c8593-288e-768a-aabd-9e1d168a9a7f-apache__gravitino-7502-swe-agent-claude-sonnet-4-20250514</t>
  </si>
  <si>
    <t>https://drive.google.com/drive/folders/13tjz5C23UU2yFfdWCiqOKRojP-2tAVkh</t>
  </si>
  <si>
    <t>apache__helix-2986</t>
  </si>
  <si>
    <t>https://github.com/apache/helix/issues/2986</t>
  </si>
  <si>
    <t>infra-devops;data-eng</t>
  </si>
  <si>
    <t>gs://swe-bench-plus/evaluations/019bc794-8b97-710a-8eb1-715be5148c6c-apache__helix-2986-swe-agent-claude-sonnet-4-20250514</t>
  </si>
  <si>
    <t>https://drive.google.com/drive/folders/1L1AOtl3wj44gC12WFzh9gePv0N15w1gV</t>
  </si>
  <si>
    <t>apache/helix</t>
  </si>
  <si>
    <t>apache__helix</t>
  </si>
  <si>
    <t>apache__hudi-17581</t>
  </si>
  <si>
    <t>https://github.com/apache/hudi/issues/17581</t>
  </si>
  <si>
    <t>refactor;build-ci</t>
  </si>
  <si>
    <t>gs://swe-bench-plus/evaluations/019c2527-4e2e-77ee-bb46-1b5af2881d6d-apache__hudi-17581-swe-agent-claude-sonnet-4-20250514</t>
  </si>
  <si>
    <t>https://drive.google.com/drive/folders/1SACy6F0ouaFFIhyS_NVv-huoz_ANwquv</t>
  </si>
  <si>
    <t>apache/hudi</t>
  </si>
  <si>
    <t>apache__hudi</t>
  </si>
  <si>
    <t>apache__iceberg-python-1642</t>
  </si>
  <si>
    <t>https://github.com/apache/iceberg-python/issues/1642</t>
  </si>
  <si>
    <t>https://drive.google.com/drive/folders/10dJHIoNxbRdQRdy3rKBqB0Yp3CPdmeCc</t>
  </si>
  <si>
    <t>https://drive.google.com/drive/folders/1UMwZ9L5F8NG0--63z86kOLzr6pacsSwb</t>
  </si>
  <si>
    <t>apache/iceberg-python</t>
  </si>
  <si>
    <t>apache__iceberg-python</t>
  </si>
  <si>
    <t>apache__inlong-10155</t>
  </si>
  <si>
    <t>https://github.com/apache/inlong/issues/10155</t>
  </si>
  <si>
    <t>feature-request;bug-report</t>
  </si>
  <si>
    <t>https://drive.google.com/drive/folders/1BYBxBdOD_UihoputHiyJhvO-X5eXaYlS</t>
  </si>
  <si>
    <t>https://drive.google.com/drive/folders/1vDwuuPIbXxnAv7Yzo9TXaTCMVS_STNV-</t>
  </si>
  <si>
    <t>apache/inlong</t>
  </si>
  <si>
    <t>apache__inlong</t>
  </si>
  <si>
    <t>apache__jena-1805</t>
  </si>
  <si>
    <t>https://github.com/apache/jena/issues/1805</t>
  </si>
  <si>
    <t>gs://swe-bench-plus/evaluations/019c2528-578b-73cc-ad42-8f1328ded528-apache__jena-1805-swe-agent-claude-sonnet-4-20250514</t>
  </si>
  <si>
    <t>https://drive.google.com/drive/folders/1VpFdynvO4tIqUdQ3nxEyhcyrK1iHcsip</t>
  </si>
  <si>
    <t>apache/jena</t>
  </si>
  <si>
    <t>apache__jena</t>
  </si>
  <si>
    <t>apache__logging-log4cxx-441</t>
  </si>
  <si>
    <t>https://github.com/apache/logging-log4cxx/issues/441</t>
  </si>
  <si>
    <t>gs://swe-bench-plus/evaluations/019a8f51-4621-711a-ad6b-50abcd4c4d65-apache__logging-log4cxx-441-open-hands-claude-sonnet-4-20250514</t>
  </si>
  <si>
    <t>https://drive.google.com/drive/folders/1QXPNXiP5xacxS5C6c7JQd265DJcK8zYY</t>
  </si>
  <si>
    <t>apache/logging-log4cxx</t>
  </si>
  <si>
    <t>apache__logging-log4cxx</t>
  </si>
  <si>
    <t>apache__logging-log4j2-1836</t>
  </si>
  <si>
    <t>https://github.com/apache/logging-log4j2/issues/1836</t>
  </si>
  <si>
    <t>gs://swe-bench-plus/evaluations/019bd2bf-00de-723c-8b2d-1d9d8c821830-apache__logging-log4j2-1836-swe-agent-claude-sonnet-4-20250514</t>
  </si>
  <si>
    <t>https://drive.google.com/drive/folders/1oLcqu3Kv_3tVzoB6H2sLUyIQJpCJv8zQ</t>
  </si>
  <si>
    <t>apache/logging-log4j2</t>
  </si>
  <si>
    <t>apache__logging-log4j2</t>
  </si>
  <si>
    <t>apache__maven-build-cache-extension-392</t>
  </si>
  <si>
    <t>https://github.com/apache/maven-build-cache-extension/issues/392</t>
  </si>
  <si>
    <t>gs://swe-bench-plus/evaluations/019b6ab1-4e74-7019-9e81-9c96e98a145d-apache__maven-build-cache-extension-392-swe-agent-claude-sonnet-4.5</t>
  </si>
  <si>
    <t>https://drive.google.com/drive/folders/10EvOWoA0DIvoZwqAizk7do3SO_hurxNJ</t>
  </si>
  <si>
    <t>apache/maven-build-cache-extension</t>
  </si>
  <si>
    <t>apache__maven-build-cache-extension</t>
  </si>
  <si>
    <t>apache__maven-enforcer-368</t>
  </si>
  <si>
    <t>https://github.com/apache/maven-enforcer/issues/368</t>
  </si>
  <si>
    <t>gs://swe-bench-plus/evaluations/019bc793-e669-7019-a196-00e47f245ddc-apache__maven-enforcer-368-swe-agent-claude-sonnet-4-20250514</t>
  </si>
  <si>
    <t>https://drive.google.com/drive/folders/1D99jezBKJmkdPsaJnTH1yFUQWunxV1TC</t>
  </si>
  <si>
    <t>apache/maven-enforcer</t>
  </si>
  <si>
    <t>apache__maven-enforcer</t>
  </si>
  <si>
    <t>apache__netbeans-6896</t>
  </si>
  <si>
    <t>https://github.com/apache/netbeans/issues/6896</t>
  </si>
  <si>
    <t>devtools;applications</t>
  </si>
  <si>
    <t>gs://swe-bench-plus/evaluations/019bc794-37db-7668-96b7-98997dff752e-apache__netbeans-6896-swe-agent-claude-sonnet-4-20250514</t>
  </si>
  <si>
    <t>https://drive.google.com/drive/folders/1HvMSaZ1PvAelJmxhwtffRXCqLXJLNcE4</t>
  </si>
  <si>
    <t>apache/netbeans</t>
  </si>
  <si>
    <t>apache__netbeans</t>
  </si>
  <si>
    <t>apache__paimon-5062</t>
  </si>
  <si>
    <t>https://github.com/apache/paimon/issues/5062</t>
  </si>
  <si>
    <t>gs://swe-bench-plus/evaluations/019bc794-37db-7668-96b7-98997dff752e-apache__paimon-5062-swe-agent-claude-sonnet-4-20250514</t>
  </si>
  <si>
    <t>https://drive.google.com/drive/folders/1ScPmv8u-wpZNhjJV-4FWdjNVEKIG2Frn</t>
  </si>
  <si>
    <t>apache/paimon</t>
  </si>
  <si>
    <t>apache__paimon</t>
  </si>
  <si>
    <t>apache__paimon-5342</t>
  </si>
  <si>
    <t>https://github.com/apache/paimon/issues/5342</t>
  </si>
  <si>
    <t>gs://swe-bench-plus/evaluations/019c6646-ea55-7645-a600-58791210a874-apache__paimon-5342-swe-agent-claude-sonnet-4.5</t>
  </si>
  <si>
    <t>apache__polaris-1353</t>
  </si>
  <si>
    <t>https://github.com/apache/polaris/issues/1353</t>
  </si>
  <si>
    <t>data-eng;security</t>
  </si>
  <si>
    <t>gs://swe-bench-plus/evaluations/019b6aaf-1788-707e-b6dd-d4dc12d72279-apache__polaris-1353-swe-agent-claude-sonnet-4.5</t>
  </si>
  <si>
    <t>https://drive.google.com/drive/folders/1oaHfqeU_vtZARuRhjBpNY4PJtR6gC9_n</t>
  </si>
  <si>
    <t>apache/polaris</t>
  </si>
  <si>
    <t>apache__polaris</t>
  </si>
  <si>
    <t>apache__rocketmq-9048</t>
  </si>
  <si>
    <t>https://github.com/apache/rocketmq/issues/9048</t>
  </si>
  <si>
    <t>feature-request;performance-issue</t>
  </si>
  <si>
    <t>gs://swe-bench-plus/evaluations/019c39f3-67b5-70d2-af96-ec1f2697604b-apache__rocketmq-9048-swe-agent-claude-sonnet-4-20250514</t>
  </si>
  <si>
    <t>https://drive.google.com/drive/folders/1bQmPwAq7lodFin1sqdYXN7w07OGLjDCh</t>
  </si>
  <si>
    <t>apache/rocketmq</t>
  </si>
  <si>
    <t>apache__rocketmq</t>
  </si>
  <si>
    <t>apache__seatunnel-9095</t>
  </si>
  <si>
    <t>https://github.com/apache/seatunnel/issues/9095</t>
  </si>
  <si>
    <t>https://drive.google.com/drive/folders/1HMtbemqWXQMr6YKp1XRCfZSfoVZU56Qt</t>
  </si>
  <si>
    <t>apache/seatunnel</t>
  </si>
  <si>
    <t>apache__seatunnel</t>
  </si>
  <si>
    <t>apache__seatunnel-8132</t>
  </si>
  <si>
    <t>https://github.com/apache/seatunnel/issues/8132</t>
  </si>
  <si>
    <t>gs://swe-bench-plus/evaluations/019bc794-8b97-710a-8eb1-715be5148c6c-apache__seatunnel-8132-swe-agent-claude-sonnet-4-20250514</t>
  </si>
  <si>
    <t>https://drive.google.com/drive/folders/10Cojl6zuCCjhnIAOuDIKSDZCNr9VQZ1e</t>
  </si>
  <si>
    <t>apache__sedona-2295</t>
  </si>
  <si>
    <t>https://github.com/apache/sedona/issues/2295</t>
  </si>
  <si>
    <t>data-eng;sci-comp;graphics-media</t>
  </si>
  <si>
    <t>gs://swe-bench-plus/evaluations/019c2528-578b-73cc-ad42-8f1328ded528-apache__sedona-2295-swe-agent-claude-sonnet-4-20250514</t>
  </si>
  <si>
    <t>https://drive.google.com/drive/folders/1qmOsWztvwHAtJmT3VfB9RHXSUKAVecgW</t>
  </si>
  <si>
    <t>apache/sedona</t>
  </si>
  <si>
    <t>apache__sedona</t>
  </si>
  <si>
    <t>apache__shardingsphere-35563</t>
  </si>
  <si>
    <t>https://github.com/apache/shardingsphere/issues/35563</t>
  </si>
  <si>
    <t>chore;feature-request</t>
  </si>
  <si>
    <t>https://drive.google.com/drive/folders/1hc9bJNCXZP5ZzA8IHAtGC6x2O9JBQyw1</t>
  </si>
  <si>
    <t>https://drive.google.com/drive/folders/1NunnelosMZQ1RzhW-DItH2j0Zx86Go93</t>
  </si>
  <si>
    <t>apache/shardingsphere</t>
  </si>
  <si>
    <t>apache__shardingsphere</t>
  </si>
  <si>
    <t>apache__skywalking-12823</t>
  </si>
  <si>
    <t>https://github.com/apache/skywalking/issues/12823</t>
  </si>
  <si>
    <t>infra-devops;applications;devtools</t>
  </si>
  <si>
    <t>gs://swe-bench-plus/evaluations/019b3c26-16fe-7517-9031-f89dfd2f980c-apache__skywalking-12823-swe-agent-claude-sonnet-4-20250514</t>
  </si>
  <si>
    <t>https://drive.google.com/drive/folders/1dPjbSFJSIBzYYMIeI-JTbSb671w3guu9</t>
  </si>
  <si>
    <t>apache/skywalking</t>
  </si>
  <si>
    <t>apache__skywalking</t>
  </si>
  <si>
    <t>APIDevTools__json-schema-ref-parser-369</t>
  </si>
  <si>
    <t>https://github.com/APIDevTools/json-schema-ref-parser/issues/369</t>
  </si>
  <si>
    <t>gs://swe-bench-plus/evaluations/019b6aaf-1788-707e-b6dd-d4dc12d72279-APIDevTools__json-schema-ref-parser-369-swe-agent-claude-sonnet-4.5</t>
  </si>
  <si>
    <t>https://drive.google.com/drive/folders/1y48oKG4Yy9WCNbPr37hHp8nplaR0yniE</t>
  </si>
  <si>
    <t>APIDevTools/json-schema-ref-parser</t>
  </si>
  <si>
    <t>APIDevTools__json-schema-ref-parser</t>
  </si>
  <si>
    <t>apify__apify-mcp-server-63</t>
  </si>
  <si>
    <t>https://github.com/apify/apify-mcp-server/issues/63</t>
  </si>
  <si>
    <t>data-eng;devtools;infra-devops</t>
  </si>
  <si>
    <t>gs://swe-bench-plus/evaluations/019b6ab1-4e74-7019-9e81-9c96e98a145d-apify__apify-mcp-server-63-swe-agent-claude-sonnet-4.5</t>
  </si>
  <si>
    <t>https://drive.google.com/drive/folders/1Sedx5FDZDQWoa8o_ElDfgjIdjgDN-bwy</t>
  </si>
  <si>
    <t>apify/apify-mcp-server</t>
  </si>
  <si>
    <t>apify__apify-mcp-server</t>
  </si>
  <si>
    <t>appium__appium-21175</t>
  </si>
  <si>
    <t>https://github.com/appium/appium/issues/21175</t>
  </si>
  <si>
    <t>bug-fix;refactor;dependency-update</t>
  </si>
  <si>
    <t>gs://swe-bench-plus/evaluations/019ad829-4c24-70a3-8fe2-22421997d0f1-appium__appium-21175-swe-agent-claude-sonnet-4-20250514</t>
  </si>
  <si>
    <t>appium/appium</t>
  </si>
  <si>
    <t>appium__appium</t>
  </si>
  <si>
    <t>appleboy__CodeGPT-224</t>
  </si>
  <si>
    <t>https://github.com/appleboy/CodeGPT/issues/224</t>
  </si>
  <si>
    <t>gs://swe-bench-plus/evaluations/019b6aa7-0380-771f-9e02-24cda0fe6639-appleboy__CodeGPT-224-swe-agent-claude-sonnet-4.5</t>
  </si>
  <si>
    <t>https://drive.google.com/drive/folders/1FqJ92ROH2fP-6jrPfLE-sRRvt10rFuxX</t>
  </si>
  <si>
    <t>appleboy/CodeGPT</t>
  </si>
  <si>
    <t>appleboy__CodeGPT</t>
  </si>
  <si>
    <t>aquasecurity__trivy-9681</t>
  </si>
  <si>
    <t>https://github.com/aquasecurity/trivy/issues/9681</t>
  </si>
  <si>
    <t>security;infra-devops;devtools</t>
  </si>
  <si>
    <t>gs://swe-bench-plus/evaluations/019ad820-337c-773f-8a09-f357a9af2cca-aquasecurity__trivy-9681-swe-agent-claude-sonnet-4-20250514</t>
  </si>
  <si>
    <t>https://drive.google.com/drive/folders/1X-g1HkwOzC18fW61Q1p-LUCTG7jbQYCU</t>
  </si>
  <si>
    <t>aquasecurity/trivy</t>
  </si>
  <si>
    <t>aquasecurity__trivy</t>
  </si>
  <si>
    <t>aquasecurity__trivy-8676</t>
  </si>
  <si>
    <t>https://github.com/aquasecurity/trivy/issues/8676</t>
  </si>
  <si>
    <t>security;devtools;infra-devops</t>
  </si>
  <si>
    <t>feature;refactor;test</t>
  </si>
  <si>
    <t>https://drive.google.com/drive/folders/1eLzm6K_IOMm_ez31ZYsvOVmAdf_1jl9D</t>
  </si>
  <si>
    <t>https://drive.google.com/drive/folders/157Gzo0v4HmwX7rwsjWA8np0rqpp1VRCn</t>
  </si>
  <si>
    <t>aquasecurity__trivy-8535</t>
  </si>
  <si>
    <t>https://github.com/aquasecurity/trivy/issues/8535</t>
  </si>
  <si>
    <t>https://drive.google.com/drive/folders/12XYlznnBi8qNtPx7AkBc66VlVzDQyL1T</t>
  </si>
  <si>
    <t>https://drive.google.com/drive/folders/1iZ5OSNGz90Eg1sRArO6rKsCk8eHd_FOz</t>
  </si>
  <si>
    <t>feature;build-ci;documentation</t>
  </si>
  <si>
    <t>arabold__docs-mcp-server</t>
  </si>
  <si>
    <t>arabold__docs-mcp-server-230</t>
  </si>
  <si>
    <t>https://github.com/arabold/docs-mcp-server/issues/230</t>
  </si>
  <si>
    <t>ai-ml;applications;webdev</t>
  </si>
  <si>
    <t>gs://swe-bench-plus/evaluations/019b6aaf-1788-707e-b6dd-d4dc12d72279-arabold__docs-mcp-server-230-swe-agent-claude-sonnet-4.5</t>
  </si>
  <si>
    <t>https://drive.google.com/drive/folders/1oXLtaC_ZBDG2TtCfZQAUsC-Y8Eg9SXVv</t>
  </si>
  <si>
    <t>arabold__docs-mcp-server-298</t>
  </si>
  <si>
    <t>https://github.com/arabold/docs-mcp-server/issues/298</t>
  </si>
  <si>
    <t>gs://swe-bench-plus/evaluations/019c8ad6-24d8-74d7-bfdb-849e95e51fa5-arabold__docs-mcp-server-298-swe-agent-claude-sonnet-4-20250514</t>
  </si>
  <si>
    <t>https://drive.google.com/drive/folders/1xR5-_83GntyrYQk9mCzj_4w20GYWOflZ</t>
  </si>
  <si>
    <t>arabold__docs-mcp-server-320</t>
  </si>
  <si>
    <t>https://github.com/arabold/docs-mcp-server/issues/320</t>
  </si>
  <si>
    <t>gs://swe-bench-plus/evaluations/019c8ad6-24d8-74d7-bfdb-849e95e51fa5-arabold__docs-mcp-server-320-swe-agent-claude-sonnet-4-20250514</t>
  </si>
  <si>
    <t>https://drive.google.com/drive/folders/1ccbfVFg28dw8d8v7xLAynaf3xMUiVsAL</t>
  </si>
  <si>
    <t>arabold__docs-mcp-server-322</t>
  </si>
  <si>
    <t>https://github.com/arabold/docs-mcp-server/issues/322</t>
  </si>
  <si>
    <t>data-eng;applications</t>
  </si>
  <si>
    <t>gs://swe-bench-plus/evaluations/019c8ad6-24d8-74d7-bfdb-849e95e51fa5-arabold__docs-mcp-server-322-swe-agent-claude-sonnet-4-20250514</t>
  </si>
  <si>
    <t>https://drive.google.com/drive/folders/17eYfjEx_y9R2i1dmJGUnIWmXCu_OME_B</t>
  </si>
  <si>
    <t>aramis-lab__clinica-1474</t>
  </si>
  <si>
    <t>https://github.com/aramis-lab/clinica/issues/1474</t>
  </si>
  <si>
    <t>gs://swe-bench-plus/evaluations/019a8f6e-136c-7345-a414-a1ed9c7f4f2d-aramis-lab__clinica-1474-open-hands-claude-sonnet-4-20250514</t>
  </si>
  <si>
    <t>https://drive.google.com/drive/folders/1J44Hwa3b6Km72yuXZECvkZPqFUfhzfoR</t>
  </si>
  <si>
    <t>aramis-lab/clinica</t>
  </si>
  <si>
    <t>aramis-lab__clinica</t>
  </si>
  <si>
    <t>ardalis__Specification-441</t>
  </si>
  <si>
    <t>https://github.com/ardalis/Specification/issues/441</t>
  </si>
  <si>
    <t>performance-issue;chore</t>
  </si>
  <si>
    <t>gs://swe-bench-plus/evaluations/019b6ab1-4e74-7019-9e81-9c96e98a145d-ardalis__Specification-441-swe-agent-claude-sonnet-4.5</t>
  </si>
  <si>
    <t>https://drive.google.com/drive/folders/1aM0OH6fDCU8L4j78WODH-AuHpiTbxvHl</t>
  </si>
  <si>
    <t>ardalis/Specification</t>
  </si>
  <si>
    <t>ardalis__Specification</t>
  </si>
  <si>
    <t>aregtech__areg-sdk-365</t>
  </si>
  <si>
    <t>https://github.com/aregtech/areg-sdk/issues/365</t>
  </si>
  <si>
    <t>feature-request;bug-report;chore;documentation</t>
  </si>
  <si>
    <t>gs://swe-bench-plus/evaluations/019b6ab1-4e74-7019-9e81-9c96e98a145d-aregtech__areg-sdk-365-swe-agent-claude-sonnet-4.5</t>
  </si>
  <si>
    <t>https://drive.google.com/drive/folders/1ssT_AtuWUan3-WiIP6fzfZivj9zHVMsH</t>
  </si>
  <si>
    <t>aregtech/areg-sdk</t>
  </si>
  <si>
    <t>aregtech__areg-sdk</t>
  </si>
  <si>
    <t>aregtech__areg-sdk-471</t>
  </si>
  <si>
    <t>https://github.com/aregtech/areg-sdk/issues/471</t>
  </si>
  <si>
    <t>gs://swe-bench-plus/evaluations/019b06b8-5347-7669-9f51-4e4681f5c848-aregtech__areg-sdk-471-swe-agent-claude-sonnet-4.5</t>
  </si>
  <si>
    <t>https://drive.google.com/drive/folders/1hzmHzk3huJQTslK2qK96rahvoVvFWwa9</t>
  </si>
  <si>
    <t>aregtech__areg-sdk-389</t>
  </si>
  <si>
    <t>https://github.com/aregtech/areg-sdk/issues/389</t>
  </si>
  <si>
    <t>gs://swe-bench-plus/evaluations/019b6ab1-4e74-7019-9e81-9c96e98a145d-aregtech__areg-sdk-389-swe-agent-claude-sonnet-4.5</t>
  </si>
  <si>
    <t>https://drive.google.com/drive/folders/1re76_H2oeO_P9Q3Yrn3ZNjY55Uqb4ozL</t>
  </si>
  <si>
    <t>argoproj-labs__gitops-promoter-102</t>
  </si>
  <si>
    <t>https://github.com/argoproj-labs/gitops-promoter/issues/102</t>
  </si>
  <si>
    <t>gs://swe-bench-plus/evaluations/019b6ab1-4e74-7019-9e81-9c96e98a145d-argoproj-labs__gitops-promoter-102-swe-agent-claude-sonnet-4.5</t>
  </si>
  <si>
    <t>https://drive.google.com/drive/folders/1o06fmFymbSNz6LXsxeIwMZa64pnN0ksd</t>
  </si>
  <si>
    <t>argoproj-labs/gitops-promoter</t>
  </si>
  <si>
    <t>argoproj-labs__gitops-promoter</t>
  </si>
  <si>
    <t>argoproj-labs__rollouts-plugin-trafficrouter-gatewayapi-146</t>
  </si>
  <si>
    <t>https://github.com/argoproj-labs/rollouts-plugin-trafficrouter-gatewayapi/issues/146</t>
  </si>
  <si>
    <t>gs://swe-bench-plus/evaluations/019b6aa7-0380-771f-9e02-24cda0fe6639-argoproj-labs__rollouts-plugin-trafficrouter-gatewayapi-146-swe-agent-claude-sonnet-4.5</t>
  </si>
  <si>
    <t>https://drive.google.com/drive/folders/1pR3xSvo8CtA2yXUcBkSxIib0dXf1DsGl</t>
  </si>
  <si>
    <t>argoproj-labs/rollouts-plugin-trafficrouter-gatewayapi</t>
  </si>
  <si>
    <t>argoproj-labs__rollouts-plugin-trafficrouter-gatewayapi</t>
  </si>
  <si>
    <t>argoproj__argo-cd-23999</t>
  </si>
  <si>
    <t>https://github.com/argoproj/argo-cd/issues/23999</t>
  </si>
  <si>
    <t>https://drive.google.com/drive/folders/1Umk1ONO0o5OzWTzQhLqt-6Xxn_2V9Hu6</t>
  </si>
  <si>
    <t>https://drive.google.com/drive/folders/138GAP-fBkHwC69VQmOmHoBH8LbGJr9Lz</t>
  </si>
  <si>
    <t>argoproj/argo-cd</t>
  </si>
  <si>
    <t>argoproj__argo-cd</t>
  </si>
  <si>
    <t>argoproj__argo-workflows-11707</t>
  </si>
  <si>
    <t>https://github.com/argoproj/argo-workflows/issues/11707</t>
  </si>
  <si>
    <t>dependency-update;refactor;build-ci</t>
  </si>
  <si>
    <t>https://drive.google.com/drive/folders/1Fj8CBZo4z44p7CtDmVknivXINPzAnGP7</t>
  </si>
  <si>
    <t>https://drive.google.com/drive/folders/1cxXpcd_7FQ4eN1zRRhkaTUPM9m4AAU3u</t>
  </si>
  <si>
    <t>argoproj/argo-workflows</t>
  </si>
  <si>
    <t>argoproj__argo-workflows</t>
  </si>
  <si>
    <t>aristanetworks__avd-5434</t>
  </si>
  <si>
    <t>https://github.com/aristanetworks/avd/issues/5434</t>
  </si>
  <si>
    <t>gs://swe-bench-plus/evaluations/019a8f6e-136c-7345-a414-a1ed9c7f4f2d-aristanetworks__avd-5434-open-hands-claude-sonnet-4-20250514</t>
  </si>
  <si>
    <t>https://drive.google.com/drive/folders/15S9FAbHxIbWw2jzho1fHrZNuXqhee9WD</t>
  </si>
  <si>
    <t>aristanetworks/avd</t>
  </si>
  <si>
    <t>aristanetworks__avd</t>
  </si>
  <si>
    <t>aristanetworks__avd-5570</t>
  </si>
  <si>
    <t>https://github.com/aristanetworks/avd/issues/5570</t>
  </si>
  <si>
    <t>https://drive.google.com/drive/folders/1Ax6IDWGhSLTDYhksJVA1v_cARObJY74Y</t>
  </si>
  <si>
    <t>https://drive.google.com/drive/folders/17FV7VW5WLUOAFfXvViYPScpP8uTr5vam</t>
  </si>
  <si>
    <t>ascopes__protobuf-maven-plugin-763</t>
  </si>
  <si>
    <t>https://github.com/ascopes/protobuf-maven-plugin/issues/763</t>
  </si>
  <si>
    <t>feature;test</t>
  </si>
  <si>
    <t>gs://swe-bench-plus/evaluations/019c8593-288e-768a-aabd-9e1d168a9a7f-ascopes__protobuf-maven-plugin-763-swe-agent-claude-sonnet-4-20250514</t>
  </si>
  <si>
    <t>https://drive.google.com/drive/folders/1uCl8il9DaT_8rd92R3eW1z2JoluE8F4r</t>
  </si>
  <si>
    <t>ascopes/protobuf-maven-plugin</t>
  </si>
  <si>
    <t>ascopes__protobuf-maven-plugin</t>
  </si>
  <si>
    <t>aseprite__aseprite-4211</t>
  </si>
  <si>
    <t>https://github.com/aseprite/aseprite/issues/4211</t>
  </si>
  <si>
    <t>https://drive.google.com/drive/folders/1oLsi9BxVgWFREq82UYAiU8Rr2pWtXMxs</t>
  </si>
  <si>
    <t>https://drive.google.com/drive/folders/1TwHrgBN7r0lBdiT9FhKN_4GuWHIamAHB</t>
  </si>
  <si>
    <t>aseprite/aseprite</t>
  </si>
  <si>
    <t>aseprite__aseprite</t>
  </si>
  <si>
    <t>aseprite__aseprite-4643</t>
  </si>
  <si>
    <t>https://github.com/aseprite/aseprite/issues/4643</t>
  </si>
  <si>
    <t>https://drive.google.com/drive/folders/1baKGsduA4NJTsOUpGXyfeND9qfuK2kDM</t>
  </si>
  <si>
    <t>https://drive.google.com/drive/folders/1ZZxcIAzvMh5OtHugaOyd_7oavGmXlNGl</t>
  </si>
  <si>
    <t>asgardeo__thunder-238</t>
  </si>
  <si>
    <t>https://github.com/asgardeo/thunder/issues/238</t>
  </si>
  <si>
    <t>refactor;feature;dependency-update</t>
  </si>
  <si>
    <t>gs://swe-bench-plus/evaluations/019b6aa7-0380-771f-9e02-24cda0fe6639-asgardeo__thunder-238-swe-agent-claude-sonnet-4.5</t>
  </si>
  <si>
    <t>https://drive.google.com/drive/folders/15Fi0XJtQ8OJ2EoHS68pioSybr1U31Oz_</t>
  </si>
  <si>
    <t>asgardeo/thunder</t>
  </si>
  <si>
    <t>asgardeo__thunder</t>
  </si>
  <si>
    <t>askama-rs__askama-286</t>
  </si>
  <si>
    <t>https://github.com/askama-rs/askama/issues/286</t>
  </si>
  <si>
    <t>https://drive.google.com/drive/folders/1NAUYhDaKcswSqv2lnYm0nlH7eIavk-y4</t>
  </si>
  <si>
    <t>askama-rs/askama</t>
  </si>
  <si>
    <t>askama-rs__askama</t>
  </si>
  <si>
    <t>askama-rs__askama-255</t>
  </si>
  <si>
    <t>https://github.com/askama-rs/askama/issues/255</t>
  </si>
  <si>
    <t>gs://swe-bench-plus/evaluations/019b06bd-e8b8-7239-a811-43270291d9ff-askama-rs__askama-255-swe-agent-claude-sonnet-4.5</t>
  </si>
  <si>
    <t>https://drive.google.com/drive/folders/1VgjgR-ESV3v925-6ITMkLaqNXsLPutsz</t>
  </si>
  <si>
    <t>assertj__assertj-4122</t>
  </si>
  <si>
    <t>https://github.com/assertj/assertj/issues/4122</t>
  </si>
  <si>
    <t>gs://swe-bench-plus/evaluations/019c6646-ea55-7645-a600-58791210a874-assertj__assertj-4122-swe-agent-claude-sonnet-4-20250514</t>
  </si>
  <si>
    <t>https://drive.google.com/drive/folders/1gMXXtjehuxnzQWqEeglBchm7fFJr0w3V</t>
  </si>
  <si>
    <t>assertj/assertj</t>
  </si>
  <si>
    <t>assertj__assertj</t>
  </si>
  <si>
    <t>astropy__astropy-17450</t>
  </si>
  <si>
    <t>https://github.com/astropy/astropy/issues/17450</t>
  </si>
  <si>
    <t>bug-fix;refactor;maintenance</t>
  </si>
  <si>
    <t>https://drive.google.com/drive/folders/10KzMqh4SCIQBs2U8iCI5-VAU3dJjgNR_</t>
  </si>
  <si>
    <t>astropy/astropy</t>
  </si>
  <si>
    <t>astropy__astropy</t>
  </si>
  <si>
    <t>async-profiler__async-profiler-1119</t>
  </si>
  <si>
    <t>https://github.com/async-profiler/async-profiler/issues/1119</t>
  </si>
  <si>
    <t>feature;performance;documentation</t>
  </si>
  <si>
    <t>https://drive.google.com/drive/folders/18cSJMXCD5uwDVPC1esQPCNTn1oOdhizr</t>
  </si>
  <si>
    <t>https://drive.google.com/drive/folders/1R_xSDoLEG3WAgSJ6hiBy9HSGswAFoVL8</t>
  </si>
  <si>
    <t>async-profiler/async-profiler</t>
  </si>
  <si>
    <t>async-profiler__async-profiler</t>
  </si>
  <si>
    <t>asyncapi__generator-1513</t>
  </si>
  <si>
    <t>https://github.com/asyncapi/generator/issues/1513</t>
  </si>
  <si>
    <t>https://drive.google.com/drive/folders/18XMWvO0XNwB6oHXN_29nrwEknXK59cFb</t>
  </si>
  <si>
    <t>https://drive.google.com/drive/folders/1MxvxTlWU5uGgHLU2QAv8zw045pcMPEKu</t>
  </si>
  <si>
    <t>asyncapi/generator</t>
  </si>
  <si>
    <t>asyncapi__generator</t>
  </si>
  <si>
    <t>asyncapi__generator-1567</t>
  </si>
  <si>
    <t>https://github.com/asyncapi/generator/issues/1567</t>
  </si>
  <si>
    <t>gs://swe-bench-plus/evaluations/019b6aaf-1788-707e-b6dd-d4dc12d72279-asyncapi__generator-1567-swe-agent-claude-sonnet-4.5</t>
  </si>
  <si>
    <t>https://drive.google.com/drive/folders/1U9l3B5UjPGYreRADAsU9qXaY2uZE9li1</t>
  </si>
  <si>
    <t>aurelia__aurelia-2146</t>
  </si>
  <si>
    <t>https://github.com/aurelia/aurelia/issues/2146</t>
  </si>
  <si>
    <t>gs://swe-bench-plus/evaluations/019bdc10-e47f-75ba-85a4-6ca54e588df4-aurelia__aurelia-2146-swe-agent-claude-sonnet-4-20250514</t>
  </si>
  <si>
    <t>https://drive.google.com/drive/folders/1COoZo8wc_tQZA9Y-ih9VGzgBSE5-P2d3</t>
  </si>
  <si>
    <t>aurelia/aurelia</t>
  </si>
  <si>
    <t>aurelia__aurelia</t>
  </si>
  <si>
    <t>Austinb__GameQ-660</t>
  </si>
  <si>
    <t>https://github.com/Austinb/GameQ/issues/660</t>
  </si>
  <si>
    <t>gs://swe-bench-plus/evaluations/019b6ab1-4e74-7019-9e81-9c96e98a145d-Austinb__GameQ-660-swe-agent-claude-sonnet-4.5</t>
  </si>
  <si>
    <t>https://drive.google.com/drive/folders/1_N5c6LuVwcPhhWJcqBLDb9yxdJdAS9s0</t>
  </si>
  <si>
    <t>Austinb/GameQ</t>
  </si>
  <si>
    <t>Austinb__GameQ</t>
  </si>
  <si>
    <t>auth0__auth0-mcp-server-55</t>
  </si>
  <si>
    <t>https://github.com/auth0/auth0-mcp-server/issues/55</t>
  </si>
  <si>
    <t>security;ai-ml</t>
  </si>
  <si>
    <t>feature;refactor;documentation;dependency-update</t>
  </si>
  <si>
    <t>gs://swe-bench-plus/evaluations/019bdc10-e47f-75ba-85a4-6ca54e588df4-auth0__auth0-mcp-server-55-swe-agent-claude-sonnet-4-20250514</t>
  </si>
  <si>
    <t>https://drive.google.com/drive/folders/1RErUbmMejskkOuMUU3OoYbQ9tGtMC4ao</t>
  </si>
  <si>
    <t>auth0/auth0-mcp-server</t>
  </si>
  <si>
    <t>auth0__auth0-mcp-server</t>
  </si>
  <si>
    <t>auth0__nextjs-auth0-2207</t>
  </si>
  <si>
    <t>https://github.com/auth0/nextjs-auth0/issues/2207</t>
  </si>
  <si>
    <t>security;webdev</t>
  </si>
  <si>
    <t>https://drive.google.com/drive/folders/1cZZKudmcdHw6sPgTOGekX02-B00bqTf6</t>
  </si>
  <si>
    <t>https://drive.google.com/drive/folders/1b_0MjoqPxxDSqiTbTva0gbmwkCK4fZB5</t>
  </si>
  <si>
    <t>auth0/nextjs-auth0</t>
  </si>
  <si>
    <t>auth0__nextjs-auth0</t>
  </si>
  <si>
    <t>auth0__react-native-auth0-1063</t>
  </si>
  <si>
    <t>https://github.com/auth0/react-native-auth0/issues/1063</t>
  </si>
  <si>
    <t>feature-request;bug-report;documentation</t>
  </si>
  <si>
    <t>gs://swe-bench-plus/evaluations/019c66b2-2d90-7260-9966-4e0d0d7a99cf-auth0__react-native-auth0-1063-swe-agent-claude-sonnet-4-20250514</t>
  </si>
  <si>
    <t>https://drive.google.com/drive/folders/1YwUJ1lvALE2yMPxn8-Fp0hIqmBjyY5tp</t>
  </si>
  <si>
    <t>auth0/react-native-auth0</t>
  </si>
  <si>
    <t>auth0__react-native-auth0</t>
  </si>
  <si>
    <t>authlib__authlib-707</t>
  </si>
  <si>
    <t>https://github.com/authlib/authlib/issues/707</t>
  </si>
  <si>
    <t>https://drive.google.com/drive/folders/1FwZq96MhOmEQqgIuQpPmF62-o8VhRWel</t>
  </si>
  <si>
    <t>authlib/authlib</t>
  </si>
  <si>
    <t>authlib__authlib</t>
  </si>
  <si>
    <t>authlib__authlib-749</t>
  </si>
  <si>
    <t>https://github.com/authlib/authlib/issues/749</t>
  </si>
  <si>
    <t>https://drive.google.com/drive/folders/18uGdG9hZPFHYDACvLZY1EWwsr9ddITsN</t>
  </si>
  <si>
    <t>https://drive.google.com/drive/folders/1rNC4Qz7vyLUCUkj1qloZY2tcuH0QMPi4</t>
  </si>
  <si>
    <t>authorjapps__zerocode-711</t>
  </si>
  <si>
    <t>https://github.com/authorjapps/zerocode/issues/711</t>
  </si>
  <si>
    <t>gs://swe-bench-plus/evaluations/019b6ab1-4e74-7019-9e81-9c96e98a145d-authorjapps__zerocode-711-swe-agent-claude-sonnet-4.5</t>
  </si>
  <si>
    <t>https://drive.google.com/drive/folders/1bwB174sLQw16gWFOQ5gD0808u3e0JVOZ</t>
  </si>
  <si>
    <t>authorjapps/zerocode</t>
  </si>
  <si>
    <t>authorjapps__zerocode</t>
  </si>
  <si>
    <t>Automattic__wp-calypso-97944</t>
  </si>
  <si>
    <t>https://github.com/Automattic/wp-calypso/issues/97944</t>
  </si>
  <si>
    <t>https://drive.google.com/drive/folders/1b7tJ7yxZX5Ix6TA-RHgwDIyXR_2ZdBSA</t>
  </si>
  <si>
    <t>https://drive.google.com/drive/folders/1Fu-d-7_V4Xq-W4Px1jQvEMiUHAw8M487</t>
  </si>
  <si>
    <t>Automattic/wp-calypso</t>
  </si>
  <si>
    <t>Automattic__wp-calypso</t>
  </si>
  <si>
    <t>autoscrape-labs__pydoll-109</t>
  </si>
  <si>
    <t>https://github.com/autoscrape-labs/pydoll/issues/109</t>
  </si>
  <si>
    <t>gs://swe-bench-plus/evaluations/019a8508-78a8-712a-b970-052ae053c3bc-autoscrape-labs__pydoll-109-swe-agent-claude-sonnet-4-20250514</t>
  </si>
  <si>
    <t>https://drive.google.com/drive/folders/1_e7QXVFKDuclcHk0OoKySnHQuKOzIkYM</t>
  </si>
  <si>
    <t>autoscrape-labs/pydoll</t>
  </si>
  <si>
    <t>autoscrape-labs__pydoll</t>
  </si>
  <si>
    <t>ava-labs__avalanchego-4410</t>
  </si>
  <si>
    <t>https://github.com/ava-labs/avalanchego/issues/4410</t>
  </si>
  <si>
    <t>gs://swe-bench-plus/evaluations/019ad820-337c-773f-8a09-f357a9af2cca-ava-labs__avalanchego-4410-swe-agent-claude-sonnet-4-20250514</t>
  </si>
  <si>
    <t>https://drive.google.com/drive/folders/1GZqOm_1fi-mvzrqFbeK4ke5SctGahq6v</t>
  </si>
  <si>
    <t>ava-labs/avalanchego</t>
  </si>
  <si>
    <t>ava-labs__avalanchego</t>
  </si>
  <si>
    <t>avaje__avaje-inject-756</t>
  </si>
  <si>
    <t>https://github.com/avaje/avaje-inject/issues/756</t>
  </si>
  <si>
    <t>gs://swe-bench-plus/evaluations/019b6aaf-1788-707e-b6dd-d4dc12d72279-avaje__avaje-inject-756-swe-agent-claude-sonnet-4.5</t>
  </si>
  <si>
    <t>https://drive.google.com/drive/folders/1yELscOnz9jYhLQR7mkKvrDL4Neol6Yd0</t>
  </si>
  <si>
    <t>avaje/avaje-inject</t>
  </si>
  <si>
    <t>avaje__avaje-inject</t>
  </si>
  <si>
    <t>avaje__avaje-validator-280</t>
  </si>
  <si>
    <t>https://github.com/avaje/avaje-validator/issues/280</t>
  </si>
  <si>
    <t>feature;refactor;build-ci;test</t>
  </si>
  <si>
    <t>gs://swe-bench-plus/evaluations/019bc794-8b97-710a-8eb1-715be5148c6c-avaje__avaje-validator-280-swe-agent-claude-sonnet-4-20250514</t>
  </si>
  <si>
    <t>https://drive.google.com/drive/folders/1Je9TjKHOWcZwC9v-M0eVxP7Cq5sZMMlB</t>
  </si>
  <si>
    <t>avaje/avaje-validator</t>
  </si>
  <si>
    <t>avaje__avaje-validator</t>
  </si>
  <si>
    <t>AvaloniaUI__Avalonia-18270</t>
  </si>
  <si>
    <t>https://github.com/AvaloniaUI/Avalonia/issues/18270</t>
  </si>
  <si>
    <t>applications;devtools</t>
  </si>
  <si>
    <t>https://drive.google.com/drive/folders/1BsVIjRNlq7ccvij3DAfIfXLhe549Nwm9</t>
  </si>
  <si>
    <t>AvaloniaUI/Avalonia</t>
  </si>
  <si>
    <t>AvaloniaUI__Avalonia</t>
  </si>
  <si>
    <t>avifenesh__awesome-slash-167</t>
  </si>
  <si>
    <t>https://github.com/avifenesh/awesome-slash/issues/167</t>
  </si>
  <si>
    <t>bug-report;documentation;chore</t>
  </si>
  <si>
    <t>gs://swe-bench-plus/evaluations/019c66b4-eabc-7558-9200-0cb1aa23d63b-avifenesh__awesome-slash-167-swe-agent-claude-sonnet-4-20250514</t>
  </si>
  <si>
    <t>https://drive.google.com/drive/folders/1mc9NfwBPd5BNEI-zqY-VBKrULsvUMzbs</t>
  </si>
  <si>
    <t>avifenesh/awesome-slash</t>
  </si>
  <si>
    <t>avifenesh__awesome-slash</t>
  </si>
  <si>
    <t>AvitalTamir__cyphernetes-258</t>
  </si>
  <si>
    <t>https://github.com/AvitalTamir/cyphernetes/issues/258</t>
  </si>
  <si>
    <t>gs://swe-bench-plus/evaluations/019b6ab1-4e74-7019-9e81-9c96e98a145d-AvitalTamir__cyphernetes-258-swe-agent-claude-sonnet-4.5</t>
  </si>
  <si>
    <t>https://drive.google.com/drive/folders/1hRnHFUcysnl56yQrXQgVo_4EGsIGRohR</t>
  </si>
  <si>
    <t>AvitalTamir/cyphernetes</t>
  </si>
  <si>
    <t>AvitalTamir__cyphernetes</t>
  </si>
  <si>
    <t>AvitalTamir__cyphernetes-138</t>
  </si>
  <si>
    <t>https://github.com/AvitalTamir/cyphernetes/issues/138</t>
  </si>
  <si>
    <t>gs://swe-bench-plus/evaluations/019b6ab1-4e74-7019-9e81-9c96e98a145d-AvitalTamir__cyphernetes-138-swe-agent-claude-sonnet-4.5</t>
  </si>
  <si>
    <t>https://drive.google.com/drive/folders/1G6I_mILeDte6R8nzNiHNfpL376dO8FXn</t>
  </si>
  <si>
    <t>avoidwork__tiny-lru-312</t>
  </si>
  <si>
    <t>https://github.com/avoidwork/tiny-lru/issues/312</t>
  </si>
  <si>
    <t>gs://swe-bench-plus/evaluations/019b6aaf-1788-707e-b6dd-d4dc12d72279-avoidwork__tiny-lru-312-swe-agent-claude-sonnet-4.5</t>
  </si>
  <si>
    <t>https://drive.google.com/drive/folders/1GJ2XwXPQpK0MeKLRczh_uySoN-YiE5HG</t>
  </si>
  <si>
    <t>avoidwork/tiny-lru</t>
  </si>
  <si>
    <t>avoidwork__tiny-lru</t>
  </si>
  <si>
    <t>aws-observability__aws-rum-web-610</t>
  </si>
  <si>
    <t>https://github.com/aws-observability/aws-rum-web/issues/610</t>
  </si>
  <si>
    <t>feature;test;documentation;build-ci</t>
  </si>
  <si>
    <t>https://drive.google.com/drive/folders/14PKUrCRwZChmjhDhyj-yu19ffxSYnI0q</t>
  </si>
  <si>
    <t>https://drive.google.com/drive/folders/1EkQg6oqK5SQaPxUwWQSyaP80ljNFqdC6</t>
  </si>
  <si>
    <t>aws-observability/aws-rum-web</t>
  </si>
  <si>
    <t>aws-observability__aws-rum-web</t>
  </si>
  <si>
    <t>aws-powertools__powertools-lambda-dotnet-909</t>
  </si>
  <si>
    <t>https://github.com/aws-powertools/powertools-lambda-dotnet/issues/909</t>
  </si>
  <si>
    <t>gs://swe-bench-plus/evaluations/019b6aa7-0380-771f-9e02-24cda0fe6639-aws-powertools__powertools-lambda-dotnet-909-swe-agent-claude-sonnet-4.5</t>
  </si>
  <si>
    <t>https://drive.google.com/drive/folders/1uivmPEq8f7lRlOeClBQssRbBI3H1V_Pw</t>
  </si>
  <si>
    <t>aws-powertools/powertools-lambda-dotnet</t>
  </si>
  <si>
    <t>aws-powertools__powertools-lambda-dotnet</t>
  </si>
  <si>
    <t>aws-powertools__powertools-lambda-dotnet-785</t>
  </si>
  <si>
    <t>https://github.com/aws-powertools/powertools-lambda-dotnet/issues/785</t>
  </si>
  <si>
    <t>gs://swe-bench-plus/evaluations/019b6aa7-0380-771f-9e02-24cda0fe6639-aws-powertools__powertools-lambda-dotnet-785-swe-agent-claude-sonnet-4.5</t>
  </si>
  <si>
    <t>https://drive.google.com/drive/folders/1P3GubuL4da0xHce0EK0igfZCt0Work8i</t>
  </si>
  <si>
    <t>aws-powertools__powertools-lambda-java-1902</t>
  </si>
  <si>
    <t>https://github.com/aws-powertools/powertools-lambda-java/issues/1902</t>
  </si>
  <si>
    <t>gs://swe-bench-plus/evaluations/019b6aaf-1788-707e-b6dd-d4dc12d72279-aws-powertools__powertools-lambda-java-1902-swe-agent-claude-sonnet-4.5</t>
  </si>
  <si>
    <t>https://drive.google.com/drive/folders/1ImkFZ3WR_0XylW1dtYAaTMArUhleugeR</t>
  </si>
  <si>
    <t>aws-powertools/powertools-lambda-java</t>
  </si>
  <si>
    <t>aws-powertools__powertools-lambda-java</t>
  </si>
  <si>
    <t>aws-powertools__powertools-lambda-python-7028</t>
  </si>
  <si>
    <t>https://github.com/aws-powertools/powertools-lambda-python/issues/7028</t>
  </si>
  <si>
    <t>webdev;infra-devops;devtools</t>
  </si>
  <si>
    <t>https://drive.google.com/drive/folders/1QuYiqALVipJA8g9Kj9IklEpAO69GB9Qy</t>
  </si>
  <si>
    <t>https://drive.google.com/drive/folders/1qiQqorfS7QtmUWjVTG0ggxrAU9mj5QFu</t>
  </si>
  <si>
    <t>aws-powertools/powertools-lambda-python</t>
  </si>
  <si>
    <t>aws-powertools__powertools-lambda-python</t>
  </si>
  <si>
    <t>aws-powertools__powertools-lambda-python-5883</t>
  </si>
  <si>
    <t>https://github.com/aws-powertools/powertools-lambda-python/issues/5883</t>
  </si>
  <si>
    <t>https://drive.google.com/drive/folders/18vAVueHMq1yNzqXRff52-ZWMEKQMK8Vd</t>
  </si>
  <si>
    <t>https://drive.google.com/drive/folders/1BMil-PJ6YSJMehrlYRo-NzVKyd0oHsU-</t>
  </si>
  <si>
    <t>aws-powertools__powertools-lambda-python-5956</t>
  </si>
  <si>
    <t>https://github.com/aws-powertools/powertools-lambda-python/issues/5956</t>
  </si>
  <si>
    <t>https://drive.google.com/drive/folders/1w10D0HWIh4S0LjljkLvzYx-xfQOY0pZH</t>
  </si>
  <si>
    <t>https://drive.google.com/drive/folders/1bN3DZvnTIInXp0zDq64a6T4jribMxCgz</t>
  </si>
  <si>
    <t>aws-powertools__powertools-lambda-python-7058</t>
  </si>
  <si>
    <t>https://github.com/aws-powertools/powertools-lambda-python/issues/7058</t>
  </si>
  <si>
    <t>https://drive.google.com/drive/folders/1IkK5FCT2PVuRdlYbKRyjbNfFMHrq-Abp</t>
  </si>
  <si>
    <t>https://drive.google.com/drive/folders/1QzsE23uCx0pnb67gfj8pUfUalA6XBtKP</t>
  </si>
  <si>
    <t>aws-powertools__powertools-lambda-python-6413</t>
  </si>
  <si>
    <t>https://github.com/aws-powertools/powertools-lambda-python/issues/6413</t>
  </si>
  <si>
    <t>https://drive.google.com/drive/folders/1TThCH_wqV6SKhytWjQz0dm9w02CzQ08k</t>
  </si>
  <si>
    <t>https://drive.google.com/drive/folders/1l9G0SNOFL_3v3Jz2zIdxAu7N7IVWmtTO</t>
  </si>
  <si>
    <t>aws-powertools__powertools-lambda-python-6189</t>
  </si>
  <si>
    <t>https://github.com/aws-powertools/powertools-lambda-python/issues/6189</t>
  </si>
  <si>
    <t>https://drive.google.com/drive/folders/1w4MGfOqlFWwaHiULdX_VqhSUVO1-h_OY</t>
  </si>
  <si>
    <t>https://drive.google.com/drive/folders/1CsSZObCuv737UIEVujdgPW9UeuOnOnK3</t>
  </si>
  <si>
    <t>aws-powertools__powertools-lambda-python-6336</t>
  </si>
  <si>
    <t>https://github.com/aws-powertools/powertools-lambda-python/issues/6336</t>
  </si>
  <si>
    <t>https://drive.google.com/drive/folders/1hRBZS3Te6s9u7jeGsiDAprs-pEB1SH5K</t>
  </si>
  <si>
    <t>https://drive.google.com/drive/folders/1bGaPAksE4_xIOzNhrox0bF6qMwPnczWN</t>
  </si>
  <si>
    <t>aws__aws-sdk-rails-168</t>
  </si>
  <si>
    <t>https://github.com/aws/aws-sdk-rails/issues/168</t>
  </si>
  <si>
    <t>gs://swe-bench-plus/evaluations/019b6aaf-1788-707e-b6dd-d4dc12d72279-aws__aws-sdk-rails-168-swe-agent-claude-sonnet-4.5</t>
  </si>
  <si>
    <t>https://drive.google.com/drive/folders/1SPE9X76NlPslEibkwwRVcI_RlL_5-yuw</t>
  </si>
  <si>
    <t>aws/aws-sdk-rails</t>
  </si>
  <si>
    <t>aws__aws-sdk-rails</t>
  </si>
  <si>
    <t>aws__eventbridge-kafka-connector-464</t>
  </si>
  <si>
    <t>https://github.com/aws/eventbridge-kafka-connector/issues/464</t>
  </si>
  <si>
    <t>gs://swe-bench-plus/evaluations/019b6aaf-1788-707e-b6dd-d4dc12d72279-aws__eventbridge-kafka-connector-464-swe-agent-claude-sonnet-4.5</t>
  </si>
  <si>
    <t>https://drive.google.com/drive/folders/1a59MYubdpndvR4zfOZVKWmUZgjjgC3Xy</t>
  </si>
  <si>
    <t>aws/eventbridge-kafka-connector</t>
  </si>
  <si>
    <t>aws__eventbridge-kafka-connector</t>
  </si>
  <si>
    <t>aws__serverless-java-container-18</t>
  </si>
  <si>
    <t>https://github.com/aws/serverless-java-container/issues/18</t>
  </si>
  <si>
    <t>infra-devops;webdev</t>
  </si>
  <si>
    <t>gs://swe-bench-plus/evaluations/019b6ab1-4e74-7019-9e81-9c96e98a145d-aws__serverless-java-container-18-swe-agent-claude-sonnet-4.5</t>
  </si>
  <si>
    <t>https://drive.google.com/drive/folders/151G8MqlSYAzXHFEUMAolvDdrhA95_hfm</t>
  </si>
  <si>
    <t>aws/serverless-java-container</t>
  </si>
  <si>
    <t>aws__serverless-java-container</t>
  </si>
  <si>
    <t>awspring__spring-cloud-aws-1574</t>
  </si>
  <si>
    <t>https://github.com/awspring/spring-cloud-aws/issues/1574</t>
  </si>
  <si>
    <t>gs://swe-bench-plus/evaluations/019c9aad-36b7-7363-979b-09f446c180bc-awspring__spring-cloud-aws-1574-swe-agent-claude-sonnet-4-20250514</t>
  </si>
  <si>
    <t>https://drive.google.com/drive/folders/1YT1EZtMkENBNFKJJ0fL8drzWOH5Zpf5M</t>
  </si>
  <si>
    <t>awspring/spring-cloud-aws</t>
  </si>
  <si>
    <t>awspring__spring-cloud-aws</t>
  </si>
  <si>
    <t>AxonFramework__AxonFramework-2722</t>
  </si>
  <si>
    <t>https://github.com/AxonFramework/AxonFramework/issues/2722</t>
  </si>
  <si>
    <t>https://drive.google.com/drive/folders/1eZ_JOy-TKgyKJ7vu4EYG7oRbqHZtvZuU</t>
  </si>
  <si>
    <t>https://drive.google.com/drive/folders/1U8ZxOzMqAD5oDjBcKSumyd4gpCAoAcu7</t>
  </si>
  <si>
    <t>AxonFramework/AxonFramework</t>
  </si>
  <si>
    <t>AxonFramework__AxonFramework</t>
  </si>
  <si>
    <t>AxonFramework__AxonFramework-2139</t>
  </si>
  <si>
    <t>https://github.com/AxonFramework/AxonFramework/issues/2139</t>
  </si>
  <si>
    <t>https://drive.google.com/drive/folders/18xw2yMHihdILPxGtTrkRbyYgjWYcwgSr</t>
  </si>
  <si>
    <t>https://drive.google.com/drive/folders/1Wi-NF6oGVkx6azUYou3csbpTDMlSnuuR</t>
  </si>
  <si>
    <t>Azure-Samples__Apim-Samples-88</t>
  </si>
  <si>
    <t>https://github.com/Azure-Samples/Apim-Samples/issues/88</t>
  </si>
  <si>
    <t>https://drive.google.com/drive/folders/1_1iuuCUJcYhEG0qaaRM2QZgdgDvJObxu</t>
  </si>
  <si>
    <t>https://drive.google.com/drive/folders/15foi83m9wo36r3Oj0nhPBSadN6m9a6e1</t>
  </si>
  <si>
    <t>Azure-Samples/Apim-Samples</t>
  </si>
  <si>
    <t>Azure-Samples__Apim-Samples</t>
  </si>
  <si>
    <t>Azure__azure-cli-30525</t>
  </si>
  <si>
    <t>https://github.com/Azure/azure-cli/issues/30525</t>
  </si>
  <si>
    <t>https://drive.google.com/drive/folders/1And7qp-sPmekOy2HjhJQm-d_1uxCp6F1</t>
  </si>
  <si>
    <t>Azure/azure-cli</t>
  </si>
  <si>
    <t>Azure__azure-cli</t>
  </si>
  <si>
    <t>Azure__azure-functions-host-10967</t>
  </si>
  <si>
    <t>https://github.com/Azure/azure-functions-host/issues/10967</t>
  </si>
  <si>
    <t>gs://swe-bench-plus/evaluations/019b6ab1-4e74-7019-9e81-9c96e98a145d-Azure__azure-functions-host-10967-swe-agent-claude-sonnet-4.5</t>
  </si>
  <si>
    <t>https://drive.google.com/drive/folders/1BT1IYmx1SWbqNjML-wBstfOp6PELFDtC</t>
  </si>
  <si>
    <t>Azure/azure-functions-host</t>
  </si>
  <si>
    <t>Azure__azure-functions-host</t>
  </si>
  <si>
    <t>Azure__azure-mcp-704</t>
  </si>
  <si>
    <t>https://github.com/Azure/azure-mcp/issues/704</t>
  </si>
  <si>
    <t>feature;documentation;maintenance</t>
  </si>
  <si>
    <t>gs://swe-bench-plus/evaluations/019b6aaf-1788-707e-b6dd-d4dc12d72279-Azure__azure-mcp-704-swe-agent-claude-sonnet-4.5</t>
  </si>
  <si>
    <t>https://drive.google.com/drive/folders/18cG8MIcMYU6ilBRRNDXw8gweTnEhlgX3</t>
  </si>
  <si>
    <t>Azure/azure-mcp</t>
  </si>
  <si>
    <t>Azure__azure-mcp</t>
  </si>
  <si>
    <t>Azure__azure-mcp-758</t>
  </si>
  <si>
    <t>https://github.com/Azure/azure-mcp/issues/758</t>
  </si>
  <si>
    <t>infra-devops;ai-ml</t>
  </si>
  <si>
    <t>gs://swe-bench-plus/evaluations/019b6ab1-4e74-7019-9e81-9c96e98a145d-Azure__azure-mcp-758-swe-agent-claude-sonnet-4.5</t>
  </si>
  <si>
    <t>https://drive.google.com/drive/folders/1RMGLf5juEJBEYCSwPyGb5a2UrVWVkPh4</t>
  </si>
  <si>
    <t>Azure__azure-sdk-for-cpp-5733</t>
  </si>
  <si>
    <t>https://github.com/Azure/azure-sdk-for-cpp/issues/5733</t>
  </si>
  <si>
    <t>gs://swe-bench-plus/evaluations/019b6ab1-4e74-7019-9e81-9c96e98a145d-Azure__azure-sdk-for-cpp-5733-swe-agent-claude-sonnet-4.5</t>
  </si>
  <si>
    <t>https://drive.google.com/drive/folders/1HhdGv39DIn06Bga-SRahODHoo-kPBH5Z</t>
  </si>
  <si>
    <t>Azure/azure-sdk-for-cpp</t>
  </si>
  <si>
    <t>Azure__azure-sdk-for-cpp</t>
  </si>
  <si>
    <t>Azure__azure-sdk-for-java-44463</t>
  </si>
  <si>
    <t>https://github.com/Azure/azure-sdk-for-java/issues/44463</t>
  </si>
  <si>
    <t>gs://swe-bench-plus/evaluations/019c2527-8af6-7128-8f79-c6ab950217ac-Azure__azure-sdk-for-java-44463-swe-agent-claude-sonnet-4-20250514</t>
  </si>
  <si>
    <t>https://drive.google.com/drive/folders/1ZmWbVs2O2qTItdOpg7cKiEhf4h_XgEMQ</t>
  </si>
  <si>
    <t>Azure/azure-sdk-for-java</t>
  </si>
  <si>
    <t>Azure__azure-sdk-for-java</t>
  </si>
  <si>
    <t>Azure__azure-sdk-for-python-41701</t>
  </si>
  <si>
    <t>https://github.com/Azure/azure-sdk-for-python/issues/41701</t>
  </si>
  <si>
    <t>gs://swe-bench-plus/evaluations/019a8f6e-136c-7345-a414-a1ed9c7f4f2d-Azure__azure-sdk-for-python-41701-open-hands-claude-sonnet-4-20250514</t>
  </si>
  <si>
    <t>Azure/azure-sdk-for-python</t>
  </si>
  <si>
    <t>Azure__azure-sdk-for-python</t>
  </si>
  <si>
    <t>Azure__azure-service-operator-4757</t>
  </si>
  <si>
    <t>https://github.com/Azure/azure-service-operator/issues/4757</t>
  </si>
  <si>
    <t>gs://swe-bench-plus/evaluations/019b6aa7-0380-771f-9e02-24cda0fe6639-Azure__azure-service-operator-4757-swe-agent-claude-sonnet-4.5</t>
  </si>
  <si>
    <t>https://drive.google.com/drive/folders/16s4_8vnf7EkK1MuyBfSr3y4Pw7phxTjE</t>
  </si>
  <si>
    <t>Azure/azure-service-operator</t>
  </si>
  <si>
    <t>Azure__azure-service-operator</t>
  </si>
  <si>
    <t>Azure__kubelogin-663</t>
  </si>
  <si>
    <t>https://github.com/Azure/kubelogin/issues/663</t>
  </si>
  <si>
    <t>security;infra-devops</t>
  </si>
  <si>
    <t>gs://swe-bench-plus/evaluations/019b6aa7-0380-771f-9e02-24cda0fe6639-Azure__kubelogin-663-swe-agent-claude-sonnet-4.5</t>
  </si>
  <si>
    <t>https://drive.google.com/drive/folders/1Lyqria7p1iVwD6o4NAX8ULKi_P-kunjw</t>
  </si>
  <si>
    <t>Azure/kubelogin</t>
  </si>
  <si>
    <t>Azure__kubelogin</t>
  </si>
  <si>
    <t>Azure__kubelogin-661</t>
  </si>
  <si>
    <t>https://github.com/Azure/kubelogin/issues/661</t>
  </si>
  <si>
    <t>gs://swe-bench-plus/evaluations/019b0886-0f4d-757e-a2e5-c06041eabbaf-Azure__kubelogin-661-swe-agent-claude-sonnet-4.5</t>
  </si>
  <si>
    <t>https://drive.google.com/drive/folders/1lhIsfmldPCEJ0pwcZivZ865m4e0o8YzA</t>
  </si>
  <si>
    <t>Azure__mpf-52</t>
  </si>
  <si>
    <t>https://github.com/Azure/mpf/issues/52</t>
  </si>
  <si>
    <t>gs://swe-bench-plus/evaluations/019b6ab1-4e74-7019-9e81-9c96e98a145d-Azure__mpf-52-swe-agent-claude-sonnet-4.5</t>
  </si>
  <si>
    <t>https://drive.google.com/drive/folders/1yTzhmgwbU2EdFH-BwbuEUevaL5x8uD_n</t>
  </si>
  <si>
    <t>Azure/mpf</t>
  </si>
  <si>
    <t>Azure__mpf</t>
  </si>
  <si>
    <t>Azure__PyRIT-718</t>
  </si>
  <si>
    <t>https://github.com/Azure/PyRIT/issues/718</t>
  </si>
  <si>
    <t>ai-ml;security</t>
  </si>
  <si>
    <t>https://drive.google.com/drive/folders/1qKpMTCCqouwprSMhcSTP8EY03qTOXCl2</t>
  </si>
  <si>
    <t>Azure/PyRIT</t>
  </si>
  <si>
    <t>Azure__PyRIT</t>
  </si>
  <si>
    <t>bug-fix;dependency-update;refactor</t>
  </si>
  <si>
    <t>https://drive.google.com/drive/folders/1dlNUjgD1A3xpUDpLlyO8aQx1k0-sdg6w</t>
  </si>
  <si>
    <t>https://drive.google.com/drive/folders/1e-r3NDKroh81DO33mdaReIicNEmIjJPF</t>
  </si>
  <si>
    <t>Azure__template-analyzer</t>
  </si>
  <si>
    <t>AzureAD__microsoft-authentication-library-for-dotnet-5140</t>
  </si>
  <si>
    <t>https://github.com/AzureAD/microsoft-authentication-library-for-dotnet/issues/5140</t>
  </si>
  <si>
    <t>gs://swe-bench-plus/evaluations/019b6aa7-0380-771f-9e02-24cda0fe6639-AzureAD__microsoft-authentication-library-for-dotnet-5140-swe-agent-claude-sonnet-4.5</t>
  </si>
  <si>
    <t>https://drive.google.com/drive/folders/15r1nvrEaTJBdENwTWvBUXHjLNmBnpi7G</t>
  </si>
  <si>
    <t>AzureAD/microsoft-authentication-library-for-dotnet</t>
  </si>
  <si>
    <t>AzureAD__microsoft-authentication-library-for-dotnet</t>
  </si>
  <si>
    <t>AzureAD__microsoft-authentication-library-for-dotnet-5135</t>
  </si>
  <si>
    <t>https://github.com/AzureAD/microsoft-authentication-library-for-dotnet/issues/5135</t>
  </si>
  <si>
    <t>gs://swe-bench-plus/evaluations/019b6aa7-0380-771f-9e02-24cda0fe6639-AzureAD__microsoft-authentication-library-for-dotnet-5135-swe-agent-claude-sonnet-4.5</t>
  </si>
  <si>
    <t>https://drive.google.com/drive/folders/1NNJfRGMaYf5p6uTR8Ohm0UdQ29i9XiSz</t>
  </si>
  <si>
    <t>AzureAD__microsoft-authentication-library-for-java-941</t>
  </si>
  <si>
    <t>https://github.com/AzureAD/microsoft-authentication-library-for-java/issues/941</t>
  </si>
  <si>
    <t>https://drive.google.com/drive/folders/1QoWyh9k2GUZ3RgFIBLUZU-q32U0aQrl4</t>
  </si>
  <si>
    <t>https://drive.google.com/drive/folders/1ZKVrwqanRmZ2fgC01PC-9tz6QuFuiCsy</t>
  </si>
  <si>
    <t>AzureAD/microsoft-authentication-library-for-java</t>
  </si>
  <si>
    <t>AzureAD__microsoft-authentication-library-for-java</t>
  </si>
  <si>
    <t>backstage__backstage-28379</t>
  </si>
  <si>
    <t>https://github.com/backstage/backstage/issues/28379</t>
  </si>
  <si>
    <t>applications;webdev;devtools</t>
  </si>
  <si>
    <t>https://drive.google.com/drive/folders/1X7j42yh-t4pfRho6TskFjIaZ-1xpdfeV</t>
  </si>
  <si>
    <t>backstage/backstage</t>
  </si>
  <si>
    <t>backstage__backstage</t>
  </si>
  <si>
    <t>backstage__backstage-27499</t>
  </si>
  <si>
    <t>https://github.com/backstage/backstage/issues/27499</t>
  </si>
  <si>
    <t>applications;webdev;infra-devops;security</t>
  </si>
  <si>
    <t>gs://swe-bench-plus/evaluations/019c66b2-2d90-7260-9966-4e0d0d7a99cf-backstage__backstage-27499-swe-agent-claude-sonnet-4-20250514</t>
  </si>
  <si>
    <t>https://drive.google.com/drive/folders/1cD4D0Pd5U6J_2rTbz72ZEOblPHFs5RSt</t>
  </si>
  <si>
    <t>bartfeenstra__betty-2440</t>
  </si>
  <si>
    <t>https://github.com/bartfeenstra/betty/issues/2440</t>
  </si>
  <si>
    <t>refactor;build-ci;maintenance</t>
  </si>
  <si>
    <t>https://drive.google.com/drive/folders/1Fv9qg53KHcolO1p3gMk4KQ8rtEwiqmbS</t>
  </si>
  <si>
    <t>https://drive.google.com/drive/folders/16krQE62jBIpnj3vildjInJK707gh2YM0</t>
  </si>
  <si>
    <t>bartfeenstra/betty</t>
  </si>
  <si>
    <t>bartfeenstra__betty</t>
  </si>
  <si>
    <t>bartfeenstra__betty-2417</t>
  </si>
  <si>
    <t>https://github.com/bartfeenstra/betty/issues/2417</t>
  </si>
  <si>
    <t>https://drive.google.com/drive/folders/1G6bIojA3H7tFdFTcfMMg4B_oXc30cw_V</t>
  </si>
  <si>
    <t>https://drive.google.com/drive/folders/1sb8dWgm_buNAn3ZiYLTHcJ15-Z8JHKz1</t>
  </si>
  <si>
    <t>bartfeenstra__betty-2757</t>
  </si>
  <si>
    <t>https://github.com/bartfeenstra/betty/issues/2757</t>
  </si>
  <si>
    <t>applications;data-eng</t>
  </si>
  <si>
    <t>https://drive.google.com/drive/folders/1K5YBvAUXD1E8teNJzPK9GGcfHYofhM-K</t>
  </si>
  <si>
    <t>https://drive.google.com/drive/folders/1BmhvHBOWJSgDE2f1_XBEymK9QAI8mQX0</t>
  </si>
  <si>
    <t>bashtage__linearmodels-634</t>
  </si>
  <si>
    <t>https://github.com/bashtage/linearmodels/issues/634</t>
  </si>
  <si>
    <t>bug-fix;build-ci;dependency-update</t>
  </si>
  <si>
    <t>gs://swe-bench-plus/evaluations/019a11d0-17d3-730b-bffc-06f187eef661-bashtage__linearmodels-634-swe-agent-claude-sonnet-4-20250514</t>
  </si>
  <si>
    <t>https://drive.google.com/drive/folders/1iftgVg6rUQLFRFP2LZnoWT6j4KwtBBU9</t>
  </si>
  <si>
    <t>bashtage/linearmodels</t>
  </si>
  <si>
    <t>bashtage__linearmodels</t>
  </si>
  <si>
    <t>basnijholt__dotbins-83</t>
  </si>
  <si>
    <t>https://github.com/basnijholt/dotbins/issues/83</t>
  </si>
  <si>
    <t>https://drive.google.com/drive/folders/1NNvPawCDuJQwGA23RPKizOfXpsbdXmnU</t>
  </si>
  <si>
    <t>https://drive.google.com/drive/folders/1yz4TYO6HHxOd6FX4wZLAp7Du-MB7zGHi</t>
  </si>
  <si>
    <t>basnijholt/dotbins</t>
  </si>
  <si>
    <t>basnijholt__dotbins</t>
  </si>
  <si>
    <t>bavix__gripmock-653</t>
  </si>
  <si>
    <t>https://github.com/bavix/gripmock/issues/653</t>
  </si>
  <si>
    <t>bug-fix;feature;dependency-update</t>
  </si>
  <si>
    <t>gs://swe-bench-plus/evaluations/019a9c59-60ac-726c-a409-57ec3ba781b9-bavix__gripmock-653-swe-agent-claude-sonnet-4-20250514</t>
  </si>
  <si>
    <t>https://drive.google.com/drive/folders/1DJYAtYVZeku2u7Ery910aic7qmOr_GdK</t>
  </si>
  <si>
    <t>bavix/gripmock</t>
  </si>
  <si>
    <t>bavix__gripmock</t>
  </si>
  <si>
    <t>bayesflow-org__bayesflow-284</t>
  </si>
  <si>
    <t>https://github.com/bayesflow-org/bayesflow/issues/284</t>
  </si>
  <si>
    <t>ai-ml;sci-comp</t>
  </si>
  <si>
    <t>https://drive.google.com/drive/folders/1ehaQs0XRIbKx1tw7aPUor7_6lDN-3RcJ</t>
  </si>
  <si>
    <t>https://drive.google.com/drive/folders/12BtZXLBesb-PPBLWUlBVKBt5Iviqa5Eg</t>
  </si>
  <si>
    <t>bayesflow-org/bayesflow</t>
  </si>
  <si>
    <t>bayesflow-org__bayesflow</t>
  </si>
  <si>
    <t>bayesflow-org__bayesflow-419</t>
  </si>
  <si>
    <t>https://github.com/bayesflow-org/bayesflow/issues/419</t>
  </si>
  <si>
    <t>https://drive.google.com/drive/folders/1BxxyMWpqz_xPfzUZ9qwILlTaOdQqZ-sJ</t>
  </si>
  <si>
    <t>https://drive.google.com/drive/folders/1qK8lRDMaRrNjjBzpJthvp2zzpArAuwt2</t>
  </si>
  <si>
    <t>beeware__briefcase-2059</t>
  </si>
  <si>
    <t>https://github.com/beeware/briefcase/issues/2059</t>
  </si>
  <si>
    <t>https://drive.google.com/drive/folders/1yhfFGLO0pnxo0Y-ipzqAGOmV1QTXcIaO</t>
  </si>
  <si>
    <t>https://drive.google.com/drive/folders/1VTvyi-84NRLw_c16U0Ejw6E1lNYsg_96</t>
  </si>
  <si>
    <t>beeware/briefcase</t>
  </si>
  <si>
    <t>beeware__briefcase</t>
  </si>
  <si>
    <t>beeware__briefcase-2119</t>
  </si>
  <si>
    <t>https://github.com/beeware/briefcase/issues/2119</t>
  </si>
  <si>
    <t>https://drive.google.com/drive/folders/1SI4VB_YTNMoEJLQ881b7e54dMIgXQcz3</t>
  </si>
  <si>
    <t>beeware__briefcase-2229</t>
  </si>
  <si>
    <t>https://github.com/beeware/briefcase/issues/2229</t>
  </si>
  <si>
    <t>https://drive.google.com/drive/folders/1zp1t1bRsRs6T7FhUO1j48lje8ftNjmhC</t>
  </si>
  <si>
    <t>belav__csharpier-1665</t>
  </si>
  <si>
    <t>https://github.com/belav/csharpier/issues/1665</t>
  </si>
  <si>
    <t>gs://swe-bench-plus/evaluations/019b6aa7-0380-771f-9e02-24cda0fe6639-belav__csharpier-1665-swe-agent-claude-sonnet-4.5</t>
  </si>
  <si>
    <t>https://drive.google.com/drive/folders/1IgB1yp9P9ZWfDZ9C0uO1YakvYOURTWHX</t>
  </si>
  <si>
    <t>belav/csharpier</t>
  </si>
  <si>
    <t>belav__csharpier</t>
  </si>
  <si>
    <t>belav__csharpier-1648</t>
  </si>
  <si>
    <t>https://github.com/belav/csharpier/issues/1648</t>
  </si>
  <si>
    <t>gs://swe-bench-plus/evaluations/019b6aa7-0380-771f-9e02-24cda0fe6639-belav__csharpier-1648-swe-agent-claude-sonnet-4.5</t>
  </si>
  <si>
    <t>https://drive.google.com/drive/folders/1YyPo1eQItziVU3rd_nmGGjZRhh7qgahz</t>
  </si>
  <si>
    <t>belav__csharpier-1568</t>
  </si>
  <si>
    <t>https://github.com/belav/csharpier/issues/1568</t>
  </si>
  <si>
    <t>gs://swe-bench-plus/evaluations/019b6ab1-4e74-7019-9e81-9c96e98a145d-belav__csharpier-1568-swe-agent-claude-sonnet-4.5</t>
  </si>
  <si>
    <t>https://drive.google.com/drive/folders/1_hmtFSFNUkWjSWtK59jYXU-0UGJ77XZI</t>
  </si>
  <si>
    <t>belav__csharpier-1484</t>
  </si>
  <si>
    <t>https://github.com/belav/csharpier/issues/1484</t>
  </si>
  <si>
    <t>gs://swe-bench-plus/evaluations/019b6ab1-4e74-7019-9e81-9c96e98a145d-belav__csharpier-1484-swe-agent-claude-sonnet-4.5</t>
  </si>
  <si>
    <t>https://drive.google.com/drive/folders/1kqZd0CCx1zDMef6b1q9N_QPynkgDGXpW</t>
  </si>
  <si>
    <t>belav__csharpier-1659</t>
  </si>
  <si>
    <t>https://github.com/belav/csharpier/issues/1659</t>
  </si>
  <si>
    <t>gs://swe-bench-plus/evaluations/019b6ab1-4e74-7019-9e81-9c96e98a145d-belav__csharpier-1659-swe-agent-claude-sonnet-4.5</t>
  </si>
  <si>
    <t>https://drive.google.com/drive/folders/1xx3ZEMbOPb7LM5GKA91MX4gXjMJASSWS</t>
  </si>
  <si>
    <t>benbalter__jekyll-relative-links-98</t>
  </si>
  <si>
    <t>https://github.com/benbalter/jekyll-relative-links/issues/98</t>
  </si>
  <si>
    <t>https://drive.google.com/drive/folders/1--NLfGiOhgGDPLenpvmIfLzCqAG16jKe</t>
  </si>
  <si>
    <t>benbalter/jekyll-relative-links</t>
  </si>
  <si>
    <t>benbalter__jekyll-relative-links</t>
  </si>
  <si>
    <t>bennycode__ts2esm-130</t>
  </si>
  <si>
    <t>https://github.com/bennycode/ts2esm/issues/130</t>
  </si>
  <si>
    <t>gs://swe-bench-plus/evaluations/019b6aaf-1788-707e-b6dd-d4dc12d72279-bennycode__ts2esm-130-swe-agent-claude-sonnet-4.5</t>
  </si>
  <si>
    <t>https://drive.google.com/drive/folders/1jdorV4AkF7QhycPV3zJBppUTWA3SNIIg</t>
  </si>
  <si>
    <t>bennycode/ts2esm</t>
  </si>
  <si>
    <t>bennycode__ts2esm</t>
  </si>
  <si>
    <t>bent10__marked-extensions-178</t>
  </si>
  <si>
    <t>https://github.com/bent10/marked-extensions/issues/178</t>
  </si>
  <si>
    <t>gs://swe-bench-plus/evaluations/019b6aaf-1788-707e-b6dd-d4dc12d72279-bent10__marked-extensions-178-swe-agent-claude-sonnet-4.5</t>
  </si>
  <si>
    <t>https://drive.google.com/drive/folders/1FCXl0PYqUXqyIqpw3OFb-OTAG2qrzha2</t>
  </si>
  <si>
    <t>bent10/marked-extensions</t>
  </si>
  <si>
    <t>bent10__marked-extensions</t>
  </si>
  <si>
    <t>BerriAI__litellm-10423</t>
  </si>
  <si>
    <t>https://github.com/BerriAI/litellm/issues/10423</t>
  </si>
  <si>
    <t>https://drive.google.com/drive/folders/1YG35PH0TK_OXm40laAtMSNiwe6t5hVTB</t>
  </si>
  <si>
    <t>BerriAI/litellm</t>
  </si>
  <si>
    <t>BerriAI__litellm</t>
  </si>
  <si>
    <t>BerriAI__litellm-12180</t>
  </si>
  <si>
    <t>https://github.com/BerriAI/litellm/issues/12180</t>
  </si>
  <si>
    <t>https://drive.google.com/drive/folders/1aMZHx3AtTTdta3Wtc3Z6RzTcPyz57wnj</t>
  </si>
  <si>
    <t>https://drive.google.com/drive/folders/1ObleFupgl9o_aJGrbGAORMUb7KExBVDA</t>
  </si>
  <si>
    <t>BerriAI__litellm-9995</t>
  </si>
  <si>
    <t>https://github.com/BerriAI/litellm/issues/9995</t>
  </si>
  <si>
    <t>https://drive.google.com/drive/folders/1m1Ff6At1L9JEyuQ6OgIWErrra1Dk2ARq</t>
  </si>
  <si>
    <t>BerriAI__litellm-9646</t>
  </si>
  <si>
    <t>https://github.com/BerriAI/litellm/issues/9646</t>
  </si>
  <si>
    <t>https://drive.google.com/drive/folders/14m7sZwgmK-MFH5glq68fBPeNLAXlVKPd</t>
  </si>
  <si>
    <t>better-auth__better-auth-4792</t>
  </si>
  <si>
    <t>https://github.com/better-auth/better-auth/issues/4792</t>
  </si>
  <si>
    <t>gs://swe-bench-plus/evaluations/019b6aaf-1788-707e-b6dd-d4dc12d72279-better-auth__better-auth-4792-swe-agent-claude-sonnet-4.5</t>
  </si>
  <si>
    <t>https://drive.google.com/drive/folders/1EVMaogXkbO51Ih8uTX-qHYUQd4JG4dlM</t>
  </si>
  <si>
    <t>better-auth/better-auth</t>
  </si>
  <si>
    <t>better-auth__better-auth</t>
  </si>
  <si>
    <t>bids-standard__bids-specification-1781</t>
  </si>
  <si>
    <t>https://github.com/bids-standard/bids-specification/issues/1781</t>
  </si>
  <si>
    <t>gs://swe-bench-plus/evaluations/019ac57e-f665-72ea-8d22-b2c491531db5-bids-standard__bids-specification-1781-open-hands-claude-sonnet-4-20250514</t>
  </si>
  <si>
    <t>https://drive.google.com/drive/folders/1PK3hyZvv6I99wJQQFEcFwXskBP-7CxBk</t>
  </si>
  <si>
    <t>bids-standard/bids-specification</t>
  </si>
  <si>
    <t>bids-standard__bids-specification</t>
  </si>
  <si>
    <t>bingo-js__bingo-115</t>
  </si>
  <si>
    <t>https://github.com/bingo-js/bingo/issues/115</t>
  </si>
  <si>
    <t>gs://swe-bench-plus/evaluations/019b6aaf-1788-707e-b6dd-d4dc12d72279-bingo-js__bingo-115-swe-agent-claude-sonnet-4.5</t>
  </si>
  <si>
    <t>https://drive.google.com/drive/folders/1YU6rOTPuqE4iVz_yw5u0vsQJQumXcTnr</t>
  </si>
  <si>
    <t>bingo-js/bingo</t>
  </si>
  <si>
    <t>bingo-js__bingo</t>
  </si>
  <si>
    <t>bingo-js__bingo-250</t>
  </si>
  <si>
    <t>https://github.com/bingo-js/bingo/issues/250</t>
  </si>
  <si>
    <t>https://drive.google.com/drive/folders/1gTO_VGqr82Zs8LZKrChO2Ei9LxuYI7vP</t>
  </si>
  <si>
    <t>https://drive.google.com/drive/folders/1xKlIMFP5e6vkIQw9aa1txWjx57rTx6BD</t>
  </si>
  <si>
    <t>biopragmatics__bioregistry-1096</t>
  </si>
  <si>
    <t>https://github.com/biopragmatics/bioregistry/issues/1096</t>
  </si>
  <si>
    <t>sci-comp;devtools;data-eng</t>
  </si>
  <si>
    <t>https://drive.google.com/drive/folders/1TGhDBB_kGFccuqzzymnrmxr4fuUp-iJj</t>
  </si>
  <si>
    <t>biopragmatics/bioregistry</t>
  </si>
  <si>
    <t>biopragmatics__bioregistry</t>
  </si>
  <si>
    <t>bkryza__clang-include-graph-20</t>
  </si>
  <si>
    <t>https://github.com/bkryza/clang-include-graph/issues/20</t>
  </si>
  <si>
    <t>gs://swe-bench-plus/evaluations/019b6aa7-0380-771f-9e02-24cda0fe6639-bkryza__clang-include-graph-20-swe-agent-claude-sonnet-4.5</t>
  </si>
  <si>
    <t>https://drive.google.com/drive/folders/1xkqUIeenqWk99G2OGW0fL5WUuX-T-FQJ</t>
  </si>
  <si>
    <t>bkryza/clang-include-graph</t>
  </si>
  <si>
    <t>bkryza__clang-include-graph</t>
  </si>
  <si>
    <t>bkryza__clang-include-graph-12</t>
  </si>
  <si>
    <t>https://github.com/bkryza/clang-include-graph/issues/12</t>
  </si>
  <si>
    <t>feature;build-ci;dependency-update;maintenance</t>
  </si>
  <si>
    <t>gs://swe-bench-plus/evaluations/019b6aa7-0380-771f-9e02-24cda0fe6639-bkryza__clang-include-graph-12-swe-agent-claude-sonnet-4.5</t>
  </si>
  <si>
    <t>https://drive.google.com/drive/folders/1OGlVYiCoiZhP3Kxn5s8D5csL_CCXBkzm</t>
  </si>
  <si>
    <t>applications;security;devtools</t>
  </si>
  <si>
    <t>blackstork-io__fabric</t>
  </si>
  <si>
    <t>blevesearch__bleve-2220</t>
  </si>
  <si>
    <t>https://github.com/blevesearch/bleve/issues/2220</t>
  </si>
  <si>
    <t>data-eng;devtools</t>
  </si>
  <si>
    <t>https://drive.google.com/drive/folders/17m46IXMaqHzDUVcWXdA-o82wI49YO9Sz</t>
  </si>
  <si>
    <t>https://drive.google.com/drive/folders/1Zp4Eiz4Bc9eAAS-vjIpXvFKEKXk8ehtU</t>
  </si>
  <si>
    <t>blevesearch/bleve</t>
  </si>
  <si>
    <t>blevesearch__bleve</t>
  </si>
  <si>
    <t>blinklabs-io__gouroboros-1053</t>
  </si>
  <si>
    <t>https://github.com/blinklabs-io/gouroboros/issues/1053</t>
  </si>
  <si>
    <t>https://drive.google.com/drive/folders/1Jf62kTF5v68CtjJpMfvXwbURvFy0LOUk</t>
  </si>
  <si>
    <t>https://drive.google.com/drive/folders/1XXK5ipt9xdiSBQfermA2Fm3Pq8znJXIl</t>
  </si>
  <si>
    <t>blinklabs-io/gouroboros</t>
  </si>
  <si>
    <t>blinklabs-io__gouroboros</t>
  </si>
  <si>
    <t>blinklabs-io__gouroboros-1110</t>
  </si>
  <si>
    <t>https://github.com/blinklabs-io/gouroboros/issues/1110</t>
  </si>
  <si>
    <t>gs://swe-bench-plus/evaluations/019b6ab1-4e74-7019-9e81-9c96e98a145d-blinklabs-io__gouroboros-1110-swe-agent-claude-sonnet-4.5</t>
  </si>
  <si>
    <t>https://drive.google.com/drive/folders/1YB3MIJsxlXHIrOB6WsU9qPy5BDNfCMX4</t>
  </si>
  <si>
    <t>blinklabs-io__gouroboros-1142</t>
  </si>
  <si>
    <t>https://github.com/blinklabs-io/gouroboros/issues/1142</t>
  </si>
  <si>
    <t>refactor;dependency-update</t>
  </si>
  <si>
    <t>gs://swe-bench-plus/evaluations/019b6ab1-4e74-7019-9e81-9c96e98a145d-blinklabs-io__gouroboros-1142-swe-agent-claude-sonnet-4.5</t>
  </si>
  <si>
    <t>https://drive.google.com/drive/folders/1dBRijpnfvgZrGHQcRvxQpXEqBQZ_Znmr</t>
  </si>
  <si>
    <t>block__elasticgraph-875</t>
  </si>
  <si>
    <t>https://github.com/block/elasticgraph/issues/875</t>
  </si>
  <si>
    <t>gs://swe-bench-plus/evaluations/019b6aaf-1788-707e-b6dd-d4dc12d72279-block__elasticgraph-875-swe-agent-claude-sonnet-4.5</t>
  </si>
  <si>
    <t>https://drive.google.com/drive/folders/1EXZykvn_k8XjiZJPXjKHcol_WWLe83LT</t>
  </si>
  <si>
    <t>block/elasticgraph</t>
  </si>
  <si>
    <t>block__elasticgraph</t>
  </si>
  <si>
    <t>bluenviron__gohlslib-200</t>
  </si>
  <si>
    <t>https://github.com/bluenviron/gohlslib/issues/200</t>
  </si>
  <si>
    <t>gs://swe-bench-plus/evaluations/019b6aa7-0380-771f-9e02-24cda0fe6639-bluenviron__gohlslib-200-swe-agent-claude-sonnet-4.5</t>
  </si>
  <si>
    <t>https://drive.google.com/drive/folders/1JtjxtdbQLIiHbW7mZ6TvFQXSc7d8GVyy</t>
  </si>
  <si>
    <t>bluenviron/gohlslib</t>
  </si>
  <si>
    <t>bluenviron__gohlslib</t>
  </si>
  <si>
    <t>Blueprints-org__blueprints-392</t>
  </si>
  <si>
    <t>https://github.com/Blueprints-org/blueprints/issues/392</t>
  </si>
  <si>
    <t>https://drive.google.com/drive/folders/1l3NXy9wyGEGIxkg9DIT4J4VBYIqxXvm_</t>
  </si>
  <si>
    <t>https://drive.google.com/drive/folders/19_kMFGCnkfzrrZeeqPDoo1J5udqI0g1q</t>
  </si>
  <si>
    <t>Blueprints-org/blueprints</t>
  </si>
  <si>
    <t>Blueprints-org__blueprints</t>
  </si>
  <si>
    <t>Blueprints-org__blueprints-409</t>
  </si>
  <si>
    <t>https://github.com/Blueprints-org/blueprints/issues/409</t>
  </si>
  <si>
    <t>feature;maintenance;build-ci;documentation</t>
  </si>
  <si>
    <t>https://drive.google.com/drive/folders/1hKAkKWRzaPwp088eL8sHm8mOXOf56ITm</t>
  </si>
  <si>
    <t>https://drive.google.com/drive/folders/1qn8tqu91D189q3hbMSUVowRd5a_gEtSx</t>
  </si>
  <si>
    <t>Blueprints-org__blueprints-595</t>
  </si>
  <si>
    <t>https://github.com/Blueprints-org/blueprints/issues/595</t>
  </si>
  <si>
    <t>https://drive.google.com/drive/folders/1DDfkbg9Gdlr1wxp7VoaAZ6gTaEMgtxN5</t>
  </si>
  <si>
    <t>https://drive.google.com/drive/folders/15k2gehX9nSUupfIFVI8E80rLM82QxOjZ</t>
  </si>
  <si>
    <t>BlueWallet__BlueWallet-7758</t>
  </si>
  <si>
    <t>https://github.com/BlueWallet/BlueWallet/issues/7758</t>
  </si>
  <si>
    <t>applications;blockchain</t>
  </si>
  <si>
    <t>gs://swe-bench-plus/evaluations/019b6ab1-4e74-7019-9e81-9c96e98a145d-BlueWallet__BlueWallet-7758-swe-agent-claude-sonnet-4.5</t>
  </si>
  <si>
    <t>https://drive.google.com/drive/folders/1Rguo98Ef6xM1F5DL5OwBIoJkNA_bulpT</t>
  </si>
  <si>
    <t>BlueWallet/BlueWallet</t>
  </si>
  <si>
    <t>BlueWallet__BlueWallet</t>
  </si>
  <si>
    <t>bmf-san__ggc-40</t>
  </si>
  <si>
    <t>https://github.com/bmf-san/ggc/issues/40</t>
  </si>
  <si>
    <t>gs://swe-bench-plus/evaluations/019b6ab1-4e74-7019-9e81-9c96e98a145d-bmf-san__ggc-40-swe-agent-claude-sonnet-4.5</t>
  </si>
  <si>
    <t>https://drive.google.com/drive/folders/1SAbvRuGLBrKQbFYeSs0qPMY27XJXzvvv</t>
  </si>
  <si>
    <t>bmf-san/ggc</t>
  </si>
  <si>
    <t>bmf-san__ggc</t>
  </si>
  <si>
    <t>boa-dev__temporal-241</t>
  </si>
  <si>
    <t>https://github.com/boa-dev/temporal/issues/241</t>
  </si>
  <si>
    <t>gs://swe-bench-plus/evaluations/019b6aaf-1788-707e-b6dd-d4dc12d72279-boa-dev__temporal-241-swe-agent-claude-sonnet-4.5</t>
  </si>
  <si>
    <t>https://drive.google.com/drive/folders/1SZ0aJeDrd8u6cFYlD1KEMwqMrKAjS5x6</t>
  </si>
  <si>
    <t>boa-dev/temporal</t>
  </si>
  <si>
    <t>boa-dev__temporal</t>
  </si>
  <si>
    <t>BoltzExchange__boltz-backend-918</t>
  </si>
  <si>
    <t>https://github.com/BoltzExchange/boltz-backend/issues/918</t>
  </si>
  <si>
    <t>gs://swe-bench-plus/evaluations/019b6aaf-1788-707e-b6dd-d4dc12d72279-BoltzExchange__boltz-backend-918-swe-agent-claude-sonnet-4.5</t>
  </si>
  <si>
    <t>https://drive.google.com/drive/folders/1sLxr-UKFfInnZuoQ7eUiJs1rWUXxvbc6</t>
  </si>
  <si>
    <t>BoltzExchange/boltz-backend</t>
  </si>
  <si>
    <t>BoltzExchange__boltz-backend</t>
  </si>
  <si>
    <t>booklore-app__booklore-1102</t>
  </si>
  <si>
    <t>https://github.com/booklore-app/booklore/issues/1102</t>
  </si>
  <si>
    <t>feature;bug-fix;refactor</t>
  </si>
  <si>
    <t>gs://swe-bench-plus/evaluations/019bc798-5e68-70de-88e9-08b16b20559a-booklore-app__booklore-1102-swe-agent-claude-sonnet-4.5</t>
  </si>
  <si>
    <t>booklore-app/booklore</t>
  </si>
  <si>
    <t>booklore-app__booklore</t>
  </si>
  <si>
    <t>boostorg__mp11-96</t>
  </si>
  <si>
    <t>https://github.com/boostorg/mp11/issues/96</t>
  </si>
  <si>
    <t>gs://swe-bench-plus/evaluations/019b6aaf-1788-707e-b6dd-d4dc12d72279-boostorg__mp11-96-swe-agent-claude-sonnet-4.5</t>
  </si>
  <si>
    <t>https://drive.google.com/drive/folders/1-MJwkMaehNarqn7nSdQSVBHjHNnNYrqy</t>
  </si>
  <si>
    <t>boostorg/mp11</t>
  </si>
  <si>
    <t>boostorg__mp11</t>
  </si>
  <si>
    <t>borgbase__vorta-2224</t>
  </si>
  <si>
    <t>https://github.com/borgbase/vorta/issues/2224</t>
  </si>
  <si>
    <t>applications;security</t>
  </si>
  <si>
    <t>https://drive.google.com/drive/folders/1_qVDFcJc6UGFQuFW3cNO8KHa-dNFMEm-</t>
  </si>
  <si>
    <t>https://drive.google.com/drive/folders/16iTLjOC-kXQl_Pz6BI13JDvY3kao8yKr</t>
  </si>
  <si>
    <t>borgbase/vorta</t>
  </si>
  <si>
    <t>borgbase__vorta</t>
  </si>
  <si>
    <t>BradyAJohnston__MolecularNodes-671</t>
  </si>
  <si>
    <t>https://github.com/BradyAJohnston/MolecularNodes/issues/671</t>
  </si>
  <si>
    <t>graphics-media;sci-comp</t>
  </si>
  <si>
    <t>https://drive.google.com/drive/folders/11OTE9qom9uJsrlR_IYdHj7msXwx6KabJ</t>
  </si>
  <si>
    <t>https://drive.google.com/drive/folders/1aOHvUqhR8m2zP9-3dsWhlXmEs_xvjU4H</t>
  </si>
  <si>
    <t>BradyAJohnston/MolecularNodes</t>
  </si>
  <si>
    <t>BradyAJohnston__MolecularNodes</t>
  </si>
  <si>
    <t>BrainBlend-AI__atomic-agents-135</t>
  </si>
  <si>
    <t>https://github.com/BrainBlend-AI/atomic-agents/issues/135</t>
  </si>
  <si>
    <t>gs://swe-bench-plus/evaluations/019a84f3-b445-729d-88f6-de2c0814baff-BrainBlend-AI__atomic-agents-135-swe-agent-claude-sonnet-4-20250514</t>
  </si>
  <si>
    <t>https://drive.google.com/drive/folders/1FNocWQo9UGyLsy__Hii9qeI4qsXq4ZvE</t>
  </si>
  <si>
    <t>BrainBlend-AI/atomic-agents</t>
  </si>
  <si>
    <t>BrainBlend-AI__atomic-agents</t>
  </si>
  <si>
    <t>brettchalupa__graphql-docs-171</t>
  </si>
  <si>
    <t>https://github.com/brettchalupa/graphql-docs/issues/171</t>
  </si>
  <si>
    <t>feature;refactor;build-ci;documentation</t>
  </si>
  <si>
    <t>gs://swe-bench-plus/evaluations/019b6ab1-4e74-7019-9e81-9c96e98a145d-brettchalupa__graphql-docs-171-swe-agent-claude-sonnet-4.5</t>
  </si>
  <si>
    <t>https://drive.google.com/drive/folders/1YjzIvT_GPBDOKJ9jHLjFJFXj7GZvoUUV</t>
  </si>
  <si>
    <t>brettchalupa/graphql-docs</t>
  </si>
  <si>
    <t>brettchalupa__graphql-docs</t>
  </si>
  <si>
    <t>BrettMayson__HEMTT-1104</t>
  </si>
  <si>
    <t>https://github.com/BrettMayson/HEMTT/issues/1104</t>
  </si>
  <si>
    <t>gs://swe-bench-plus/evaluations/019b0df7-ade4-70bc-89dc-2dc1c6248f76-BrettMayson__HEMTT-1104-swe-agent-claude-opus-4.5</t>
  </si>
  <si>
    <t>https://drive.google.com/drive/folders/1x5TZMFqmdy0zoudApG5sa0J0Ag-1gw02</t>
  </si>
  <si>
    <t>BrettMayson/HEMTT</t>
  </si>
  <si>
    <t>BrettMayson__HEMTT</t>
  </si>
  <si>
    <t>BrettMayson__HEMTT-831</t>
  </si>
  <si>
    <t>https://github.com/BrettMayson/HEMTT/issues/831</t>
  </si>
  <si>
    <t>gs://swe-bench-plus/evaluations/019b6aaf-1788-707e-b6dd-d4dc12d72279-BrettMayson__HEMTT-831-swe-agent-claude-sonnet-4.5</t>
  </si>
  <si>
    <t>https://drive.google.com/drive/folders/1FGcYrIBkkMZu1oKcsFrvfLM-1_SPiGkY</t>
  </si>
  <si>
    <t>brimdata__super-6064</t>
  </si>
  <si>
    <t>https://github.com/brimdata/super/issues/6064</t>
  </si>
  <si>
    <t>gs://swe-bench-plus/evaluations/019b0886-0f4d-757e-a2e5-c06041eabbaf-brimdata__super-6064-swe-agent-claude-sonnet-4.5</t>
  </si>
  <si>
    <t>https://drive.google.com/drive/folders/1xGTcNkSULW3I8Nqoo8d6LvKn8o8mXEWL</t>
  </si>
  <si>
    <t>brimdata/super</t>
  </si>
  <si>
    <t>brimdata__super</t>
  </si>
  <si>
    <t>brisa-build__brisa-660</t>
  </si>
  <si>
    <t>https://github.com/brisa-build/brisa/issues/660</t>
  </si>
  <si>
    <t>gs://swe-bench-plus/evaluations/019bdc10-e47f-75ba-85a4-6ca54e588df4-brisa-build__brisa-660-swe-agent-claude-sonnet-4-20250514</t>
  </si>
  <si>
    <t>https://drive.google.com/drive/folders/1Qn5bqkGwzNKJqlOSjRpX7HR0xlWTadpL</t>
  </si>
  <si>
    <t>brisa-build/brisa</t>
  </si>
  <si>
    <t>brisa-build__brisa</t>
  </si>
  <si>
    <t>BrokkAi__brokk-1888</t>
  </si>
  <si>
    <t>https://github.com/BrokkAi/brokk/issues/1888</t>
  </si>
  <si>
    <t>gs://swe-bench-plus/evaluations/019aea30-f4b0-725a-a453-8a6c5023822d-BrokkAi__brokk-1888-swe-agent-claude-sonnet-4-20250514</t>
  </si>
  <si>
    <t>BrokkAi/brokk</t>
  </si>
  <si>
    <t>BrokkAi__brokk</t>
  </si>
  <si>
    <t>btcsuite__btcwallet-1059</t>
  </si>
  <si>
    <t>https://github.com/btcsuite/btcwallet/issues/1059</t>
  </si>
  <si>
    <t>gs://swe-bench-plus/evaluations/019b6aa7-0380-771f-9e02-24cda0fe6639-btcsuite__btcwallet-1059-swe-agent-claude-sonnet-4.5</t>
  </si>
  <si>
    <t>https://drive.google.com/drive/folders/1aZKgMcImJB5WwezMRorBRj3gFJAjx3wi</t>
  </si>
  <si>
    <t>btcsuite/btcwallet</t>
  </si>
  <si>
    <t>btcsuite__btcwallet</t>
  </si>
  <si>
    <t>budimanjojo__talhelper-943</t>
  </si>
  <si>
    <t>https://github.com/budimanjojo/talhelper/issues/943</t>
  </si>
  <si>
    <t>gs://swe-bench-plus/evaluations/019b0886-0f4d-757e-a2e5-c06041eabbaf-budimanjojo__talhelper-943-swe-agent-claude-sonnet-4.5</t>
  </si>
  <si>
    <t>https://drive.google.com/drive/folders/1j161ohJwg0EhegPGQ4k3kUQs9EcQB8B_</t>
  </si>
  <si>
    <t>budimanjojo/talhelper</t>
  </si>
  <si>
    <t>budimanjojo__talhelper</t>
  </si>
  <si>
    <t>Build5Nines__SharpVector-73</t>
  </si>
  <si>
    <t>https://github.com/Build5Nines/SharpVector/issues/73</t>
  </si>
  <si>
    <t>ai-ml;data-eng</t>
  </si>
  <si>
    <t>gs://swe-bench-plus/evaluations/019b6ab1-4e74-7019-9e81-9c96e98a145d-Build5Nines__SharpVector-73-swe-agent-claude-sonnet-4.5</t>
  </si>
  <si>
    <t>https://drive.google.com/drive/folders/1la-UQATUpx9Xu--tFjRDthw1xxCB3syL</t>
  </si>
  <si>
    <t>Build5Nines/SharpVector</t>
  </si>
  <si>
    <t>Build5Nines__SharpVector</t>
  </si>
  <si>
    <t>bvanelli__actualpy-110</t>
  </si>
  <si>
    <t>https://github.com/bvanelli/actualpy/issues/110</t>
  </si>
  <si>
    <t>https://drive.google.com/drive/folders/10Sa2sMo4yYX_NDoqxtXewzaFjlOTnXRc</t>
  </si>
  <si>
    <t>https://drive.google.com/drive/folders/12n7pHewKkOWLpPts-AzmTkbPgFoUTdY9</t>
  </si>
  <si>
    <t>bvanelli/actualpy</t>
  </si>
  <si>
    <t>bvanelli__actualpy</t>
  </si>
  <si>
    <t>bytechefhq__bytechef-3960</t>
  </si>
  <si>
    <t>https://github.com/bytechefhq/bytechef/issues/3960</t>
  </si>
  <si>
    <t>data-eng;ai-ml;applications</t>
  </si>
  <si>
    <t>gs://swe-bench-plus/evaluations/019c6646-ea55-7645-a600-58791210a874-bytechefhq__bytechef-3960-swe-agent-claude-sonnet-4-20250514</t>
  </si>
  <si>
    <t>https://drive.google.com/drive/folders/1uSb25hJlSOHdkXsU7jYFdMs3mYKyrYKs</t>
  </si>
  <si>
    <t>bytechefhq/bytechef</t>
  </si>
  <si>
    <t>bytechefhq__bytechef</t>
  </si>
  <si>
    <t>bytechefhq__bytechef-3984</t>
  </si>
  <si>
    <t>https://github.com/bytechefhq/bytechef/issues/3984</t>
  </si>
  <si>
    <t>applications;data-eng;ai-ml;webdev</t>
  </si>
  <si>
    <t>gs://swe-bench-plus/evaluations/019c6646-ea55-7645-a600-58791210a874-bytechefhq__bytechef-3984-swe-agent-claude-sonnet-4-20250514</t>
  </si>
  <si>
    <t>https://drive.google.com/drive/folders/1Hn4vANYfe00zzGQe5_sVY6Ntd-JiHc0Q</t>
  </si>
  <si>
    <t>C2FO__vfs-248</t>
  </si>
  <si>
    <t>https://github.com/C2FO/vfs/issues/248</t>
  </si>
  <si>
    <t>gs://swe-bench-plus/evaluations/019b6aa7-0380-771f-9e02-24cda0fe6639-C2FO__vfs-248-swe-agent-claude-sonnet-4.5</t>
  </si>
  <si>
    <t>https://drive.google.com/drive/folders/1yS2mym5JBbpLUhhBK12N0juzjO0gcMqI</t>
  </si>
  <si>
    <t>C2FO/vfs</t>
  </si>
  <si>
    <t>C2FO__vfs</t>
  </si>
  <si>
    <t>C2FO__vfs-255</t>
  </si>
  <si>
    <t>https://github.com/C2FO/vfs/issues/255</t>
  </si>
  <si>
    <t>gs://swe-bench-plus/evaluations/019b6aa7-0380-771f-9e02-24cda0fe6639-C2FO__vfs-255-swe-agent-claude-sonnet-4.5</t>
  </si>
  <si>
    <t>https://drive.google.com/drive/folders/1c5XL4a-maeleqN60mySXGDyv-xAWMy4r</t>
  </si>
  <si>
    <t>caas-team__py-kube-downscaler-158</t>
  </si>
  <si>
    <t>https://github.com/caas-team/py-kube-downscaler/issues/158</t>
  </si>
  <si>
    <t>gs://swe-bench-plus/evaluations/019a84f8-9514-70b8-abf7-be9101c82944-caas-team__py-kube-downscaler-158-open-hands-claude-sonnet-4-20250514</t>
  </si>
  <si>
    <t>https://drive.google.com/drive/folders/1EwUstBM5M5CLNQ_Zx2KoeTTpvM05SgMe</t>
  </si>
  <si>
    <t>caas-team/py-kube-downscaler</t>
  </si>
  <si>
    <t>caas-team__py-kube-downscaler</t>
  </si>
  <si>
    <t>caas-team__py-kube-downscaler-113</t>
  </si>
  <si>
    <t>https://github.com/caas-team/py-kube-downscaler/issues/113</t>
  </si>
  <si>
    <t>gs://swe-bench-plus/evaluations/019a8508-78a8-712a-b970-052ae053c3bc-caas-team__py-kube-downscaler-113-swe-agent-claude-sonnet-4-20250514</t>
  </si>
  <si>
    <t>https://drive.google.com/drive/folders/12OAKhdULxYTLic1KHp8oTWRW-q7WgIH0</t>
  </si>
  <si>
    <t>cakephp__cakephp-18153</t>
  </si>
  <si>
    <t>https://github.com/cakephp/cakephp/issues/18153</t>
  </si>
  <si>
    <t>maintenance;refactor</t>
  </si>
  <si>
    <t>gs://swe-bench-plus/evaluations/019a780c-e2c0-729e-874c-d731186207ba-cakephp__cakephp-18153-swe-agent-claude-sonnet-4-20250514</t>
  </si>
  <si>
    <t>cakephp/cakephp</t>
  </si>
  <si>
    <t>cakephp__cakephp</t>
  </si>
  <si>
    <t>cakephp__cakephp-17956</t>
  </si>
  <si>
    <t>https://github.com/cakephp/cakephp/issues/17956</t>
  </si>
  <si>
    <t>gs://swe-bench-plus/evaluations/019b21b9-a658-708c-a609-c6e31ffb4e14-cakephp__cakephp-17956-swe-agent-claude-sonnet-4-20250514</t>
  </si>
  <si>
    <t>calliope-project__calliope-812</t>
  </si>
  <si>
    <t>https://github.com/calliope-project/calliope/issues/812</t>
  </si>
  <si>
    <t>gs://swe-bench-plus/evaluations/019a6f31-5865-7528-b3d7-dd9431bd3aac-calliope-project__calliope-812-swe-agent-claude-sonnet-4.5</t>
  </si>
  <si>
    <t>calliope-project/calliope</t>
  </si>
  <si>
    <t>calliope-project__calliope</t>
  </si>
  <si>
    <t>callstackincubator__react-native-node-api-52</t>
  </si>
  <si>
    <t>https://github.com/callstackincubator/react-native-node-api/issues/52</t>
  </si>
  <si>
    <t>https://drive.google.com/drive/folders/1kgmlqCxX-SYmexZ1IUucPi5p71sk1rZ4</t>
  </si>
  <si>
    <t>https://drive.google.com/drive/folders/1RT_UZ-ix-dzuwF1l4jXYaMJUE0OjZDQP</t>
  </si>
  <si>
    <t>callstackincubator/react-native-node-api</t>
  </si>
  <si>
    <t>callstackincubator__react-native-node-api</t>
  </si>
  <si>
    <t>cameroncooke__XcodeBuildMCP-111</t>
  </si>
  <si>
    <t>https://github.com/cameroncooke/XcodeBuildMCP/issues/111</t>
  </si>
  <si>
    <t>https://drive.google.com/drive/folders/1DDAbCFOy3YKYYWUUH3A9F803IhX8eXBA</t>
  </si>
  <si>
    <t>https://drive.google.com/drive/folders/1umhxbnONdh3vJFnlRpdwK9HV0dye2I3U</t>
  </si>
  <si>
    <t>cameroncooke/XcodeBuildMCP</t>
  </si>
  <si>
    <t>cameroncooke__XcodeBuildMCP</t>
  </si>
  <si>
    <t>camunda__camunda-40879</t>
  </si>
  <si>
    <t>https://github.com/camunda/camunda/issues/40879</t>
  </si>
  <si>
    <t>refactor;feature;build-ci</t>
  </si>
  <si>
    <t>gs://swe-bench-plus/evaluations/019bd2bf-00de-723c-8b2d-1d9d8c821830-camunda__camunda-40879-swe-agent-claude-sonnet-4.5</t>
  </si>
  <si>
    <t>camunda/camunda</t>
  </si>
  <si>
    <t>camunda__camunda</t>
  </si>
  <si>
    <t>camunda__camunda-36790</t>
  </si>
  <si>
    <t>https://github.com/camunda/camunda/issues/36790</t>
  </si>
  <si>
    <t>applications;infra-devops</t>
  </si>
  <si>
    <t>gs://swe-bench-plus/evaluations/019c2527-4e2e-77ee-bb46-1b5af2881d6d-camunda__camunda-36790-swe-agent-claude-sonnet-4.5</t>
  </si>
  <si>
    <t>camunda__camunda-42172</t>
  </si>
  <si>
    <t>https://github.com/camunda/camunda/issues/42172</t>
  </si>
  <si>
    <t>gs://swe-bench-plus/evaluations/019c2527-4e2e-77ee-bb46-1b5af2881d6d-camunda__camunda-42172-swe-agent-claude-sonnet-4.5</t>
  </si>
  <si>
    <t>camunda__camunda-25253</t>
  </si>
  <si>
    <t>https://github.com/camunda/camunda/issues/25253</t>
  </si>
  <si>
    <t>gs://swe-bench-plus/evaluations/019c39f3-67b5-70d2-af96-ec1f2697604b-camunda__camunda-25253-swe-agent-claude-sonnet-4.5</t>
  </si>
  <si>
    <t>camunda__camunda-26607</t>
  </si>
  <si>
    <t>https://github.com/camunda/camunda/issues/26607</t>
  </si>
  <si>
    <t>gs://swe-bench-plus/evaluations/019c39f3-67b5-70d2-af96-ec1f2697604b-camunda__camunda-26607-swe-agent-claude-sonnet-4.5</t>
  </si>
  <si>
    <t>camunda__camunda-32379</t>
  </si>
  <si>
    <t>https://github.com/camunda/camunda/issues/32379</t>
  </si>
  <si>
    <t>gs://swe-bench-plus/evaluations/019c6646-7363-7129-a755-983bd4a97b5a-camunda__camunda-32379-swe-agent-claude-sonnet-4-20250514</t>
  </si>
  <si>
    <t>camunda__camunda-24604</t>
  </si>
  <si>
    <t>https://github.com/camunda/camunda/issues/24604</t>
  </si>
  <si>
    <t>gs://swe-bench-plus/evaluations/019c75f5-6b8c-7228-9f9c-93aa98fd3824-camunda__camunda-24604-swe-agent-claude-sonnet-4-20250514</t>
  </si>
  <si>
    <t>camunda__camunda-25701</t>
  </si>
  <si>
    <t>https://github.com/camunda/camunda/issues/25701</t>
  </si>
  <si>
    <t>gs://swe-bench-plus/evaluations/019c75f5-6b8c-7228-9f9c-93aa98fd3824-camunda__camunda-25701-swe-agent-claude-sonnet-4-20250514</t>
  </si>
  <si>
    <t>camunda__camunda-41522</t>
  </si>
  <si>
    <t>https://github.com/camunda/camunda/issues/41522</t>
  </si>
  <si>
    <t>data-eng;infra-devops;applications</t>
  </si>
  <si>
    <t>gs://swe-bench-plus/evaluations/019c75f5-6b8c-7228-9f9c-93aa98fd3824-camunda__camunda-41522-swe-agent-claude-sonnet-4-20250514</t>
  </si>
  <si>
    <t>camunda__camunda-bpm-platform-5285</t>
  </si>
  <si>
    <t>https://github.com/camunda/camunda-bpm-platform/issues/5285</t>
  </si>
  <si>
    <t>gs://swe-bench-plus/evaluations/019c2527-069d-76b8-a805-96d478bdb559-camunda__camunda-bpm-platform-5285-swe-agent-claude-sonnet-4-20250514</t>
  </si>
  <si>
    <t>https://drive.google.com/drive/folders/19mFBVvB3DrcttJTGYBk7rpgADsxUr9Kw</t>
  </si>
  <si>
    <t>camunda/camunda-bpm-platform</t>
  </si>
  <si>
    <t>camunda__camunda-bpm-platform</t>
  </si>
  <si>
    <t>camunda__camunda-modeler-5226</t>
  </si>
  <si>
    <t>https://github.com/camunda/camunda-modeler/issues/5226</t>
  </si>
  <si>
    <t>gs://swe-bench-plus/evaluations/019c24f6-17a2-762a-848c-5d6a38d8a915-camunda__camunda-modeler-5226-swe-agent-claude-sonnet-4-20250514</t>
  </si>
  <si>
    <t>camunda/camunda-modeler</t>
  </si>
  <si>
    <t>camunda__camunda-modeler</t>
  </si>
  <si>
    <t>camunda__camunda-modeler-5492</t>
  </si>
  <si>
    <t>https://github.com/camunda/camunda-modeler/issues/5492</t>
  </si>
  <si>
    <t>gs://swe-bench-plus/evaluations/019c39f2-7076-752c-a206-124dcece347d-camunda__camunda-modeler-5492-swe-agent-claude-sonnet-4-20250514</t>
  </si>
  <si>
    <t>camunda__connectors-5625</t>
  </si>
  <si>
    <t>https://github.com/camunda/connectors/issues/5625</t>
  </si>
  <si>
    <t>gs://swe-bench-plus/evaluations/019b6ab1-4e74-7019-9e81-9c96e98a145d-camunda__connectors-5625-swe-agent-claude-sonnet-4.5</t>
  </si>
  <si>
    <t>https://drive.google.com/drive/folders/1sccHeY3oV_ysS5d2pDF8mZJB_EwrpMgc</t>
  </si>
  <si>
    <t>camunda/connectors</t>
  </si>
  <si>
    <t>camunda__connectors</t>
  </si>
  <si>
    <t>camunda__connectors-5089</t>
  </si>
  <si>
    <t>https://github.com/camunda/connectors/issues/5089</t>
  </si>
  <si>
    <t>gs://swe-bench-plus/evaluations/019b6ab1-4e74-7019-9e81-9c96e98a145d-camunda__connectors-5089-swe-agent-claude-sonnet-4.5</t>
  </si>
  <si>
    <t>https://drive.google.com/drive/folders/1S9J2cLbQYxOL4DS_Gf9zcWS3icSrVPZP</t>
  </si>
  <si>
    <t>camunda__connectors-5397</t>
  </si>
  <si>
    <t>https://github.com/camunda/connectors/issues/5397</t>
  </si>
  <si>
    <t>gs://swe-bench-plus/evaluations/019b6ab1-4e74-7019-9e81-9c96e98a145d-camunda__connectors-5397-swe-agent-claude-sonnet-4.5</t>
  </si>
  <si>
    <t>https://drive.google.com/drive/folders/1caykJauM9ZQ79byNqMOfjrPa5mgY-R_b</t>
  </si>
  <si>
    <t>canonical__operator-1610</t>
  </si>
  <si>
    <t>https://github.com/canonical/operator/issues/1610</t>
  </si>
  <si>
    <t>gs://swe-bench-plus/evaluations/019a8f6e-136c-7345-a414-a1ed9c7f4f2d-canonical__operator-1610-open-hands-claude-sonnet-4-20250514</t>
  </si>
  <si>
    <t>https://drive.google.com/drive/folders/1IMLLeCWBus85wMNQznUxYIGWv7JGFHIr</t>
  </si>
  <si>
    <t>canonical/operator</t>
  </si>
  <si>
    <t>canonical__operator</t>
  </si>
  <si>
    <t>canonical__snapcraft-5239</t>
  </si>
  <si>
    <t>https://github.com/canonical/snapcraft/issues/5239</t>
  </si>
  <si>
    <t>https://drive.google.com/drive/folders/1WFZyQET0o631puZSUl4eIipPsKCNsOtF</t>
  </si>
  <si>
    <t>https://drive.google.com/drive/folders/1zd3dlbPuqpDayu_t4YpzU5BZnWC03v3L</t>
  </si>
  <si>
    <t>canonical/snapcraft</t>
  </si>
  <si>
    <t>canonical__snapcraft</t>
  </si>
  <si>
    <t>canonical__snapcraft-5524</t>
  </si>
  <si>
    <t>https://github.com/canonical/snapcraft/issues/5524</t>
  </si>
  <si>
    <t>feature;maintenance;refactor</t>
  </si>
  <si>
    <t>https://drive.google.com/drive/folders/1J6gEkXouQ6AZhjPN2VOzEmG9Dp_bLOmB</t>
  </si>
  <si>
    <t>https://drive.google.com/drive/folders/1lSSK-EE7Kb-XJ7yX316JFlgCAzFFlwmg</t>
  </si>
  <si>
    <t>carbon-design-system__ibm-products-7548</t>
  </si>
  <si>
    <t>https://github.com/carbon-design-system/ibm-products/issues/7548</t>
  </si>
  <si>
    <t>chore;bug-report</t>
  </si>
  <si>
    <t>refactor;bug-fix;dependency-update</t>
  </si>
  <si>
    <t>gs://swe-bench-plus/evaluations/019b6aaf-1788-707e-b6dd-d4dc12d72279-carbon-design-system__ibm-products-7548-swe-agent-claude-sonnet-4.5</t>
  </si>
  <si>
    <t>https://drive.google.com/drive/folders/1VcktgvODtMnBZRGKgzocD_b1FNu_8oBw</t>
  </si>
  <si>
    <t>carbon-design-system/ibm-products</t>
  </si>
  <si>
    <t>carbon-design-system__ibm-products</t>
  </si>
  <si>
    <t>carbon-design-system__ibm-products-6904</t>
  </si>
  <si>
    <t>https://github.com/carbon-design-system/ibm-products/issues/6904</t>
  </si>
  <si>
    <t>refactor;feature;dependency-update;maintenance</t>
  </si>
  <si>
    <t>gs://swe-bench-plus/evaluations/019b6ab1-4e74-7019-9e81-9c96e98a145d-carbon-design-system__ibm-products-6904-swe-agent-claude-sonnet-4.5</t>
  </si>
  <si>
    <t>https://drive.google.com/drive/folders/1rwYx2y0UezUVdRKcVnNzeTR0p_NEIuFt</t>
  </si>
  <si>
    <t>caronc__apprise-1323</t>
  </si>
  <si>
    <t>https://github.com/caronc/apprise/issues/1323</t>
  </si>
  <si>
    <t>https://drive.google.com/drive/folders/1-q_g5nAKmd9vb7fTgdjIO5ECrKYCic5Y</t>
  </si>
  <si>
    <t>https://drive.google.com/drive/folders/1OjZv4oxmYvGqu5PwE-KhMta4YDtedgTW</t>
  </si>
  <si>
    <t>caronc/apprise</t>
  </si>
  <si>
    <t>caronc__apprise</t>
  </si>
  <si>
    <t>carthage-software__mago-132</t>
  </si>
  <si>
    <t>https://github.com/carthage-software/mago/issues/132</t>
  </si>
  <si>
    <t>feature;refactor;maintenance</t>
  </si>
  <si>
    <t>gs://swe-bench-plus/evaluations/019b06bd-e8b8-7239-a811-43270291d9ff-carthage-software__mago-132-swe-agent-claude-sonnet-4.5</t>
  </si>
  <si>
    <t>https://drive.google.com/drive/folders/1C50TkgoMDI60pnAFj8M692UJnBiwbeUf</t>
  </si>
  <si>
    <t>carthage-software/mago</t>
  </si>
  <si>
    <t>carthage-software__mago</t>
  </si>
  <si>
    <t>casbin__jcasbin-194</t>
  </si>
  <si>
    <t>https://github.com/casbin/jcasbin/issues/194</t>
  </si>
  <si>
    <t>https://drive.google.com/drive/folders/1ukGwauviZbKLoi3ZCCqjDLwLAx4JZGtf</t>
  </si>
  <si>
    <t>https://drive.google.com/drive/folders/1gFdrvjQKtU5agfKGUJhD_faqn3Y9OCFS</t>
  </si>
  <si>
    <t>casbin/jcasbin</t>
  </si>
  <si>
    <t>casbin__jcasbin</t>
  </si>
  <si>
    <t>casey__just-2878</t>
  </si>
  <si>
    <t>https://github.com/casey/just/issues/2878</t>
  </si>
  <si>
    <t>https://drive.google.com/drive/folders/13Qgi6MtyrYhfmjcWv9-MoPCJpN8Phrj0</t>
  </si>
  <si>
    <t>https://drive.google.com/drive/folders/1O3HtMxkDZMMxn2bGq67D2wz5KxBWmkta</t>
  </si>
  <si>
    <t>casey/just</t>
  </si>
  <si>
    <t>casey__just</t>
  </si>
  <si>
    <t>casey__just-2785</t>
  </si>
  <si>
    <t>https://github.com/casey/just/issues/2785</t>
  </si>
  <si>
    <t>https://drive.google.com/drive/folders/10E-6M9qXbfDWiNnIljhDdRtAZEH7OFjo</t>
  </si>
  <si>
    <t>https://drive.google.com/drive/folders/1MWHVjIcA9NFF8ej2m91DcTDwmN-Ih1cH</t>
  </si>
  <si>
    <t>castwide__solargraph-743</t>
  </si>
  <si>
    <t>https://github.com/castwide/solargraph/issues/743</t>
  </si>
  <si>
    <t>gs://swe-bench-plus/evaluations/019b6aaf-1788-707e-b6dd-d4dc12d72279-castwide__solargraph-743-swe-agent-claude-sonnet-4.5</t>
  </si>
  <si>
    <t>https://drive.google.com/drive/folders/1bv-73If4cOxJ6WXFXcftrkWvg1gm8uU3</t>
  </si>
  <si>
    <t>castwide/solargraph</t>
  </si>
  <si>
    <t>castwide__solargraph</t>
  </si>
  <si>
    <t>cedarcode__webauthn-ruby</t>
  </si>
  <si>
    <t>cedarcode__webauthn-ruby-431</t>
  </si>
  <si>
    <t>https://github.com/cedarcode/webauthn-ruby/issues/431</t>
  </si>
  <si>
    <t>gs://swe-bench-plus/evaluations/019b6aaf-1788-707e-b6dd-d4dc12d72279-cedarcode__webauthn-ruby-431-swe-agent-claude-sonnet-4.5</t>
  </si>
  <si>
    <t>https://drive.google.com/drive/folders/1U_kv7FwhzzHXi6FvSubIHA_cjOt0bQKQ</t>
  </si>
  <si>
    <t>celestiaorg__celestia-app-5184</t>
  </si>
  <si>
    <t>https://github.com/celestiaorg/celestia-app/issues/5184</t>
  </si>
  <si>
    <t>gs://swe-bench-plus/evaluations/019b6aa7-0380-771f-9e02-24cda0fe6639-celestiaorg__celestia-app-5184-swe-agent-claude-sonnet-4.5</t>
  </si>
  <si>
    <t>https://drive.google.com/drive/folders/1iPA0d_cLVjrZcMtpweLjBRejDI1RKfuP</t>
  </si>
  <si>
    <t>celestiaorg/celestia-app</t>
  </si>
  <si>
    <t>celestiaorg__celestia-app</t>
  </si>
  <si>
    <t>celestiaorg__celestia-app-5332</t>
  </si>
  <si>
    <t>https://github.com/celestiaorg/celestia-app/issues/5332</t>
  </si>
  <si>
    <t>gs://swe-bench-plus/evaluations/019b6aa7-0380-771f-9e02-24cda0fe6639-celestiaorg__celestia-app-5332-swe-agent-claude-sonnet-4.5</t>
  </si>
  <si>
    <t>https://drive.google.com/drive/folders/155rz0a9g-Ni3K-C4Dh3hAdOfjOYlftjy</t>
  </si>
  <si>
    <t>celestiaorg__celestia-app-5526</t>
  </si>
  <si>
    <t>https://github.com/celestiaorg/celestia-app/issues/5526</t>
  </si>
  <si>
    <t>gs://swe-bench-plus/evaluations/019b0886-0f4d-757e-a2e5-c06041eabbaf-celestiaorg__celestia-app-5526-swe-agent-claude-sonnet-4.5</t>
  </si>
  <si>
    <t>https://drive.google.com/drive/folders/1DzoaLhkrI44NUoO0UYik8yXNqZf2wNKl</t>
  </si>
  <si>
    <t>certbot__certbot-10146</t>
  </si>
  <si>
    <t>https://github.com/certbot/certbot/issues/10146</t>
  </si>
  <si>
    <t>https://drive.google.com/drive/folders/13qnCCPonPDwgXkgtEsf9qhv_BOltcuhF</t>
  </si>
  <si>
    <t>https://drive.google.com/drive/folders/1muiiC-X2_vt_xv1iO-KhUQwB5BbjOFmq</t>
  </si>
  <si>
    <t>certbot/certbot</t>
  </si>
  <si>
    <t>certbot__certbot</t>
  </si>
  <si>
    <t>CesiumGS__cesium-native-811</t>
  </si>
  <si>
    <t>https://github.com/CesiumGS/cesium-native/issues/811</t>
  </si>
  <si>
    <t>gs://swe-bench-plus/evaluations/019b6aa7-0380-771f-9e02-24cda0fe6639-CesiumGS__cesium-native-811-swe-agent-claude-sonnet-4.5</t>
  </si>
  <si>
    <t>https://drive.google.com/drive/folders/1nl_xt1dovMcu6Rgb_oOmwxFKOkY79jRC</t>
  </si>
  <si>
    <t>CesiumGS/cesium-native</t>
  </si>
  <si>
    <t>CesiumGS__cesium-native</t>
  </si>
  <si>
    <t>CesiumGS__cesium-native-1112</t>
  </si>
  <si>
    <t>https://github.com/CesiumGS/cesium-native/issues/1112</t>
  </si>
  <si>
    <t>gs://swe-bench-plus/evaluations/019b6aa7-0380-771f-9e02-24cda0fe6639-CesiumGS__cesium-native-1112-swe-agent-claude-sonnet-4.5</t>
  </si>
  <si>
    <t>https://drive.google.com/drive/folders/1-K7vH2v-VHg9YKTrdpBPCq9c9zai-2ZO</t>
  </si>
  <si>
    <t>ChainSafe__gossamer-4651</t>
  </si>
  <si>
    <t>https://github.com/ChainSafe/gossamer/issues/4651</t>
  </si>
  <si>
    <t>bug-fix;performance;feature;refactor</t>
  </si>
  <si>
    <t>gs://swe-bench-plus/evaluations/019b6aa7-0380-771f-9e02-24cda0fe6639-ChainSafe__gossamer-4651-swe-agent-claude-sonnet-4.5</t>
  </si>
  <si>
    <t>https://drive.google.com/drive/folders/1svvkLkLWJ_iH3AyYFTziOf24aXL5B_w2</t>
  </si>
  <si>
    <t>ChainSafe/gossamer</t>
  </si>
  <si>
    <t>ChainSafe__gossamer</t>
  </si>
  <si>
    <t>ChainSafe__gossamer-4785</t>
  </si>
  <si>
    <t>https://github.com/ChainSafe/gossamer/issues/4785</t>
  </si>
  <si>
    <t>gs://swe-bench-plus/evaluations/019b6aa7-0380-771f-9e02-24cda0fe6639-ChainSafe__gossamer-4785-swe-agent-claude-sonnet-4.5</t>
  </si>
  <si>
    <t>https://drive.google.com/drive/folders/1dNGiWcdgFc2qsV0VYTnZmpCobuJkA7oo</t>
  </si>
  <si>
    <t>changesets__changesets-1453</t>
  </si>
  <si>
    <t>https://github.com/changesets/changesets/issues/1453</t>
  </si>
  <si>
    <t>https://drive.google.com/drive/folders/1xQbfi5ufFmLhQqFoxJvCg8Qa_SQqjAIH</t>
  </si>
  <si>
    <t>https://drive.google.com/drive/folders/10VfPJ_TNa-B5KLziBnh7hvZXvs9i2DwY</t>
  </si>
  <si>
    <t>changesets/changesets</t>
  </si>
  <si>
    <t>changesets__changesets</t>
  </si>
  <si>
    <t>charlesnicholson__nanocobs-50</t>
  </si>
  <si>
    <t>https://github.com/charlesnicholson/nanocobs/issues/50</t>
  </si>
  <si>
    <t>feature;refactor;test;build-ci</t>
  </si>
  <si>
    <t>https://drive.google.com/drive/folders/1IC7IHZraVUZn1P8mTVgSDY2BizxQV9ng</t>
  </si>
  <si>
    <t>https://drive.google.com/drive/folders/11uwbO3HpI0WUB2Y2Bsk3-KBf2weHL0pl</t>
  </si>
  <si>
    <t>charlesnicholson/nanocobs</t>
  </si>
  <si>
    <t>charlesnicholson__nanocobs</t>
  </si>
  <si>
    <t>charmbracelet__crush-407</t>
  </si>
  <si>
    <t>https://github.com/charmbracelet/crush/issues/407</t>
  </si>
  <si>
    <t>https://drive.google.com/drive/folders/1OT-zqim0j4iyeI4DrhDfKk8zZbth1LMN</t>
  </si>
  <si>
    <t>charmbracelet/crush</t>
  </si>
  <si>
    <t>charmbracelet__crush</t>
  </si>
  <si>
    <t>charnley__rmsd-114</t>
  </si>
  <si>
    <t>https://github.com/charnley/rmsd/issues/114</t>
  </si>
  <si>
    <t>https://drive.google.com/drive/folders/1Sgmzxpk2d2pio-SmNcHlnDeha4jyRSx5</t>
  </si>
  <si>
    <t>https://drive.google.com/drive/folders/1WRqDbwTdhwyM-YtfRk1zMXj1Kq7hTzIf</t>
  </si>
  <si>
    <t>charnley/rmsd</t>
  </si>
  <si>
    <t>charnley__rmsd</t>
  </si>
  <si>
    <t>chatwoot__ai-agents-30</t>
  </si>
  <si>
    <t>https://github.com/chatwoot/ai-agents/issues/30</t>
  </si>
  <si>
    <t>dependency-update;refactor;feature</t>
  </si>
  <si>
    <t>gs://swe-bench-plus/evaluations/019b6ab1-4e74-7019-9e81-9c96e98a145d-chatwoot__ai-agents-30-swe-agent-claude-sonnet-4.5</t>
  </si>
  <si>
    <t>https://drive.google.com/drive/folders/1lmQrCDWHIioEGwaeMZCsOhcf_zU56r2L</t>
  </si>
  <si>
    <t>chatwoot/ai-agents</t>
  </si>
  <si>
    <t>chatwoot__ai-agents</t>
  </si>
  <si>
    <t>checkstyle__checkstyle-18635</t>
  </si>
  <si>
    <t>https://github.com/checkstyle/checkstyle/issues/18635</t>
  </si>
  <si>
    <t>feature;build-ci;documentation;test</t>
  </si>
  <si>
    <t>gs://swe-bench-plus/evaluations/019c6646-ea55-7645-a600-58791210a874-checkstyle__checkstyle-18635-swe-agent-claude-sonnet-4-20250514</t>
  </si>
  <si>
    <t>https://drive.google.com/drive/folders/15uRFL9j9VmfAMtpdwvnMhbPszeVpA9Ki</t>
  </si>
  <si>
    <t>checkstyle/checkstyle</t>
  </si>
  <si>
    <t>checkstyle__checkstyle</t>
  </si>
  <si>
    <t>chemprop__chemprop-1146</t>
  </si>
  <si>
    <t>https://github.com/chemprop/chemprop/issues/1146</t>
  </si>
  <si>
    <t>https://drive.google.com/drive/folders/1o5M49fWRqj21IBEg8naGoKrF3lBmnZW1</t>
  </si>
  <si>
    <t>https://drive.google.com/drive/folders/1bxjQFa7Ggjtjckb5Htf9nCdR7e16NorT</t>
  </si>
  <si>
    <t>chemprop/chemprop</t>
  </si>
  <si>
    <t>chemprop__chemprop</t>
  </si>
  <si>
    <t>chialab__rna-192</t>
  </si>
  <si>
    <t>https://github.com/chialab/rna/issues/192</t>
  </si>
  <si>
    <t>https://drive.google.com/drive/folders/1_OfbkCT0UWHQ1XfiLwpxt1BcKmJo5ZcK</t>
  </si>
  <si>
    <t>https://drive.google.com/drive/folders/1WeZudT-KYomlVS3zpJT698um433jmf7D</t>
  </si>
  <si>
    <t>chialab/rna</t>
  </si>
  <si>
    <t>chialab__rna</t>
  </si>
  <si>
    <t>ChilliCream__graphql-platform-8425</t>
  </si>
  <si>
    <t>https://github.com/ChilliCream/graphql-platform/issues/8425</t>
  </si>
  <si>
    <t>gs://swe-bench-plus/evaluations/019a9c67-c90c-7602-9a7e-58220182c7c3-ChilliCream__graphql-platform-8425-swe-agent-claude-sonnet-4-20250514</t>
  </si>
  <si>
    <t>ChilliCream/graphql-platform</t>
  </si>
  <si>
    <t>ChilliCream__graphql-platform</t>
  </si>
  <si>
    <t>Chillu1__ModiBuff-57</t>
  </si>
  <si>
    <t>https://github.com/Chillu1/ModiBuff/issues/57</t>
  </si>
  <si>
    <t>gs://swe-bench-plus/evaluations/019a25fc-6046-74dd-9a6b-6259f32e9dff-Chillu1__ModiBuff-57-swe-agent-claude-sonnet-4-20250514</t>
  </si>
  <si>
    <t>https://drive.google.com/drive/folders/1RVMw2e-0RmFNvT79E3j1ycaiOi9XJMgM</t>
  </si>
  <si>
    <t>Chillu1/ModiBuff</t>
  </si>
  <si>
    <t>Chillu1__ModiBuff</t>
  </si>
  <si>
    <t>chronotope__chrono-1719</t>
  </si>
  <si>
    <t>https://github.com/chronotope/chrono/issues/1719</t>
  </si>
  <si>
    <t>https://drive.google.com/drive/folders/1roVL_ncFgDMk7PjFQcn1LMI9jQUrY0oT</t>
  </si>
  <si>
    <t>https://drive.google.com/drive/folders/17PjMXG7PTTcUDxp9TX2dccDSu9_4Fasc</t>
  </si>
  <si>
    <t>chronotope/chrono</t>
  </si>
  <si>
    <t>chronotope__chrono</t>
  </si>
  <si>
    <t>cilium__cilium-36027</t>
  </si>
  <si>
    <t>https://github.com/cilium/cilium/issues/36027</t>
  </si>
  <si>
    <t>https://drive.google.com/drive/folders/1XebP1QphpFUmuON81n6Ix1-sV6u05Zcq</t>
  </si>
  <si>
    <t>https://drive.google.com/drive/folders/1ukf0sX5FKDVuckUwCMJBh2uCVKtP7IL6</t>
  </si>
  <si>
    <t>cilium/cilium</t>
  </si>
  <si>
    <t>cilium__cilium</t>
  </si>
  <si>
    <t>cilium__cilium-41231</t>
  </si>
  <si>
    <t>https://github.com/cilium/cilium/issues/41231</t>
  </si>
  <si>
    <t>gs://swe-bench-plus/evaluations/019a9c59-60ac-726c-a409-57ec3ba781b9-cilium__cilium-41231-swe-agent-claude-sonnet-4-20250514</t>
  </si>
  <si>
    <t>https://drive.google.com/drive/folders/1yeKSVMjDsWzL_Ubh_C78K3lkZD-mmYVm</t>
  </si>
  <si>
    <t>cirruslabs__orchard-224</t>
  </si>
  <si>
    <t>https://github.com/cirruslabs/orchard/issues/224</t>
  </si>
  <si>
    <t>gs://swe-bench-plus/evaluations/019b0886-0f4d-757e-a2e5-c06041eabbaf-cirruslabs__orchard-224-swe-agent-claude-sonnet-4.5</t>
  </si>
  <si>
    <t>https://drive.google.com/drive/folders/1XQF6Y3E_jvD4E0b6w0lFiBvLS29csMX-</t>
  </si>
  <si>
    <t>cirruslabs/orchard</t>
  </si>
  <si>
    <t>cirruslabs__orchard</t>
  </si>
  <si>
    <t>civiform__civiform-10633</t>
  </si>
  <si>
    <t>https://github.com/civiform/civiform/issues/10633</t>
  </si>
  <si>
    <t>https://drive.google.com/drive/folders/1ESXS0SObRzXcijmYDQSNQp9xrRSIrYiR</t>
  </si>
  <si>
    <t>https://drive.google.com/drive/folders/1uRoQoXNTDCDwp6iAwbDMZe2frbYKVWfo</t>
  </si>
  <si>
    <t>civiform/civiform</t>
  </si>
  <si>
    <t>civiform__civiform</t>
  </si>
  <si>
    <t>cksource__mrgit-190</t>
  </si>
  <si>
    <t>https://github.com/cksource/mrgit/issues/190</t>
  </si>
  <si>
    <t>gs://swe-bench-plus/evaluations/019b6aaf-1788-707e-b6dd-d4dc12d72279-cksource__mrgit-190-swe-agent-claude-sonnet-4.5</t>
  </si>
  <si>
    <t>https://drive.google.com/drive/folders/1GWk6Y0hRqGutZqyGB4ufIM_TVarTDpgW</t>
  </si>
  <si>
    <t>cksource/mrgit</t>
  </si>
  <si>
    <t>cksource__mrgit</t>
  </si>
  <si>
    <t>cli__cli-11518</t>
  </si>
  <si>
    <t>https://github.com/cli/cli/issues/11518</t>
  </si>
  <si>
    <t>https://drive.google.com/drive/folders/1N6ruQA7g2FPNMW6Y_zW98mJrSB5XE6fz</t>
  </si>
  <si>
    <t>https://drive.google.com/drive/folders/1M6o1Jwd919eefsgfNMZs8eNNkijzgDFk</t>
  </si>
  <si>
    <t>cli/cli</t>
  </si>
  <si>
    <t>cli__cli</t>
  </si>
  <si>
    <t>cline__cline-5315</t>
  </si>
  <si>
    <t>https://github.com/cline/cline/issues/5315</t>
  </si>
  <si>
    <t>applications;ai-ml;devtools</t>
  </si>
  <si>
    <t>https://drive.google.com/drive/folders/1R_nzLGT3cWNjahBx8kCK_mnY8Wulsukv</t>
  </si>
  <si>
    <t>https://drive.google.com/drive/folders/1F18YP8SUevGaQmDbs0aykiWi1p8ZZzoG</t>
  </si>
  <si>
    <t>cline/cline</t>
  </si>
  <si>
    <t>cline__cline</t>
  </si>
  <si>
    <t>cloudfoundry__cloud_controller_ng-4219</t>
  </si>
  <si>
    <t>https://github.com/cloudfoundry/cloud_controller_ng/issues/4219</t>
  </si>
  <si>
    <t>gs://swe-bench-plus/evaluations/019b6aa7-0380-771f-9e02-24cda0fe6639-cloudfoundry__cloud_controller_ng-4219-swe-agent-claude-sonnet-4.5</t>
  </si>
  <si>
    <t>https://drive.google.com/drive/folders/1gnx4r49FmzkQLR0mA0f-MTHt04047PNh</t>
  </si>
  <si>
    <t>cloudfoundry/cloud_controller_ng</t>
  </si>
  <si>
    <t>cloudfoundry__cloud_controller_ng</t>
  </si>
  <si>
    <t>cloudfoundry__go-cfclient-476</t>
  </si>
  <si>
    <t>https://github.com/cloudfoundry/go-cfclient/issues/476</t>
  </si>
  <si>
    <t>gs://swe-bench-plus/evaluations/019b6aa7-0380-771f-9e02-24cda0fe6639-cloudfoundry__go-cfclient-476-swe-agent-claude-sonnet-4.5</t>
  </si>
  <si>
    <t>https://drive.google.com/drive/folders/1yL4mtOmfsF9lScJdNjrod-cV2IU0N7Db</t>
  </si>
  <si>
    <t>cloudfoundry/go-cfclient</t>
  </si>
  <si>
    <t>cloudfoundry__go-cfclient</t>
  </si>
  <si>
    <t>codefori__vscode-db2i</t>
  </si>
  <si>
    <t>codefori__vscode-rpgle-395</t>
  </si>
  <si>
    <t>https://github.com/codefori/vscode-rpgle/issues/395</t>
  </si>
  <si>
    <t>https://drive.google.com/drive/folders/1MKs__VFwGn0lSq_vL1MWZXbuLs1u2U8e</t>
  </si>
  <si>
    <t>https://drive.google.com/drive/folders/10b9PXRZTh_PyH4B_mXqrRWdwwoTXcmlF</t>
  </si>
  <si>
    <t>codefori/vscode-rpgle</t>
  </si>
  <si>
    <t>codefori__vscode-rpgle</t>
  </si>
  <si>
    <t>coder__terraform-provider-coder-321</t>
  </si>
  <si>
    <t>https://github.com/coder/terraform-provider-coder/issues/321</t>
  </si>
  <si>
    <t>gs://swe-bench-plus/evaluations/019b6aa7-0380-771f-9e02-24cda0fe6639-coder__terraform-provider-coder-321-swe-agent-claude-sonnet-4.5</t>
  </si>
  <si>
    <t>https://drive.google.com/drive/folders/1Vxm4Zixo__MKbRawerkPCbOLp-T4qolI</t>
  </si>
  <si>
    <t>coder/terraform-provider-coder</t>
  </si>
  <si>
    <t>coder__terraform-provider-coder</t>
  </si>
  <si>
    <t>CoderLine__alphaTab-1853</t>
  </si>
  <si>
    <t>https://github.com/CoderLine/alphaTab/issues/1853</t>
  </si>
  <si>
    <t>gs://swe-bench-plus/evaluations/019b6aaf-1788-707e-b6dd-d4dc12d72279-CoderLine__alphaTab-1853-swe-agent-claude-sonnet-4.5</t>
  </si>
  <si>
    <t>https://drive.google.com/drive/folders/1ACji_3ZjOiymgJZcs4gIOtmBULPy6xDA</t>
  </si>
  <si>
    <t>CoderLine/alphaTab</t>
  </si>
  <si>
    <t>CoderLine__alphaTab</t>
  </si>
  <si>
    <t>collective__icalendar-803</t>
  </si>
  <si>
    <t>https://github.com/collective/icalendar/issues/803</t>
  </si>
  <si>
    <t>gs://swe-bench-plus/evaluations/019a6f31-5865-7528-b3d7-dd9431bd3aac-collective__icalendar-803-swe-agent-claude-sonnet-4.5</t>
  </si>
  <si>
    <t>https://drive.google.com/drive/folders/1ZavCtMq0MkQXXpM8bBkvmE2zczv63RUc</t>
  </si>
  <si>
    <t>collective/icalendar</t>
  </si>
  <si>
    <t>collective__icalendar</t>
  </si>
  <si>
    <t>collective__icalendar-806</t>
  </si>
  <si>
    <t>https://github.com/collective/icalendar/issues/806</t>
  </si>
  <si>
    <t>https://drive.google.com/drive/folders/1Y3Aee6ppjtKtoJafJcSNEySxDwzZnR1_</t>
  </si>
  <si>
    <t>https://drive.google.com/drive/folders/1-nAouHoST06GEeUbupviYZib7qkUL_Ry</t>
  </si>
  <si>
    <t>comet-ml__opik-677</t>
  </si>
  <si>
    <t>https://github.com/comet-ml/opik/issues/677</t>
  </si>
  <si>
    <t>https://drive.google.com/drive/folders/1vfIyK4rWzAwqcHIza9bQPNt_8J888Cn4</t>
  </si>
  <si>
    <t>https://drive.google.com/drive/folders/1HgpOjLvMlrIPOYrTcnOoxp_7AaQoQWvd</t>
  </si>
  <si>
    <t>comet-ml/opik</t>
  </si>
  <si>
    <t>comet-ml__opik</t>
  </si>
  <si>
    <t>cometd__cometd-2118</t>
  </si>
  <si>
    <t>https://github.com/cometd/cometd/issues/2118</t>
  </si>
  <si>
    <t>gs://swe-bench-plus/evaluations/019b6ab1-4e74-7019-9e81-9c96e98a145d-cometd__cometd-2118-swe-agent-claude-sonnet-4.5</t>
  </si>
  <si>
    <t>https://drive.google.com/drive/folders/1Ov8K4OzYFDdFVdqNZyWwkIWGhhE0OrSw</t>
  </si>
  <si>
    <t>cometd/cometd</t>
  </si>
  <si>
    <t>cometd__cometd</t>
  </si>
  <si>
    <t>Comfy-Org__ComfyUI_frontend-5653</t>
  </si>
  <si>
    <t>https://github.com/Comfy-Org/ComfyUI_frontend/issues/5653</t>
  </si>
  <si>
    <t>gs://swe-bench-plus/evaluations/019b6aaf-1788-707e-b6dd-d4dc12d72279-Comfy-Org__ComfyUI_frontend-5653-swe-agent-claude-sonnet-4.5</t>
  </si>
  <si>
    <t>https://drive.google.com/drive/folders/1_B6H-pQg6_f7xRokqEDDqy2fl-zvW2QW</t>
  </si>
  <si>
    <t>Comfy-Org/ComfyUI_frontend</t>
  </si>
  <si>
    <t>Comfy-Org__ComfyUI_frontend</t>
  </si>
  <si>
    <t>commonmark__commonmark-java-205</t>
  </si>
  <si>
    <t>https://github.com/commonmark/commonmark-java/issues/205</t>
  </si>
  <si>
    <t>https://drive.google.com/drive/folders/11mLH1eKeI8aICmX1A1Ca_vUPW0hDPFHY</t>
  </si>
  <si>
    <t>https://drive.google.com/drive/folders/1eHzi8PEsB5FdY6xLO-E6-l2k8XfMix9o</t>
  </si>
  <si>
    <t>commonmark/commonmark-java</t>
  </si>
  <si>
    <t>commonmark__commonmark-java</t>
  </si>
  <si>
    <t>CommunityToolkit__Aspire-460</t>
  </si>
  <si>
    <t>https://github.com/CommunityToolkit/Aspire/issues/460</t>
  </si>
  <si>
    <t>gs://swe-bench-plus/evaluations/019b6aaf-1788-707e-b6dd-d4dc12d72279-CommunityToolkit__Aspire-460-swe-agent-claude-sonnet-4.5</t>
  </si>
  <si>
    <t>https://drive.google.com/drive/folders/1sHKGRXtwRPPi4mKcRTG7J4MOl5w_Yaos</t>
  </si>
  <si>
    <t>CommunityToolkit/Aspire</t>
  </si>
  <si>
    <t>CommunityToolkit__Aspire</t>
  </si>
  <si>
    <t>CommunityToolkit__Aspire-386</t>
  </si>
  <si>
    <t>https://github.com/CommunityToolkit/Aspire/issues/386</t>
  </si>
  <si>
    <t>gs://swe-bench-plus/evaluations/019b6aa7-0380-771f-9e02-24cda0fe6639-CommunityToolkit__Aspire-386-swe-agent-claude-sonnet-4.5</t>
  </si>
  <si>
    <t>https://drive.google.com/drive/folders/13GPinTDkjBB2os_QxzesH5copB0rCV0-</t>
  </si>
  <si>
    <t>comunica__comunica-1622</t>
  </si>
  <si>
    <t>https://github.com/comunica/comunica/issues/1622</t>
  </si>
  <si>
    <t>gs://swe-bench-plus/evaluations/019b6aaf-1788-707e-b6dd-d4dc12d72279-comunica__comunica-1622-swe-agent-claude-sonnet-4.5</t>
  </si>
  <si>
    <t>https://drive.google.com/drive/folders/1oghwzxlzEEI-rFKACfs3NYFfNoFPlLfo</t>
  </si>
  <si>
    <t>comunica/comunica</t>
  </si>
  <si>
    <t>comunica__comunica</t>
  </si>
  <si>
    <t>conan-io__conan-18390</t>
  </si>
  <si>
    <t>https://github.com/conan-io/conan/issues/18390</t>
  </si>
  <si>
    <t>https://drive.google.com/drive/folders/1GmcmCSncFTpXGgCTUATM2hqBEjGbNoGr</t>
  </si>
  <si>
    <t>https://drive.google.com/drive/folders/1x9tWh2zmy6ZBbVHDZcqpVD8567EQP5Rp</t>
  </si>
  <si>
    <t>conan-io/conan</t>
  </si>
  <si>
    <t>conan-io__conan</t>
  </si>
  <si>
    <t>conan-io__conan-18520</t>
  </si>
  <si>
    <t>https://github.com/conan-io/conan/issues/18520</t>
  </si>
  <si>
    <t>https://drive.google.com/drive/folders/1z3LDLw86UVhUowM-Wlpv2_D1pr6kNRs0</t>
  </si>
  <si>
    <t>https://drive.google.com/drive/folders/1LjyPRLmFtMklXYsLGqTQV9iGocSl5dLJ</t>
  </si>
  <si>
    <t>connamara__quickfixn-924</t>
  </si>
  <si>
    <t>https://github.com/connamara/quickfixn/issues/924</t>
  </si>
  <si>
    <t>gs://swe-bench-plus/evaluations/019b6aa7-0380-771f-9e02-24cda0fe6639-connamara__quickfixn-924-swe-agent-claude-sonnet-4.5</t>
  </si>
  <si>
    <t>https://drive.google.com/drive/folders/1dWVrf7Hx4ssOgWRjNmPnkoXXxfpuuN55</t>
  </si>
  <si>
    <t>connamara/quickfixn</t>
  </si>
  <si>
    <t>connamara__quickfixn</t>
  </si>
  <si>
    <t>constellation-app__constellation-2321</t>
  </si>
  <si>
    <t>https://github.com/constellation-app/constellation/issues/2321</t>
  </si>
  <si>
    <t>gs://swe-bench-plus/evaluations/019bc794-37db-7668-96b7-98997dff752e-constellation-app__constellation-2321-swe-agent-claude-sonnet-4-20250514</t>
  </si>
  <si>
    <t>https://drive.google.com/drive/folders/1k7MM-uEP4gDVlcrUimeSm55gNdv9uFSC</t>
  </si>
  <si>
    <t>constellation-app/constellation</t>
  </si>
  <si>
    <t>constellation-app__constellation</t>
  </si>
  <si>
    <t>constellation-app__constellation-2266</t>
  </si>
  <si>
    <t>https://github.com/constellation-app/constellation/issues/2266</t>
  </si>
  <si>
    <t>gs://swe-bench-plus/evaluations/019bc796-66b6-7744-99a6-9ba9969a7e01-constellation-app__constellation-2266-swe-agent-claude-sonnet-4-20250514</t>
  </si>
  <si>
    <t>https://drive.google.com/drive/folders/1CeBCk5tZpsHz6MZF9fZmUdvlZB1nDSDl</t>
  </si>
  <si>
    <t>containers__kubernetes-mcp-server-152</t>
  </si>
  <si>
    <t>https://github.com/containers/kubernetes-mcp-server/issues/152</t>
  </si>
  <si>
    <t>gs://swe-bench-plus/evaluations/019b6aa7-0380-771f-9e02-24cda0fe6639-containers__kubernetes-mcp-server-152-swe-agent-claude-sonnet-4.5</t>
  </si>
  <si>
    <t>https://drive.google.com/drive/folders/1mvYx4vFYsnvWtMYJKlV-KgGL3xrZY9Ll</t>
  </si>
  <si>
    <t>containers/kubernetes-mcp-server</t>
  </si>
  <si>
    <t>containers__kubernetes-mcp-server</t>
  </si>
  <si>
    <t>cosmos__evm-90</t>
  </si>
  <si>
    <t>https://github.com/cosmos/evm/issues/90</t>
  </si>
  <si>
    <t>gs://swe-bench-plus/evaluations/019b6ab1-4e74-7019-9e81-9c96e98a145d-cosmos__evm-90-swe-agent-claude-sonnet-4.5</t>
  </si>
  <si>
    <t>https://drive.google.com/drive/folders/1D3Qpiiky1GeDlHdtuEfYZRrk9ISGie6G</t>
  </si>
  <si>
    <t>cosmos/evm</t>
  </si>
  <si>
    <t>cosmos__evm</t>
  </si>
  <si>
    <t>cosmos__evm-145</t>
  </si>
  <si>
    <t>https://github.com/cosmos/evm/issues/145</t>
  </si>
  <si>
    <t>gs://swe-bench-plus/evaluations/019b6ab1-4e74-7019-9e81-9c96e98a145d-cosmos__evm-145-swe-agent-claude-sonnet-4.5</t>
  </si>
  <si>
    <t>https://drive.google.com/drive/folders/1-c-D4blBEbXePeuYhMTNCEj-kmiofyJ_</t>
  </si>
  <si>
    <t>cosmos__interchain-security-2378</t>
  </si>
  <si>
    <t>https://github.com/cosmos/interchain-security/issues/2378</t>
  </si>
  <si>
    <t>gs://swe-bench-plus/evaluations/019b6aa7-0380-771f-9e02-24cda0fe6639-cosmos__interchain-security-2378-swe-agent-claude-sonnet-4.5</t>
  </si>
  <si>
    <t>https://drive.google.com/drive/folders/1LqzyaF7Mv-yVj40lfK6sa-s8UmQeUy7n</t>
  </si>
  <si>
    <t>cosmos/interchain-security</t>
  </si>
  <si>
    <t>cosmos__interchain-security</t>
  </si>
  <si>
    <t>cosmos__interchain-security-2366</t>
  </si>
  <si>
    <t>https://github.com/cosmos/interchain-security/issues/2366</t>
  </si>
  <si>
    <t>gs://swe-bench-plus/evaluations/019b6aa7-0380-771f-9e02-24cda0fe6639-cosmos__interchain-security-2366-swe-agent-claude-sonnet-4.5</t>
  </si>
  <si>
    <t>https://drive.google.com/drive/folders/1EGKhGEwNaf141q_6wHtbT_sdxVn-ohhm</t>
  </si>
  <si>
    <t>CosmWasm__cosmwasm-2479</t>
  </si>
  <si>
    <t>https://github.com/CosmWasm/cosmwasm/issues/2479</t>
  </si>
  <si>
    <t>gs://swe-bench-plus/evaluations/019b06bd-e8b8-7239-a811-43270291d9ff-CosmWasm__cosmwasm-2479-swe-agent-claude-sonnet-4.5</t>
  </si>
  <si>
    <t>https://drive.google.com/drive/folders/1trYAIGm__OaUWZ9eEzYOcb-vVJV7blNC</t>
  </si>
  <si>
    <t>CosmWasm/cosmwasm</t>
  </si>
  <si>
    <t>CosmWasm__cosmwasm</t>
  </si>
  <si>
    <t>cosullivan__SmtpServer-254</t>
  </si>
  <si>
    <t>https://github.com/cosullivan/SmtpServer/issues/254</t>
  </si>
  <si>
    <t>bug-report;documentation</t>
  </si>
  <si>
    <t>gs://swe-bench-plus/evaluations/019a9c67-c90c-7602-9a7e-58220182c7c3-cosullivan__SmtpServer-254-swe-agent-claude-sonnet-4-20250514</t>
  </si>
  <si>
    <t>https://drive.google.com/drive/folders/1ZeXiun-2MARL8prTRetQbGtfjyeFwSsl</t>
  </si>
  <si>
    <t>cosullivan/SmtpServer</t>
  </si>
  <si>
    <t>cosullivan__SmtpServer</t>
  </si>
  <si>
    <t>COVESA__vss-tools-425</t>
  </si>
  <si>
    <t>https://github.com/COVESA/vss-tools/issues/425</t>
  </si>
  <si>
    <t>autonomy;devtools</t>
  </si>
  <si>
    <t>https://drive.google.com/drive/folders/1khOZTBVh62jTy1rY7Gbft1uIYKe4kMe2</t>
  </si>
  <si>
    <t>https://drive.google.com/drive/folders/1OiHnaT7Rf1l6b1V8awUl7oXY2SLpLeL5</t>
  </si>
  <si>
    <t>COVESA/vss-tools</t>
  </si>
  <si>
    <t>COVESA__vss-tools</t>
  </si>
  <si>
    <t>covibes__zeroshot-301</t>
  </si>
  <si>
    <t>https://github.com/covibes/zeroshot/issues/301</t>
  </si>
  <si>
    <t>https://drive.google.com/drive/folders/1Yer5skqnT9oId825hEiPRBLsVf_plS8-</t>
  </si>
  <si>
    <t>https://drive.google.com/drive/folders/1OdEKLVRwRQdsP3cjRLG7rzpZWEYx5B3R</t>
  </si>
  <si>
    <t>covibes/zeroshot</t>
  </si>
  <si>
    <t>covibes__zeroshot</t>
  </si>
  <si>
    <t>covibes__zeroshot-245</t>
  </si>
  <si>
    <t>https://github.com/covibes/zeroshot/issues/245</t>
  </si>
  <si>
    <t>https://drive.google.com/drive/folders/1aPY9Rc5ZbJGj4KcwDKHZtVTiJZCD2kQq</t>
  </si>
  <si>
    <t>https://drive.google.com/drive/folders/1uw6WaTYxapBSP8PpCg8BZrPrUfjGnfH8</t>
  </si>
  <si>
    <t>crate__crate-17407</t>
  </si>
  <si>
    <t>https://github.com/crate/crate/issues/17407</t>
  </si>
  <si>
    <t>https://drive.google.com/drive/folders/19jeVdhonMIEsw7KfdoD4WhUgDRYaR9yf</t>
  </si>
  <si>
    <t>https://drive.google.com/drive/folders/1e5RSZOcr5ZFE-dQwieAo7HXMCJdxg5ZY</t>
  </si>
  <si>
    <t>crate/crate</t>
  </si>
  <si>
    <t>crate__crate</t>
  </si>
  <si>
    <t>crate__crate-17131</t>
  </si>
  <si>
    <t>https://github.com/crate/crate/issues/17131</t>
  </si>
  <si>
    <t>https://drive.google.com/drive/folders/1sqWNwut2jR7UWPUJfvm477trEKFWsK-C</t>
  </si>
  <si>
    <t>https://drive.google.com/drive/folders/1VKeziwCFV_nIBaA_swpBO7A6XQS_FfK-</t>
  </si>
  <si>
    <t>crate__crate-17422</t>
  </si>
  <si>
    <t>https://github.com/crate/crate/issues/17422</t>
  </si>
  <si>
    <t>https://drive.google.com/drive/folders/162IGOSzuRMsBuwHmMxlAyuvt7LklMTvU</t>
  </si>
  <si>
    <t>https://drive.google.com/drive/folders/1o1PBZbPqUucCSOOyOnMTqITQOMCiSRki</t>
  </si>
  <si>
    <t>crate__crate-17689</t>
  </si>
  <si>
    <t>https://github.com/crate/crate/issues/17689</t>
  </si>
  <si>
    <t>https://drive.google.com/drive/folders/12Z7jZ_45pd4n3tzFYt6K3NkO5dTAIdWX</t>
  </si>
  <si>
    <t>https://drive.google.com/drive/folders/1leZgpv1E1gKwmJjGE4oID9a3n4GDCQg4</t>
  </si>
  <si>
    <t>crate__crate-17887</t>
  </si>
  <si>
    <t>https://github.com/crate/crate/issues/17887</t>
  </si>
  <si>
    <t>infra-devops;data-eng;sci-comp</t>
  </si>
  <si>
    <t>https://drive.google.com/drive/folders/1UfogDxk9a0O4V0ORZkN61CiIVPJBD6JC</t>
  </si>
  <si>
    <t>https://drive.google.com/drive/folders/1s7NpNjEcWhScSAEn3OaEw1npIgMqrCjK</t>
  </si>
  <si>
    <t>crate__crate-18827</t>
  </si>
  <si>
    <t>https://github.com/crate/crate/issues/18827</t>
  </si>
  <si>
    <t>infra-devops;data-eng;applications</t>
  </si>
  <si>
    <t>gs://swe-bench-plus/evaluations/019c6646-ea55-7645-a600-58791210a874-crate__crate-18827-swe-agent-claude-sonnet-4-20250514</t>
  </si>
  <si>
    <t>https://drive.google.com/drive/folders/142PIl6naF8zdn-b_-LClnWG5yE5LRBA-</t>
  </si>
  <si>
    <t>crc-org__vfkit-212</t>
  </si>
  <si>
    <t>https://github.com/crc-org/vfkit/issues/212</t>
  </si>
  <si>
    <t>gs://swe-bench-plus/evaluations/019b6aa7-0380-771f-9e02-24cda0fe6639-crc-org__vfkit-212-swe-agent-claude-sonnet-4.5</t>
  </si>
  <si>
    <t>https://drive.google.com/drive/folders/16DFzSr_OooyIYsdo3bD_9yvOjZne7nQJ</t>
  </si>
  <si>
    <t>crc-org/vfkit</t>
  </si>
  <si>
    <t>crc-org__vfkit</t>
  </si>
  <si>
    <t>crowdin__crowdin-api-client-dotnet-285</t>
  </si>
  <si>
    <t>https://github.com/crowdin/crowdin-api-client-dotnet/issues/285</t>
  </si>
  <si>
    <t>gs://swe-bench-plus/evaluations/019b6aa7-0380-771f-9e02-24cda0fe6639-crowdin__crowdin-api-client-dotnet-285-swe-agent-claude-sonnet-4.5</t>
  </si>
  <si>
    <t>https://drive.google.com/drive/folders/1ZpszkQccMkZtjJsDmIEDDxLlyCK-Mfal</t>
  </si>
  <si>
    <t>crowdin/crowdin-api-client-dotnet</t>
  </si>
  <si>
    <t>crowdin__crowdin-api-client-dotnet</t>
  </si>
  <si>
    <t>crowdsecurity__crowdsec-3288</t>
  </si>
  <si>
    <t>https://github.com/crowdsecurity/crowdsec/issues/3288</t>
  </si>
  <si>
    <t>https://drive.google.com/drive/folders/1QqcrDrNwCGlUIR6r4xv3M897T8AwvarF</t>
  </si>
  <si>
    <t>https://drive.google.com/drive/folders/12NIkca5S31gARsMJa9mAqWv-xpVuYQEp</t>
  </si>
  <si>
    <t>crowdsecurity/crowdsec</t>
  </si>
  <si>
    <t>crowdsecurity__crowdsec</t>
  </si>
  <si>
    <t>cryptomator__cryptofs-277</t>
  </si>
  <si>
    <t>https://github.com/cryptomator/cryptofs/issues/277</t>
  </si>
  <si>
    <t>gs://swe-bench-plus/evaluations/019b6ab1-4e74-7019-9e81-9c96e98a145d-cryptomator__cryptofs-277-swe-agent-claude-sonnet-4.5</t>
  </si>
  <si>
    <t>https://drive.google.com/drive/folders/1rLBPoo91aV_gXZEK7RilS_mXVh8hzuUF</t>
  </si>
  <si>
    <t>cryptomator/cryptofs</t>
  </si>
  <si>
    <t>cryptomator__cryptofs</t>
  </si>
  <si>
    <t>csu-hmc__opty-372</t>
  </si>
  <si>
    <t>https://github.com/csu-hmc/opty/issues/372</t>
  </si>
  <si>
    <t>https://drive.google.com/drive/folders/1ZjE3aPLxJEzapZRDNI7oaAMvcZ_aAITA</t>
  </si>
  <si>
    <t>https://drive.google.com/drive/folders/1UhuKRsbFRtLN3O4h59_kEIvqpWRuw58-</t>
  </si>
  <si>
    <t>csu-hmc/opty</t>
  </si>
  <si>
    <t>csu-hmc__opty</t>
  </si>
  <si>
    <t>cucumber__cucumber-jvm-3057</t>
  </si>
  <si>
    <t>https://github.com/cucumber/cucumber-jvm/issues/3057</t>
  </si>
  <si>
    <t>https://drive.google.com/drive/folders/1Ro8n0xm5x-xvxT-Za0VXvmzp9sa1WQlM</t>
  </si>
  <si>
    <t>https://drive.google.com/drive/folders/1JgXdueeUnruR0CRMLYBFb2zv3HEwJZwC</t>
  </si>
  <si>
    <t>cucumber/cucumber-jvm</t>
  </si>
  <si>
    <t>cucumber__cucumber-jvm</t>
  </si>
  <si>
    <t>cucumber__cucumber-jvm-3139</t>
  </si>
  <si>
    <t>https://github.com/cucumber/cucumber-jvm/issues/3139</t>
  </si>
  <si>
    <t>gs://swe-bench-plus/evaluations/019c63b0-5201-7257-9916-f49303cabd22-cucumber__cucumber-jvm-3139-swe-agent-claude-sonnet-4-20250514</t>
  </si>
  <si>
    <t>https://drive.google.com/drive/folders/10RGkTfxkspVQsxO2o1nZNQGdiQCjqmmj</t>
  </si>
  <si>
    <t>custom-cards__button-card-959</t>
  </si>
  <si>
    <t>https://github.com/custom-cards/button-card/issues/959</t>
  </si>
  <si>
    <t>gs://swe-bench-plus/evaluations/019c66b0-0f71-7623-a450-5eef8c160ccb-custom-cards__button-card-959-swe-agent-claude-sonnet-4.5</t>
  </si>
  <si>
    <t>https://drive.google.com/drive/folders/1C8DzNv3mUCuFnJlnDhRnrIYpOEbHzeFG</t>
  </si>
  <si>
    <t>custom-cards/button-card</t>
  </si>
  <si>
    <t>custom-cards__button-card</t>
  </si>
  <si>
    <t>cvut__qtrvsim-115</t>
  </si>
  <si>
    <t>https://github.com/cvut/qtrvsim/issues/115</t>
  </si>
  <si>
    <t>gs://swe-bench-plus/evaluations/019b6ab1-4e74-7019-9e81-9c96e98a145d-cvut__qtrvsim-115-swe-agent-claude-sonnet-4.5</t>
  </si>
  <si>
    <t>https://drive.google.com/drive/folders/1yfV5LM-xm6T16goISjCQiteDyGnuzfSr</t>
  </si>
  <si>
    <t>cvut/qtrvsim</t>
  </si>
  <si>
    <t>cvut__qtrvsim</t>
  </si>
  <si>
    <t>CycloneDX__cdxgen-2158</t>
  </si>
  <si>
    <t>https://github.com/CycloneDX/cdxgen/issues/2158</t>
  </si>
  <si>
    <t>gs://swe-bench-plus/evaluations/019c39f2-e206-779c-90aa-5844335bcaf5-CycloneDX__cdxgen-2158-swe-agent-claude-sonnet-4-20250514</t>
  </si>
  <si>
    <t>https://drive.google.com/drive/folders/121r2BUqnTrPqnf8kyhRIr6QeJVPnJc8S</t>
  </si>
  <si>
    <t>CycloneDX/cdxgen</t>
  </si>
  <si>
    <t>CycloneDX__cdxgen</t>
  </si>
  <si>
    <t>cypress-io__cypress-32283</t>
  </si>
  <si>
    <t>https://github.com/cypress-io/cypress/issues/32283</t>
  </si>
  <si>
    <t>https://drive.google.com/drive/folders/1QMLQF4RAHp5pM5UxlUvQNNGEIDjP7QsX</t>
  </si>
  <si>
    <t>https://drive.google.com/drive/folders/1Vg1Es0tSa_TTz6v5_PBVdHltIYAmoRVo</t>
  </si>
  <si>
    <t>cypress-io/cypress</t>
  </si>
  <si>
    <t>cypress-io__cypress</t>
  </si>
  <si>
    <t>Cysharp__YetAnotherHttpHandler-106</t>
  </si>
  <si>
    <t>https://github.com/Cysharp/YetAnotherHttpHandler/issues/106</t>
  </si>
  <si>
    <t>devtools;graphics-media;security</t>
  </si>
  <si>
    <t>gs://swe-bench-plus/evaluations/019b6ab1-4e74-7019-9e81-9c96e98a145d-Cysharp__YetAnotherHttpHandler-106-swe-agent-claude-sonnet-4.5</t>
  </si>
  <si>
    <t>https://drive.google.com/drive/folders/14qCSlemunyFjOqgKHNnkAJFErr3NlcAd</t>
  </si>
  <si>
    <t>Cysharp/YetAnotherHttpHandler</t>
  </si>
  <si>
    <t>Cysharp__YetAnotherHttpHandler</t>
  </si>
  <si>
    <t>czlonkowski__n8n-mcp-364</t>
  </si>
  <si>
    <t>https://github.com/czlonkowski/n8n-mcp/issues/364</t>
  </si>
  <si>
    <t>gs://swe-bench-plus/evaluations/019bdc10-e47f-75ba-85a4-6ca54e588df4-czlonkowski__n8n-mcp-364-swe-agent-claude-sonnet-4-20250514</t>
  </si>
  <si>
    <t>https://drive.google.com/drive/folders/1dyEdkIb-1WoCoZhbVTHOYQlwUGaBRrEh</t>
  </si>
  <si>
    <t>czlonkowski/n8n-mcp</t>
  </si>
  <si>
    <t>czlonkowski__n8n-mcp</t>
  </si>
  <si>
    <t>dagu-org__dagu-1122</t>
  </si>
  <si>
    <t>https://github.com/dagu-org/dagu/issues/1122</t>
  </si>
  <si>
    <t>data-eng;infra-devops;devtools</t>
  </si>
  <si>
    <t>gs://swe-bench-plus/evaluations/019b21b8-cb17-706d-bade-2f9b34b81acc-dagu-org__dagu-1122-swe-agent-claude-sonnet-4-20250514</t>
  </si>
  <si>
    <t>https://drive.google.com/drive/folders/1fOGtj1B4QkoStI_F76yHpovBdmjwoe5x</t>
  </si>
  <si>
    <t>dagu-org/dagu</t>
  </si>
  <si>
    <t>dagu-org__dagu</t>
  </si>
  <si>
    <t>dagu-org__dagu-1129</t>
  </si>
  <si>
    <t>https://github.com/dagu-org/dagu/issues/1129</t>
  </si>
  <si>
    <t>https://drive.google.com/drive/folders/1DBbR_8GYNAth2RuoJJmBf3LcSDwtOVjQ</t>
  </si>
  <si>
    <t>https://drive.google.com/drive/folders/1pct0wOV3cVVodBObg_Xcg5EenmHEssyd</t>
  </si>
  <si>
    <t>dalinicus__homeassistant-acinfinity-95</t>
  </si>
  <si>
    <t>https://github.com/dalinicus/homeassistant-acinfinity/issues/95</t>
  </si>
  <si>
    <t>https://drive.google.com/drive/folders/1EjZBGB1auIDtSzMCBI83NYCRDM8VKRKL</t>
  </si>
  <si>
    <t>https://drive.google.com/drive/folders/1ODQ5sf4k0KbnElWlE-Egz8H5SbNfxaOW</t>
  </si>
  <si>
    <t>dalinicus/homeassistant-acinfinity</t>
  </si>
  <si>
    <t>dalinicus__homeassistant-acinfinity</t>
  </si>
  <si>
    <t>daniel-hauser__moneyman-474</t>
  </si>
  <si>
    <t>https://github.com/daniel-hauser/moneyman/issues/474</t>
  </si>
  <si>
    <t>gs://swe-bench-plus/evaluations/019b6ab1-4e74-7019-9e81-9c96e98a145d-daniel-hauser__moneyman-474-swe-agent-claude-sonnet-4.5</t>
  </si>
  <si>
    <t>https://drive.google.com/drive/folders/1HiqX__Fm_H-ouRS-fTu_jIkwRO60Yo2i</t>
  </si>
  <si>
    <t>daniel-hauser/moneyman</t>
  </si>
  <si>
    <t>daniel-hauser__moneyman</t>
  </si>
  <si>
    <t>danielgtaylor__huma-728</t>
  </si>
  <si>
    <t>https://github.com/danielgtaylor/huma/issues/728</t>
  </si>
  <si>
    <t>https://drive.google.com/drive/folders/16FHBBjEelx8gS7ZUv0OQ874dg9gpCXpq</t>
  </si>
  <si>
    <t>https://drive.google.com/drive/folders/1nh2X5xVzsRsONZU1sgsdjyC7L_Qu-q8i</t>
  </si>
  <si>
    <t>danielgtaylor/huma</t>
  </si>
  <si>
    <t>danielgtaylor__huma</t>
  </si>
  <si>
    <t>DanielLiu1123__grpc-starter-92</t>
  </si>
  <si>
    <t>https://github.com/DanielLiu1123/grpc-starter/issues/92</t>
  </si>
  <si>
    <t>gs://swe-bench-plus/evaluations/019b6ab1-4e74-7019-9e81-9c96e98a145d-DanielLiu1123__grpc-starter-92-swe-agent-claude-sonnet-4.5</t>
  </si>
  <si>
    <t>https://drive.google.com/drive/folders/14N9DUGiId48Drd5-gcIXf5oN5x7O-GhP</t>
  </si>
  <si>
    <t>DanielLiu1123/grpc-starter</t>
  </si>
  <si>
    <t>DanielLiu1123__grpc-starter</t>
  </si>
  <si>
    <t>danielroe__beasties-119</t>
  </si>
  <si>
    <t>https://github.com/danielroe/beasties/issues/119</t>
  </si>
  <si>
    <t>gs://swe-bench-plus/evaluations/019b6ab1-4e74-7019-9e81-9c96e98a145d-danielroe__beasties-119-swe-agent-claude-sonnet-4.5</t>
  </si>
  <si>
    <t>https://drive.google.com/drive/folders/1KaqhoBopnOUW4kV2P2uoeYJnqyPX7EFy</t>
  </si>
  <si>
    <t>danielroe/beasties</t>
  </si>
  <si>
    <t>danielroe__beasties</t>
  </si>
  <si>
    <t>danielwestendorf__specwrk-111</t>
  </si>
  <si>
    <t>https://github.com/danielwestendorf/specwrk/issues/111</t>
  </si>
  <si>
    <t>gs://swe-bench-plus/evaluations/019b6aaf-1788-707e-b6dd-d4dc12d72279-danielwestendorf__specwrk-111-swe-agent-claude-sonnet-4.5</t>
  </si>
  <si>
    <t>https://drive.google.com/drive/folders/1d_WloKa0WgfYYC6qAGLoEoOxifE-R5_y</t>
  </si>
  <si>
    <t>danielwestendorf/specwrk</t>
  </si>
  <si>
    <t>danielwestendorf__specwrk</t>
  </si>
  <si>
    <t>dapr__java-sdk-1560</t>
  </si>
  <si>
    <t>https://github.com/dapr/java-sdk/issues/1560</t>
  </si>
  <si>
    <t>gs://swe-bench-plus/evaluations/019bc798-a722-770f-b772-98c73d2678bb-dapr__java-sdk-1560-swe-agent-claude-sonnet-4-20250514</t>
  </si>
  <si>
    <t>https://drive.google.com/drive/folders/1vgk7ZPfCGiLMLxvjl9EBhzyNWx5_0Cyp</t>
  </si>
  <si>
    <t>dapr/java-sdk</t>
  </si>
  <si>
    <t>dapr__java-sdk</t>
  </si>
  <si>
    <t>dapr__java-sdk-1216</t>
  </si>
  <si>
    <t>https://github.com/dapr/java-sdk/issues/1216</t>
  </si>
  <si>
    <t>gs://swe-bench-plus/evaluations/019b6aaf-1788-707e-b6dd-d4dc12d72279-dapr__java-sdk-1216-swe-agent-claude-sonnet-4.5</t>
  </si>
  <si>
    <t>https://drive.google.com/drive/folders/1dInlWU3PuJOqgIuMOKCuoxFOpn4PxJjn</t>
  </si>
  <si>
    <t>dapr__java-sdk-1218</t>
  </si>
  <si>
    <t>https://github.com/dapr/java-sdk/issues/1218</t>
  </si>
  <si>
    <t>gs://swe-bench-plus/evaluations/019b6aaf-1788-707e-b6dd-d4dc12d72279-dapr__java-sdk-1218-swe-agent-claude-sonnet-4.5</t>
  </si>
  <si>
    <t>https://drive.google.com/drive/folders/1x2EhF2DzcPigcdBe785Uo1e7g055fchb</t>
  </si>
  <si>
    <t>dapr__java-sdk-1405</t>
  </si>
  <si>
    <t>https://github.com/dapr/java-sdk/issues/1405</t>
  </si>
  <si>
    <t>gs://swe-bench-plus/evaluations/019b6ab1-4e74-7019-9e81-9c96e98a145d-dapr__java-sdk-1405-swe-agent-claude-sonnet-4.5</t>
  </si>
  <si>
    <t>https://drive.google.com/drive/folders/1TgCnqsqxEL8RzHzno5_5s7g9wAbZCXj9</t>
  </si>
  <si>
    <t>dapr__java-sdk-1343</t>
  </si>
  <si>
    <t>https://github.com/dapr/java-sdk/issues/1343</t>
  </si>
  <si>
    <t>gs://swe-bench-plus/evaluations/019b6ab1-4e74-7019-9e81-9c96e98a145d-dapr__java-sdk-1343-swe-agent-claude-sonnet-4.5</t>
  </si>
  <si>
    <t>https://drive.google.com/drive/folders/1xFa4zYGKHrbSvaZKnuSI2iATGljQQYNc</t>
  </si>
  <si>
    <t>dapr__java-sdk-1617</t>
  </si>
  <si>
    <t>https://github.com/dapr/java-sdk/issues/1617</t>
  </si>
  <si>
    <t>https://drive.google.com/drive/folders/1C-9d5WOWmSh6kkXhNuiNC4ZGgBA_3HDl</t>
  </si>
  <si>
    <t>https://drive.google.com/drive/folders/1Roa4ctRdl4JUfv2lzuDTDofVGbpLxlhl</t>
  </si>
  <si>
    <t>Dash-Industry-Forum__dash.js-4866</t>
  </si>
  <si>
    <t>https://github.com/Dash-Industry-Forum/dash.js/issues/4866</t>
  </si>
  <si>
    <t>graphics-media;webdev</t>
  </si>
  <si>
    <t>gs://swe-bench-plus/evaluations/019a850d-50f7-75bd-81a5-fbf7beef1155-Dash-Industry-Forum__dash.js-4866-swe-agent-claude-sonnet-4-20250514</t>
  </si>
  <si>
    <t>https://drive.google.com/drive/folders/1zIXKIDcEpY0OORXyKSVS8RSlTUcdeEfh</t>
  </si>
  <si>
    <t>Dash-Industry-Forum/dash.js</t>
  </si>
  <si>
    <t>Dash-Industry-Forum__dash.js</t>
  </si>
  <si>
    <t>databendlabs__databend-18848</t>
  </si>
  <si>
    <t>https://github.com/databendlabs/databend/issues/18848</t>
  </si>
  <si>
    <t>https://drive.google.com/drive/folders/1F-3MPfe4po7CMJborafBSyw2FGD-Gfmh</t>
  </si>
  <si>
    <t>https://drive.google.com/drive/folders/1fOWmhSCKBQln_ogfHxjTMhAV8ZjBMaqt</t>
  </si>
  <si>
    <t>databendlabs/databend</t>
  </si>
  <si>
    <t>databendlabs__databend</t>
  </si>
  <si>
    <t>DataBiosphere__toil-5233</t>
  </si>
  <si>
    <t>https://github.com/DataBiosphere/toil/issues/5233</t>
  </si>
  <si>
    <t>data-eng;sci-comp;infra-devops</t>
  </si>
  <si>
    <t>gs://swe-bench-plus/evaluations/019a8f6e-136c-7345-a414-a1ed9c7f4f2d-DataBiosphere__toil-5233-open-hands-claude-sonnet-4-20250514</t>
  </si>
  <si>
    <t>https://drive.google.com/drive/folders/1lJf2xVb0NFDVOg_hYMInNcYQ2iPn4DNH</t>
  </si>
  <si>
    <t>DataBiosphere/toil</t>
  </si>
  <si>
    <t>DataBiosphere__toil</t>
  </si>
  <si>
    <t>DataBiosphere__toil-5358</t>
  </si>
  <si>
    <t>https://github.com/DataBiosphere/toil/issues/5358</t>
  </si>
  <si>
    <t>https://drive.google.com/drive/folders/1PrlC250pYNVTPVVmyqTdjt1DiH5fEAQh</t>
  </si>
  <si>
    <t>https://drive.google.com/drive/folders/1zU51pbKIsxZ6nWL4j6GfoVPWL6crm-BI</t>
  </si>
  <si>
    <t>databrickslabs__lakebridge-1404</t>
  </si>
  <si>
    <t>https://github.com/databrickslabs/lakebridge/issues/1404</t>
  </si>
  <si>
    <t>https://drive.google.com/drive/folders/1eJ9eSuBroCbVBx4Kkp0ndxRYHs1Atpbv</t>
  </si>
  <si>
    <t>https://drive.google.com/drive/folders/1X3oo2UUPSt2n4wdRT8zGvNmXMt4iNEZN</t>
  </si>
  <si>
    <t>databrickslabs/lakebridge</t>
  </si>
  <si>
    <t>databrickslabs__lakebridge</t>
  </si>
  <si>
    <t>databrickslabs__lakebridge-1487</t>
  </si>
  <si>
    <t>https://github.com/databrickslabs/lakebridge/issues/1487</t>
  </si>
  <si>
    <t>https://drive.google.com/drive/folders/1-kt-OzDJZkcsKiIbpD0cdmFdbh35wDX-</t>
  </si>
  <si>
    <t>https://drive.google.com/drive/folders/1yihs0QoYqbwHs5xQgw7cshPZ3jD6q0vu</t>
  </si>
  <si>
    <t>databrickslabs__lakebridge-1409</t>
  </si>
  <si>
    <t>https://github.com/databrickslabs/lakebridge/issues/1409</t>
  </si>
  <si>
    <t>https://drive.google.com/drive/folders/1B5u0vW8y2-ErR4-uQsU2em3-RTTCMJ16</t>
  </si>
  <si>
    <t>https://drive.google.com/drive/folders/1UbKniW_r0B5vVDFP0yqJE0PtFUktSd8r</t>
  </si>
  <si>
    <t>DataDog__dd-trace-go-3964</t>
  </si>
  <si>
    <t>https://github.com/DataDog/dd-trace-go/issues/3964</t>
  </si>
  <si>
    <t>feature;build-ci;dependency-update</t>
  </si>
  <si>
    <t>gs://swe-bench-plus/evaluations/019b0886-0f4d-757e-a2e5-c06041eabbaf-DataDog__dd-trace-go-3964-swe-agent-claude-sonnet-4.5</t>
  </si>
  <si>
    <t>https://drive.google.com/drive/folders/1GAuwBtxw04-w54uKURPktb_Iso16QBZE</t>
  </si>
  <si>
    <t>DataDog/dd-trace-go</t>
  </si>
  <si>
    <t>DataDog__dd-trace-go</t>
  </si>
  <si>
    <t>datafusion-contrib__datafusion-postgres-149</t>
  </si>
  <si>
    <t>https://github.com/datafusion-contrib/datafusion-postgres/issues/149</t>
  </si>
  <si>
    <t>gs://swe-bench-plus/evaluations/019b6aaf-1788-707e-b6dd-d4dc12d72279-datafusion-contrib__datafusion-postgres-149-swe-agent-claude-sonnet-4.5</t>
  </si>
  <si>
    <t>https://drive.google.com/drive/folders/1spWqmo2CBfOvk9R7EtqkCHUZ5yFskDRf</t>
  </si>
  <si>
    <t>datafusion-contrib/datafusion-postgres</t>
  </si>
  <si>
    <t>datafusion-contrib__datafusion-postgres</t>
  </si>
  <si>
    <t>DataSQRL__sqrl-1622</t>
  </si>
  <si>
    <t>https://github.com/DataSQRL/sqrl/issues/1622</t>
  </si>
  <si>
    <t>gs://swe-bench-plus/evaluations/019b6ab1-4e74-7019-9e81-9c96e98a145d-DataSQRL__sqrl-1622-swe-agent-claude-sonnet-4.5</t>
  </si>
  <si>
    <t>https://drive.google.com/drive/folders/1MlRdzvu00aiFIQtOQ-LIXzSaf9ga74Zi</t>
  </si>
  <si>
    <t>DataSQRL/sqrl</t>
  </si>
  <si>
    <t>DataSQRL__sqrl</t>
  </si>
  <si>
    <t>datastax__kaap-194</t>
  </si>
  <si>
    <t>https://github.com/datastax/kaap/issues/194</t>
  </si>
  <si>
    <t>gs://swe-bench-plus/evaluations/019b6aaf-1788-707e-b6dd-d4dc12d72279-datastax__kaap-194-swe-agent-claude-sonnet-4.5</t>
  </si>
  <si>
    <t>https://drive.google.com/drive/folders/1IQELzhq_uk35BbBfbbxCzKKgBSDNGZnz</t>
  </si>
  <si>
    <t>datastax/kaap</t>
  </si>
  <si>
    <t>datastax__kaap</t>
  </si>
  <si>
    <t>daun__playwright-report-summary-251</t>
  </si>
  <si>
    <t>https://github.com/daun/playwright-report-summary/issues/251</t>
  </si>
  <si>
    <t>gs://swe-bench-plus/evaluations/019b6aaf-1788-707e-b6dd-d4dc12d72279-daun__playwright-report-summary-251-swe-agent-claude-sonnet-4.5</t>
  </si>
  <si>
    <t>https://drive.google.com/drive/folders/1Wiy9_mb3MupkBM5RSJ_Lb1shObJS6kvH</t>
  </si>
  <si>
    <t>daun/playwright-report-summary</t>
  </si>
  <si>
    <t>daun__playwright-report-summary</t>
  </si>
  <si>
    <t>DaveSkender__Stock.Indicators-1450</t>
  </si>
  <si>
    <t>https://github.com/DaveSkender/Stock.Indicators/issues/1450</t>
  </si>
  <si>
    <t>sci-comp;ai-ml</t>
  </si>
  <si>
    <t>gs://swe-bench-plus/evaluations/019b6ab1-4e74-7019-9e81-9c96e98a145d-DaveSkender__Stock.Indicators-1450-swe-agent-claude-sonnet-4.5</t>
  </si>
  <si>
    <t>https://drive.google.com/drive/folders/1Oz4y1yKEmB1celiBoMaiFFlNxPY3jsGE</t>
  </si>
  <si>
    <t>DaveSkender/Stock.Indicators</t>
  </si>
  <si>
    <t>DaveSkender__Stock.Indicators</t>
  </si>
  <si>
    <t>DaveSkender__Stock.Indicators-1691</t>
  </si>
  <si>
    <t>https://github.com/DaveSkender/Stock.Indicators/issues/1691</t>
  </si>
  <si>
    <t>feature;performance;build-ci</t>
  </si>
  <si>
    <t>gs://swe-bench-plus/evaluations/019a9c67-c90c-7602-9a7e-58220182c7c3-DaveSkender__Stock.Indicators-1691-swe-agent-claude-sonnet-4-20250514</t>
  </si>
  <si>
    <t>DaveSkender__Stock.Indicators-1690</t>
  </si>
  <si>
    <t>https://github.com/DaveSkender/Stock.Indicators/issues/1690</t>
  </si>
  <si>
    <t>gs://swe-bench-plus/evaluations/019b6ab1-4e74-7019-9e81-9c96e98a145d-DaveSkender__Stock.Indicators-1690-swe-agent-claude-sonnet-4.5</t>
  </si>
  <si>
    <t>https://drive.google.com/drive/folders/1iCgF3QKgfqGAP8a3fJ9sc2Ns4VtS7iiU</t>
  </si>
  <si>
    <t>DaveSkender__Stock.Indicators-1651</t>
  </si>
  <si>
    <t>https://github.com/DaveSkender/Stock.Indicators/issues/1651</t>
  </si>
  <si>
    <t>sci-comp;applications</t>
  </si>
  <si>
    <t>gs://swe-bench-plus/evaluations/019b6ab1-4e74-7019-9e81-9c96e98a145d-DaveSkender__Stock.Indicators-1651-swe-agent-claude-sonnet-4.5</t>
  </si>
  <si>
    <t>https://drive.google.com/drive/folders/1YfpgDBoWrRM1426Z2kTsoRuy5CbwANqz</t>
  </si>
  <si>
    <t>DavidAnson__markdownlint-1617</t>
  </si>
  <si>
    <t>https://github.com/DavidAnson/markdownlint/issues/1617</t>
  </si>
  <si>
    <t>gs://swe-bench-plus/evaluations/019ad829-4c24-70a3-8fe2-22421997d0f1-DavidAnson__markdownlint-1617-swe-agent-claude-sonnet-4-20250514</t>
  </si>
  <si>
    <t>https://drive.google.com/drive/folders/1rj2BE_rrXqCJS9svoUKOb0BrTRcW7ddV</t>
  </si>
  <si>
    <t>DavidAnson/markdownlint</t>
  </si>
  <si>
    <t>DavidAnson__markdownlint</t>
  </si>
  <si>
    <t>DavidHDev__haiku-128</t>
  </si>
  <si>
    <t>https://github.com/DavidHDev/haiku/issues/128</t>
  </si>
  <si>
    <t>gs://swe-bench-plus/evaluations/019b6ab1-4e74-7019-9e81-9c96e98a145d-DavidHDev__haiku-128-swe-agent-claude-sonnet-4.5</t>
  </si>
  <si>
    <t>https://drive.google.com/drive/folders/1Mx2JypipeXK_j_xwb78LK9LAIGrM57Wd</t>
  </si>
  <si>
    <t>DavidHDev/haiku</t>
  </si>
  <si>
    <t>DavidHDev__haiku</t>
  </si>
  <si>
    <t>dblock__strava-ruby-client-99</t>
  </si>
  <si>
    <t>https://github.com/dblock/strava-ruby-client/issues/99</t>
  </si>
  <si>
    <t>gs://swe-bench-plus/evaluations/019b6aaf-1788-707e-b6dd-d4dc12d72279-dblock__strava-ruby-client-99-swe-agent-claude-sonnet-4.5</t>
  </si>
  <si>
    <t>https://drive.google.com/drive/folders/1IPRhUekLFKlX-CSzkd66GPXc6oBv8lVI</t>
  </si>
  <si>
    <t>dblock/strava-ruby-client</t>
  </si>
  <si>
    <t>dblock__strava-ruby-client</t>
  </si>
  <si>
    <t>dedicatedcode__reitti-134</t>
  </si>
  <si>
    <t>https://github.com/dedicatedcode/reitti/issues/134</t>
  </si>
  <si>
    <t>gs://swe-bench-plus/evaluations/019c63b0-5201-7257-9916-f49303cabd22-dedicatedcode__reitti-134-swe-agent-claude-sonnet-4.5</t>
  </si>
  <si>
    <t>https://drive.google.com/drive/folders/1w6Oep3OG7b5LiVkWeCyu1eY0buDgPY9d</t>
  </si>
  <si>
    <t>dedicatedcode/reitti</t>
  </si>
  <si>
    <t>dedicatedcode__reitti</t>
  </si>
  <si>
    <t>deepsense-ai__ragbits-386</t>
  </si>
  <si>
    <t>https://github.com/deepsense-ai/ragbits/issues/386</t>
  </si>
  <si>
    <t>https://drive.google.com/drive/folders/1bzFBjbeYnLuubwOQY4X4KlxyqSTavv31</t>
  </si>
  <si>
    <t>https://drive.google.com/drive/folders/1xIj4qnIUCWGsRi6fTUFn1hcQbzNvQr6T</t>
  </si>
  <si>
    <t>deepsense-ai/ragbits</t>
  </si>
  <si>
    <t>deepsense-ai__ragbits</t>
  </si>
  <si>
    <t>deepsense-ai__ragbits-432</t>
  </si>
  <si>
    <t>https://github.com/deepsense-ai/ragbits/issues/432</t>
  </si>
  <si>
    <t>gs://swe-bench-plus/evaluations/019b0b12-7023-7079-8b05-c3ee2c117847-deepsense-ai__ragbits-432-swe-agent-claude-sonnet-4.5</t>
  </si>
  <si>
    <t>https://drive.google.com/drive/folders/10Bg8G1QKsazsEzeCW_q8HLXwYohnATCB</t>
  </si>
  <si>
    <t>deepsense-ai__ragbits-207</t>
  </si>
  <si>
    <t>https://github.com/deepsense-ai/ragbits/issues/207</t>
  </si>
  <si>
    <t>gs://swe-bench-plus/evaluations/019b0b12-7023-7079-8b05-c3ee2c117847-deepsense-ai__ragbits-207-swe-agent-claude-sonnet-4.5</t>
  </si>
  <si>
    <t>https://drive.google.com/drive/folders/146IHUZX_oVQuTmoi-q8B0GtP3B8e0RTq</t>
  </si>
  <si>
    <t>deepsense-ai__ragbits-185</t>
  </si>
  <si>
    <t>https://github.com/deepsense-ai/ragbits/issues/185</t>
  </si>
  <si>
    <t>https://drive.google.com/drive/folders/1GrzsCae8gao2O2KKR_-Qxi6BPC84RZjv</t>
  </si>
  <si>
    <t>https://drive.google.com/drive/folders/1X6zGH3RFS09c31yaQU-PpcmzqiQv-zfG</t>
  </si>
  <si>
    <t>deepsense-ai__ragbits-109</t>
  </si>
  <si>
    <t>https://github.com/deepsense-ai/ragbits/issues/109</t>
  </si>
  <si>
    <t>https://drive.google.com/drive/folders/1-r5LqlQHSV5Wj_XXEbcyQI5HrwUBnV3F</t>
  </si>
  <si>
    <t>https://drive.google.com/drive/folders/1CMJz6MNpF9YyUk6iUbScWPhPzZp2-_rf</t>
  </si>
  <si>
    <t>deepset-ai__haystack-9270</t>
  </si>
  <si>
    <t>https://github.com/deepset-ai/haystack/issues/9270</t>
  </si>
  <si>
    <t>https://drive.google.com/drive/folders/1j9laTsBO3jvvlLdAIR_1mFEkS-_8OrFf</t>
  </si>
  <si>
    <t>https://drive.google.com/drive/folders/1A6xNAn0CogiYRuoKQ3mLJOtWT4ADZ05k</t>
  </si>
  <si>
    <t>deepset-ai__haystack</t>
  </si>
  <si>
    <t>deepset-ai__haystack-9426</t>
  </si>
  <si>
    <t>https://github.com/deepset-ai/haystack/issues/9426</t>
  </si>
  <si>
    <t>https://drive.google.com/drive/folders/1ZqpHeDV2pqt23U_W6AOIOCRuEoua5vYt</t>
  </si>
  <si>
    <t>https://drive.google.com/drive/folders/1oEc9fMWVFrVVd58NVHmtebOvkuYv65qu</t>
  </si>
  <si>
    <t>deepset-ai__haystack-9536</t>
  </si>
  <si>
    <t>https://github.com/deepset-ai/haystack/issues/9536</t>
  </si>
  <si>
    <t>https://drive.google.com/drive/folders/17gI9ynXfSU55o__7ucwPvGfAEhny7Tx0</t>
  </si>
  <si>
    <t>Delta3-Studio__Backdash-112</t>
  </si>
  <si>
    <t>https://github.com/Delta3-Studio/Backdash/issues/112</t>
  </si>
  <si>
    <t>gs://swe-bench-plus/evaluations/019b6aa7-0380-771f-9e02-24cda0fe6639-Delta3-Studio__Backdash-112-swe-agent-claude-sonnet-4.5</t>
  </si>
  <si>
    <t>https://drive.google.com/drive/folders/1JA93CpZPWAxjWWrCVgU9Aa8UFbMGFH0y</t>
  </si>
  <si>
    <t>Delta3-Studio/Backdash</t>
  </si>
  <si>
    <t>Delta3-Studio__Backdash</t>
  </si>
  <si>
    <t>deltadevsde__prism-186</t>
  </si>
  <si>
    <t>https://github.com/deltadevsde/prism/issues/186</t>
  </si>
  <si>
    <t>test;refactor;build-ci</t>
  </si>
  <si>
    <t>gs://swe-bench-plus/evaluations/019b6aaf-1788-707e-b6dd-d4dc12d72279-deltadevsde__prism-186-swe-agent-claude-sonnet-4.5</t>
  </si>
  <si>
    <t>https://drive.google.com/drive/folders/1GCy94cvf_2eCeeNTwPbwZ_2avY7fKNGX</t>
  </si>
  <si>
    <t>deltadevsde/prism</t>
  </si>
  <si>
    <t>deltadevsde__prism</t>
  </si>
  <si>
    <t>deltadevsde__prism-211</t>
  </si>
  <si>
    <t>https://github.com/deltadevsde/prism/issues/211</t>
  </si>
  <si>
    <t>performance;refactor;build-ci</t>
  </si>
  <si>
    <t>gs://swe-bench-plus/evaluations/019b6aaf-1788-707e-b6dd-d4dc12d72279-deltadevsde__prism-211-swe-agent-claude-sonnet-4.5</t>
  </si>
  <si>
    <t>https://drive.google.com/drive/folders/1kX5A54HGIYJtrD60Dc5esUCHwYnYsoMY</t>
  </si>
  <si>
    <t>demarches-simplifiees__demarches-simplifiees.fr-11841</t>
  </si>
  <si>
    <t>https://github.com/demarches-simplifiees/demarches-simplifiees.fr/issues/11841</t>
  </si>
  <si>
    <t>gs://swe-bench-plus/evaluations/019b6aa7-0380-771f-9e02-24cda0fe6639-demarches-simplifiees__demarches-simplifiees.fr-11841-swe-agent-claude-sonnet-4.5</t>
  </si>
  <si>
    <t>https://drive.google.com/drive/folders/1aYQQbQYf5OhJfZ6jJdGIPJMRrPLGek0C</t>
  </si>
  <si>
    <t>demarches-simplifiees/demarches-simplifiees.fr</t>
  </si>
  <si>
    <t>demarches-simplifiees__demarches-simplifiees.fr</t>
  </si>
  <si>
    <t>demarches-simplifiees__demarches-simplifiees.fr-11921</t>
  </si>
  <si>
    <t>https://github.com/demarches-simplifiees/demarches-simplifiees.fr/issues/11921</t>
  </si>
  <si>
    <t>gs://swe-bench-plus/evaluations/019b6aa7-0380-771f-9e02-24cda0fe6639-demarches-simplifiees__demarches-simplifiees.fr-11921-swe-agent-claude-sonnet-4.5</t>
  </si>
  <si>
    <t>https://drive.google.com/drive/folders/13GH-bcqVgGh_YkMmo64_7gBlEDO5BX28</t>
  </si>
  <si>
    <t>department-of-veterans-affairs__vets-website-41587</t>
  </si>
  <si>
    <t>https://github.com/department-of-veterans-affairs/vets-website/issues/41587</t>
  </si>
  <si>
    <t>applications;webdev;security</t>
  </si>
  <si>
    <t>gs://swe-bench-plus/evaluations/019c39f2-7076-752c-a206-124dcece347d-department-of-veterans-affairs__vets-website-41587-swe-agent-claude-sonnet-4-20250514</t>
  </si>
  <si>
    <t>department-of-veterans-affairs/vets-website</t>
  </si>
  <si>
    <t>department-of-veterans-affairs__vets-website</t>
  </si>
  <si>
    <t>department-of-veterans-affairs__vets-website-34701</t>
  </si>
  <si>
    <t>https://github.com/department-of-veterans-affairs/vets-website/issues/34701</t>
  </si>
  <si>
    <t>gs://swe-bench-plus/evaluations/019c24fa-2999-746b-a6fd-aa256611b73a-department-of-veterans-affairs__vets-website-34701-swe-agent-claude-sonnet-4-20250514</t>
  </si>
  <si>
    <t>https://drive.google.com/drive/folders/1PbXTxQBu33CDQZA9TVzi-PsGN8206Dcy</t>
  </si>
  <si>
    <t>department-of-veterans-affairs__vets-website-40834</t>
  </si>
  <si>
    <t>https://github.com/department-of-veterans-affairs/vets-website/issues/40834</t>
  </si>
  <si>
    <t>gs://swe-bench-plus/evaluations/019c39f2-7076-752c-a206-124dcece347d-department-of-veterans-affairs__vets-website-40834-swe-agent-claude-sonnet-4.5</t>
  </si>
  <si>
    <t>https://drive.google.com/drive/folders/1wy7kBvOJgVRXbn5v5vKZL1Asi779yexi</t>
  </si>
  <si>
    <t>department-of-veterans-affairs__vets-website-40805</t>
  </si>
  <si>
    <t>https://github.com/department-of-veterans-affairs/vets-website/issues/40805</t>
  </si>
  <si>
    <t>gs://swe-bench-plus/evaluations/019c39f2-7076-752c-a206-124dcece347d-department-of-veterans-affairs__vets-website-40805-swe-agent-claude-sonnet-4.5</t>
  </si>
  <si>
    <t>https://drive.google.com/drive/folders/1RZlq16tbmFENNhKq1Z1YgMIdql_T-X-Z</t>
  </si>
  <si>
    <t>dependency-check__DependencyCheck-7957</t>
  </si>
  <si>
    <t>https://github.com/dependency-check/DependencyCheck/issues/7957</t>
  </si>
  <si>
    <t>https://drive.google.com/drive/folders/1ohMDAomr7wabZPS-wNd4Ujefcd-S6Shi</t>
  </si>
  <si>
    <t>dependency-check/DependencyCheck</t>
  </si>
  <si>
    <t>dependency-check__DependencyCheck</t>
  </si>
  <si>
    <t>DependencyTrack__dependency-track-4651</t>
  </si>
  <si>
    <t>https://github.com/DependencyTrack/dependency-track/issues/4651</t>
  </si>
  <si>
    <t>security;applications</t>
  </si>
  <si>
    <t>gs://swe-bench-plus/evaluations/019bd2bf-00de-723c-8b2d-1d9d8c821830-DependencyTrack__dependency-track-4651-swe-agent-claude-sonnet-4-20250514</t>
  </si>
  <si>
    <t>https://drive.google.com/drive/folders/1niNlBsacY5irEQYS6sOfht3eEDguoB80</t>
  </si>
  <si>
    <t>DependencyTrack/dependency-track</t>
  </si>
  <si>
    <t>DependencyTrack__dependency-track</t>
  </si>
  <si>
    <t>dermotduffy__advanced-camera-card-2197</t>
  </si>
  <si>
    <t>https://github.com/dermotduffy/advanced-camera-card/issues/2197</t>
  </si>
  <si>
    <t>autonomy;graphics-media</t>
  </si>
  <si>
    <t>gs://swe-bench-plus/evaluations/019b6aa7-0380-771f-9e02-24cda0fe6639-dermotduffy__advanced-camera-card-2197-swe-agent-claude-sonnet-4.5</t>
  </si>
  <si>
    <t>https://drive.google.com/drive/folders/1RMjjjFckSmhd1YBKxKpoIUCf-W_h3Gch</t>
  </si>
  <si>
    <t>dermotduffy/advanced-camera-card</t>
  </si>
  <si>
    <t>dermotduffy__advanced-camera-card</t>
  </si>
  <si>
    <t>dermotduffy__advanced-camera-card-2159</t>
  </si>
  <si>
    <t>https://github.com/dermotduffy/advanced-camera-card/issues/2159</t>
  </si>
  <si>
    <t>gs://swe-bench-plus/evaluations/019b6aaf-1788-707e-b6dd-d4dc12d72279-dermotduffy__advanced-camera-card-2159-swe-agent-claude-sonnet-4.5</t>
  </si>
  <si>
    <t>https://drive.google.com/drive/folders/1etRKXBIwvJsekCZQ6qsL3kOuPzeeaY1R</t>
  </si>
  <si>
    <t>dermotduffy__advanced-camera-card-2149</t>
  </si>
  <si>
    <t>https://github.com/dermotduffy/advanced-camera-card/issues/2149</t>
  </si>
  <si>
    <t>autonomy;graphics-media;webdev</t>
  </si>
  <si>
    <t>gs://swe-bench-plus/evaluations/019b6aaf-1788-707e-b6dd-d4dc12d72279-dermotduffy__advanced-camera-card-2149-swe-agent-claude-sonnet-4.5</t>
  </si>
  <si>
    <t>https://drive.google.com/drive/folders/1c8TFpYS61_ZfAxUoLZi6O0s5W0N2zpHG</t>
  </si>
  <si>
    <t>DesignLiquido__xslt-processor-112</t>
  </si>
  <si>
    <t>https://github.com/DesignLiquido/xslt-processor/issues/112</t>
  </si>
  <si>
    <t>gs://swe-bench-plus/evaluations/019bdc10-e47f-75ba-85a4-6ca54e588df4-DesignLiquido__xslt-processor-112-swe-agent-claude-sonnet-4-20250514</t>
  </si>
  <si>
    <t>https://drive.google.com/drive/folders/1WT-yx7gK8wwN6YnwDw1eObIkOJbQ9pJ-</t>
  </si>
  <si>
    <t>DesignLiquido/xslt-processor</t>
  </si>
  <si>
    <t>DesignLiquido__xslt-processor</t>
  </si>
  <si>
    <t>desko27__react-call-56</t>
  </si>
  <si>
    <t>https://github.com/desko27/react-call/issues/56</t>
  </si>
  <si>
    <t>gs://swe-bench-plus/evaluations/019b6aaf-1788-707e-b6dd-d4dc12d72279-desko27__react-call-56-swe-agent-claude-sonnet-4.5</t>
  </si>
  <si>
    <t>https://drive.google.com/drive/folders/1KstEDlkVFia-zwhFfmzFk5P4_klRXtMB</t>
  </si>
  <si>
    <t>desko27/react-call</t>
  </si>
  <si>
    <t>desko27__react-call</t>
  </si>
  <si>
    <t>destructurama__attributed-142</t>
  </si>
  <si>
    <t>https://github.com/destructurama/attributed/issues/142</t>
  </si>
  <si>
    <t>gs://swe-bench-plus/evaluations/019b6aa7-0380-771f-9e02-24cda0fe6639-destructurama__attributed-142-swe-agent-claude-sonnet-4.5</t>
  </si>
  <si>
    <t>https://drive.google.com/drive/folders/15FpIs3yOXHbnyT3QxXjFI1szC1ULePRI</t>
  </si>
  <si>
    <t>destructurama/attributed</t>
  </si>
  <si>
    <t>destructurama__attributed</t>
  </si>
  <si>
    <t>devlooped__DependencyInjection-117</t>
  </si>
  <si>
    <t>https://github.com/devlooped/DependencyInjection/issues/117</t>
  </si>
  <si>
    <t>gs://swe-bench-plus/evaluations/019b6ab1-4e74-7019-9e81-9c96e98a145d-devlooped__DependencyInjection-117-swe-agent-claude-sonnet-4.5</t>
  </si>
  <si>
    <t>https://drive.google.com/drive/folders/13MfgtpNQv3p_IKipkWsDQN_xUGuHWqqc</t>
  </si>
  <si>
    <t>devlooped/DependencyInjection</t>
  </si>
  <si>
    <t>devlooped__DependencyInjection</t>
  </si>
  <si>
    <t>devopshq__artifactory-463</t>
  </si>
  <si>
    <t>https://github.com/devopshq/artifactory/issues/463</t>
  </si>
  <si>
    <t>https://drive.google.com/drive/folders/1M3l9jXl5HQW2Csgl0kIbMNeYjOnjJW2p</t>
  </si>
  <si>
    <t>https://drive.google.com/drive/folders/1WHzsqfC7YcAHxJPsVusQpZiaDeWgLbf-</t>
  </si>
  <si>
    <t>devopshq/artifactory</t>
  </si>
  <si>
    <t>devopshq__artifactory</t>
  </si>
  <si>
    <t>devoxx__DevoxxGenieIDEAPlugin-837</t>
  </si>
  <si>
    <t>https://github.com/devoxx/DevoxxGenieIDEAPlugin/issues/837</t>
  </si>
  <si>
    <t>devtools;ai-ml;applications</t>
  </si>
  <si>
    <t>gs://swe-bench-plus/evaluations/019c8593-288e-768a-aabd-9e1d168a9a7f-devoxx__DevoxxGenieIDEAPlugin-837-swe-agent-claude-sonnet-4-20250514</t>
  </si>
  <si>
    <t>https://drive.google.com/drive/folders/1hDX02yA1My3dN6Y7dEAq9AvTRyV9Q5u9</t>
  </si>
  <si>
    <t>devoxx/DevoxxGenieIDEAPlugin</t>
  </si>
  <si>
    <t>devoxx__DevoxxGenieIDEAPlugin</t>
  </si>
  <si>
    <t>Diaoul__subliminal-1180</t>
  </si>
  <si>
    <t>https://github.com/Diaoul/subliminal/issues/1180</t>
  </si>
  <si>
    <t>https://drive.google.com/drive/folders/15Fuq6HcANt05tBWUMtkvI5J802zsL5NF</t>
  </si>
  <si>
    <t>https://drive.google.com/drive/folders/1545aiAUcGYsAPxAqY-whz7F58Use3wjw</t>
  </si>
  <si>
    <t>Diaoul/subliminal</t>
  </si>
  <si>
    <t>Diaoul__subliminal</t>
  </si>
  <si>
    <t>DiceDB__dice-1040</t>
  </si>
  <si>
    <t>https://github.com/DiceDB/dice/issues/1040</t>
  </si>
  <si>
    <t>gs://swe-bench-plus/evaluations/019a9c4e-0063-727d-8204-48136c489e61-DiceDB__dice-1040-swe-agent-claude-sonnet-4-20250514</t>
  </si>
  <si>
    <t>https://drive.google.com/drive/folders/1hGHeQAirzi2iWZhUyfLwxjVfx2HAUHi0</t>
  </si>
  <si>
    <t>DiceDB/dice</t>
  </si>
  <si>
    <t>DiceDB__dice</t>
  </si>
  <si>
    <t>dietrichmax__docker-staticmaps-42</t>
  </si>
  <si>
    <t>https://github.com/dietrichmax/docker-staticmaps/issues/42</t>
  </si>
  <si>
    <t>graphics-media;infra-devops</t>
  </si>
  <si>
    <t>bug-fix;documentation;dependency-update</t>
  </si>
  <si>
    <t>https://drive.google.com/drive/folders/1JtSw4qtYNara7csKBeZz1ZO9dV1Kaviy</t>
  </si>
  <si>
    <t>https://drive.google.com/drive/folders/1qA6of_jdhh_V-vZlS8xR_eSSYJfqzGKr</t>
  </si>
  <si>
    <t>dietrichmax/docker-staticmaps</t>
  </si>
  <si>
    <t>dietrichmax__docker-staticmaps</t>
  </si>
  <si>
    <t>Digital-Shane__title-tidy-64</t>
  </si>
  <si>
    <t>https://github.com/Digital-Shane/title-tidy/issues/64</t>
  </si>
  <si>
    <t>graphics-media;devtools;applications</t>
  </si>
  <si>
    <t>https://drive.google.com/drive/folders/13urBUx7p_yzR7409jGIafTGk_Bl-1XU5</t>
  </si>
  <si>
    <t>https://drive.google.com/drive/folders/1EIMHhQC9ZbaJxHzGjKhGPwwhMYYj4-Gv</t>
  </si>
  <si>
    <t>Digital-Shane/title-tidy</t>
  </si>
  <si>
    <t>Digital-Shane__title-tidy</t>
  </si>
  <si>
    <t>django-components__django-components-975</t>
  </si>
  <si>
    <t>https://github.com/django-components/django-components/issues/975</t>
  </si>
  <si>
    <t>gs://swe-bench-plus/evaluations/019a8f6e-136c-7345-a414-a1ed9c7f4f2d-django-components__django-components-975-open-hands-claude-sonnet-4-20250514</t>
  </si>
  <si>
    <t>https://drive.google.com/drive/folders/1W_L4oZcOJGcCOCkWe2jUl00y7hQ6rNtb</t>
  </si>
  <si>
    <t>django-components/django-components</t>
  </si>
  <si>
    <t>django-components__django-components</t>
  </si>
  <si>
    <t>django-components__django-components-1231</t>
  </si>
  <si>
    <t>https://github.com/django-components/django-components/issues/1231</t>
  </si>
  <si>
    <t>https://drive.google.com/drive/folders/1KITw-58JFrn_lX37Tc6F_mu3XH333b-2</t>
  </si>
  <si>
    <t>https://drive.google.com/drive/folders/1TLo9DyuTouY1nPREHtpfBH33xnarpBND</t>
  </si>
  <si>
    <t>django-components__django-components-946</t>
  </si>
  <si>
    <t>https://github.com/django-components/django-components/issues/946</t>
  </si>
  <si>
    <t>gs://swe-bench-plus/evaluations/019a8f6e-136c-7345-a414-a1ed9c7f4f2d-django-components__django-components-946-open-hands-claude-sonnet-4-20250514</t>
  </si>
  <si>
    <t>https://drive.google.com/drive/folders/1y8EO5X6s_CWCthZqQg_uXbGyNyF7h27a</t>
  </si>
  <si>
    <t>DLR-AMR__t8code-1659</t>
  </si>
  <si>
    <t>https://github.com/DLR-AMR/t8code/issues/1659</t>
  </si>
  <si>
    <t>gs://swe-bench-plus/evaluations/019b6aa7-0380-771f-9e02-24cda0fe6639-DLR-AMR__t8code-1659-swe-agent-claude-sonnet-4.5</t>
  </si>
  <si>
    <t>https://drive.google.com/drive/folders/1oBJit2EgEZc579QWTwxChm0RIIbclllz</t>
  </si>
  <si>
    <t>DLR-AMR/t8code</t>
  </si>
  <si>
    <t>DLR-AMR__t8code</t>
  </si>
  <si>
    <t>DLR-SC__tigl-1065</t>
  </si>
  <si>
    <t>https://github.com/DLR-SC/tigl/issues/1065</t>
  </si>
  <si>
    <t>gs://swe-bench-plus/evaluations/019a8f51-4621-711a-ad6b-50abcd4c4d65-DLR-SC__tigl-1065-open-hands-claude-sonnet-4-20250514</t>
  </si>
  <si>
    <t>https://drive.google.com/drive/folders/15wmIwVXYakIc7Fd8BqJkHm6_1B41TfXX</t>
  </si>
  <si>
    <t>DLR-SC/tigl</t>
  </si>
  <si>
    <t>DLR-SC__tigl</t>
  </si>
  <si>
    <t>DLR-SC__tigl-1174</t>
  </si>
  <si>
    <t>https://github.com/DLR-SC/tigl/issues/1174</t>
  </si>
  <si>
    <t>gs://swe-bench-plus/evaluations/019b06b8-5347-7669-9f51-4e4681f5c848-DLR-SC__tigl-1174-swe-agent-claude-sonnet-4.5</t>
  </si>
  <si>
    <t>https://drive.google.com/drive/folders/1nDngpAVhp_HFDbRtVWg1o6wrjbwINN2p</t>
  </si>
  <si>
    <t>dmf-mxl__mxl-157</t>
  </si>
  <si>
    <t>https://github.com/dmf-mxl/mxl/issues/157</t>
  </si>
  <si>
    <t>gs://swe-bench-plus/evaluations/019b6aa7-0380-771f-9e02-24cda0fe6639-dmf-mxl__mxl-157-swe-agent-claude-sonnet-4.5</t>
  </si>
  <si>
    <t>https://drive.google.com/drive/folders/12e8HMJUZgYEEi2QPDsetcXijKNDCBhkz</t>
  </si>
  <si>
    <t>dmf-mxl/mxl</t>
  </si>
  <si>
    <t>dmf-mxl__mxl</t>
  </si>
  <si>
    <t>DNKpp__mimicpp-31</t>
  </si>
  <si>
    <t>https://github.com/DNKpp/mimicpp/issues/31</t>
  </si>
  <si>
    <t>gs://swe-bench-plus/evaluations/019b323d-4976-7257-b241-47c1f6e33582-DNKpp__mimicpp-31-swe-agent-claude-sonnet-4.5</t>
  </si>
  <si>
    <t>https://drive.google.com/drive/folders/17QAC2lV8g3YP4hmrASsc7wOrGcdZVLqY</t>
  </si>
  <si>
    <t>DNKpp/mimicpp</t>
  </si>
  <si>
    <t>DNKpp__mimicpp</t>
  </si>
  <si>
    <t>DNKpp__mimicpp-5</t>
  </si>
  <si>
    <t>https://github.com/DNKpp/mimicpp/issues/5</t>
  </si>
  <si>
    <t>gs://swe-bench-plus/evaluations/019b6aa7-0380-771f-9e02-24cda0fe6639-DNKpp__mimicpp-5-swe-agent-claude-sonnet-4.5</t>
  </si>
  <si>
    <t>https://drive.google.com/drive/folders/15mtJ1q5JTN0IMW93hhssBD_NKBejId21</t>
  </si>
  <si>
    <t>docker-java__docker-java-2036</t>
  </si>
  <si>
    <t>https://github.com/docker-java/docker-java/issues/2036</t>
  </si>
  <si>
    <t>https://drive.google.com/drive/folders/1AByylRKTlGpAsSFa4GVM5jGsqI5NCi8I</t>
  </si>
  <si>
    <t>https://drive.google.com/drive/folders/12aGWuwTfSb2KxkB_MC6zDRPG9OHIKemj</t>
  </si>
  <si>
    <t>docker-java/docker-java</t>
  </si>
  <si>
    <t>docker-java__docker-java</t>
  </si>
  <si>
    <t>docker__cagent-500</t>
  </si>
  <si>
    <t>https://github.com/docker/cagent/issues/500</t>
  </si>
  <si>
    <t>ai-ml;devtools;applications</t>
  </si>
  <si>
    <t>gs://swe-bench-plus/evaluations/019a9c59-60ac-726c-a409-57ec3ba781b9-docker__cagent-500-swe-agent-claude-sonnet-4-20250514</t>
  </si>
  <si>
    <t>https://drive.google.com/drive/folders/1FE5llcLcozFeZ2jA7gkr0bQXOCl8Kcau</t>
  </si>
  <si>
    <t>docker/cagent</t>
  </si>
  <si>
    <t>docker__cagent</t>
  </si>
  <si>
    <t>docsifyjs__docsify-2571</t>
  </si>
  <si>
    <t>https://github.com/docsifyjs/docsify/issues/2571</t>
  </si>
  <si>
    <t>devtools;webdev;applications</t>
  </si>
  <si>
    <t>https://drive.google.com/drive/folders/1vIfSSurQhicc3vBfpj158Wl4QOXzuqxt</t>
  </si>
  <si>
    <t>https://drive.google.com/drive/folders/17hNbcb4IscVFEua3Sgvi5I-uH3gbSOgQ</t>
  </si>
  <si>
    <t>docsifyjs/docsify</t>
  </si>
  <si>
    <t>docsifyjs__docsify</t>
  </si>
  <si>
    <t>doctrine-extensions__DoctrineExtensions-2928</t>
  </si>
  <si>
    <t>https://github.com/doctrine-extensions/DoctrineExtensions/issues/2928</t>
  </si>
  <si>
    <t>gs://swe-bench-plus/evaluations/019b21b9-a658-708c-a609-c6e31ffb4e14-doctrine-extensions__DoctrineExtensions-2928-swe-agent-claude-sonnet-4-20250514</t>
  </si>
  <si>
    <t>https://drive.google.com/drive/folders/1nhYc99HixzdW4cFgorxBiDscypf6rdx4</t>
  </si>
  <si>
    <t>doctrine-extensions/DoctrineExtensions</t>
  </si>
  <si>
    <t>doctrine-extensions__DoctrineExtensions</t>
  </si>
  <si>
    <t>doctrine__dbal-6621</t>
  </si>
  <si>
    <t>https://github.com/doctrine/dbal/issues/6621</t>
  </si>
  <si>
    <t>gs://swe-bench-plus/evaluations/019b21b9-a658-708c-a609-c6e31ffb4e14-doctrine__dbal-6621-swe-agent-claude-sonnet-4-20250514</t>
  </si>
  <si>
    <t>https://drive.google.com/drive/folders/1MjI0Se88jIj7QeRB-2QO1k2WdQTv4usx</t>
  </si>
  <si>
    <t>doctrine/dbal</t>
  </si>
  <si>
    <t>doctrine__dbal</t>
  </si>
  <si>
    <t>doctrine__dbal-7195</t>
  </si>
  <si>
    <t>https://github.com/doctrine/dbal/issues/7195</t>
  </si>
  <si>
    <t>gs://swe-bench-plus/evaluations/019b21b9-a658-708c-a609-c6e31ffb4e14-doctrine__dbal-7195-swe-agent-claude-sonnet-4-20250514</t>
  </si>
  <si>
    <t>domdomegg__aws-ses-v2-local-56</t>
  </si>
  <si>
    <t>https://github.com/domdomegg/aws-ses-v2-local/issues/56</t>
  </si>
  <si>
    <t>gs://swe-bench-plus/evaluations/019b6aaf-1788-707e-b6dd-d4dc12d72279-domdomegg__aws-ses-v2-local-56-swe-agent-claude-sonnet-4.5</t>
  </si>
  <si>
    <t>https://drive.google.com/drive/folders/1HEZ2m19ah1PKjhFGzAH6-2Id-6fAZh68</t>
  </si>
  <si>
    <t>domdomegg/aws-ses-v2-local</t>
  </si>
  <si>
    <t>domdomegg__aws-ses-v2-local</t>
  </si>
  <si>
    <t>dotCMS__core-31149</t>
  </si>
  <si>
    <t>https://github.com/dotCMS/core/issues/31149</t>
  </si>
  <si>
    <t>gs://swe-bench-plus/evaluations/019c75f5-6b8c-7228-9f9c-93aa98fd3824-dotCMS__core-31149-swe-agent-claude-sonnet-4-20250514</t>
  </si>
  <si>
    <t>dotCMS/core</t>
  </si>
  <si>
    <t>dotCMS__core</t>
  </si>
  <si>
    <t>dotnet__aspnetcore-61050</t>
  </si>
  <si>
    <t>https://github.com/dotnet/aspnetcore/issues/61050</t>
  </si>
  <si>
    <t>https://drive.google.com/drive/folders/1uVblG4C50j21u5k8XwFfMvITRZoCh872</t>
  </si>
  <si>
    <t>https://drive.google.com/drive/folders/15IeURPO8YokCN2RlXZQEOnB4Q94SzWZf</t>
  </si>
  <si>
    <t>dotnet/aspnetcore</t>
  </si>
  <si>
    <t>dotnet__aspnetcore</t>
  </si>
  <si>
    <t>dotnet__efcore-36478</t>
  </si>
  <si>
    <t>https://github.com/dotnet/efcore/issues/36478</t>
  </si>
  <si>
    <t>webdev;data-eng</t>
  </si>
  <si>
    <t>refactor;feature;bug-fix</t>
  </si>
  <si>
    <t>https://drive.google.com/drive/folders/1MAGWUmNte3dEM0E4frgTaWqYxvK4f-Y5</t>
  </si>
  <si>
    <t>https://drive.google.com/drive/folders/12KXSQvV6kxMsHoIwa7u0Y5D5ZBWB-7QW</t>
  </si>
  <si>
    <t>dotnet/efcore</t>
  </si>
  <si>
    <t>dotnet__efcore</t>
  </si>
  <si>
    <t>dotnet__SqlClient-3427</t>
  </si>
  <si>
    <t>https://github.com/dotnet/SqlClient/issues/3427</t>
  </si>
  <si>
    <t>https://drive.google.com/drive/folders/1jq6Y9bc_f-f3lML-Cmz95q4mXf6Qr6SK</t>
  </si>
  <si>
    <t>https://drive.google.com/drive/folders/1D9hFkWsj9dMVfqWAUXKcRU3l4_UGyiMQ</t>
  </si>
  <si>
    <t>dotnet/SqlClient</t>
  </si>
  <si>
    <t>dotnet__SqlClient</t>
  </si>
  <si>
    <t>dotnet__vscode-csharp-7935</t>
  </si>
  <si>
    <t>https://github.com/dotnet/vscode-csharp/issues/7935</t>
  </si>
  <si>
    <t>gs://swe-bench-plus/evaluations/019c66b2-2d90-7260-9966-4e0d0d7a99cf-dotnet__vscode-csharp-7935-swe-agent-claude-sonnet-4-20250514</t>
  </si>
  <si>
    <t>https://drive.google.com/drive/folders/1Afh2N-BnoVCNz6qrutOSDvhUx0Qp-Dju</t>
  </si>
  <si>
    <t>dotnet/vscode-csharp</t>
  </si>
  <si>
    <t>dotnet__vscode-csharp</t>
  </si>
  <si>
    <t>dotnetcore__BootstrapBlazor-5455</t>
  </si>
  <si>
    <t>https://github.com/dotnetcore/BootstrapBlazor/issues/5455</t>
  </si>
  <si>
    <t>https://drive.google.com/drive/folders/1_o-uofJuGxhdUIcRNcro4E6G3TNP0TH-</t>
  </si>
  <si>
    <t>https://drive.google.com/drive/folders/1wNFUA7nbX1l54qyf02nty5vu_MRKrzMQ</t>
  </si>
  <si>
    <t>dotnetcore/BootstrapBlazor</t>
  </si>
  <si>
    <t>dotnetcore__BootstrapBlazor</t>
  </si>
  <si>
    <t>dotnetcore__BootstrapBlazor-4838</t>
  </si>
  <si>
    <t>https://github.com/dotnetcore/BootstrapBlazor/issues/4838</t>
  </si>
  <si>
    <t>gs://swe-bench-plus/evaluations/019b6ab1-4e74-7019-9e81-9c96e98a145d-dotnetcore__BootstrapBlazor-4838-swe-agent-claude-sonnet-4.5</t>
  </si>
  <si>
    <t>https://drive.google.com/drive/folders/1fKJBJDp4XWoiTmPaSWdaAKnkaosQ9BgZ</t>
  </si>
  <si>
    <t>dotnetcore__BootstrapBlazor-5000</t>
  </si>
  <si>
    <t>https://github.com/dotnetcore/BootstrapBlazor/issues/5000</t>
  </si>
  <si>
    <t>gs://swe-bench-plus/evaluations/019b6ab1-4e74-7019-9e81-9c96e98a145d-dotnetcore__BootstrapBlazor-5000-swe-agent-claude-sonnet-4.5</t>
  </si>
  <si>
    <t>https://drive.google.com/drive/folders/1TV2pa9Zp4jJ0FrqnzeoAS4nNvHEkTMgP</t>
  </si>
  <si>
    <t>drivecore__mycoder-345</t>
  </si>
  <si>
    <t>https://github.com/drivecore/mycoder/issues/345</t>
  </si>
  <si>
    <t>ai-ml;webdev;devtools</t>
  </si>
  <si>
    <t>gs://swe-bench-plus/evaluations/019b6aaf-1788-707e-b6dd-d4dc12d72279-drivecore__mycoder-345-swe-agent-claude-sonnet-4.5</t>
  </si>
  <si>
    <t>https://drive.google.com/drive/folders/1begwM_w2qhkKJAhrBh4hL_JTaKnVhjCX</t>
  </si>
  <si>
    <t>drivecore/mycoder</t>
  </si>
  <si>
    <t>drivecore__mycoder</t>
  </si>
  <si>
    <t>drivecore__mycoder-325</t>
  </si>
  <si>
    <t>https://github.com/drivecore/mycoder/issues/325</t>
  </si>
  <si>
    <t>gs://swe-bench-plus/evaluations/019b6aaf-1788-707e-b6dd-d4dc12d72279-drivecore__mycoder-325-swe-agent-claude-sonnet-4.5</t>
  </si>
  <si>
    <t>https://drive.google.com/drive/folders/1InSgOXoW3AZ4dyvDYMaKOs0BfqyGeCVK</t>
  </si>
  <si>
    <t>dropbox__rust-brotli-49</t>
  </si>
  <si>
    <t>https://github.com/dropbox/rust-brotli/issues/49</t>
  </si>
  <si>
    <t>bug-report;feature-request;documentation</t>
  </si>
  <si>
    <t>bug-fix;feature;documentation;refactor</t>
  </si>
  <si>
    <t>gs://swe-bench-plus/evaluations/019b2140-f512-76cf-ae21-4b42a3e9ee09-dropbox__rust-brotli-49-swe-agent-claude-sonnet-4.5</t>
  </si>
  <si>
    <t>https://drive.google.com/drive/folders/1qSzWeoRzbT4yPsQ-0m5nWT-1gsCFnYL_</t>
  </si>
  <si>
    <t>dropbox/rust-brotli</t>
  </si>
  <si>
    <t>dropbox__rust-brotli</t>
  </si>
  <si>
    <t>drwl__annotaterb-199</t>
  </si>
  <si>
    <t>https://github.com/drwl/annotaterb/issues/199</t>
  </si>
  <si>
    <t>gs://swe-bench-plus/evaluations/019b6aaf-1788-707e-b6dd-d4dc12d72279-drwl__annotaterb-199-swe-agent-claude-sonnet-4.5</t>
  </si>
  <si>
    <t>https://drive.google.com/drive/folders/1v98r2qjJMDhWkYefExwvttnnZeEjpMtT</t>
  </si>
  <si>
    <t>drwl/annotaterb</t>
  </si>
  <si>
    <t>drwl__annotaterb</t>
  </si>
  <si>
    <t>dstackai__dstack-2915</t>
  </si>
  <si>
    <t>https://github.com/dstackai/dstack/issues/2915</t>
  </si>
  <si>
    <t>infra-devops;applications</t>
  </si>
  <si>
    <t>gs://swe-bench-plus/evaluations/019a8f6e-136c-7345-a414-a1ed9c7f4f2d-dstackai__dstack-2915-open-hands-claude-sonnet-4-20250514</t>
  </si>
  <si>
    <t>https://drive.google.com/drive/folders/1qTbGuZ9hizOulBlZLuCGqbhI8YlLEfbv</t>
  </si>
  <si>
    <t>dstackai/dstack</t>
  </si>
  <si>
    <t>dstackai__dstack</t>
  </si>
  <si>
    <t>dstackai__dstack-2050</t>
  </si>
  <si>
    <t>https://github.com/dstackai/dstack/issues/2050</t>
  </si>
  <si>
    <t>https://drive.google.com/drive/folders/1vkFTw3o9H4Yd1ZWTTecvnMYtBwQ8aTfy</t>
  </si>
  <si>
    <t>https://drive.google.com/drive/folders/1Cnsb8jPsIDHZlaHdjTdGPAWN8_-KsvD8</t>
  </si>
  <si>
    <t>dstackai__dstack-2256</t>
  </si>
  <si>
    <t>https://github.com/dstackai/dstack/issues/2256</t>
  </si>
  <si>
    <t>https://drive.google.com/drive/folders/1MFYjMHmBzrhr32i7xBGP_7-y7_g5aOA7</t>
  </si>
  <si>
    <t>https://drive.google.com/drive/folders/1siwWcBMOV3XTqBBGVUx8N4zyVvAnf1ey</t>
  </si>
  <si>
    <t>dstackai__dstack-2375</t>
  </si>
  <si>
    <t>https://github.com/dstackai/dstack/issues/2375</t>
  </si>
  <si>
    <t>gs://swe-bench-plus/evaluations/019a8f6e-136c-7345-a414-a1ed9c7f4f2d-dstackai__dstack-2375-open-hands-claude-sonnet-4-20250514</t>
  </si>
  <si>
    <t>https://drive.google.com/drive/folders/19x9Sb-NplDuXK9g4HqX2RSwwS6TuUFJX</t>
  </si>
  <si>
    <t>dstackai__dstack-2299</t>
  </si>
  <si>
    <t>https://github.com/dstackai/dstack/issues/2299</t>
  </si>
  <si>
    <t>gs://swe-bench-plus/evaluations/019a8f6e-136c-7345-a414-a1ed9c7f4f2d-dstackai__dstack-2299-open-hands-claude-sonnet-4-20250514</t>
  </si>
  <si>
    <t>https://drive.google.com/drive/folders/1WRPpDjgcaMmydwcJzWhk2IsI5eZUtLrH</t>
  </si>
  <si>
    <t>dstackai__dstack-2914</t>
  </si>
  <si>
    <t>https://github.com/dstackai/dstack/issues/2914</t>
  </si>
  <si>
    <t>infra-devops;data-eng;ai-ml</t>
  </si>
  <si>
    <t>gs://swe-bench-plus/evaluations/019a8f6e-136c-7345-a414-a1ed9c7f4f2d-dstackai__dstack-2914-open-hands-claude-sonnet-4-20250514</t>
  </si>
  <si>
    <t>https://drive.google.com/drive/folders/15hc7GKDLIJtMOoOIRlcKrqr6P8nrUJLw</t>
  </si>
  <si>
    <t>dtcenter__METplus-2945</t>
  </si>
  <si>
    <t>https://github.com/dtcenter/METplus/issues/2945</t>
  </si>
  <si>
    <t>sci-comp;data-eng;applications</t>
  </si>
  <si>
    <t>https://drive.google.com/drive/folders/1GzRi8dqapuudynoVtGvKaodEr3K3mHvb</t>
  </si>
  <si>
    <t>https://drive.google.com/drive/folders/1t-eQmHi4QerwBxzAezSJUrA7S3f_0fuH</t>
  </si>
  <si>
    <t>dtcenter/METplus</t>
  </si>
  <si>
    <t>dtcenter__METplus</t>
  </si>
  <si>
    <t>dtcenter__METplus-3089</t>
  </si>
  <si>
    <t>https://github.com/dtcenter/METplus/issues/3089</t>
  </si>
  <si>
    <t>https://drive.google.com/drive/folders/1jYSp8zhYArSZwtCrK0T4sNZ0_KmkzsPi</t>
  </si>
  <si>
    <t>https://drive.google.com/drive/folders/1XqLpedsbmtY6kYSQyrRmJEQdRdo4jEL_</t>
  </si>
  <si>
    <t>dtcenter__METplus-3094</t>
  </si>
  <si>
    <t>https://github.com/dtcenter/METplus/issues/3094</t>
  </si>
  <si>
    <t>https://drive.google.com/drive/folders/1M8rs1owLDNUAaezUkokXBS4ljyag1N-R</t>
  </si>
  <si>
    <t>https://drive.google.com/drive/folders/1zqSwrDT64Zmsz_RQaIaa_BEGDBu7DbW_</t>
  </si>
  <si>
    <t>dtolnay__thiserror-373</t>
  </si>
  <si>
    <t>https://github.com/dtolnay/thiserror/issues/373</t>
  </si>
  <si>
    <t>gs://swe-bench-plus/evaluations/019b6aa7-0380-771f-9e02-24cda0fe6639-dtolnay__thiserror-373-swe-agent-claude-sonnet-4.5</t>
  </si>
  <si>
    <t>https://drive.google.com/drive/folders/1Qyq1nb6dhIxMYHHe_t2Vv3BdEuS6Gkx3</t>
  </si>
  <si>
    <t>dtolnay/thiserror</t>
  </si>
  <si>
    <t>dtolnay__thiserror</t>
  </si>
  <si>
    <t>DuendeSoftware__foss-134</t>
  </si>
  <si>
    <t>https://github.com/DuendeSoftware/foss/issues/134</t>
  </si>
  <si>
    <t>gs://swe-bench-plus/evaluations/019b6aa7-0380-771f-9e02-24cda0fe6639-DuendeSoftware__foss-134-swe-agent-claude-sonnet-4.5</t>
  </si>
  <si>
    <t>https://drive.google.com/drive/folders/1NppvMta2hLz2WiQgLKcItlI4vtCyc0kx</t>
  </si>
  <si>
    <t>DuendeSoftware/foss</t>
  </si>
  <si>
    <t>DuendeSoftware__foss</t>
  </si>
  <si>
    <t>dumbmatter__fakeIndexedDB-126</t>
  </si>
  <si>
    <t>https://github.com/dumbmatter/fakeIndexedDB/issues/126</t>
  </si>
  <si>
    <t>gs://swe-bench-plus/evaluations/019b0df7-ade4-70bc-89dc-2dc1c6248f76-dumbmatter__fakeIndexedDB-126-swe-agent-claude-opus-4.5</t>
  </si>
  <si>
    <t>https://drive.google.com/drive/folders/1-HQ-NupmRknYHdsq6mRVKip1rtPoMi4K</t>
  </si>
  <si>
    <t>dumbmatter/fakeIndexedDB</t>
  </si>
  <si>
    <t>dumbmatter__fakeIndexedDB</t>
  </si>
  <si>
    <t>dundee__gdu-436</t>
  </si>
  <si>
    <t>https://github.com/dundee/gdu/issues/436</t>
  </si>
  <si>
    <t>https://drive.google.com/drive/folders/1NCmOZ0qruV07ltDDwV-ytpvG-zypM5WV</t>
  </si>
  <si>
    <t>https://drive.google.com/drive/folders/12kyTLJ8s9DIubGwKpYKkIxEGClpYfNlq</t>
  </si>
  <si>
    <t>dundee/gdu</t>
  </si>
  <si>
    <t>dundee__gdu</t>
  </si>
  <si>
    <t>duplicati__duplicati-6301</t>
  </si>
  <si>
    <t>https://github.com/duplicati/duplicati/issues/6301</t>
  </si>
  <si>
    <t>applications;security;infra-devops</t>
  </si>
  <si>
    <t>gs://swe-bench-plus/evaluations/019a25fc-6046-74dd-9a6b-6259f32e9dff-duplicati__duplicati-6301-swe-agent-claude-sonnet-4-20250514</t>
  </si>
  <si>
    <t>https://drive.google.com/drive/folders/1p2h3hQn00qeQEO3lAzxPQMoAlg5hSUYH</t>
  </si>
  <si>
    <t>duplicati/duplicati</t>
  </si>
  <si>
    <t>duplicati__duplicati</t>
  </si>
  <si>
    <t>dymensionxyz__dymint-1357</t>
  </si>
  <si>
    <t>https://github.com/dymensionxyz/dymint/issues/1357</t>
  </si>
  <si>
    <t>gs://swe-bench-plus/evaluations/019a9c4e-0063-727d-8204-48136c489e61-dymensionxyz__dymint-1357-swe-agent-claude-sonnet-4-20250514</t>
  </si>
  <si>
    <t>https://drive.google.com/drive/folders/1v_bSl-jW7xaYsA5Yy1mRAywIaUQnbbC3</t>
  </si>
  <si>
    <t>dymensionxyz/dymint</t>
  </si>
  <si>
    <t>dymensionxyz__dymint</t>
  </si>
  <si>
    <t>dynaconf__dynaconf-1249</t>
  </si>
  <si>
    <t>https://github.com/dynaconf/dynaconf/issues/1249</t>
  </si>
  <si>
    <t>https://drive.google.com/drive/folders/1P5MdGirpolymtaSKFhGtdvaR6UD8RMZU</t>
  </si>
  <si>
    <t>https://drive.google.com/drive/folders/1SHwuKQBGFupQw1qU6dUhvOWhQInp0-1E</t>
  </si>
  <si>
    <t>dynaconf/dynaconf</t>
  </si>
  <si>
    <t>dynaconf__dynaconf</t>
  </si>
  <si>
    <t>dynamodb-toolbox__dynamodb-toolbox-994</t>
  </si>
  <si>
    <t>https://github.com/dynamodb-toolbox/dynamodb-toolbox/issues/994</t>
  </si>
  <si>
    <t>gs://swe-bench-plus/evaluations/019b6aaf-1788-707e-b6dd-d4dc12d72279-dynamodb-toolbox__dynamodb-toolbox-994-swe-agent-claude-sonnet-4.5</t>
  </si>
  <si>
    <t>https://drive.google.com/drive/folders/1ro-lTIGn9xq-gztpTnEombOXh3fwrksR</t>
  </si>
  <si>
    <t>dynamodb-toolbox/dynamodb-toolbox</t>
  </si>
  <si>
    <t>dynamodb-toolbox__dynamodb-toolbox</t>
  </si>
  <si>
    <t>dynamoose__dynamoose-1745</t>
  </si>
  <si>
    <t>https://github.com/dynamoose/dynamoose/issues/1745</t>
  </si>
  <si>
    <t>gs://swe-bench-plus/evaluations/019b6aaf-1788-707e-b6dd-d4dc12d72279-dynamoose__dynamoose-1745-swe-agent-claude-sonnet-4.5</t>
  </si>
  <si>
    <t>https://drive.google.com/drive/folders/1KsIvFDIy4cI7nrOEo60pnrm9jwwIW5_8</t>
  </si>
  <si>
    <t>dynamoose/dynamoose</t>
  </si>
  <si>
    <t>dynamoose__dynamoose</t>
  </si>
  <si>
    <t>easyops-cn__docusaurus-search-local-505</t>
  </si>
  <si>
    <t>https://github.com/easyops-cn/docusaurus-search-local/issues/505</t>
  </si>
  <si>
    <t>gs://swe-bench-plus/evaluations/019c66b2-2d90-7260-9966-4e0d0d7a99cf-easyops-cn__docusaurus-search-local-505-swe-agent-claude-sonnet-4-20250514</t>
  </si>
  <si>
    <t>https://drive.google.com/drive/folders/1YCSkUTxQ12a9nIR7htRyEOBdyld0hTWt</t>
  </si>
  <si>
    <t>easyops-cn/docusaurus-search-local</t>
  </si>
  <si>
    <t>easyops-cn__docusaurus-search-local</t>
  </si>
  <si>
    <t>eclipse-collections__eclipse-collections-93</t>
  </si>
  <si>
    <t>https://github.com/eclipse-collections/eclipse-collections/issues/93</t>
  </si>
  <si>
    <t>gs://swe-bench-plus/evaluations/019c75f5-6b8c-7228-9f9c-93aa98fd3824-eclipse-collections__eclipse-collections-93-swe-agent-claude-sonnet-4-20250514</t>
  </si>
  <si>
    <t>eclipse-collections/eclipse-collections</t>
  </si>
  <si>
    <t>eclipse-collections__eclipse-collections</t>
  </si>
  <si>
    <t>eclipse-edc__Connector-5254</t>
  </si>
  <si>
    <t>https://github.com/eclipse-edc/Connector/issues/5254</t>
  </si>
  <si>
    <t>data-eng;infra-devops;security</t>
  </si>
  <si>
    <t>https://drive.google.com/drive/folders/1fx2_9JtJHnwNRyfheI0h1njJ-_f973i0</t>
  </si>
  <si>
    <t>eclipse-edc/Connector</t>
  </si>
  <si>
    <t>eclipse-edc__Connector</t>
  </si>
  <si>
    <t>eclipse-edc__Connector-5204</t>
  </si>
  <si>
    <t>https://github.com/eclipse-edc/Connector/issues/5204</t>
  </si>
  <si>
    <t>gs://swe-bench-plus/evaluations/019bc796-66b6-7744-99a6-9ba9969a7e01-eclipse-edc__Connector-5204-swe-agent-claude-sonnet-4.5</t>
  </si>
  <si>
    <t>eclipse-edc__Connector-4928</t>
  </si>
  <si>
    <t>https://github.com/eclipse-edc/Connector/issues/4928</t>
  </si>
  <si>
    <t>gs://swe-bench-plus/evaluations/019bd2bf-00de-723c-8b2d-1d9d8c821830-eclipse-edc__Connector-4928-swe-agent-claude-sonnet-4-20250514</t>
  </si>
  <si>
    <t>https://drive.google.com/drive/folders/1X2skXwUjST6pxBJkAzzyjlxpv6LH-gm2</t>
  </si>
  <si>
    <t>eclipse-jdtls__eclipse.jdt.ls-3671</t>
  </si>
  <si>
    <t>https://github.com/eclipse-jdtls/eclipse.jdt.ls/issues/3671</t>
  </si>
  <si>
    <t>gs://swe-bench-plus/evaluations/019c39f2-198a-7148-b5b8-b8ba5f4e060f-eclipse-jdtls__eclipse.jdt.ls-3671-swe-agent-claude-sonnet-4-20250514</t>
  </si>
  <si>
    <t>eclipse-jdtls/eclipse.jdt.ls</t>
  </si>
  <si>
    <t>eclipse-jdtls__eclipse.jdt.ls</t>
  </si>
  <si>
    <t>eclipse-langium__langium-1951</t>
  </si>
  <si>
    <t>https://github.com/eclipse-langium/langium/issues/1951</t>
  </si>
  <si>
    <t>gs://swe-bench-plus/evaluations/019b6aaf-1788-707e-b6dd-d4dc12d72279-eclipse-langium__langium-1951-swe-agent-claude-sonnet-4.5</t>
  </si>
  <si>
    <t>https://drive.google.com/drive/folders/1n36wX0hgsH2Fi5O5SFaCVcIhsI6c4dK_</t>
  </si>
  <si>
    <t>eclipse-langium/langium</t>
  </si>
  <si>
    <t>eclipse-langium__langium</t>
  </si>
  <si>
    <t>eclipse-langium__langium-1954</t>
  </si>
  <si>
    <t>https://github.com/eclipse-langium/langium/issues/1954</t>
  </si>
  <si>
    <t>gs://swe-bench-plus/evaluations/019b6aaf-1788-707e-b6dd-d4dc12d72279-eclipse-langium__langium-1954-swe-agent-claude-sonnet-4.5</t>
  </si>
  <si>
    <t>https://drive.google.com/drive/folders/1mxHoldTx5j9HIdbhgNezIw4lfGKnG_Ok</t>
  </si>
  <si>
    <t>eclipse-tractusx__tractusx-edc-2263</t>
  </si>
  <si>
    <t>https://github.com/eclipse-tractusx/tractusx-edc/issues/2263</t>
  </si>
  <si>
    <t>applications;infra-devops;security</t>
  </si>
  <si>
    <t>gs://swe-bench-plus/evaluations/019bc796-66b6-7744-99a6-9ba9969a7e01-eclipse-tractusx__tractusx-edc-2263-swe-agent-claude-sonnet-4-20250514</t>
  </si>
  <si>
    <t>https://drive.google.com/drive/folders/10KXMP8ap3OS_FG27p0x5692kzuM7wm4X</t>
  </si>
  <si>
    <t>eclipse-tractusx/tractusx-edc</t>
  </si>
  <si>
    <t>eclipse-tractusx__tractusx-edc</t>
  </si>
  <si>
    <t>edvardchen__eslint-plugin-i18next-134</t>
  </si>
  <si>
    <t>https://github.com/edvardchen/eslint-plugin-i18next/issues/134</t>
  </si>
  <si>
    <t>gs://swe-bench-plus/evaluations/019b6aaf-1788-707e-b6dd-d4dc12d72279-edvardchen__eslint-plugin-i18next-134-swe-agent-claude-sonnet-4.5</t>
  </si>
  <si>
    <t>https://drive.google.com/drive/folders/1Ns8EasPwOOFe97joKWOGuwErUTRd0jBX</t>
  </si>
  <si>
    <t>edvardchen/eslint-plugin-i18next</t>
  </si>
  <si>
    <t>edvardchen__eslint-plugin-i18next</t>
  </si>
  <si>
    <t>Effect-TS__language-service-125</t>
  </si>
  <si>
    <t>https://github.com/Effect-TS/language-service/issues/125</t>
  </si>
  <si>
    <t>gs://swe-bench-plus/evaluations/019b6aaf-1788-707e-b6dd-d4dc12d72279-Effect-TS__language-service-125-swe-agent-claude-sonnet-4.5</t>
  </si>
  <si>
    <t>https://drive.google.com/drive/folders/15Q9JREQd-EYl91ldVU8lI0xH_1kIf0UQ</t>
  </si>
  <si>
    <t>Effect-TS/language-service</t>
  </si>
  <si>
    <t>Effect-TS__language-service</t>
  </si>
  <si>
    <t>eiriktsarpalis__PolyType-212</t>
  </si>
  <si>
    <t>https://github.com/eiriktsarpalis/PolyType/issues/212</t>
  </si>
  <si>
    <t>gs://swe-bench-plus/evaluations/019b6ab1-4e74-7019-9e81-9c96e98a145d-eiriktsarpalis__PolyType-212-swe-agent-claude-sonnet-4.5</t>
  </si>
  <si>
    <t>https://drive.google.com/drive/folders/1AyYgMj-w2ogpP1U7XzWHzgt6TxvoS_in</t>
  </si>
  <si>
    <t>eiriktsarpalis/PolyType</t>
  </si>
  <si>
    <t>eiriktsarpalis__PolyType</t>
  </si>
  <si>
    <t>ejmahler__RustFFT-157</t>
  </si>
  <si>
    <t>https://github.com/ejmahler/RustFFT/issues/157</t>
  </si>
  <si>
    <t>gs://swe-bench-plus/evaluations/019b06bd-e8b8-7239-a811-43270291d9ff-ejmahler__RustFFT-157-swe-agent-claude-sonnet-4.5</t>
  </si>
  <si>
    <t>https://drive.google.com/drive/folders/1MZHL8HHtBXegud_qy_WMeiTSBz4cgMaM</t>
  </si>
  <si>
    <t>ejmahler/RustFFT</t>
  </si>
  <si>
    <t>ejmahler__RustFFT</t>
  </si>
  <si>
    <t>ekiwi__wellen-71</t>
  </si>
  <si>
    <t>https://github.com/ekiwi/wellen/issues/71</t>
  </si>
  <si>
    <t>https://drive.google.com/drive/folders/1hpmLAm8eGLCAH6YCBUUUHcqldrsPDVIl</t>
  </si>
  <si>
    <t>https://drive.google.com/drive/folders/16heFTJblOUMYvuFoE4ZOuhdqkWez_Vu_</t>
  </si>
  <si>
    <t>ekiwi/wellen</t>
  </si>
  <si>
    <t>ekiwi__wellen</t>
  </si>
  <si>
    <t>Ekumen-OS__beluga-404</t>
  </si>
  <si>
    <t>https://github.com/Ekumen-OS/beluga/issues/404</t>
  </si>
  <si>
    <t>autonomy;ai-ml</t>
  </si>
  <si>
    <t>gs://swe-bench-plus/evaluations/019b6aa7-0380-771f-9e02-24cda0fe6639-Ekumen-OS__beluga-404-swe-agent-claude-sonnet-4.5</t>
  </si>
  <si>
    <t>https://drive.google.com/drive/folders/19lpWM7grS1uYirbaJXPe-dFMR109INfB</t>
  </si>
  <si>
    <t>Ekumen-OS/beluga</t>
  </si>
  <si>
    <t>Ekumen-OS__beluga</t>
  </si>
  <si>
    <t>elastic__beats-44366</t>
  </si>
  <si>
    <t>https://github.com/elastic/beats/issues/44366</t>
  </si>
  <si>
    <t>https://drive.google.com/drive/folders/1DoSs3YLqrWfiF25Y1NZ15tSghwQp5XEA</t>
  </si>
  <si>
    <t>https://drive.google.com/drive/folders/1wNLA723cJEAF6SagwlBsUz2gB9H3JGH5</t>
  </si>
  <si>
    <t>elastic/beats</t>
  </si>
  <si>
    <t>elastic__beats</t>
  </si>
  <si>
    <t>elastic__beats-44387</t>
  </si>
  <si>
    <t>https://github.com/elastic/beats/issues/44387</t>
  </si>
  <si>
    <t>https://drive.google.com/drive/folders/10Y_7cA3jhpw-H4wUNf8CxWUUcHIfUVit</t>
  </si>
  <si>
    <t>https://drive.google.com/drive/folders/1qtBwYB5aSuBFNeFKdseSuw5X_6rcDbYn</t>
  </si>
  <si>
    <t>elastic__beats-43449</t>
  </si>
  <si>
    <t>https://github.com/elastic/beats/issues/43449</t>
  </si>
  <si>
    <t>https://drive.google.com/drive/folders/1t1AA4wRmmnRDm0PjXZTVFhs6xTBxiMlN</t>
  </si>
  <si>
    <t>https://drive.google.com/drive/folders/1kpw49I7n8zs2X9hW5b2Be2yXSwzFFHLn</t>
  </si>
  <si>
    <t>elastic__beats-45950</t>
  </si>
  <si>
    <t>https://github.com/elastic/beats/issues/45950</t>
  </si>
  <si>
    <t>https://drive.google.com/drive/folders/1mErV3HKx56n_nJPcLAqknRbbADV8mmHA</t>
  </si>
  <si>
    <t>https://drive.google.com/drive/folders/1Dy_xcMdGygussMTDEFB-zcez8WL_LD-l</t>
  </si>
  <si>
    <t>elastio__bon-279</t>
  </si>
  <si>
    <t>https://github.com/elastio/bon/issues/279</t>
  </si>
  <si>
    <t>gs://swe-bench-plus/evaluations/019b06bd-e8b8-7239-a811-43270291d9ff-elastio__bon-279-swe-agent-claude-sonnet-4.5</t>
  </si>
  <si>
    <t>https://drive.google.com/drive/folders/1m212pbF0RD9H607DdtQvyFrrD3E8Fvss</t>
  </si>
  <si>
    <t>elastio/bon</t>
  </si>
  <si>
    <t>elastio__bon</t>
  </si>
  <si>
    <t>elastio__bon-265</t>
  </si>
  <si>
    <t>https://github.com/elastio/bon/issues/265</t>
  </si>
  <si>
    <t>gs://swe-bench-plus/evaluations/019a8f58-c516-722e-bb34-fa7546d3155d-elastio__bon-265-open-hands-claude-sonnet-4-20250514</t>
  </si>
  <si>
    <t>elastio__bon-222</t>
  </si>
  <si>
    <t>https://github.com/elastio/bon/issues/222</t>
  </si>
  <si>
    <t>https://drive.google.com/drive/folders/1W4lvzFLpp-0i0SXnClLwqRvncOFoEpIr</t>
  </si>
  <si>
    <t>Electron100__butane-329</t>
  </si>
  <si>
    <t>https://github.com/Electron100/butane/issues/329</t>
  </si>
  <si>
    <t>gs://swe-bench-plus/evaluations/019b6aaf-1788-707e-b6dd-d4dc12d72279-Electron100__butane-329-swe-agent-claude-sonnet-4.5</t>
  </si>
  <si>
    <t>https://drive.google.com/drive/folders/1VbR1nqmuukVceaSqJlQtjrT8gdMEIBfM</t>
  </si>
  <si>
    <t>Electron100/butane</t>
  </si>
  <si>
    <t>Electron100__butane</t>
  </si>
  <si>
    <t>element-plus__element-plus-18911</t>
  </si>
  <si>
    <t>https://github.com/element-plus/element-plus/issues/18911</t>
  </si>
  <si>
    <t>https://drive.google.com/drive/folders/1__Vdz-mtoHk0F9qAJyTNWup5lo51ky4x</t>
  </si>
  <si>
    <t>https://drive.google.com/drive/folders/1Z3Fm2imge3LwnurDkrwoOFL0eXio4OZX</t>
  </si>
  <si>
    <t>element-plus/element-plus</t>
  </si>
  <si>
    <t>element-plus__element-plus</t>
  </si>
  <si>
    <t>eliegoudout__paramclasses-12</t>
  </si>
  <si>
    <t>https://github.com/eliegoudout/paramclasses/issues/12</t>
  </si>
  <si>
    <t>https://drive.google.com/drive/folders/1MQqGnggZJi_fW2SzsPS3y2vquPOvlrIv</t>
  </si>
  <si>
    <t>https://drive.google.com/drive/folders/1aYA9GlDWhsuS4uyw4Hm0rpI0MTY8Ivvs</t>
  </si>
  <si>
    <t>eliegoudout/paramclasses</t>
  </si>
  <si>
    <t>eliegoudout__paramclasses</t>
  </si>
  <si>
    <t>elycruz__rollup-plugin-sass-174</t>
  </si>
  <si>
    <t>https://github.com/elycruz/rollup-plugin-sass/issues/174</t>
  </si>
  <si>
    <t>gs://swe-bench-plus/evaluations/019b6ab1-4e74-7019-9e81-9c96e98a145d-elycruz__rollup-plugin-sass-174-swe-agent-claude-sonnet-4.5</t>
  </si>
  <si>
    <t>https://drive.google.com/drive/folders/1FxWoar8S1KJuGNXChB-2LkrCo-S-0jLx</t>
  </si>
  <si>
    <t>elycruz/rollup-plugin-sass</t>
  </si>
  <si>
    <t>elycruz__rollup-plugin-sass</t>
  </si>
  <si>
    <t>emdgroup__baybe-364</t>
  </si>
  <si>
    <t>https://github.com/emdgroup/baybe/issues/364</t>
  </si>
  <si>
    <t>https://drive.google.com/drive/folders/1CY0vAIvpGMwxvuydRkU_kNc2IInU_r3R</t>
  </si>
  <si>
    <t>https://drive.google.com/drive/folders/1_gIs1VQxO_-iYKrdiZ-s4pBOhf19fGf0</t>
  </si>
  <si>
    <t>emdgroup/baybe</t>
  </si>
  <si>
    <t>emdgroup__baybe</t>
  </si>
  <si>
    <t>emit-rs__emit-190</t>
  </si>
  <si>
    <t>https://github.com/emit-rs/emit/issues/190</t>
  </si>
  <si>
    <t>gs://swe-bench-plus/evaluations/019b6aaf-1788-707e-b6dd-d4dc12d72279-emit-rs__emit-190-swe-agent-claude-sonnet-4.5</t>
  </si>
  <si>
    <t>https://drive.google.com/drive/folders/1QPau_jildP4XLp-tIzCmVzpBhjsMMGcq</t>
  </si>
  <si>
    <t>emit-rs/emit</t>
  </si>
  <si>
    <t>emit-rs__emit</t>
  </si>
  <si>
    <t>EmmyLuaLs__emmylua-analyzer-rust-203</t>
  </si>
  <si>
    <t>https://github.com/EmmyLuaLs/emmylua-analyzer-rust/issues/203</t>
  </si>
  <si>
    <t>refactor;bug-fix;feature</t>
  </si>
  <si>
    <t>https://drive.google.com/drive/folders/1vBFtucAOTZudyFSUK7FeOV1RZirWLLD7</t>
  </si>
  <si>
    <t>https://drive.google.com/drive/folders/1s-0w-fAoriNoHlGP7b5P6zGwyWmPecEm</t>
  </si>
  <si>
    <t>EmmyLuaLs/emmylua-analyzer-rust</t>
  </si>
  <si>
    <t>EmmyLuaLs__emmylua-analyzer-rust</t>
  </si>
  <si>
    <t>endojs__endo-2878</t>
  </si>
  <si>
    <t>https://github.com/endojs/endo/issues/2878</t>
  </si>
  <si>
    <t>gs://swe-bench-plus/evaluations/019c24fa-2999-746b-a6fd-aa256611b73a-endojs__endo-2878-swe-agent-claude-sonnet-4-20250514</t>
  </si>
  <si>
    <t>https://drive.google.com/drive/folders/1jJZNfjDuhrcmRoj208kzFYA3iOBSqCEy</t>
  </si>
  <si>
    <t>endojs/endo</t>
  </si>
  <si>
    <t>endojs__endo</t>
  </si>
  <si>
    <t>endorhq__rover-108</t>
  </si>
  <si>
    <t>https://github.com/endorhq/rover/issues/108</t>
  </si>
  <si>
    <t>refactor;performance;build-ci</t>
  </si>
  <si>
    <t>gs://swe-bench-plus/evaluations/019b6aa7-0380-771f-9e02-24cda0fe6639-endorhq__rover-108-swe-agent-claude-sonnet-4.5</t>
  </si>
  <si>
    <t>https://drive.google.com/drive/folders/1vWu2Zfyb67kK20-KYVWpW_TVZWcg7isz</t>
  </si>
  <si>
    <t>endorhq/rover</t>
  </si>
  <si>
    <t>endorhq__rover</t>
  </si>
  <si>
    <t>enoch3712__ExtractThinker-191</t>
  </si>
  <si>
    <t>https://github.com/enoch3712/ExtractThinker/issues/191</t>
  </si>
  <si>
    <t>https://drive.google.com/drive/folders/1xy9SYzyjm7W8egotdKjdQJ3sLL9l8g4H</t>
  </si>
  <si>
    <t>https://drive.google.com/drive/folders/1C55RT6PD8YSvwdLp2yr2LewpC5cF-ijo</t>
  </si>
  <si>
    <t>enoch3712/ExtractThinker</t>
  </si>
  <si>
    <t>enoch3712__ExtractThinker</t>
  </si>
  <si>
    <t>enonic__xp-11551</t>
  </si>
  <si>
    <t>https://github.com/enonic/xp/issues/11551</t>
  </si>
  <si>
    <t>gs://swe-bench-plus/evaluations/019b6ab1-4e74-7019-9e81-9c96e98a145d-enonic__xp-11551-swe-agent-claude-sonnet-4.5</t>
  </si>
  <si>
    <t>https://drive.google.com/drive/folders/1SINa5BZk21reJ8y2U8CC-XZJ4TAdPV7m</t>
  </si>
  <si>
    <t>enonic/xp</t>
  </si>
  <si>
    <t>enonic__xp</t>
  </si>
  <si>
    <t>enonic__xp-10825</t>
  </si>
  <si>
    <t>https://github.com/enonic/xp/issues/10825</t>
  </si>
  <si>
    <t>gs://swe-bench-plus/evaluations/019bc798-a722-770f-b772-98c73d2678bb-enonic__xp-10825-swe-agent-claude-sonnet-4-20250514</t>
  </si>
  <si>
    <t>https://drive.google.com/drive/folders/1spJjZKv5WBnWJJmwg4y_3kr8RxFjOgBV</t>
  </si>
  <si>
    <t>envoyproxy__ai-gateway-1351</t>
  </si>
  <si>
    <t>https://github.com/envoyproxy/ai-gateway/issues/1351</t>
  </si>
  <si>
    <t>gs://swe-bench-plus/evaluations/019b0886-0f4d-757e-a2e5-c06041eabbaf-envoyproxy__ai-gateway-1351-swe-agent-claude-sonnet-4.5</t>
  </si>
  <si>
    <t>https://drive.google.com/drive/folders/1yOl4v28jJ6K5yT89jSDjKJJ6f_p8IC-9</t>
  </si>
  <si>
    <t>envoyproxy/ai-gateway</t>
  </si>
  <si>
    <t>envoyproxy__ai-gateway</t>
  </si>
  <si>
    <t>enzonotario__vitepress-openapi-207</t>
  </si>
  <si>
    <t>https://github.com/enzonotario/vitepress-openapi/issues/207</t>
  </si>
  <si>
    <t>gs://swe-bench-plus/evaluations/019b6aaf-1788-707e-b6dd-d4dc12d72279-enzonotario__vitepress-openapi-207-swe-agent-claude-sonnet-4.5</t>
  </si>
  <si>
    <t>https://drive.google.com/drive/folders/1hNAD9ePCYs0rjO9rRAzS3P7ePXGLUGvW</t>
  </si>
  <si>
    <t>enzonotario/vitepress-openapi</t>
  </si>
  <si>
    <t>enzonotario__vitepress-openapi</t>
  </si>
  <si>
    <t>enzonotario__vitepress-openapi-132</t>
  </si>
  <si>
    <t>https://github.com/enzonotario/vitepress-openapi/issues/132</t>
  </si>
  <si>
    <t>https://drive.google.com/drive/folders/1SMyFAMe0lJe14XbOILGRBMKVqL7wyhGx</t>
  </si>
  <si>
    <t>https://drive.google.com/drive/folders/1LqUqLpQOjr1XK0--rGJoviaJgJ40emZU</t>
  </si>
  <si>
    <t>enzonotario__vitepress-openapi-137</t>
  </si>
  <si>
    <t>https://github.com/enzonotario/vitepress-openapi/issues/137</t>
  </si>
  <si>
    <t>gs://swe-bench-plus/evaluations/019b6aaf-1788-707e-b6dd-d4dc12d72279-enzonotario__vitepress-openapi-137-swe-agent-claude-sonnet-4.5</t>
  </si>
  <si>
    <t>https://drive.google.com/drive/folders/11VXxRul0IIaDODHJtCU2JNqupzHo1grV</t>
  </si>
  <si>
    <t>enzonotario__vitepress-openapi-136</t>
  </si>
  <si>
    <t>https://github.com/enzonotario/vitepress-openapi/issues/136</t>
  </si>
  <si>
    <t>https://drive.google.com/drive/folders/11eX5Xa3Y9IyHddbGcYHkVjjYpB0SY2fC</t>
  </si>
  <si>
    <t>https://drive.google.com/drive/folders/1_fWiDYUiXEbyp8QPSHmJuJ346BkdRZVs</t>
  </si>
  <si>
    <t>epam__edp-keycloak-operator-240</t>
  </si>
  <si>
    <t>https://github.com/epam/edp-keycloak-operator/issues/240</t>
  </si>
  <si>
    <t>gs://swe-bench-plus/evaluations/019b6ab1-4e74-7019-9e81-9c96e98a145d-epam__edp-keycloak-operator-240-swe-agent-claude-sonnet-4.5</t>
  </si>
  <si>
    <t>https://drive.google.com/drive/folders/1O7agjHX_duRHCttVW0k9-PZ4ZA_3XgBl</t>
  </si>
  <si>
    <t>epam/edp-keycloak-operator</t>
  </si>
  <si>
    <t>epam__edp-keycloak-operator</t>
  </si>
  <si>
    <t>epam__Indigo-1455</t>
  </si>
  <si>
    <t>https://github.com/epam/Indigo/issues/1455</t>
  </si>
  <si>
    <t>sci-comp;graphics-media;data-eng</t>
  </si>
  <si>
    <t>https://drive.google.com/drive/folders/1jIHNFeiT0n72oaQ-_BNch4ddyJ1djVa-</t>
  </si>
  <si>
    <t>https://drive.google.com/drive/folders/1OUq1rd2wfxXn1wtJY_LeCbiMKEuP4ngz</t>
  </si>
  <si>
    <t>epam/Indigo</t>
  </si>
  <si>
    <t>epam__Indigo</t>
  </si>
  <si>
    <t>equinor__resdata-1083</t>
  </si>
  <si>
    <t>https://github.com/equinor/resdata/issues/1083</t>
  </si>
  <si>
    <t>gs://swe-bench-plus/evaluations/019ad82c-0611-7538-98cc-2fb6debd4467-equinor__resdata-1083-swe-agent-claude-sonnet-4-20250514</t>
  </si>
  <si>
    <t>equinor/resdata</t>
  </si>
  <si>
    <t>equinor__resdata</t>
  </si>
  <si>
    <t>ErikKalkoken__evebuddy-271</t>
  </si>
  <si>
    <t>https://github.com/ErikKalkoken/evebuddy/issues/271</t>
  </si>
  <si>
    <t>gs://swe-bench-plus/evaluations/019b6ab1-4e74-7019-9e81-9c96e98a145d-ErikKalkoken__evebuddy-271-swe-agent-claude-sonnet-4.5</t>
  </si>
  <si>
    <t>https://drive.google.com/drive/folders/15LYhYiURQVR_X7lybxudW5tziaG3ppSm</t>
  </si>
  <si>
    <t>ErikKalkoken/evebuddy</t>
  </si>
  <si>
    <t>ErikKalkoken__evebuddy</t>
  </si>
  <si>
    <t>ErikKalkoken__evebuddy-292</t>
  </si>
  <si>
    <t>https://github.com/ErikKalkoken/evebuddy/issues/292</t>
  </si>
  <si>
    <t>gs://swe-bench-plus/evaluations/019b6ab1-4e74-7019-9e81-9c96e98a145d-ErikKalkoken__evebuddy-292-swe-agent-claude-sonnet-4.5</t>
  </si>
  <si>
    <t>https://drive.google.com/drive/folders/1gqk48-p2VZqFMaZ9W55wVe9mEjotJJb6</t>
  </si>
  <si>
    <t>eslint__js-646</t>
  </si>
  <si>
    <t>https://github.com/eslint/js/issues/646</t>
  </si>
  <si>
    <t>gs://swe-bench-plus/evaluations/019c66b4-eabc-7558-9200-0cb1aa23d63b-eslint__js-646-swe-agent-claude-sonnet-4-20250514</t>
  </si>
  <si>
    <t>https://drive.google.com/drive/folders/1iLcBKBivyY_t-bdhSzFqikWyE8eXAI1w</t>
  </si>
  <si>
    <t>eslint/js</t>
  </si>
  <si>
    <t>eslint__js</t>
  </si>
  <si>
    <t>ethereum-optimism__superchain-registry</t>
  </si>
  <si>
    <t>ethstorage__es-node-360</t>
  </si>
  <si>
    <t>https://github.com/ethstorage/es-node/issues/360</t>
  </si>
  <si>
    <t>gs://swe-bench-plus/evaluations/019b0df7-ade4-70bc-89dc-2dc1c6248f76-ethstorage__es-node-360-swe-agent-claude-opus-4.5</t>
  </si>
  <si>
    <t>https://drive.google.com/drive/folders/1urAREmltcj537Vlt1pe4jScZkoMGVRFa</t>
  </si>
  <si>
    <t>ethstorage/es-node</t>
  </si>
  <si>
    <t>ethstorage__es-node</t>
  </si>
  <si>
    <t>etiennebacher__jarl-165</t>
  </si>
  <si>
    <t>https://github.com/etiennebacher/jarl/issues/165</t>
  </si>
  <si>
    <t>gs://swe-bench-plus/evaluations/019b6ab1-4e74-7019-9e81-9c96e98a145d-etiennebacher__jarl-165-swe-agent-claude-sonnet-4.5</t>
  </si>
  <si>
    <t>https://drive.google.com/drive/folders/1dPde8I4VkgV0F-B3w6bfKmeCbZI1SzrE</t>
  </si>
  <si>
    <t>etiennebacher/jarl</t>
  </si>
  <si>
    <t>etiennebacher__jarl</t>
  </si>
  <si>
    <t>evalstate__hf-mcp-server-46</t>
  </si>
  <si>
    <t>https://github.com/evalstate/hf-mcp-server/issues/46</t>
  </si>
  <si>
    <t>https://drive.google.com/drive/folders/18rftA_vFj0uwmm0meLuNampFOSYbeKNs</t>
  </si>
  <si>
    <t>https://drive.google.com/drive/folders/1_ONpplv7gZP2uqxcqQHxhdZx2Boz5so4</t>
  </si>
  <si>
    <t>evalstate/hf-mcp-server</t>
  </si>
  <si>
    <t>evalstate__hf-mcp-server</t>
  </si>
  <si>
    <t>event-catalog__eventcatalog-1585</t>
  </si>
  <si>
    <t>https://github.com/event-catalog/eventcatalog/issues/1585</t>
  </si>
  <si>
    <t>gs://swe-bench-plus/evaluations/019c7386-53d5-75df-82fb-8ade9fa70e16-event-catalog__eventcatalog-1585-swe-agent-claude-sonnet-4.5</t>
  </si>
  <si>
    <t>event-catalog/eventcatalog</t>
  </si>
  <si>
    <t>event-catalog__eventcatalog</t>
  </si>
  <si>
    <t>evstack__ev-node-2771</t>
  </si>
  <si>
    <t>https://github.com/evstack/ev-node/issues/2771</t>
  </si>
  <si>
    <t>gs://swe-bench-plus/evaluations/019b6ab1-4e74-7019-9e81-9c96e98a145d-evstack__ev-node-2771-swe-agent-claude-sonnet-4.5</t>
  </si>
  <si>
    <t>https://drive.google.com/drive/folders/1E8iLh07j2cxdW09IS9nmrQCN6pd28jAp</t>
  </si>
  <si>
    <t>evstack/ev-node</t>
  </si>
  <si>
    <t>evstack__ev-node</t>
  </si>
  <si>
    <t>evstack__ev-node-2363</t>
  </si>
  <si>
    <t>https://github.com/evstack/ev-node/issues/2363</t>
  </si>
  <si>
    <t>gs://swe-bench-plus/evaluations/019b6aa7-0380-771f-9e02-24cda0fe6639-evstack__ev-node-2363-swe-agent-claude-sonnet-4.5</t>
  </si>
  <si>
    <t>https://drive.google.com/drive/folders/1n1YymPhlPcQGrtcfRuDNCRt_1omXBdKM</t>
  </si>
  <si>
    <t>exadel-inc__etoolbox-authoring-kit-586</t>
  </si>
  <si>
    <t>https://github.com/exadel-inc/etoolbox-authoring-kit/issues/586</t>
  </si>
  <si>
    <t>gs://swe-bench-plus/evaluations/019b6ab1-4e74-7019-9e81-9c96e98a145d-exadel-inc__etoolbox-authoring-kit-586-swe-agent-claude-sonnet-4.5</t>
  </si>
  <si>
    <t>https://drive.google.com/drive/folders/15fken9mFgin6BaKL3C0c9kddQYGwi58S</t>
  </si>
  <si>
    <t>exadel-inc/etoolbox-authoring-kit</t>
  </si>
  <si>
    <t>exadel-inc__etoolbox-authoring-kit</t>
  </si>
  <si>
    <t>exasol__pyexasol-209</t>
  </si>
  <si>
    <t>https://github.com/exasol/pyexasol/issues/209</t>
  </si>
  <si>
    <t>feature;dependency-update;documentation;build-ci</t>
  </si>
  <si>
    <t>https://drive.google.com/drive/folders/1gb6RtboQ3GfEi1aojoCswQw1GTGYgNWJ</t>
  </si>
  <si>
    <t>https://drive.google.com/drive/folders/1hbg25u6m6A_Tf-3bKW4qLaxrRTALsG0a</t>
  </si>
  <si>
    <t>exasol/pyexasol</t>
  </si>
  <si>
    <t>exasol__pyexasol</t>
  </si>
  <si>
    <t>Exlll__ConfigLib-56</t>
  </si>
  <si>
    <t>https://github.com/Exlll/ConfigLib/issues/56</t>
  </si>
  <si>
    <t>gs://swe-bench-plus/evaluations/019c2527-4e2e-77ee-bb46-1b5af2881d6d-Exlll__ConfigLib-56-swe-agent-claude-sonnet-4-20250514</t>
  </si>
  <si>
    <t>https://drive.google.com/drive/folders/1RIjainbljwPj_YsPaDjSPnl1W_7AJxmz</t>
  </si>
  <si>
    <t>Exlll/ConfigLib</t>
  </si>
  <si>
    <t>Exlll__ConfigLib</t>
  </si>
  <si>
    <t>Expensify__App-71513</t>
  </si>
  <si>
    <t>https://github.com/Expensify/App/issues/71513</t>
  </si>
  <si>
    <t>https://drive.google.com/drive/folders/1b9ynl-Bl-s8SuV-O6_KqrZA2NZNjTFLb</t>
  </si>
  <si>
    <t>Expensify/App</t>
  </si>
  <si>
    <t>Expensify__App</t>
  </si>
  <si>
    <t>express-rate-limit__express-rate-limit-486</t>
  </si>
  <si>
    <t>https://github.com/express-rate-limit/express-rate-limit/issues/486</t>
  </si>
  <si>
    <t>webdev;security</t>
  </si>
  <si>
    <t>https://drive.google.com/drive/folders/1EhElJIs4_G-kFI9zu8SRUtz3u0gquY3S</t>
  </si>
  <si>
    <t>express-rate-limit/express-rate-limit</t>
  </si>
  <si>
    <t>express-rate-limit__express-rate-limit</t>
  </si>
  <si>
    <t>express-rate-limit__express-rate-limit-549</t>
  </si>
  <si>
    <t>https://github.com/express-rate-limit/express-rate-limit/issues/549</t>
  </si>
  <si>
    <t>https://drive.google.com/drive/folders/1ScUYKhzhjN7PyHU4Nu6EDPOyqLGNR0ub</t>
  </si>
  <si>
    <t>express-rate-limit__express-rate-limit-578</t>
  </si>
  <si>
    <t>https://github.com/express-rate-limit/express-rate-limit/issues/578</t>
  </si>
  <si>
    <t>gs://swe-bench-plus/evaluations/019c39f1-ae3c-768b-a366-cc132855f509-express-rate-limit__express-rate-limit-578-swe-agent-claude-sonnet-4-20250514</t>
  </si>
  <si>
    <t>https://drive.google.com/drive/folders/1Qu9V31Z_f82WcEoBXOG0F2WeqZz9FLTX</t>
  </si>
  <si>
    <t>external-secrets__external-secrets-5022</t>
  </si>
  <si>
    <t>https://github.com/external-secrets/external-secrets/issues/5022</t>
  </si>
  <si>
    <t>https://drive.google.com/drive/folders/1u9tCB00jwIJEuIjzIElSAzw5otzl9mxb</t>
  </si>
  <si>
    <t>https://drive.google.com/drive/folders/10CGMAlFJjJOBbxLlNE6VjHdny5HfP_t-</t>
  </si>
  <si>
    <t>external-secrets/external-secrets</t>
  </si>
  <si>
    <t>external-secrets__external-secrets</t>
  </si>
  <si>
    <t>external-secrets__external-secrets-3934</t>
  </si>
  <si>
    <t>https://github.com/external-secrets/external-secrets/issues/3934</t>
  </si>
  <si>
    <t>https://drive.google.com/drive/folders/1GfGw4KF4M_wKB34FKGESojcdpfdxWUIA</t>
  </si>
  <si>
    <t>https://drive.google.com/drive/folders/1Zxy2ggHmPp58HohrqPLIamnhjdZXz5gS</t>
  </si>
  <si>
    <t>faaxm__spix-135</t>
  </si>
  <si>
    <t>https://github.com/faaxm/spix/issues/135</t>
  </si>
  <si>
    <t>gs://swe-bench-plus/evaluations/019b6aa7-0380-771f-9e02-24cda0fe6639-faaxm__spix-135-swe-agent-claude-sonnet-4.5</t>
  </si>
  <si>
    <t>https://drive.google.com/drive/folders/1XGXJrQTOBDiRdPt7XAu77kBpCtg0OS8K</t>
  </si>
  <si>
    <t>faaxm/spix</t>
  </si>
  <si>
    <t>faaxm__spix</t>
  </si>
  <si>
    <t>fabian-beck__pure-suggest-527</t>
  </si>
  <si>
    <t>https://github.com/fabian-beck/pure-suggest/issues/527</t>
  </si>
  <si>
    <t>gs://swe-bench-plus/evaluations/019b6aaf-1788-707e-b6dd-d4dc12d72279-fabian-beck__pure-suggest-527-swe-agent-claude-sonnet-4.5</t>
  </si>
  <si>
    <t>https://drive.google.com/drive/folders/1WQph4WzSi1X10cD4oUMZuVSrgK1i4jUR</t>
  </si>
  <si>
    <t>fabian-beck/pure-suggest</t>
  </si>
  <si>
    <t>fabian-beck__pure-suggest</t>
  </si>
  <si>
    <t>fabric8io__docker-maven-plugin-1881</t>
  </si>
  <si>
    <t>https://github.com/fabric8io/docker-maven-plugin/issues/1881</t>
  </si>
  <si>
    <t>gs://swe-bench-plus/evaluations/019b6ab1-4e74-7019-9e81-9c96e98a145d-fabric8io__docker-maven-plugin-1881-swe-agent-claude-sonnet-4.5</t>
  </si>
  <si>
    <t>https://drive.google.com/drive/folders/1ruytj2hFZ2HKtR7UPk6PVeMTtbRN2AdF</t>
  </si>
  <si>
    <t>fabric8io/docker-maven-plugin</t>
  </si>
  <si>
    <t>fabric8io__docker-maven-plugin</t>
  </si>
  <si>
    <t>FabricMC__fabric-1656</t>
  </si>
  <si>
    <t>https://github.com/FabricMC/fabric/issues/1656</t>
  </si>
  <si>
    <t>gs://swe-bench-plus/evaluations/019c2529-331d-7507-bab8-1920ff40c9f7-FabricMC__fabric-1656-swe-agent-claude-sonnet-4-20250514</t>
  </si>
  <si>
    <t>https://drive.google.com/drive/folders/1BFWAT3gWMW5POjAuxARt0OHuDVXQwEw6</t>
  </si>
  <si>
    <t>FabricMC/fabric</t>
  </si>
  <si>
    <t>FabricMC__fabric</t>
  </si>
  <si>
    <t>FabricMC__fabric-4119</t>
  </si>
  <si>
    <t>https://github.com/FabricMC/fabric/issues/4119</t>
  </si>
  <si>
    <t>gs://swe-bench-plus/evaluations/019bc798-5e68-70de-88e9-08b16b20559a-FabricMC__fabric-4119-swe-agent-claude-sonnet-4-20250514</t>
  </si>
  <si>
    <t>https://drive.google.com/drive/folders/1Kn7oGcOhNvVhYDtenwmrRUFNe-CImaUc</t>
  </si>
  <si>
    <t>FabricMC__fabric-api-4119</t>
  </si>
  <si>
    <t>https://github.com/FabricMC/fabric-api/issues/4119</t>
  </si>
  <si>
    <t>gs://swe-bench-plus/evaluations/019c2527-8af6-7128-8f79-c6ab950217ac-FabricMC__fabric-api-4119-swe-agent-claude-sonnet-4.5</t>
  </si>
  <si>
    <t>https://drive.google.com/drive/folders/1qeBF-rDIbwjIaAETx_GkTkJ6cL9Lh6Ex</t>
  </si>
  <si>
    <t>FabricMC/fabric-api</t>
  </si>
  <si>
    <t>FabricMC__fabric-api</t>
  </si>
  <si>
    <t>facebook__docusaurus-11138</t>
  </si>
  <si>
    <t>https://github.com/facebook/docusaurus/issues/11138</t>
  </si>
  <si>
    <t>feature-request;performance-issue;chore</t>
  </si>
  <si>
    <t>dependency-update;performance;refactor</t>
  </si>
  <si>
    <t>https://drive.google.com/drive/folders/1nU363_L7z4Ids--6GUF3WyLDz3zVRZpd</t>
  </si>
  <si>
    <t>facebook/docusaurus</t>
  </si>
  <si>
    <t>facebook__docusaurus</t>
  </si>
  <si>
    <t>facebook__docusaurus-10852</t>
  </si>
  <si>
    <t>https://github.com/facebook/docusaurus/issues/10852</t>
  </si>
  <si>
    <t>https://drive.google.com/drive/folders/1t06ws67K3joIcA2813uFAvjTrzLlddED</t>
  </si>
  <si>
    <t>facebook__react-32461</t>
  </si>
  <si>
    <t>https://github.com/facebook/react/issues/32461</t>
  </si>
  <si>
    <t>https://drive.google.com/drive/folders/1WcKGqSDKAJL_8RGd6wxXuDWK97vzZddU</t>
  </si>
  <si>
    <t>facebook/react</t>
  </si>
  <si>
    <t>facebook__react</t>
  </si>
  <si>
    <t>facebook__react-32828</t>
  </si>
  <si>
    <t>https://github.com/facebook/react/issues/32828</t>
  </si>
  <si>
    <t>webdev;graphics-media</t>
  </si>
  <si>
    <t>https://drive.google.com/drive/folders/1a9OTPRhSTobqlAdxKrVcULxYF6lgOnnv</t>
  </si>
  <si>
    <t>facebookresearch__matrix-80</t>
  </si>
  <si>
    <t>https://github.com/facebookresearch/matrix/issues/80</t>
  </si>
  <si>
    <t>https://drive.google.com/drive/folders/1r94b38n-kSIB5kSr8fDBozfIJbZ-fSNk</t>
  </si>
  <si>
    <t>https://drive.google.com/drive/folders/1ODYg_pQYZwM8EHvJhNZodhM2u1tv9ibw</t>
  </si>
  <si>
    <t>facebookresearch/matrix</t>
  </si>
  <si>
    <t>facebookresearch__matrix</t>
  </si>
  <si>
    <t>facelessuser__pymdown-extensions-2649</t>
  </si>
  <si>
    <t>https://github.com/facelessuser/pymdown-extensions/issues/2649</t>
  </si>
  <si>
    <t>https://drive.google.com/drive/folders/1NNSoE2EGtUGuQblNIRieb7tzigqtZNTz</t>
  </si>
  <si>
    <t>https://drive.google.com/drive/folders/1ZQMB143nhaNh0D2p4yES6WjUbIINdFaK</t>
  </si>
  <si>
    <t>facelessuser/pymdown-extensions</t>
  </si>
  <si>
    <t>facelessuser__pymdown-extensions</t>
  </si>
  <si>
    <t>facelessuser__pyspelling-201</t>
  </si>
  <si>
    <t>https://github.com/facelessuser/pyspelling/issues/201</t>
  </si>
  <si>
    <t>https://drive.google.com/drive/folders/1WvYHalmGdqx0aq7N--63oRxRQ5pIo7s-</t>
  </si>
  <si>
    <t>https://drive.google.com/drive/folders/1uEiJfmhNVnN5eCeoEWEfPKbzdJ12GT4j</t>
  </si>
  <si>
    <t>facelessuser/pyspelling</t>
  </si>
  <si>
    <t>facelessuser__pyspelling</t>
  </si>
  <si>
    <t>facet-rs__facet-130</t>
  </si>
  <si>
    <t>https://github.com/facet-rs/facet/issues/130</t>
  </si>
  <si>
    <t>https://drive.google.com/drive/folders/1vFImFIkCwTcfgh8xlQMmvKwZqgCV632g</t>
  </si>
  <si>
    <t>facet-rs/facet</t>
  </si>
  <si>
    <t>facet-rs__facet</t>
  </si>
  <si>
    <t>fast-excel__fesod-567</t>
  </si>
  <si>
    <t>https://github.com/fast-excel/fesod/issues/567</t>
  </si>
  <si>
    <t>https://drive.google.com/drive/folders/1rkdx2u3DIEjeLonYX-n7GxTMLNGoyPnN</t>
  </si>
  <si>
    <t>fast-excel/fesod</t>
  </si>
  <si>
    <t>fast-excel__fesod</t>
  </si>
  <si>
    <t>fastapi__typer-987</t>
  </si>
  <si>
    <t>https://github.com/fastapi/typer/issues/987</t>
  </si>
  <si>
    <t>https://drive.google.com/drive/folders/19BbvvuyxJ6tvKgOX5WcCKpu93tLG-D-c</t>
  </si>
  <si>
    <t>fastapi/typer</t>
  </si>
  <si>
    <t>fastapi__typer</t>
  </si>
  <si>
    <t>FasterXML__jackson-databind-5044</t>
  </si>
  <si>
    <t>https://github.com/FasterXML/jackson-databind/issues/5044</t>
  </si>
  <si>
    <t>gs://swe-bench-plus/evaluations/019bc798-a722-770f-b772-98c73d2678bb-FasterXML__jackson-databind-5044-swe-agent-claude-sonnet-4.5</t>
  </si>
  <si>
    <t>FasterXML/jackson-databind</t>
  </si>
  <si>
    <t>FasterXML__jackson-databind</t>
  </si>
  <si>
    <t>FasterXML__jackson-databind-5632</t>
  </si>
  <si>
    <t>https://github.com/FasterXML/jackson-databind/issues/5632</t>
  </si>
  <si>
    <t>gs://swe-bench-plus/evaluations/019c6646-ea55-7645-a600-58791210a874-FasterXML__jackson-databind-5632-swe-agent-claude-sonnet-4.5</t>
  </si>
  <si>
    <t>FasterXML__jackson-databind-5520</t>
  </si>
  <si>
    <t>https://github.com/FasterXML/jackson-databind/issues/5520</t>
  </si>
  <si>
    <t>gs://swe-bench-plus/evaluations/019c2527-069d-76b8-a805-96d478bdb559-FasterXML__jackson-databind-5520-swe-agent-claude-sonnet-4.5</t>
  </si>
  <si>
    <t>FasterXML__jackson-databind-5370</t>
  </si>
  <si>
    <t>https://github.com/FasterXML/jackson-databind/issues/5370</t>
  </si>
  <si>
    <t>gs://swe-bench-plus/evaluations/019c2527-4e2e-77ee-bb46-1b5af2881d6d-FasterXML__jackson-databind-5370-swe-agent-claude-sonnet-4.5</t>
  </si>
  <si>
    <t>FasterXML__jackson-databind-5576</t>
  </si>
  <si>
    <t>https://github.com/FasterXML/jackson-databind/issues/5576</t>
  </si>
  <si>
    <t>gs://swe-bench-plus/evaluations/019c39f2-198a-7148-b5b8-b8ba5f4e060f-FasterXML__jackson-databind-5576-swe-agent-claude-sonnet-4-20250514</t>
  </si>
  <si>
    <t>FasterXML__jackson-databind-5571</t>
  </si>
  <si>
    <t>https://github.com/FasterXML/jackson-databind/issues/5571</t>
  </si>
  <si>
    <t>gs://swe-bench-plus/evaluations/019c39f2-198a-7148-b5b8-b8ba5f4e060f-FasterXML__jackson-databind-5571-swe-agent-claude-sonnet-4-20250514</t>
  </si>
  <si>
    <t>FasterXML__jackson-datatypes-collections-163</t>
  </si>
  <si>
    <t>https://github.com/FasterXML/jackson-datatypes-collections/issues/163</t>
  </si>
  <si>
    <t>gs://swe-bench-plus/evaluations/019bc796-66b6-7744-99a6-9ba9969a7e01-FasterXML__jackson-datatypes-collections-163-swe-agent-claude-sonnet-4.5</t>
  </si>
  <si>
    <t>FasterXML/jackson-datatypes-collections</t>
  </si>
  <si>
    <t>FasterXML__jackson-datatypes-collections</t>
  </si>
  <si>
    <t>fastfloat__fast_float-280</t>
  </si>
  <si>
    <t>https://github.com/fastfloat/fast_float/issues/280</t>
  </si>
  <si>
    <t>gs://swe-bench-plus/evaluations/019b6aa7-0380-771f-9e02-24cda0fe6639-fastfloat__fast_float-280-swe-agent-claude-sonnet-4.5</t>
  </si>
  <si>
    <t>https://drive.google.com/drive/folders/1yyyugBBcdIFxyyX03BgK_63Lm_2J8Ihm</t>
  </si>
  <si>
    <t>fastfloat/fast_float</t>
  </si>
  <si>
    <t>fastfloat__fast_float</t>
  </si>
  <si>
    <t>fatkodima__online_migrations-68</t>
  </si>
  <si>
    <t>https://github.com/fatkodima/online_migrations/issues/68</t>
  </si>
  <si>
    <t>gs://swe-bench-plus/evaluations/019b6aaf-1788-707e-b6dd-d4dc12d72279-fatkodima__online_migrations-68-swe-agent-claude-sonnet-4.5</t>
  </si>
  <si>
    <t>https://drive.google.com/drive/folders/1OD71q87uSskoo8LqP7Le3DKFmENcn_h1</t>
  </si>
  <si>
    <t>fatkodima/online_migrations</t>
  </si>
  <si>
    <t>fatkodima__online_migrations</t>
  </si>
  <si>
    <t>fdm-monster__fdm-monster-3755</t>
  </si>
  <si>
    <t>https://github.com/fdm-monster/fdm-monster/issues/3755</t>
  </si>
  <si>
    <t>https://drive.google.com/drive/folders/1KOgGirsTJk7Av3j6JUz-4S-K07GZhRe9</t>
  </si>
  <si>
    <t>https://drive.google.com/drive/folders/1XS48qL1gn3EWYU_ZaChErfHh5n7XRITV</t>
  </si>
  <si>
    <t>fdm-monster/fdm-monster</t>
  </si>
  <si>
    <t>fdm-monster__fdm-monster</t>
  </si>
  <si>
    <t>feldroy__air-246</t>
  </si>
  <si>
    <t>https://github.com/feldroy/air/issues/246</t>
  </si>
  <si>
    <t>gs://swe-bench-plus/evaluations/019a6f31-ddce-766c-944f-e4445d37996d-feldroy__air-246-swe-agent-claude-sonnet-4.5</t>
  </si>
  <si>
    <t>https://drive.google.com/drive/folders/1vPg_74tjBaoMZucG5rj-H7mhk1cegCX6</t>
  </si>
  <si>
    <t>feldroy/air</t>
  </si>
  <si>
    <t>feldroy__air</t>
  </si>
  <si>
    <t>feldroy__air-81</t>
  </si>
  <si>
    <t>https://github.com/feldroy/air/issues/81</t>
  </si>
  <si>
    <t>https://drive.google.com/drive/folders/1StWmj_gJOI9F4A4kPO3SbIV48uZLxFQ6</t>
  </si>
  <si>
    <t>https://drive.google.com/drive/folders/1VAxGdMNENw16BSnUPvB1ceES4ogZ4N9k</t>
  </si>
  <si>
    <t>felipeangelimvieira__prophetverse-277</t>
  </si>
  <si>
    <t>https://github.com/felipeangelimvieira/prophetverse/issues/277</t>
  </si>
  <si>
    <t>https://drive.google.com/drive/folders/1iAIKyr6jW5unUfLc8MyilhRRWHUTq7qi</t>
  </si>
  <si>
    <t>https://drive.google.com/drive/folders/1CYgtEtrLcbWL0d5VXavvKHiHEFeUOyp6</t>
  </si>
  <si>
    <t>felipeangelimvieira/prophetverse</t>
  </si>
  <si>
    <t>felipeangelimvieira__prophetverse</t>
  </si>
  <si>
    <t>FerretDB__FerretDB-4936</t>
  </si>
  <si>
    <t>https://github.com/FerretDB/FerretDB/issues/4936</t>
  </si>
  <si>
    <t>https://drive.google.com/drive/folders/1bfyLOcX1lcSUEbnycZGUYsvyZmbCULse</t>
  </si>
  <si>
    <t>https://drive.google.com/drive/folders/1kH0mBMXNjvAGxIptOBffAsropqL_AUo8</t>
  </si>
  <si>
    <t>FerretDB/FerretDB</t>
  </si>
  <si>
    <t>FerretDB__FerretDB</t>
  </si>
  <si>
    <t>ferstl__pedantic-pom-enforcers-51</t>
  </si>
  <si>
    <t>https://github.com/ferstl/pedantic-pom-enforcers/issues/51</t>
  </si>
  <si>
    <t>https://drive.google.com/drive/folders/1JL5rbUtt0tn55mJck76XkHOL5qs4axIH</t>
  </si>
  <si>
    <t>https://drive.google.com/drive/folders/1TLXdxb9_P4SmFDoWTdT6QJVpGvqFSSIO</t>
  </si>
  <si>
    <t>ferstl/pedantic-pom-enforcers</t>
  </si>
  <si>
    <t>ferstl__pedantic-pom-enforcers</t>
  </si>
  <si>
    <t>FEX-Emu__FEX-3883</t>
  </si>
  <si>
    <t>https://github.com/FEX-Emu/FEX/issues/3883</t>
  </si>
  <si>
    <t>https://drive.google.com/drive/folders/1LlgG27J0Vp9nDHgZZgXk-RLNUJ3Lfnye</t>
  </si>
  <si>
    <t>https://drive.google.com/drive/folders/1dcgw042oz4TG2_jfbtFktdvBYvagfv4C</t>
  </si>
  <si>
    <t>FEX-Emu/FEX</t>
  </si>
  <si>
    <t>FEX-Emu__FEX</t>
  </si>
  <si>
    <t>ffuf__ffuf-771</t>
  </si>
  <si>
    <t>https://github.com/ffuf/ffuf/issues/771</t>
  </si>
  <si>
    <t>security;devtools;applications</t>
  </si>
  <si>
    <t>https://drive.google.com/drive/folders/1NTYcp9ZXO7rebHJKHj0zA3X2GUq97BZk</t>
  </si>
  <si>
    <t>https://drive.google.com/drive/folders/1a5AwfVb2pX-cn7Zc5Ga91xoe1U6MjD--</t>
  </si>
  <si>
    <t>ffuf/ffuf</t>
  </si>
  <si>
    <t>ffuf__ffuf</t>
  </si>
  <si>
    <t>FgForrest__evitaDB-747</t>
  </si>
  <si>
    <t>https://github.com/FgForrest/evitaDB/issues/747</t>
  </si>
  <si>
    <t>gs://swe-bench-plus/evaluations/019b6ab1-4e74-7019-9e81-9c96e98a145d-FgForrest__evitaDB-747-swe-agent-claude-sonnet-4.5</t>
  </si>
  <si>
    <t>https://drive.google.com/drive/folders/1lSH-w5dQqs1J5TFw3ZtkHyJG2VMUCTRS</t>
  </si>
  <si>
    <t>FgForrest/evitaDB</t>
  </si>
  <si>
    <t>FgForrest__evitaDB</t>
  </si>
  <si>
    <t>fgmacedo__python-statemachine-485</t>
  </si>
  <si>
    <t>https://github.com/fgmacedo/python-statemachine/issues/485</t>
  </si>
  <si>
    <t>bug-fix;dependency-update;documentation</t>
  </si>
  <si>
    <t>gs://swe-bench-plus/evaluations/019a11d0-17d3-730b-bffc-06f187eef661-fgmacedo__python-statemachine-485-swe-agent-claude-sonnet-4-20250514</t>
  </si>
  <si>
    <t>https://drive.google.com/drive/folders/1-YLJ6GGOmbDXFxI3pTxQ7_KVk5nk6QPu</t>
  </si>
  <si>
    <t>fgmacedo/python-statemachine</t>
  </si>
  <si>
    <t>fgmacedo__python-statemachine</t>
  </si>
  <si>
    <t>fiberplane__mcp-lite-62</t>
  </si>
  <si>
    <t>https://github.com/fiberplane/mcp-lite/issues/62</t>
  </si>
  <si>
    <t>gs://swe-bench-plus/evaluations/019b6ab1-4e74-7019-9e81-9c96e98a145d-fiberplane__mcp-lite-62-swe-agent-claude-sonnet-4.5</t>
  </si>
  <si>
    <t>https://drive.google.com/drive/folders/12ajK3XnxVirofyHN5Tc-Cr1fM1BOamPj</t>
  </si>
  <si>
    <t>fiberplane/mcp-lite</t>
  </si>
  <si>
    <t>fiberplane__mcp-lite</t>
  </si>
  <si>
    <t>filecoin-project__lotus-13282</t>
  </si>
  <si>
    <t>https://github.com/filecoin-project/lotus/issues/13282</t>
  </si>
  <si>
    <t>https://drive.google.com/drive/folders/1rwxndEEmjEdE67pWdWPnxny7lQzDAa9z</t>
  </si>
  <si>
    <t>https://drive.google.com/drive/folders/1g4zWFRNVRq2mHLnV4ZyF_2l-EKrqmQl4</t>
  </si>
  <si>
    <t>filecoin-project/lotus</t>
  </si>
  <si>
    <t>filecoin-project__lotus</t>
  </si>
  <si>
    <t>finos__git-proxy-781</t>
  </si>
  <si>
    <t>https://github.com/finos/git-proxy/issues/781</t>
  </si>
  <si>
    <t>https://drive.google.com/drive/folders/1t6i4Dzbkq4qW9K2h8AKIdEKUuQZCJVBn</t>
  </si>
  <si>
    <t>finos/git-proxy</t>
  </si>
  <si>
    <t>finos__git-proxy</t>
  </si>
  <si>
    <t>firebuild__firebuild-1283</t>
  </si>
  <si>
    <t>https://github.com/firebuild/firebuild/issues/1283</t>
  </si>
  <si>
    <t>gs://swe-bench-plus/evaluations/019b6aa7-0380-771f-9e02-24cda0fe6639-firebuild__firebuild-1283-swe-agent-claude-sonnet-4.5</t>
  </si>
  <si>
    <t>https://drive.google.com/drive/folders/1sfYCO3yH64HH-E-htcbRGNTa7YVEFEhP</t>
  </si>
  <si>
    <t>firebuild/firebuild</t>
  </si>
  <si>
    <t>firebuild__firebuild</t>
  </si>
  <si>
    <t>FlowFuse__flowfuse-6215</t>
  </si>
  <si>
    <t>https://github.com/FlowFuse/flowfuse/issues/6215</t>
  </si>
  <si>
    <t>gs://swe-bench-plus/evaluations/019b6ab1-4e74-7019-9e81-9c96e98a145d-FlowFuse__flowfuse-6215-swe-agent-claude-sonnet-4.5</t>
  </si>
  <si>
    <t>https://drive.google.com/drive/folders/1LnX73A4WcnAvhnL74e5StyEtQTi0ScJa</t>
  </si>
  <si>
    <t>FlowFuse/flowfuse</t>
  </si>
  <si>
    <t>FlowFuse__flowfuse</t>
  </si>
  <si>
    <t>FlowFuse__flowfuse-5528</t>
  </si>
  <si>
    <t>https://github.com/FlowFuse/flowfuse/issues/5528</t>
  </si>
  <si>
    <t>feature;dependency-update;build-ci</t>
  </si>
  <si>
    <t>gs://swe-bench-plus/evaluations/019c24fa-2999-746b-a6fd-aa256611b73a-FlowFuse__flowfuse-5528-swe-agent-claude-sonnet-4-20250514</t>
  </si>
  <si>
    <t>https://drive.google.com/drive/folders/1x3WAu8QCW5YThK4iJxzbLFGoRzVwkjXa</t>
  </si>
  <si>
    <t>FormidableLabs__groqd-354</t>
  </si>
  <si>
    <t>https://github.com/FormidableLabs/groqd/issues/354</t>
  </si>
  <si>
    <t>gs://swe-bench-plus/evaluations/019b6aaf-1788-707e-b6dd-d4dc12d72279-FormidableLabs__groqd-354-swe-agent-claude-sonnet-4.5</t>
  </si>
  <si>
    <t>https://drive.google.com/drive/folders/1I-DRoyK05xWl1uuY1VkR1RihsIE2DLEb</t>
  </si>
  <si>
    <t>FormidableLabs/groqd</t>
  </si>
  <si>
    <t>FormidableLabs__groqd</t>
  </si>
  <si>
    <t>formwerkjs__formwerk-81</t>
  </si>
  <si>
    <t>https://github.com/formwerkjs/formwerk/issues/81</t>
  </si>
  <si>
    <t>gs://swe-bench-plus/evaluations/019b6aaf-1788-707e-b6dd-d4dc12d72279-formwerkjs__formwerk-81-swe-agent-claude-sonnet-4.5</t>
  </si>
  <si>
    <t>https://drive.google.com/drive/folders/1FJUqXYFUh7fosbxzy6zS_vG-CvvanAhV</t>
  </si>
  <si>
    <t>formwerkjs__formwerk</t>
  </si>
  <si>
    <t>formwerkjs__formwerk-68</t>
  </si>
  <si>
    <t>https://github.com/formwerkjs/formwerk/issues/68</t>
  </si>
  <si>
    <t>gs://swe-bench-plus/evaluations/019b6ab1-4e74-7019-9e81-9c96e98a145d-formwerkjs__formwerk-68-swe-agent-claude-sonnet-4.5</t>
  </si>
  <si>
    <t>https://drive.google.com/drive/folders/1mm0oEMPjfsQqeuFKDjVpsjhAfjQ2ZwwW</t>
  </si>
  <si>
    <t>forntoh__LcdMenu-375</t>
  </si>
  <si>
    <t>https://github.com/forntoh/LcdMenu/issues/375</t>
  </si>
  <si>
    <t>gs://swe-bench-plus/evaluations/019b6aa7-0380-771f-9e02-24cda0fe6639-forntoh__LcdMenu-375-swe-agent-claude-sonnet-4.5</t>
  </si>
  <si>
    <t>https://drive.google.com/drive/folders/1gNUJIOK2yuW2ldnt3t21NczGq1QEWZI5</t>
  </si>
  <si>
    <t>forntoh/LcdMenu</t>
  </si>
  <si>
    <t>forntoh__LcdMenu</t>
  </si>
  <si>
    <t>FortAwesome__react-fontawesome-601</t>
  </si>
  <si>
    <t>https://github.com/FortAwesome/react-fontawesome/issues/601</t>
  </si>
  <si>
    <t>gs://swe-bench-plus/evaluations/019c66b0-0f71-7623-a450-5eef8c160ccb-FortAwesome__react-fontawesome-601-swe-agent-claude-sonnet-4.5</t>
  </si>
  <si>
    <t>https://drive.google.com/drive/folders/1PVsdWObGMRirnjFGwEb5474Nw5ECkzQY</t>
  </si>
  <si>
    <t>FortAwesome/react-fontawesome</t>
  </si>
  <si>
    <t>FortAwesome__react-fontawesome</t>
  </si>
  <si>
    <t>Foxboron__go-uefi-34</t>
  </si>
  <si>
    <t>https://github.com/Foxboron/go-uefi/issues/34</t>
  </si>
  <si>
    <t>gs://swe-bench-plus/evaluations/019b6aa7-0380-771f-9e02-24cda0fe6639-Foxboron__go-uefi-34-swe-agent-claude-sonnet-4.5</t>
  </si>
  <si>
    <t>https://drive.google.com/drive/folders/17sAHH24FQT9ERc9Zfhchj2msuG5JTbEh</t>
  </si>
  <si>
    <t>Foxboron/go-uefi</t>
  </si>
  <si>
    <t>Foxboron__go-uefi</t>
  </si>
  <si>
    <t>freqtrade__freqtrade-11143</t>
  </si>
  <si>
    <t>https://github.com/freqtrade/freqtrade/issues/11143</t>
  </si>
  <si>
    <t>https://drive.google.com/drive/folders/1Nyc89r6nA5DB94ql_dTwINb5hxfnHfnU</t>
  </si>
  <si>
    <t>freqtrade/freqtrade</t>
  </si>
  <si>
    <t>freqtrade__freqtrade</t>
  </si>
  <si>
    <t>frequency-chain__frequency-2618</t>
  </si>
  <si>
    <t>https://github.com/frequency-chain/frequency/issues/2618</t>
  </si>
  <si>
    <t>https://drive.google.com/drive/folders/1EsAp35pfQI_nTJ5iJjklsI5WWo9tCa3S</t>
  </si>
  <si>
    <t>https://drive.google.com/drive/folders/1rR80Oi0bMcFH99BN6lUGB5L_rfNAiVbn</t>
  </si>
  <si>
    <t>frequency-chain/frequency</t>
  </si>
  <si>
    <t>frequency-chain__frequency</t>
  </si>
  <si>
    <t>FuelLabs__sway-7268</t>
  </si>
  <si>
    <t>https://github.com/FuelLabs/sway/issues/7268</t>
  </si>
  <si>
    <t>gs://swe-bench-plus/evaluations/019aeed8-5654-736c-85f3-1d2b6f133793-FuelLabs__sway-7268-swe-agent-claude-sonnet-4-20250514</t>
  </si>
  <si>
    <t>FuelLabs/sway</t>
  </si>
  <si>
    <t>FuelLabs__sway</t>
  </si>
  <si>
    <t>Futsch1__medTimer-407</t>
  </si>
  <si>
    <t>https://github.com/Futsch1/medTimer/issues/407</t>
  </si>
  <si>
    <t>gs://swe-bench-plus/evaluations/019c2528-578b-73cc-ad42-8f1328ded528-Futsch1__medTimer-407-swe-agent-claude-sonnet-4-20250514</t>
  </si>
  <si>
    <t>https://drive.google.com/drive/folders/1ZGfkvhJ9HJ3yfzpcEGdzHcEOxBWDVSN7</t>
  </si>
  <si>
    <t>Futsch1/medTimer</t>
  </si>
  <si>
    <t>Futsch1__medTimer</t>
  </si>
  <si>
    <t>gambitproject__gambit-653</t>
  </si>
  <si>
    <t>https://github.com/gambitproject/gambit/issues/653</t>
  </si>
  <si>
    <t>gs://swe-bench-plus/evaluations/019b06b8-5347-7669-9f51-4e4681f5c848-gambitproject__gambit-653-swe-agent-claude-sonnet-4.5</t>
  </si>
  <si>
    <t>https://drive.google.com/drive/folders/1caqjhZ6EsQvqHPLxrr3SSn_OhP6gfVN9</t>
  </si>
  <si>
    <t>gambitproject/gambit</t>
  </si>
  <si>
    <t>gambitproject__gambit</t>
  </si>
  <si>
    <t>gammapy__gammapy-4218</t>
  </si>
  <si>
    <t>https://github.com/gammapy/gammapy/issues/4218</t>
  </si>
  <si>
    <t>gs://swe-bench-plus/evaluations/019a8f6e-136c-7345-a414-a1ed9c7f4f2d-gammapy__gammapy-4218-open-hands-claude-sonnet-4-20250514</t>
  </si>
  <si>
    <t>https://drive.google.com/drive/folders/1Lhpbh3Yjr6KbFHYmsg3U2Gnv6EhW0xVC</t>
  </si>
  <si>
    <t>gammapy/gammapy</t>
  </si>
  <si>
    <t>gammapy__gammapy</t>
  </si>
  <si>
    <t>GaProgMan__OwaspHeaders.Core-189</t>
  </si>
  <si>
    <t>https://github.com/GaProgMan/OwaspHeaders.Core/issues/189</t>
  </si>
  <si>
    <t>gs://swe-bench-plus/evaluations/019b6aa7-0380-771f-9e02-24cda0fe6639-GaProgMan__OwaspHeaders.Core-189-swe-agent-claude-sonnet-4.5</t>
  </si>
  <si>
    <t>https://drive.google.com/drive/folders/131Me5_96H2zcbk25EgRmQDNAQ8RNrt6n</t>
  </si>
  <si>
    <t>GaProgMan/OwaspHeaders.Core</t>
  </si>
  <si>
    <t>GaProgMan__OwaspHeaders.Core</t>
  </si>
  <si>
    <t>GaProgMan__OwaspHeaders.Core-179</t>
  </si>
  <si>
    <t>https://github.com/GaProgMan/OwaspHeaders.Core/issues/179</t>
  </si>
  <si>
    <t>gs://swe-bench-plus/evaluations/019b6ab1-4e74-7019-9e81-9c96e98a145d-GaProgMan__OwaspHeaders.Core-179-swe-agent-claude-sonnet-4.5</t>
  </si>
  <si>
    <t>https://drive.google.com/drive/folders/1Ym5Sgr0R78EzL9J6IbOOcH07jRJ1wR0_</t>
  </si>
  <si>
    <t>garden-co__jazz-2226</t>
  </si>
  <si>
    <t>https://github.com/garden-co/jazz/issues/2226</t>
  </si>
  <si>
    <t>gs://swe-bench-plus/evaluations/019c66b1-510b-717a-a36b-0bf7c9af4077-garden-co__jazz-2226-swe-agent-claude-sonnet-4.5</t>
  </si>
  <si>
    <t>garden-co/jazz</t>
  </si>
  <si>
    <t>garden-co__jazz</t>
  </si>
  <si>
    <t>gatewayd-io__gatewayd-636</t>
  </si>
  <si>
    <t>https://github.com/gatewayd-io/gatewayd/issues/636</t>
  </si>
  <si>
    <t>gs://swe-bench-plus/evaluations/019b0886-0f4d-757e-a2e5-c06041eabbaf-gatewayd-io__gatewayd-636-swe-agent-claude-sonnet-4.5</t>
  </si>
  <si>
    <t>https://drive.google.com/drive/folders/1uBYFWCECbdLl6_q8K6ktXqp9bKQBqr2W</t>
  </si>
  <si>
    <t>gatewayd-io/gatewayd</t>
  </si>
  <si>
    <t>gatewayd-io__gatewayd</t>
  </si>
  <si>
    <t>gazebosim__gz-math-667</t>
  </si>
  <si>
    <t>https://github.com/gazebosim/gz-math/issues/667</t>
  </si>
  <si>
    <t>autonomy;sci-comp</t>
  </si>
  <si>
    <t>feature;build-ci;test</t>
  </si>
  <si>
    <t>gs://swe-bench-plus/evaluations/019b0df7-ade4-70bc-89dc-2dc1c6248f76-gazebosim__gz-math-667-swe-agent-claude-opus-4.5</t>
  </si>
  <si>
    <t>https://drive.google.com/drive/folders/1jNwvDN5EC66zzh89f_sZ7hpoEhvVxIbN</t>
  </si>
  <si>
    <t>gazebosim/gz-math</t>
  </si>
  <si>
    <t>gazebosim__gz-math</t>
  </si>
  <si>
    <t>gbdev__rgbds-1777</t>
  </si>
  <si>
    <t>https://github.com/gbdev/rgbds/issues/1777</t>
  </si>
  <si>
    <t>gs://swe-bench-plus/evaluations/019b0df7-ade4-70bc-89dc-2dc1c6248f76-gbdev__rgbds-1777-swe-agent-claude-opus-4.5</t>
  </si>
  <si>
    <t>https://drive.google.com/drive/folders/1KKSqNeCgjAFut8FORGZqzmQegwrvhGEy</t>
  </si>
  <si>
    <t>gbdev/rgbds</t>
  </si>
  <si>
    <t>gbdev__rgbds</t>
  </si>
  <si>
    <t>gbdev__rgbds-1679</t>
  </si>
  <si>
    <t>https://github.com/gbdev/rgbds/issues/1679</t>
  </si>
  <si>
    <t>gs://swe-bench-plus/evaluations/019b6aa7-0380-771f-9e02-24cda0fe6639-gbdev__rgbds-1679-swe-agent-claude-sonnet-4.5</t>
  </si>
  <si>
    <t>https://drive.google.com/drive/folders/1RR_MIzBVcjSlQgZte_6TZofwrokAu9qm</t>
  </si>
  <si>
    <t>gbdev__rgbds-1800</t>
  </si>
  <si>
    <t>https://github.com/gbdev/rgbds/issues/1800</t>
  </si>
  <si>
    <t>gs://swe-bench-plus/evaluations/019b0df7-ade4-70bc-89dc-2dc1c6248f76-gbdev__rgbds-1800-swe-agent-claude-opus-4.5</t>
  </si>
  <si>
    <t>https://drive.google.com/drive/folders/1eDqdtK56wM5TxwrG3hKTX7IfeR90jtZ6</t>
  </si>
  <si>
    <t>gbdev__rgbds-1210</t>
  </si>
  <si>
    <t>https://github.com/gbdev/rgbds/issues/1210</t>
  </si>
  <si>
    <t>gs://swe-bench-plus/evaluations/019b6ab1-4e74-7019-9e81-9c96e98a145d-gbdev__rgbds-1210-swe-agent-claude-sonnet-4.5</t>
  </si>
  <si>
    <t>https://drive.google.com/drive/folders/16AGWQ58qlRzoyBv8Y92fBnBX2tFdOt7Z</t>
  </si>
  <si>
    <t>gchq__sleeper-5519</t>
  </si>
  <si>
    <t>https://github.com/gchq/sleeper/issues/5519</t>
  </si>
  <si>
    <t>https://drive.google.com/drive/folders/1dEf-Gmz9SplMu53kSC04s8nskdPaLWEd</t>
  </si>
  <si>
    <t>https://drive.google.com/drive/folders/1tEIsHuMnMFglywPLTRR1vKnx3c9OnkTT</t>
  </si>
  <si>
    <t>gchq/sleeper</t>
  </si>
  <si>
    <t>gchq__sleeper</t>
  </si>
  <si>
    <t>gchq__sleeper-4668</t>
  </si>
  <si>
    <t>https://github.com/gchq/sleeper/issues/4668</t>
  </si>
  <si>
    <t>gs://swe-bench-plus/evaluations/019bc796-66b6-7744-99a6-9ba9969a7e01-gchq__sleeper-4668-swe-agent-claude-sonnet-4-20250514</t>
  </si>
  <si>
    <t>https://drive.google.com/drive/folders/1OdEAtz-kEvC5fwLlTNIczeTPtva6stUQ</t>
  </si>
  <si>
    <t>gchq__sleeper-5108</t>
  </si>
  <si>
    <t>https://github.com/gchq/sleeper/issues/5108</t>
  </si>
  <si>
    <t>gs://swe-bench-plus/evaluations/019b6aaf-1788-707e-b6dd-d4dc12d72279-gchq__sleeper-5108-swe-agent-claude-sonnet-4.5</t>
  </si>
  <si>
    <t>https://drive.google.com/drive/folders/1flVnW_KZbP01mehRZxcmtM8zmdZ0aC5Z</t>
  </si>
  <si>
    <t>gchq__sleeper-6115</t>
  </si>
  <si>
    <t>https://github.com/gchq/sleeper/issues/6115</t>
  </si>
  <si>
    <t>refactor;test;dependency-update</t>
  </si>
  <si>
    <t>gs://swe-bench-plus/evaluations/019b6ab1-4e74-7019-9e81-9c96e98a145d-gchq__sleeper-6115-swe-agent-claude-sonnet-4.5</t>
  </si>
  <si>
    <t>https://drive.google.com/drive/folders/1nXLqctfCnMnvF5gbImCsGMK_pc_lTo29</t>
  </si>
  <si>
    <t>gchq__sleeper-5562</t>
  </si>
  <si>
    <t>https://github.com/gchq/sleeper/issues/5562</t>
  </si>
  <si>
    <t>https://drive.google.com/drive/folders/13-NpK3RskglVvp57DWgwDryo32qxZQzT</t>
  </si>
  <si>
    <t>https://drive.google.com/drive/folders/1KtiB66EMkk1K4CzLgcFEaZbSu93SrDia</t>
  </si>
  <si>
    <t>gchq__sleeper-4868</t>
  </si>
  <si>
    <t>https://github.com/gchq/sleeper/issues/4868</t>
  </si>
  <si>
    <t>https://drive.google.com/drive/folders/1mXFaEweoYxb6LouJElPZ4-9JyboNnZLC</t>
  </si>
  <si>
    <t>https://drive.google.com/drive/folders/1k7MVj-vudpySmDuG6tbfQEizxtjCdplF</t>
  </si>
  <si>
    <t>gensx-inc__gensx-440</t>
  </si>
  <si>
    <t>https://github.com/gensx-inc/gensx/issues/440</t>
  </si>
  <si>
    <t>gs://swe-bench-plus/evaluations/019b6aaf-1788-707e-b6dd-d4dc12d72279-gensx-inc__gensx-440-swe-agent-claude-sonnet-4.5</t>
  </si>
  <si>
    <t>https://drive.google.com/drive/folders/1fhz402jWZu7_GVq8bW56M_34MNsDRYnC</t>
  </si>
  <si>
    <t>gensx-inc/gensx</t>
  </si>
  <si>
    <t>gensx-inc__gensx</t>
  </si>
  <si>
    <t>geoserver__geofence-270</t>
  </si>
  <si>
    <t>https://github.com/geoserver/geofence/issues/270</t>
  </si>
  <si>
    <t>gs://swe-bench-plus/evaluations/019bc798-5e68-70de-88e9-08b16b20559a-geoserver__geofence-270-swe-agent-claude-sonnet-4-20250514</t>
  </si>
  <si>
    <t>https://drive.google.com/drive/folders/1_nzMpgbpTBoYVm0YmIQo9UO9FOL9ZW06</t>
  </si>
  <si>
    <t>geoserver/geofence</t>
  </si>
  <si>
    <t>geoserver__geofence</t>
  </si>
  <si>
    <t>gerbera__gerbera-3429</t>
  </si>
  <si>
    <t>https://github.com/gerbera/gerbera/issues/3429</t>
  </si>
  <si>
    <t>applications;graphics-media;autonomy</t>
  </si>
  <si>
    <t>gs://swe-bench-plus/evaluations/019a7813-42f3-7200-9932-cdeb4712defc-gerbera__gerbera-3429-swe-agent-claude-sonnet-4-20250514</t>
  </si>
  <si>
    <t>https://drive.google.com/drive/folders/1M36IxItyoDG311kxV1WldjFS7rglPsWI</t>
  </si>
  <si>
    <t>gerbera/gerbera</t>
  </si>
  <si>
    <t>gerbera__gerbera</t>
  </si>
  <si>
    <t>getindiekit__indiekit-774</t>
  </si>
  <si>
    <t>https://github.com/getindiekit/indiekit/issues/774</t>
  </si>
  <si>
    <t>gs://swe-bench-plus/evaluations/019c24fa-2999-746b-a6fd-aa256611b73a-getindiekit__indiekit-774-swe-agent-claude-sonnet-4-20250514</t>
  </si>
  <si>
    <t>https://drive.google.com/drive/folders/1f70YO5Y1qfI5ROF77RgG-GQOhkWBL2bt</t>
  </si>
  <si>
    <t>getindiekit/indiekit</t>
  </si>
  <si>
    <t>getindiekit__indiekit</t>
  </si>
  <si>
    <t>getmoto__moto-8920</t>
  </si>
  <si>
    <t>https://github.com/getmoto/moto/issues/8920</t>
  </si>
  <si>
    <t>gs://swe-bench-plus/evaluations/019a6f31-5865-7528-b3d7-dd9431bd3aac-getmoto__moto-8920-swe-agent-claude-sonnet-4.5</t>
  </si>
  <si>
    <t>getmoto/moto</t>
  </si>
  <si>
    <t>getmoto__moto</t>
  </si>
  <si>
    <t>getodk__collect-6680</t>
  </si>
  <si>
    <t>https://github.com/getodk/collect/issues/6680</t>
  </si>
  <si>
    <t>gs://swe-bench-plus/evaluations/019c2527-069d-76b8-a805-96d478bdb559-getodk__collect-6680-swe-agent-claude-sonnet-4-20250514</t>
  </si>
  <si>
    <t>getodk/collect</t>
  </si>
  <si>
    <t>getodk__collect</t>
  </si>
  <si>
    <t>getodk__collect-6646</t>
  </si>
  <si>
    <t>https://github.com/getodk/collect/issues/6646</t>
  </si>
  <si>
    <t>gs://swe-bench-plus/evaluations/019c63b0-5201-7257-9916-f49303cabd22-getodk__collect-6646-swe-agent-claude-sonnet-4.5</t>
  </si>
  <si>
    <t>https://drive.google.com/drive/folders/1d8ukebiAdkSKYKKKPpPivqxVT9YxIjxQ</t>
  </si>
  <si>
    <t>getsentry__sentry-javascript-16313</t>
  </si>
  <si>
    <t>https://github.com/getsentry/sentry-javascript/issues/16313</t>
  </si>
  <si>
    <t>https://drive.google.com/drive/folders/1Tzt6l7A_sW8MixFxZCXKNDDjZcwDiT3P</t>
  </si>
  <si>
    <t>https://drive.google.com/drive/folders/1dq2FJkwUm7UZPyA6-RtUB8p9eoUmdyAr</t>
  </si>
  <si>
    <t>getsentry/sentry-javascript</t>
  </si>
  <si>
    <t>getsentry__sentry-javascript</t>
  </si>
  <si>
    <t>getsentry__sentry-python-4644</t>
  </si>
  <si>
    <t>https://github.com/getsentry/sentry-python/issues/4644</t>
  </si>
  <si>
    <t>https://drive.google.com/drive/folders/1WIzbr4KCusjwT1JppdEZsHEwopqGAclR</t>
  </si>
  <si>
    <t>https://drive.google.com/drive/folders/1H6_06846AGuJji7jVCwa4qUm0pt-9M5r</t>
  </si>
  <si>
    <t>getsentry/sentry-python</t>
  </si>
  <si>
    <t>getsentry__sentry-python</t>
  </si>
  <si>
    <t>getsentry__sentry-react-native-4524</t>
  </si>
  <si>
    <t>https://github.com/getsentry/sentry-react-native/issues/4524</t>
  </si>
  <si>
    <t>gs://swe-bench-plus/evaluations/019c63b1-c215-72ef-93d9-9f9031bd8a71-getsentry__sentry-react-native-4524-swe-agent-claude-sonnet-4-20250514</t>
  </si>
  <si>
    <t>https://drive.google.com/drive/folders/1h7voGfSIQUSq9A8-JzeXjAz1kH1juRQz</t>
  </si>
  <si>
    <t>getsentry/sentry-react-native</t>
  </si>
  <si>
    <t>getsentry__sentry-react-native</t>
  </si>
  <si>
    <t>getsentry__sentry-ruby-2634</t>
  </si>
  <si>
    <t>https://github.com/getsentry/sentry-ruby/issues/2634</t>
  </si>
  <si>
    <t>gs://swe-bench-plus/evaluations/019b6aaf-1788-707e-b6dd-d4dc12d72279-getsentry__sentry-ruby-2634-swe-agent-claude-sonnet-4.5</t>
  </si>
  <si>
    <t>https://drive.google.com/drive/folders/1AFSW0qcecaLMZnWqNwHhHYg_EfYZvhef</t>
  </si>
  <si>
    <t>getsentry/sentry-ruby</t>
  </si>
  <si>
    <t>getsentry__sentry-ruby</t>
  </si>
  <si>
    <t>GetStream__stream-chat-react-2584</t>
  </si>
  <si>
    <t>https://github.com/GetStream/stream-chat-react/issues/2584</t>
  </si>
  <si>
    <t>gs://swe-bench-plus/evaluations/019bcd77-2925-7748-82f0-eda561be7006-GetStream__stream-chat-react-2584-swe-agent-claude-sonnet-4.5</t>
  </si>
  <si>
    <t>https://drive.google.com/drive/folders/1wD4vcq4U9nKn0NoDuZO89OApjeyBCaQ0</t>
  </si>
  <si>
    <t>GetStream/stream-chat-react</t>
  </si>
  <si>
    <t>GetStream__stream-chat-react</t>
  </si>
  <si>
    <t>ggml-org__ggml-620</t>
  </si>
  <si>
    <t>https://github.com/ggml-org/ggml/issues/620</t>
  </si>
  <si>
    <t>https://drive.google.com/drive/folders/14AyRGDxfjDdjyvYp3TJeGrUgGnRk7D4S</t>
  </si>
  <si>
    <t>https://drive.google.com/drive/folders/1e1RGpeCvrMywvTL-sTG9bKYa3k5GpSw1</t>
  </si>
  <si>
    <t>ggml-org/ggml</t>
  </si>
  <si>
    <t>ggml-org__ggml</t>
  </si>
  <si>
    <t>ggozad__haiku.rag-74</t>
  </si>
  <si>
    <t>https://github.com/ggozad/haiku.rag/issues/74</t>
  </si>
  <si>
    <t>gs://swe-bench-plus/evaluations/019ac57e-f665-72ea-8d22-b2c491531db5-ggozad__haiku.rag-74-open-hands-claude-sonnet-4-20250514</t>
  </si>
  <si>
    <t>https://drive.google.com/drive/folders/1_1uFOu1HShLPrJa-HSYykp-FNvl-SYJY</t>
  </si>
  <si>
    <t>ggozad/haiku.rag</t>
  </si>
  <si>
    <t>ggozad__haiku.rag</t>
  </si>
  <si>
    <t>giampaolo__pyftpdlib-671</t>
  </si>
  <si>
    <t>https://github.com/giampaolo/pyftpdlib/issues/671</t>
  </si>
  <si>
    <t>devtools;security;infra-devops</t>
  </si>
  <si>
    <t>gs://swe-bench-plus/evaluations/019ac57e-f665-72ea-8d22-b2c491531db5-giampaolo__pyftpdlib-671-open-hands-claude-sonnet-4-20250514</t>
  </si>
  <si>
    <t>https://drive.google.com/drive/folders/1HxNiRD8rxlixVkBsJPBikA36wrIv3kmr</t>
  </si>
  <si>
    <t>giampaolo/pyftpdlib</t>
  </si>
  <si>
    <t>giampaolo__pyftpdlib</t>
  </si>
  <si>
    <t>gilzoide__lua-gdextension-52</t>
  </si>
  <si>
    <t>https://github.com/gilzoide/lua-gdextension/issues/52</t>
  </si>
  <si>
    <t>gs://swe-bench-plus/evaluations/019b6aa7-0380-771f-9e02-24cda0fe6639-gilzoide__lua-gdextension-52-swe-agent-claude-sonnet-4.5</t>
  </si>
  <si>
    <t>https://drive.google.com/drive/folders/1UtZzUf71kiQAKIXYygFhu_d__ZOyidNV</t>
  </si>
  <si>
    <t>gilzoide/lua-gdextension</t>
  </si>
  <si>
    <t>gilzoide__lua-gdextension</t>
  </si>
  <si>
    <t>gin-gonic__gin-4053</t>
  </si>
  <si>
    <t>https://github.com/gin-gonic/gin/issues/4053</t>
  </si>
  <si>
    <t>https://drive.google.com/drive/folders/1_aXrq53jx70aOle4euT_d82juk5Kft8i</t>
  </si>
  <si>
    <t>https://drive.google.com/drive/folders/1yB3LUPlk_4l-utEAEZ06Mwo_YJDvtYr-</t>
  </si>
  <si>
    <t>gin-gonic/gin</t>
  </si>
  <si>
    <t>gin-gonic__gin</t>
  </si>
  <si>
    <t>github__gh-gei-1306</t>
  </si>
  <si>
    <t>https://github.com/github/gh-gei/issues/1306</t>
  </si>
  <si>
    <t>gs://swe-bench-plus/evaluations/019b6ab1-4e74-7019-9e81-9c96e98a145d-github__gh-gei-1306-swe-agent-claude-sonnet-4.5</t>
  </si>
  <si>
    <t>https://drive.google.com/drive/folders/1Et6Tl_9eMcj-jCqeEpZp87rbKsb16MBs</t>
  </si>
  <si>
    <t>github/gh-gei</t>
  </si>
  <si>
    <t>github__gh-gei</t>
  </si>
  <si>
    <t>github__gh-ost-1503</t>
  </si>
  <si>
    <t>https://github.com/github/gh-ost/issues/1503</t>
  </si>
  <si>
    <t>https://drive.google.com/drive/folders/1cLjYfOzTLqc3mQoXicB4W7fj6pElri9B</t>
  </si>
  <si>
    <t>https://drive.google.com/drive/folders/1-rm-dkGmY_fiRbqcU0PF1yqJw0mxLdH4</t>
  </si>
  <si>
    <t>github/gh-ost</t>
  </si>
  <si>
    <t>github__gh-ost</t>
  </si>
  <si>
    <t>github__safe-settings-750</t>
  </si>
  <si>
    <t>https://github.com/github/safe-settings/issues/750</t>
  </si>
  <si>
    <t>bug-fix;refactor;dependency-update;documentation</t>
  </si>
  <si>
    <t>gs://swe-bench-plus/evaluations/019bd0bc-ca69-75d8-90e1-0b11e2a6213c-github__safe-settings-750-swe-agent-claude-sonnet-4.5</t>
  </si>
  <si>
    <t>https://drive.google.com/drive/folders/1d8g8harbCtx6jNaJFbacN_3ioPBX1wxh</t>
  </si>
  <si>
    <t>github/safe-settings</t>
  </si>
  <si>
    <t>github__safe-settings</t>
  </si>
  <si>
    <t>githubnext__gh-aw-125</t>
  </si>
  <si>
    <t>https://github.com/githubnext/gh-aw/issues/125</t>
  </si>
  <si>
    <t>devtools;ai-ml;infra-devops</t>
  </si>
  <si>
    <t>gs://swe-bench-plus/evaluations/019b6ab1-4e74-7019-9e81-9c96e98a145d-githubnext__gh-aw-125-swe-agent-claude-sonnet-4.5</t>
  </si>
  <si>
    <t>https://drive.google.com/drive/folders/1jsppOoTD1MJfV7ujOpTdYoLSKI-UD3ay</t>
  </si>
  <si>
    <t>githubnext/gh-aw</t>
  </si>
  <si>
    <t>githubnext__gh-aw</t>
  </si>
  <si>
    <t>githubnext__gh-aw-116</t>
  </si>
  <si>
    <t>https://github.com/githubnext/gh-aw/issues/116</t>
  </si>
  <si>
    <t>ai-ml;devtools;infra-devops</t>
  </si>
  <si>
    <t>gs://swe-bench-plus/evaluations/019b6ab1-4e74-7019-9e81-9c96e98a145d-githubnext__gh-aw-116-swe-agent-claude-sonnet-4.5</t>
  </si>
  <si>
    <t>https://drive.google.com/drive/folders/1tuxEu-V-o5TKjVDaD2qNFHw_zj7vO6IP</t>
  </si>
  <si>
    <t>githubnext__gh-aw-19</t>
  </si>
  <si>
    <t>https://github.com/githubnext/gh-aw/issues/19</t>
  </si>
  <si>
    <t>gs://swe-bench-plus/evaluations/019b6ab1-4e74-7019-9e81-9c96e98a145d-githubnext__gh-aw-19-swe-agent-claude-sonnet-4.5</t>
  </si>
  <si>
    <t>https://drive.google.com/drive/folders/1hYwk8bTXreG5635Yx_sjDBzlB2B3pmLe</t>
  </si>
  <si>
    <t>gitify-app__gitify-2561</t>
  </si>
  <si>
    <t>https://github.com/gitify-app/gitify/issues/2561</t>
  </si>
  <si>
    <t>gs://swe-bench-plus/evaluations/019c66b2-8d12-718e-a308-6ab44b696b4d-gitify-app__gitify-2561-swe-agent-claude-sonnet-4-20250514</t>
  </si>
  <si>
    <t>https://drive.google.com/drive/folders/1UyhdrhICO1FUuoOeleTPpW6dXHECf462</t>
  </si>
  <si>
    <t>gitify-app/gitify</t>
  </si>
  <si>
    <t>gitify-app__gitify</t>
  </si>
  <si>
    <t>gitify-app__gitify-2547</t>
  </si>
  <si>
    <t>https://github.com/gitify-app/gitify/issues/2547</t>
  </si>
  <si>
    <t>gs://swe-bench-plus/evaluations/019c66b2-8d12-718e-a308-6ab44b696b4d-gitify-app__gitify-2547-swe-agent-claude-sonnet-4-20250514</t>
  </si>
  <si>
    <t>https://drive.google.com/drive/folders/1FFZ2CEYegKopZQFa2tM870Pc6l2rqP8y</t>
  </si>
  <si>
    <t>gizatechxyz__LuminAIR-49</t>
  </si>
  <si>
    <t>https://github.com/gizatechxyz/LuminAIR/issues/49</t>
  </si>
  <si>
    <t>blockchain;ai-ml;sci-comp</t>
  </si>
  <si>
    <t>gs://swe-bench-plus/evaluations/019b6ab1-4e74-7019-9e81-9c96e98a145d-gizatechxyz__LuminAIR-49-swe-agent-claude-sonnet-4.5</t>
  </si>
  <si>
    <t>https://drive.google.com/drive/folders/1sZR-q4lQWk3raA_NvVGgQk6I2d_nJh79</t>
  </si>
  <si>
    <t>gizatechxyz/LuminAIR</t>
  </si>
  <si>
    <t>gizatechxyz__LuminAIR</t>
  </si>
  <si>
    <t>gkampitakis__go-snaps-114</t>
  </si>
  <si>
    <t>https://github.com/gkampitakis/go-snaps/issues/114</t>
  </si>
  <si>
    <t>gs://swe-bench-plus/evaluations/019b6ab1-4e74-7019-9e81-9c96e98a145d-gkampitakis__go-snaps-114-swe-agent-claude-sonnet-4.5</t>
  </si>
  <si>
    <t>https://drive.google.com/drive/folders/1TZt2pFS43Mc_nfrw92cZOlV8NgF62qwc</t>
  </si>
  <si>
    <t>gkampitakis/go-snaps</t>
  </si>
  <si>
    <t>gkampitakis__go-snaps</t>
  </si>
  <si>
    <t>gkampitakis__go-snaps-128</t>
  </si>
  <si>
    <t>https://github.com/gkampitakis/go-snaps/issues/128</t>
  </si>
  <si>
    <t>gs://swe-bench-plus/evaluations/019b6aa7-0380-771f-9e02-24cda0fe6639-gkampitakis__go-snaps-128-swe-agent-claude-sonnet-4.5</t>
  </si>
  <si>
    <t>https://drive.google.com/drive/folders/1nIvkLnQDS6nakefJ4KO-uztchhmofvIl</t>
  </si>
  <si>
    <t>gleam-lang__gleam-4246</t>
  </si>
  <si>
    <t>https://github.com/gleam-lang/gleam/issues/4246</t>
  </si>
  <si>
    <t>https://drive.google.com/drive/folders/19uo9_FzyYgUCq3kSr3iGeHkJJcBE-dtY</t>
  </si>
  <si>
    <t>https://drive.google.com/drive/folders/1xoddG0dra9JIdO_DPEwHwsNYzRyxK0wT</t>
  </si>
  <si>
    <t>gleam-lang/gleam</t>
  </si>
  <si>
    <t>gleam-lang__gleam</t>
  </si>
  <si>
    <t>gleam-lang__gleam-4668</t>
  </si>
  <si>
    <t>https://github.com/gleam-lang/gleam/issues/4668</t>
  </si>
  <si>
    <t>gs://swe-bench-plus/evaluations/019abba5-de24-761c-afd4-b75362c66875-gleam-lang__gleam-4668-swe-agent-claude-sonnet-4-20250514</t>
  </si>
  <si>
    <t>https://drive.google.com/drive/folders/1vecqFYl9Yw9fsnLjGWUuFsV13FQ2g03_</t>
  </si>
  <si>
    <t>gleam-lang__gleam-4720</t>
  </si>
  <si>
    <t>https://github.com/gleam-lang/gleam/issues/4720</t>
  </si>
  <si>
    <t>gs://swe-bench-plus/evaluations/019ad82c-4054-73b2-bb2d-8aeb78d3d8fa-gleam-lang__gleam-4720-open-hands-claude-sonnet-4-20250514</t>
  </si>
  <si>
    <t>gleam-lang__gleam-5019</t>
  </si>
  <si>
    <t>https://github.com/gleam-lang/gleam/issues/5019</t>
  </si>
  <si>
    <t>gs://swe-bench-plus/evaluations/019b33b2-92dc-775f-92dd-9f03bf4fe149-gleam-lang__gleam-5019-swe-agent-claude-sonnet-4.5</t>
  </si>
  <si>
    <t>glowingjade__obsidian-smart-composer-112</t>
  </si>
  <si>
    <t>https://github.com/glowingjade/obsidian-smart-composer/issues/112</t>
  </si>
  <si>
    <t>gs://swe-bench-plus/evaluations/019b6ab1-4e74-7019-9e81-9c96e98a145d-glowingjade__obsidian-smart-composer-112-swe-agent-claude-sonnet-4.5</t>
  </si>
  <si>
    <t>https://drive.google.com/drive/folders/1Yz2yNXEOvGZfDKazLdC5zU2U1w6gktoa</t>
  </si>
  <si>
    <t>glowingjade/obsidian-smart-composer</t>
  </si>
  <si>
    <t>glowingjade__obsidian-smart-composer</t>
  </si>
  <si>
    <t>glu-lang__glu-574</t>
  </si>
  <si>
    <t>https://github.com/glu-lang/glu/issues/574</t>
  </si>
  <si>
    <t>gs://swe-bench-plus/evaluations/019b06b8-5347-7669-9f51-4e4681f5c848-glu-lang__glu-574-swe-agent-claude-sonnet-4.5</t>
  </si>
  <si>
    <t>https://drive.google.com/drive/folders/1rHQ3GNmRWWI7cKKfhBJWEwExyJAso-Fo</t>
  </si>
  <si>
    <t>glu-lang/glu</t>
  </si>
  <si>
    <t>glu-lang__glu</t>
  </si>
  <si>
    <t>glu-lang__glu-580</t>
  </si>
  <si>
    <t>https://github.com/glu-lang/glu/issues/580</t>
  </si>
  <si>
    <t>gs://swe-bench-plus/evaluations/019ada53-e733-770a-bb62-fe25c577e04b-glu-lang__glu-580-open-hands-claude-sonnet-4-20250514</t>
  </si>
  <si>
    <t>https://drive.google.com/drive/folders/16nn9RCR-k0OoOQ6soo-JMvS2xO3WHSqK</t>
  </si>
  <si>
    <t>glu-lang__glu-510</t>
  </si>
  <si>
    <t>https://github.com/glu-lang/glu/issues/510</t>
  </si>
  <si>
    <t>gs://swe-bench-plus/evaluations/019b06b8-5347-7669-9f51-4e4681f5c848-glu-lang__glu-510-swe-agent-claude-sonnet-4.5</t>
  </si>
  <si>
    <t>https://drive.google.com/drive/folders/1rcfPJuYSSSvfPqWId5CQw3ptExKL4nm0</t>
  </si>
  <si>
    <t>glu-lang__glu-456</t>
  </si>
  <si>
    <t>https://github.com/glu-lang/glu/issues/456</t>
  </si>
  <si>
    <t>gs://swe-bench-plus/evaluations/019b06b8-5347-7669-9f51-4e4681f5c848-glu-lang__glu-456-swe-agent-claude-sonnet-4.5</t>
  </si>
  <si>
    <t>https://drive.google.com/drive/folders/1lJ4ruGGU4Z9cOJ4PMI2isYEmLtUflziD</t>
  </si>
  <si>
    <t>gmeghnag__omc-195</t>
  </si>
  <si>
    <t>https://github.com/gmeghnag/omc/issues/195</t>
  </si>
  <si>
    <t>gs://swe-bench-plus/evaluations/019b6aa7-0380-771f-9e02-24cda0fe6639-gmeghnag__omc-195-swe-agent-claude-sonnet-4.5</t>
  </si>
  <si>
    <t>https://drive.google.com/drive/folders/1AU-t3FLVPBg11C-0bp1Fj02r2VpLI-2R</t>
  </si>
  <si>
    <t>gmeghnag/omc</t>
  </si>
  <si>
    <t>gmeghnag__omc</t>
  </si>
  <si>
    <t>go-co-op__gocron-884</t>
  </si>
  <si>
    <t>https://github.com/go-co-op/gocron/issues/884</t>
  </si>
  <si>
    <t>gs://swe-bench-plus/evaluations/019ad820-337c-773f-8a09-f357a9af2cca-go-co-op__gocron-884-swe-agent-claude-sonnet-4-20250514</t>
  </si>
  <si>
    <t>https://drive.google.com/drive/folders/1f3soCK2TsG1atslGKBN53lUQrjJP_EQ3</t>
  </si>
  <si>
    <t>go-co-op/gocron</t>
  </si>
  <si>
    <t>go-co-op__gocron</t>
  </si>
  <si>
    <t>go-resty__resty-921</t>
  </si>
  <si>
    <t>https://github.com/go-resty/resty/issues/921</t>
  </si>
  <si>
    <t>https://drive.google.com/drive/folders/1xg6fhhwW9ccsS9ML2biUOQQYlw9WP_pu</t>
  </si>
  <si>
    <t>https://drive.google.com/drive/folders/1DYiVxmJASJEuEfHOs-UiMqsame_c2O0t</t>
  </si>
  <si>
    <t>go-resty/resty</t>
  </si>
  <si>
    <t>go-resty__resty</t>
  </si>
  <si>
    <t>go-resty__resty-966</t>
  </si>
  <si>
    <t>https://github.com/go-resty/resty/issues/966</t>
  </si>
  <si>
    <t>https://drive.google.com/drive/folders/1whElj35LiqYuxjEp0cIBlRkcm6HlB7Xh</t>
  </si>
  <si>
    <t>https://drive.google.com/drive/folders/1dARjnCLKCOIsxW4gdsWa6tXn8RF9DFhT</t>
  </si>
  <si>
    <t>godatadriven__dbt-bouncer-390</t>
  </si>
  <si>
    <t>https://github.com/godatadriven/dbt-bouncer/issues/390</t>
  </si>
  <si>
    <t>gs://swe-bench-plus/evaluations/019a9c33-6d74-70ca-a36d-b17dba075c66-godatadriven__dbt-bouncer-390-swe-agent-claude-sonnet-4-20250514</t>
  </si>
  <si>
    <t>https://drive.google.com/drive/folders/1KGxo5K2R2FLvxEZnOCV2vtfv8WOu-zP3</t>
  </si>
  <si>
    <t>godatadriven/dbt-bouncer</t>
  </si>
  <si>
    <t>godatadriven__dbt-bouncer</t>
  </si>
  <si>
    <t>goharbor__harbor-cli-259</t>
  </si>
  <si>
    <t>https://github.com/goharbor/harbor-cli/issues/259</t>
  </si>
  <si>
    <t>gs://swe-bench-plus/evaluations/019b0df7-ade4-70bc-89dc-2dc1c6248f76-goharbor__harbor-cli-259-swe-agent-claude-opus-4.5</t>
  </si>
  <si>
    <t>https://drive.google.com/drive/folders/1r5iwR_9cmD16UGj33ekB6g29b7oXyW0k</t>
  </si>
  <si>
    <t>goharbor/harbor-cli</t>
  </si>
  <si>
    <t>goharbor__harbor-cli</t>
  </si>
  <si>
    <t>golangci__golangci-lint-5432</t>
  </si>
  <si>
    <t>https://github.com/golangci/golangci-lint/issues/5432</t>
  </si>
  <si>
    <t>https://drive.google.com/drive/folders/1girJ8tTVTh6_Ot652Kx309O-IXTb2GML</t>
  </si>
  <si>
    <t>https://drive.google.com/drive/folders/1GXN2wpducMRHpigeVWcbvB5-Bo6M4Y_Z</t>
  </si>
  <si>
    <t>golangci/golangci-lint</t>
  </si>
  <si>
    <t>golangci__golangci-lint</t>
  </si>
  <si>
    <t>Goldziher__html-to-markdown-4</t>
  </si>
  <si>
    <t>https://github.com/Goldziher/html-to-markdown/issues/4</t>
  </si>
  <si>
    <t>gs://swe-bench-plus/evaluations/019ac57e-f665-72ea-8d22-b2c491531db5-Goldziher__html-to-markdown-4-open-hands-claude-sonnet-4-20250514</t>
  </si>
  <si>
    <t>https://drive.google.com/drive/folders/1_Kt6BpJeFhqN7UxkjaRQQigK42t06gqM</t>
  </si>
  <si>
    <t>Goldziher/html-to-markdown</t>
  </si>
  <si>
    <t>Goldziher__html-to-markdown</t>
  </si>
  <si>
    <t>Goldziher__html-to-markdown-32</t>
  </si>
  <si>
    <t>https://github.com/Goldziher/html-to-markdown/issues/32</t>
  </si>
  <si>
    <t>performance;feature;refactor;build-ci</t>
  </si>
  <si>
    <t>https://drive.google.com/drive/folders/1_V6rb8Twg4opSNNllMzfRFcPrO9E_int</t>
  </si>
  <si>
    <t>https://drive.google.com/drive/folders/1dGuCptrGuLldI7D4c12cVkzin-NFBdjT</t>
  </si>
  <si>
    <t>goodmami__wn-259</t>
  </si>
  <si>
    <t>https://github.com/goodmami/wn/issues/259</t>
  </si>
  <si>
    <t>https://drive.google.com/drive/folders/1oUf4U0CX-XueamZ0rD8gJKpoomlECmRI</t>
  </si>
  <si>
    <t>https://drive.google.com/drive/folders/1UQr2WFazUVhsugIstsa3a9ow3E7xIjG_</t>
  </si>
  <si>
    <t>goodmami/wn</t>
  </si>
  <si>
    <t>goodmami__wn</t>
  </si>
  <si>
    <t>goodmami__wn-258</t>
  </si>
  <si>
    <t>https://github.com/goodmami/wn/issues/258</t>
  </si>
  <si>
    <t>https://drive.google.com/drive/folders/1AaY3KyrdjbUF2iRD-0nyNK6pm4-3HLu5</t>
  </si>
  <si>
    <t>https://drive.google.com/drive/folders/1ZkV132a0b-MAN_Pjnyvy_a8rnNJyVpv4</t>
  </si>
  <si>
    <t>google-gemini__gemini-cli-11593</t>
  </si>
  <si>
    <t>https://github.com/google-gemini/gemini-cli/issues/11593</t>
  </si>
  <si>
    <t>gs://swe-bench-plus/evaluations/019c63b1-c215-72ef-93d9-9f9031bd8a71-google-gemini__gemini-cli-11593-swe-agent-claude-sonnet-4-20250514</t>
  </si>
  <si>
    <t>https://drive.google.com/drive/folders/1QHs6T5TZnSX3NEpHn_zo14u1kIj0LsLG</t>
  </si>
  <si>
    <t>google-gemini/gemini-cli</t>
  </si>
  <si>
    <t>google-gemini__gemini-cli</t>
  </si>
  <si>
    <t>google__benchmark-1948</t>
  </si>
  <si>
    <t>https://github.com/google/benchmark/issues/1948</t>
  </si>
  <si>
    <t>documentation;chore;bug-report</t>
  </si>
  <si>
    <t>gs://swe-bench-plus/evaluations/0199701a-17d2-74ed-b5a2-095337aac0f8-google__benchmark-1948-open-hands-claude-sonnet-4-20250514</t>
  </si>
  <si>
    <t>https://drive.google.com/drive/folders/1migqq37XCUKnycl49e54lYqaY_qpKCOD</t>
  </si>
  <si>
    <t>google/benchmark</t>
  </si>
  <si>
    <t>google__benchmark</t>
  </si>
  <si>
    <t>google__fhir-gateway-406</t>
  </si>
  <si>
    <t>https://github.com/google/fhir-gateway/issues/406</t>
  </si>
  <si>
    <t>security;webdev;infra-devops</t>
  </si>
  <si>
    <t>gs://swe-bench-plus/evaluations/019b6ab1-4e74-7019-9e81-9c96e98a145d-google__fhir-gateway-406-swe-agent-claude-sonnet-4.5</t>
  </si>
  <si>
    <t>https://drive.google.com/drive/folders/13ks2o_N2MhTGAAQsZILBI_jI8337ndkR</t>
  </si>
  <si>
    <t>google/fhir-gateway</t>
  </si>
  <si>
    <t>google__fhir-gateway</t>
  </si>
  <si>
    <t>google__flow-lens-49</t>
  </si>
  <si>
    <t>https://github.com/google/flow-lens/issues/49</t>
  </si>
  <si>
    <t>gs://swe-bench-plus/evaluations/019b6ab1-4e74-7019-9e81-9c96e98a145d-google__flow-lens-49-swe-agent-claude-sonnet-4.5</t>
  </si>
  <si>
    <t>https://drive.google.com/drive/folders/146QQzVKUVs4_uXcXs-3h3nK8BvcEbmPi</t>
  </si>
  <si>
    <t>google/flow-lens</t>
  </si>
  <si>
    <t>google__flow-lens</t>
  </si>
  <si>
    <t>google__google-java-format-1297</t>
  </si>
  <si>
    <t>https://github.com/google/google-java-format/issues/1297</t>
  </si>
  <si>
    <t>gs://swe-bench-plus/evaluations/019b6aaf-1788-707e-b6dd-d4dc12d72279-google__google-java-format-1297-swe-agent-claude-sonnet-4.5</t>
  </si>
  <si>
    <t>https://drive.google.com/drive/folders/1mxN7LtZACd65CCvY-kDmFALLquUNciVw</t>
  </si>
  <si>
    <t>google/google-java-format</t>
  </si>
  <si>
    <t>google__google-java-format</t>
  </si>
  <si>
    <t>google__highway-2531</t>
  </si>
  <si>
    <t>https://github.com/google/highway/issues/2531</t>
  </si>
  <si>
    <t>gs://swe-bench-plus/evaluations/019ac789-4ba4-708b-ae17-2b559b5f6cf3-google__highway-2531-open-hands-claude-sonnet-4-20250514</t>
  </si>
  <si>
    <t>https://drive.google.com/drive/folders/1HK-KimqTyk9lSiYveCobYDd-13qukCoz</t>
  </si>
  <si>
    <t>google/highway</t>
  </si>
  <si>
    <t>google__highway</t>
  </si>
  <si>
    <t>google__oss-rebuild-310</t>
  </si>
  <si>
    <t>https://github.com/google/oss-rebuild/issues/310</t>
  </si>
  <si>
    <t>gs://swe-bench-plus/evaluations/019a8f64-2c42-7777-ad71-3b341f0a4a36-google__oss-rebuild-310-open-hands-claude-sonnet-4-20250514</t>
  </si>
  <si>
    <t>https://drive.google.com/drive/folders/1WIKcZwC9CQMxxb4n4AAtR-_2v59aAr_n</t>
  </si>
  <si>
    <t>google/oss-rebuild</t>
  </si>
  <si>
    <t>google__oss-rebuild</t>
  </si>
  <si>
    <t>google__site-kit-wp-11543</t>
  </si>
  <si>
    <t>https://github.com/google/site-kit-wp/issues/11543</t>
  </si>
  <si>
    <t>refactor;feature;maintenance</t>
  </si>
  <si>
    <t>gs://swe-bench-plus/evaluations/019b6aa7-0380-771f-9e02-24cda0fe6639-google__site-kit-wp-11543-swe-agent-claude-sonnet-4.5</t>
  </si>
  <si>
    <t>https://drive.google.com/drive/folders/1vuFT4RLX5ZWs4LcCJKX1XOaWpUROBx8o</t>
  </si>
  <si>
    <t>google/site-kit-wp</t>
  </si>
  <si>
    <t>google__site-kit-wp</t>
  </si>
  <si>
    <t>google__site-kit-wp-11473</t>
  </si>
  <si>
    <t>https://github.com/google/site-kit-wp/issues/11473</t>
  </si>
  <si>
    <t>gs://swe-bench-plus/evaluations/019c66b4-4a01-7759-ae8a-33fc48d27674-google__site-kit-wp-11473-swe-agent-claude-sonnet-4-20250514</t>
  </si>
  <si>
    <t>google__site-kit-wp-10236</t>
  </si>
  <si>
    <t>https://github.com/google/site-kit-wp/issues/10236</t>
  </si>
  <si>
    <t>gs://swe-bench-plus/evaluations/019b6aaf-1788-707e-b6dd-d4dc12d72279-google__site-kit-wp-10236-swe-agent-claude-sonnet-4.5</t>
  </si>
  <si>
    <t>https://drive.google.com/drive/folders/1c4lyymrSWMw8YdQwa4nvIq6fZRHLk6g8</t>
  </si>
  <si>
    <t>google__site-kit-wp-9684</t>
  </si>
  <si>
    <t>https://github.com/google/site-kit-wp/issues/9684</t>
  </si>
  <si>
    <t>gs://swe-bench-plus/evaluations/019b6aaf-1788-707e-b6dd-d4dc12d72279-google__site-kit-wp-9684-swe-agent-claude-sonnet-4.5</t>
  </si>
  <si>
    <t>https://drive.google.com/drive/folders/1jXKr8LzlbgxkYwVyVVNfH5EbnuZd7Yxv</t>
  </si>
  <si>
    <t>google__site-kit-wp-9969</t>
  </si>
  <si>
    <t>https://github.com/google/site-kit-wp/issues/9969</t>
  </si>
  <si>
    <t>gs://swe-bench-plus/evaluations/019bd0bc-ca69-75d8-90e1-0b11e2a6213c-google__site-kit-wp-9969-swe-agent-claude-sonnet-4.5</t>
  </si>
  <si>
    <t>https://drive.google.com/drive/folders/10XudeKa7_k0YsheguTIH13tgyfPbVfO8</t>
  </si>
  <si>
    <t>google__site-kit-wp-11038</t>
  </si>
  <si>
    <t>https://github.com/google/site-kit-wp/issues/11038</t>
  </si>
  <si>
    <t>gs://swe-bench-plus/evaluations/019c66b4-4a01-7759-ae8a-33fc48d27674-google__site-kit-wp-11038-swe-agent-claude-sonnet-4-20250514</t>
  </si>
  <si>
    <t>googleapis__genai-toolbox-1061</t>
  </si>
  <si>
    <t>https://github.com/googleapis/genai-toolbox/issues/1061</t>
  </si>
  <si>
    <t>ai-ml;data-eng;infra-devops</t>
  </si>
  <si>
    <t>https://drive.google.com/drive/folders/1yJ8t6Y93F1sWgmJXD4ZbwUbPDrlMmBB6</t>
  </si>
  <si>
    <t>https://drive.google.com/drive/folders/1teWn1Bp59iL0Cv6aO_dIj6mbb-CoZurs</t>
  </si>
  <si>
    <t>googleapis/genai-toolbox</t>
  </si>
  <si>
    <t>googleapis__genai-toolbox</t>
  </si>
  <si>
    <t>googleapis__genai-toolbox-895</t>
  </si>
  <si>
    <t>https://github.com/googleapis/genai-toolbox/issues/895</t>
  </si>
  <si>
    <t>ai-ml;data-eng;devtools</t>
  </si>
  <si>
    <t>https://drive.google.com/drive/folders/16uE4e0SGT8X8trm-mR81Vqk-i_YvLKgl</t>
  </si>
  <si>
    <t>https://drive.google.com/drive/folders/1eRlfcN07OLbCIqMLHIG4ajkEXdE-cQ3b</t>
  </si>
  <si>
    <t>googleapis__genai-toolbox-879</t>
  </si>
  <si>
    <t>https://github.com/googleapis/genai-toolbox/issues/879</t>
  </si>
  <si>
    <t>feature;dependency-update;build-ci;documentation</t>
  </si>
  <si>
    <t>https://drive.google.com/drive/folders/1ZZtNUlC6qb-tdxocqxfhcL3LmKrgER8p</t>
  </si>
  <si>
    <t>https://drive.google.com/drive/folders/1JvbY3lXvnIyYNTOCOM5tXn4wJNKJghg4</t>
  </si>
  <si>
    <t>googleapis__genai-toolbox-1410</t>
  </si>
  <si>
    <t>https://github.com/googleapis/genai-toolbox/issues/1410</t>
  </si>
  <si>
    <t>gs://swe-bench-plus/evaluations/019b21b8-cb17-706d-bade-2f9b34b81acc-googleapis__genai-toolbox-1410-swe-agent-claude-sonnet-4-20250514</t>
  </si>
  <si>
    <t>https://drive.google.com/drive/folders/1PX1A_EsVYSZn2D6iPT5cHAjaFwkWxlso</t>
  </si>
  <si>
    <t>googleapis__go-sql-spanner-369</t>
  </si>
  <si>
    <t>https://github.com/googleapis/go-sql-spanner/issues/369</t>
  </si>
  <si>
    <t>https://drive.google.com/drive/folders/1L-12b4osk7bUgSzmxx6fWyyIAB60rE0d</t>
  </si>
  <si>
    <t>https://drive.google.com/drive/folders/17X83Zcj-R61KSiwGn6m5zk8WB13_d9we</t>
  </si>
  <si>
    <t>googleapis/go-sql-spanner</t>
  </si>
  <si>
    <t>googleapis__go-sql-spanner</t>
  </si>
  <si>
    <t>googleapis__sdk-platform-java-3852</t>
  </si>
  <si>
    <t>https://github.com/googleapis/sdk-platform-java/issues/3852</t>
  </si>
  <si>
    <t>gs://swe-bench-plus/evaluations/019bc798-5e68-70de-88e9-08b16b20559a-googleapis__sdk-platform-java-3852-swe-agent-claude-sonnet-4-20250514</t>
  </si>
  <si>
    <t>https://drive.google.com/drive/folders/1xTbZ4JiwcHjG0fC_6FTpu60yDHkbCFCB</t>
  </si>
  <si>
    <t>googleapis/sdk-platform-java</t>
  </si>
  <si>
    <t>googleapis__sdk-platform-java</t>
  </si>
  <si>
    <t>GoogleCloudPlatform__opentelemetry-operations-python-407</t>
  </si>
  <si>
    <t>https://github.com/GoogleCloudPlatform/opentelemetry-operations-python/issues/407</t>
  </si>
  <si>
    <t>https://drive.google.com/drive/folders/15Uk8hsPLjumW9pzuHrD7lj6TIl_7vWyX</t>
  </si>
  <si>
    <t>https://drive.google.com/drive/folders/1OgnKkXxUGi9hD5JbVGxq3iDbVJ852GeJ</t>
  </si>
  <si>
    <t>GoogleCloudPlatform/opentelemetry-operations-python</t>
  </si>
  <si>
    <t>GoogleCloudPlatform__opentelemetry-operations-python</t>
  </si>
  <si>
    <t>gopherguides__hype</t>
  </si>
  <si>
    <t>GothenburgBitFactory__taskwarrior-3671</t>
  </si>
  <si>
    <t>https://github.com/GothenburgBitFactory/taskwarrior/issues/3671</t>
  </si>
  <si>
    <t>https://drive.google.com/drive/folders/15ubN0hBjJtAnI_RzLYSqC07XqjmGpeIQ</t>
  </si>
  <si>
    <t>GothenburgBitFactory/taskwarrior</t>
  </si>
  <si>
    <t>GothenburgBitFactory__taskwarrior</t>
  </si>
  <si>
    <t>GothenburgBitFactory__timewarrior-696</t>
  </si>
  <si>
    <t>https://github.com/GothenburgBitFactory/timewarrior/issues/696</t>
  </si>
  <si>
    <t>gs://swe-bench-plus/evaluations/019b6aa7-0380-771f-9e02-24cda0fe6639-GothenburgBitFactory__timewarrior-696-swe-agent-claude-sonnet-4.5</t>
  </si>
  <si>
    <t>https://drive.google.com/drive/folders/1eQmhIMotXkaoSqhUX1Qk82d43SGmaQ7W</t>
  </si>
  <si>
    <t>GothenburgBitFactory/timewarrior</t>
  </si>
  <si>
    <t>GothenburgBitFactory__timewarrior</t>
  </si>
  <si>
    <t>grafana__alloy-4173</t>
  </si>
  <si>
    <t>https://github.com/grafana/alloy/issues/4173</t>
  </si>
  <si>
    <t>gs://swe-bench-plus/evaluations/019ad820-337c-773f-8a09-f357a9af2cca-grafana__alloy-4173-swe-agent-claude-sonnet-4-20250514</t>
  </si>
  <si>
    <t>https://drive.google.com/drive/folders/1b4h0-cAmW07Q3DI8KQH0ifRL2QGfMDBJ</t>
  </si>
  <si>
    <t>grafana__alloy</t>
  </si>
  <si>
    <t>grafana__alloy-3042</t>
  </si>
  <si>
    <t>https://github.com/grafana/alloy/issues/3042</t>
  </si>
  <si>
    <t>https://drive.google.com/drive/folders/1O4zyRcCzgs4AzQAz0Avajmzr5We7S9Z3</t>
  </si>
  <si>
    <t>https://drive.google.com/drive/folders/1eBMSv6GDEdeKVV-bRRXMLxrNrBcV6J_p</t>
  </si>
  <si>
    <t>grafana__grafana-zabbix-1931</t>
  </si>
  <si>
    <t>https://github.com/grafana/grafana-zabbix/issues/1931</t>
  </si>
  <si>
    <t>infra-devops;graphics-media</t>
  </si>
  <si>
    <t>gs://swe-bench-plus/evaluations/019bcea3-81e8-754a-a3b1-8821a9f9ac9b-grafana__grafana-zabbix-1931-swe-agent-claude-sonnet-4.5</t>
  </si>
  <si>
    <t>https://drive.google.com/drive/folders/1poGypm4iW1bJnEf8iFivJUcqtYdPLTRF</t>
  </si>
  <si>
    <t>grafana/grafana-zabbix</t>
  </si>
  <si>
    <t>grafana__grafana-zabbix</t>
  </si>
  <si>
    <t>grafana__k6-4811</t>
  </si>
  <si>
    <t>https://github.com/grafana/k6/issues/4811</t>
  </si>
  <si>
    <t>https://drive.google.com/drive/folders/1cD0fnIvzHGl61ya7ixlfiw4GpW9F8ckd</t>
  </si>
  <si>
    <t>https://drive.google.com/drive/folders/1-GULteui_TGZY9E-8zTOmh7jijj_wmnM</t>
  </si>
  <si>
    <t>grafana/k6</t>
  </si>
  <si>
    <t>grafana__k6</t>
  </si>
  <si>
    <t>grafana__k6-4092</t>
  </si>
  <si>
    <t>https://github.com/grafana/k6/issues/4092</t>
  </si>
  <si>
    <t>https://drive.google.com/drive/folders/1LTEdCRpo6Z7EPFVukzakO4eBpXhyrCex</t>
  </si>
  <si>
    <t>https://drive.google.com/drive/folders/1F2fHrAGjXghLtvIny6fQNGvxabgPKMSm</t>
  </si>
  <si>
    <t>grafana__k6-studio-371</t>
  </si>
  <si>
    <t>https://github.com/grafana/k6-studio/issues/371</t>
  </si>
  <si>
    <t>gs://swe-bench-plus/evaluations/019b6aaf-1788-707e-b6dd-d4dc12d72279-grafana__k6-studio-371-swe-agent-claude-sonnet-4.5</t>
  </si>
  <si>
    <t>https://drive.google.com/drive/folders/1m3BRUcUYGl2LpugRmb5dOPtk557oTa60</t>
  </si>
  <si>
    <t>grafana/k6-studio</t>
  </si>
  <si>
    <t>grafana__k6-studio</t>
  </si>
  <si>
    <t>grafana__logs-drilldown-1459</t>
  </si>
  <si>
    <t>https://github.com/grafana/logs-drilldown/issues/1459</t>
  </si>
  <si>
    <t>gs://swe-bench-plus/evaluations/019b6aa7-0380-771f-9e02-24cda0fe6639-grafana__logs-drilldown-1459-swe-agent-claude-sonnet-4.5</t>
  </si>
  <si>
    <t>https://drive.google.com/drive/folders/12b8MGITSvcOLy1DXCxHcQoi7L2-VxnYR</t>
  </si>
  <si>
    <t>grafana/logs-drilldown</t>
  </si>
  <si>
    <t>grafana__logs-drilldown</t>
  </si>
  <si>
    <t>grafana__mimir-11456</t>
  </si>
  <si>
    <t>https://github.com/grafana/mimir/issues/11456</t>
  </si>
  <si>
    <t>https://drive.google.com/drive/folders/1MGkO4yEw8wKeGtDQNKnTlkGsL07P9fIP</t>
  </si>
  <si>
    <t>https://drive.google.com/drive/folders/1yUXdcCbJW3-4icZyekyz5fub3HxLcJhb</t>
  </si>
  <si>
    <t>grafana/mimir</t>
  </si>
  <si>
    <t>grafana__mimir</t>
  </si>
  <si>
    <t>grafana__mimir-11774</t>
  </si>
  <si>
    <t>https://github.com/grafana/mimir/issues/11774</t>
  </si>
  <si>
    <t>https://drive.google.com/drive/folders/1XMUXY32whvg4_A3Vv3-JwQMPQ_YiyQKH</t>
  </si>
  <si>
    <t>https://drive.google.com/drive/folders/1hlsMHdlLzQYqf-MQX1UAk3-ayttCY-C6</t>
  </si>
  <si>
    <t>grafana__xk6-159</t>
  </si>
  <si>
    <t>https://github.com/grafana/xk6/issues/159</t>
  </si>
  <si>
    <t>build-ci;refactor;maintenance</t>
  </si>
  <si>
    <t>gs://swe-bench-plus/evaluations/019b0886-0f4d-757e-a2e5-c06041eabbaf-grafana__xk6-159-swe-agent-claude-sonnet-4.5</t>
  </si>
  <si>
    <t>https://drive.google.com/drive/folders/1-avx2aYrpSC5OsIVpK0xG94Rx92KcxZR</t>
  </si>
  <si>
    <t>grafana/xk6</t>
  </si>
  <si>
    <t>grafana__xk6</t>
  </si>
  <si>
    <t>grafana__xk6-124</t>
  </si>
  <si>
    <t>https://github.com/grafana/xk6/issues/124</t>
  </si>
  <si>
    <t>gs://swe-bench-plus/evaluations/019b6aa7-0380-771f-9e02-24cda0fe6639-grafana__xk6-124-swe-agent-claude-sonnet-4.5</t>
  </si>
  <si>
    <t>https://drive.google.com/drive/folders/1D5Fuy-gSrAlzjmwbcsb495s33K-TftCN</t>
  </si>
  <si>
    <t>grafana__xk6-sql-123</t>
  </si>
  <si>
    <t>https://github.com/grafana/xk6-sql/issues/123</t>
  </si>
  <si>
    <t>devtools;data-eng;infra-devops</t>
  </si>
  <si>
    <t>gs://swe-bench-plus/evaluations/019b6aa7-0380-771f-9e02-24cda0fe6639-grafana__xk6-sql-123-swe-agent-claude-sonnet-4.5</t>
  </si>
  <si>
    <t>https://drive.google.com/drive/folders/1n0egjMsggCfYcejMZbDhD1BFF91nP1JB</t>
  </si>
  <si>
    <t>grafana/xk6-sql</t>
  </si>
  <si>
    <t>grafana__xk6-sql</t>
  </si>
  <si>
    <t>graphql-java__java-dataloader-196</t>
  </si>
  <si>
    <t>https://github.com/graphql-java/java-dataloader/issues/196</t>
  </si>
  <si>
    <t>gs://swe-bench-plus/evaluations/019bc794-37db-7668-96b7-98997dff752e-graphql-java__java-dataloader-196-swe-agent-claude-sonnet-4-20250514</t>
  </si>
  <si>
    <t>https://drive.google.com/drive/folders/1frVT0R3ziAS2UPvlx4ie3SObqbf9_Orb</t>
  </si>
  <si>
    <t>graphql-java/java-dataloader</t>
  </si>
  <si>
    <t>graphql-java__java-dataloader</t>
  </si>
  <si>
    <t>graphql-python__gql-549</t>
  </si>
  <si>
    <t>https://github.com/graphql-python/gql/issues/549</t>
  </si>
  <si>
    <t>https://drive.google.com/drive/folders/1uUWgA3p5RLFAyYpxBtiXbRM7dHiYS39w</t>
  </si>
  <si>
    <t>https://drive.google.com/drive/folders/1r4IM9JimDTqSQjf_Ik23gIT_2Ur0sWC5</t>
  </si>
  <si>
    <t>graphql-python/gql</t>
  </si>
  <si>
    <t>graphql-python__gql</t>
  </si>
  <si>
    <t>Graylog2__graylog2-server-21337</t>
  </si>
  <si>
    <t>https://github.com/Graylog2/graylog2-server/issues/21337</t>
  </si>
  <si>
    <t>applications;data-eng;security;infra-devops</t>
  </si>
  <si>
    <t>gs://swe-bench-plus/evaluations/019c75f5-6b8c-7228-9f9c-93aa98fd3824-Graylog2__graylog2-server-21337-swe-agent-claude-sonnet-4-20250514</t>
  </si>
  <si>
    <t>https://drive.google.com/drive/folders/1i-zvVrKCgf2g52Riy5dKv3DZPTibeyiN</t>
  </si>
  <si>
    <t>Graylog2/graylog2-server</t>
  </si>
  <si>
    <t>Graylog2__graylog2-server</t>
  </si>
  <si>
    <t>GREsau__schemars-401</t>
  </si>
  <si>
    <t>https://github.com/GREsau/schemars/issues/401</t>
  </si>
  <si>
    <t>gs://swe-bench-plus/evaluations/019ada54-54da-755d-9d53-94af409a53cc-GREsau__schemars-401-open-hands-claude-sonnet-4-20250514</t>
  </si>
  <si>
    <t>https://drive.google.com/drive/folders/1VOa_vcPGr93AWKFNRfH50rAvnGeVpVIN</t>
  </si>
  <si>
    <t>GREsau/schemars</t>
  </si>
  <si>
    <t>GREsau__schemars</t>
  </si>
  <si>
    <t>grpc__grpc-go-7837</t>
  </si>
  <si>
    <t>https://github.com/grpc/grpc-go/issues/7837</t>
  </si>
  <si>
    <t>https://drive.google.com/drive/folders/1x8nW1ap5jEUrDwx3-xJIGM_eV8a-25R_</t>
  </si>
  <si>
    <t>grpc/grpc-go</t>
  </si>
  <si>
    <t>grpc__grpc-go</t>
  </si>
  <si>
    <t>grpc__grpc-java-12398</t>
  </si>
  <si>
    <t>https://github.com/grpc/grpc-java/issues/12398</t>
  </si>
  <si>
    <t>gs://swe-bench-plus/evaluations/019ab851-d019-7228-931c-9b7a4356bd09-grpc__grpc-java-12398-swe-agent-claude-sonnet-4-20250514</t>
  </si>
  <si>
    <t>grpc/grpc-java</t>
  </si>
  <si>
    <t>grpc__grpc-java</t>
  </si>
  <si>
    <t>gtalarico__pyairtable-405</t>
  </si>
  <si>
    <t>https://github.com/gtalarico/pyairtable/issues/405</t>
  </si>
  <si>
    <t>gs://swe-bench-plus/evaluations/019a11d0-17d3-730b-bffc-06f187eef661-gtalarico__pyairtable-405-swe-agent-claude-sonnet-4-20250514</t>
  </si>
  <si>
    <t>https://drive.google.com/drive/folders/1GgjmhxxH8EBRc5tffFI6c0CXZVoxvm4-</t>
  </si>
  <si>
    <t>gtalarico/pyairtable</t>
  </si>
  <si>
    <t>gtalarico__pyairtable</t>
  </si>
  <si>
    <t>guardian__dotcom-rendering-13537</t>
  </si>
  <si>
    <t>https://github.com/guardian/dotcom-rendering/issues/13537</t>
  </si>
  <si>
    <t>gs://swe-bench-plus/evaluations/019b6aaf-1788-707e-b6dd-d4dc12d72279-guardian__dotcom-rendering-13537-swe-agent-claude-sonnet-4.5</t>
  </si>
  <si>
    <t>https://drive.google.com/drive/folders/1CQqVy-KNG2QD-l5ik0QJgLdhxCTP-YNS</t>
  </si>
  <si>
    <t>guardian/dotcom-rendering</t>
  </si>
  <si>
    <t>guardian__dotcom-rendering</t>
  </si>
  <si>
    <t>GUDHI__gudhi-devel-1052</t>
  </si>
  <si>
    <t>https://github.com/GUDHI/gudhi-devel/issues/1052</t>
  </si>
  <si>
    <t>refactor;build-ci;documentation;test</t>
  </si>
  <si>
    <t>gs://swe-bench-plus/evaluations/019b6aa7-0380-771f-9e02-24cda0fe6639-GUDHI__gudhi-devel-1052-swe-agent-claude-sonnet-4.5</t>
  </si>
  <si>
    <t>https://drive.google.com/drive/folders/1CrwnNrq28uzvW8FFBz9v4jg5WAl5p18c</t>
  </si>
  <si>
    <t>GUDHI/gudhi-devel</t>
  </si>
  <si>
    <t>GUDHI__gudhi-devel</t>
  </si>
  <si>
    <t>gui-cs__Terminal.Gui-4251</t>
  </si>
  <si>
    <t>https://github.com/gui-cs/Terminal.Gui/issues/4251</t>
  </si>
  <si>
    <t>https://drive.google.com/drive/folders/12BJgTAvbGmTo8kXJFpWweGdF-0RzObKc</t>
  </si>
  <si>
    <t>https://drive.google.com/drive/folders/1tfLJgKpXEjpu7Y0KD4YG4YbeIeCo1Bcj</t>
  </si>
  <si>
    <t>gui-cs/Terminal.Gui</t>
  </si>
  <si>
    <t>gui-cs__Terminal.Gui</t>
  </si>
  <si>
    <t>guoshiqiufeng__dify-spring-boot-starter-240</t>
  </si>
  <si>
    <t>https://github.com/guoshiqiufeng/dify-spring-boot-starter/issues/240</t>
  </si>
  <si>
    <t>devtools;ai-ml;webdev</t>
  </si>
  <si>
    <t>gs://swe-bench-plus/evaluations/019b6ab1-4e74-7019-9e81-9c96e98a145d-guoshiqiufeng__dify-spring-boot-starter-240-swe-agent-claude-sonnet-4.5</t>
  </si>
  <si>
    <t>https://drive.google.com/drive/folders/1h7OhKgM32T1oHWQA08gR4J3-5yb4pcW0</t>
  </si>
  <si>
    <t>guoshiqiufeng/dify-spring-boot-starter</t>
  </si>
  <si>
    <t>guoshiqiufeng__dify-spring-boot-starter</t>
  </si>
  <si>
    <t>gwtproject__gwt-10081</t>
  </si>
  <si>
    <t>https://github.com/gwtproject/gwt/issues/10081</t>
  </si>
  <si>
    <t>chore;documentation</t>
  </si>
  <si>
    <t>gs://swe-bench-plus/evaluations/019c2527-069d-76b8-a805-96d478bdb559-gwtproject__gwt-10081-swe-agent-claude-sonnet-4-20250514</t>
  </si>
  <si>
    <t>https://drive.google.com/drive/folders/19NuxJO3eiTovaBUdXK94swM1YngrDYNx</t>
  </si>
  <si>
    <t>gwtproject/gwt</t>
  </si>
  <si>
    <t>gwtproject__gwt</t>
  </si>
  <si>
    <t>h3js__rou3-155</t>
  </si>
  <si>
    <t>https://github.com/h3js/rou3/issues/155</t>
  </si>
  <si>
    <t>feature-request;performance-issue;documentation</t>
  </si>
  <si>
    <t>gs://swe-bench-plus/evaluations/019b6aaf-1788-707e-b6dd-d4dc12d72279-h3js__rou3-155-swe-agent-claude-sonnet-4.5</t>
  </si>
  <si>
    <t>https://drive.google.com/drive/folders/1doQ1njydKPVKZ-9x7kctUuabFF9EQjQ6</t>
  </si>
  <si>
    <t>h3js/rou3</t>
  </si>
  <si>
    <t>h3js__rou3</t>
  </si>
  <si>
    <t>h5py__h5py-2611</t>
  </si>
  <si>
    <t>https://github.com/h5py/h5py/issues/2611</t>
  </si>
  <si>
    <t>https://drive.google.com/drive/folders/1GnM_AIwAwJL4RONU5pb7AqAXdkZF1nzM</t>
  </si>
  <si>
    <t>https://drive.google.com/drive/folders/14jDpd-7c2VoxZaXcTYTeKdVWhvgpBLrQ</t>
  </si>
  <si>
    <t>h5py/h5py</t>
  </si>
  <si>
    <t>h5py__h5py</t>
  </si>
  <si>
    <t>haddocking__prodigy-51</t>
  </si>
  <si>
    <t>https://github.com/haddocking/prodigy/issues/51</t>
  </si>
  <si>
    <t>https://drive.google.com/drive/folders/1-2IZAjn3_afofnU1vDLg3AYS3GUrO_Xv</t>
  </si>
  <si>
    <t>https://drive.google.com/drive/folders/1fsquxrXocwTMQgKrESsAxvKWaFMxFCir</t>
  </si>
  <si>
    <t>haddocking/prodigy</t>
  </si>
  <si>
    <t>haddocking__prodigy</t>
  </si>
  <si>
    <t>hahwul__dalfox-798</t>
  </si>
  <si>
    <t>https://github.com/hahwul/dalfox/issues/798</t>
  </si>
  <si>
    <t>https://drive.google.com/drive/folders/1ZbqQKzZoldhQ1RSDH4nwKfXQKyGRJ1Tv</t>
  </si>
  <si>
    <t>https://drive.google.com/drive/folders/1G2AZd6d3dFuGiacYQocdAiio4A0Dgdn7</t>
  </si>
  <si>
    <t>hahwul/dalfox</t>
  </si>
  <si>
    <t>hahwul__dalfox</t>
  </si>
  <si>
    <t>hahwul__deadfinder-92</t>
  </si>
  <si>
    <t>https://github.com/hahwul/deadfinder/issues/92</t>
  </si>
  <si>
    <t>gs://swe-bench-plus/evaluations/019b6aaf-1788-707e-b6dd-d4dc12d72279-hahwul__deadfinder-92-swe-agent-claude-sonnet-4.5</t>
  </si>
  <si>
    <t>https://drive.google.com/drive/folders/1f76taiG1-Df2mNtmodJhpgSxqCOdLOyk</t>
  </si>
  <si>
    <t>hahwul/deadfinder</t>
  </si>
  <si>
    <t>hahwul__deadfinder</t>
  </si>
  <si>
    <t>Hakky54__sslcontext-kickstart-655</t>
  </si>
  <si>
    <t>https://github.com/Hakky54/sslcontext-kickstart/issues/655</t>
  </si>
  <si>
    <t>gs://swe-bench-plus/evaluations/019b6aaf-1788-707e-b6dd-d4dc12d72279-Hakky54__sslcontext-kickstart-655-swe-agent-claude-sonnet-4.5</t>
  </si>
  <si>
    <t>https://drive.google.com/drive/folders/18o4nDNXwzn6J1oK--LUX2N7zyajiPAks</t>
  </si>
  <si>
    <t>Hakky54/sslcontext-kickstart</t>
  </si>
  <si>
    <t>Hakky54__sslcontext-kickstart</t>
  </si>
  <si>
    <t>harfbuzz__harfbuzz-4825</t>
  </si>
  <si>
    <t>https://github.com/harfbuzz/harfbuzz/issues/4825</t>
  </si>
  <si>
    <t>https://drive.google.com/drive/folders/1Uv8DXsxYtZf9RnOJodabMxc6k6yrG8ow</t>
  </si>
  <si>
    <t>https://drive.google.com/drive/folders/1cJ-XMiP-j_nwL48mMXLiCQo7jLPpOwU0</t>
  </si>
  <si>
    <t>harfbuzz/harfbuzz</t>
  </si>
  <si>
    <t>harfbuzz__harfbuzz</t>
  </si>
  <si>
    <t>Hargne__jest-html-reporter-197</t>
  </si>
  <si>
    <t>https://github.com/Hargne/jest-html-reporter/issues/197</t>
  </si>
  <si>
    <t>gs://swe-bench-plus/evaluations/019b6aaf-1788-707e-b6dd-d4dc12d72279-Hargne__jest-html-reporter-197-swe-agent-claude-sonnet-4.5</t>
  </si>
  <si>
    <t>https://drive.google.com/drive/folders/1-_Vk3-TofQzQZcrBSIyt9FNXh3Y-rJgF</t>
  </si>
  <si>
    <t>Hargne/jest-html-reporter</t>
  </si>
  <si>
    <t>Hargne__jest-html-reporter</t>
  </si>
  <si>
    <t>hashicorp__nomad-25922</t>
  </si>
  <si>
    <t>https://github.com/hashicorp/nomad/issues/25922</t>
  </si>
  <si>
    <t>https://drive.google.com/drive/folders/1FrQEFXB-F3Hre5sMli7VoGvEtnKGHRrR</t>
  </si>
  <si>
    <t>https://drive.google.com/drive/folders/1yvkDElCt3TwFDFfv42fRytXKhYDfjMfK</t>
  </si>
  <si>
    <t>hashicorp/nomad</t>
  </si>
  <si>
    <t>hashicorp__nomad</t>
  </si>
  <si>
    <t>hashicorp__terraform-provider-aws-42559</t>
  </si>
  <si>
    <t>https://github.com/hashicorp/terraform-provider-aws/issues/42559</t>
  </si>
  <si>
    <t>https://drive.google.com/drive/folders/1cID_oSI632wS66un91PohWdExVeCQCy0</t>
  </si>
  <si>
    <t>https://drive.google.com/drive/folders/1QKI33I4forBTeWSYZfMlPS7K0IwvbKUq</t>
  </si>
  <si>
    <t>hashicorp/terraform-provider-aws</t>
  </si>
  <si>
    <t>hashicorp__terraform-provider-aws</t>
  </si>
  <si>
    <t>hashicorp__vagrant-13666</t>
  </si>
  <si>
    <t>https://github.com/hashicorp/vagrant/issues/13666</t>
  </si>
  <si>
    <t>gs://swe-bench-plus/evaluations/019a0e86-7f0e-770f-9e4a-12adf1aee67f-hashicorp__vagrant-13666-swe-agent-claude-sonnet-4-20250514</t>
  </si>
  <si>
    <t>https://drive.google.com/drive/folders/1w4Wi3atfVigT5PROOHnc0b7yUNrz0fwk</t>
  </si>
  <si>
    <t>hashicorp/vagrant</t>
  </si>
  <si>
    <t>hashicorp__vagrant</t>
  </si>
  <si>
    <t>haydenbleasel__ultracite-198</t>
  </si>
  <si>
    <t>https://github.com/haydenbleasel/ultracite/issues/198</t>
  </si>
  <si>
    <t>gs://swe-bench-plus/evaluations/019b6aaf-1788-707e-b6dd-d4dc12d72279-haydenbleasel__ultracite-198-swe-agent-claude-sonnet-4.5</t>
  </si>
  <si>
    <t>https://drive.google.com/drive/folders/1mtimqzF6wT1icatgUcijHUt113nSl5ao</t>
  </si>
  <si>
    <t>haydenbleasel/ultracite</t>
  </si>
  <si>
    <t>haydenbleasel__ultracite</t>
  </si>
  <si>
    <t>hedhyw__json-log-viewer-134</t>
  </si>
  <si>
    <t>https://github.com/hedhyw/json-log-viewer/issues/134</t>
  </si>
  <si>
    <t>gs://swe-bench-plus/evaluations/019b6aa7-0380-771f-9e02-24cda0fe6639-hedhyw__json-log-viewer-134-swe-agent-claude-sonnet-4.5</t>
  </si>
  <si>
    <t>https://drive.google.com/drive/folders/1E7nC6DeyCNgZbm4l86gUjwANOHO079vd</t>
  </si>
  <si>
    <t>hedhyw/json-log-viewer</t>
  </si>
  <si>
    <t>hedhyw__json-log-viewer</t>
  </si>
  <si>
    <t>helidon-io__helidon-10437</t>
  </si>
  <si>
    <t>https://github.com/helidon-io/helidon/issues/10437</t>
  </si>
  <si>
    <t>gs://swe-bench-plus/evaluations/019c2527-069d-76b8-a805-96d478bdb559-helidon-io__helidon-10437-swe-agent-claude-sonnet-4-20250514</t>
  </si>
  <si>
    <t>https://drive.google.com/drive/folders/1xST3otbNcayf5qSPBEjzH_s6J2QsVWFY</t>
  </si>
  <si>
    <t>helidon-io/helidon</t>
  </si>
  <si>
    <t>helidon-io__helidon</t>
  </si>
  <si>
    <t>helidon-io__helidon-9674</t>
  </si>
  <si>
    <t>https://github.com/helidon-io/helidon/issues/9674</t>
  </si>
  <si>
    <t>gs://swe-bench-plus/evaluations/019bc794-8b97-710a-8eb1-715be5148c6c-helidon-io__helidon-9674-swe-agent-claude-sonnet-4-20250514</t>
  </si>
  <si>
    <t>https://drive.google.com/drive/folders/1kXAN3gWS3H5QMjmF8cGiyPckSl40TmA9</t>
  </si>
  <si>
    <t>helidon-io__helidon-10760</t>
  </si>
  <si>
    <t>https://github.com/helidon-io/helidon/issues/10760</t>
  </si>
  <si>
    <t>gs://swe-bench-plus/evaluations/019bc798-a722-770f-b772-98c73d2678bb-helidon-io__helidon-10760-swe-agent-claude-sonnet-4-20250514</t>
  </si>
  <si>
    <t>https://drive.google.com/drive/folders/14u0gsf1LZZWmyG9IDMPnifM3PUhz5bV7</t>
  </si>
  <si>
    <t>helidon-io__helidon-10143</t>
  </si>
  <si>
    <t>https://github.com/helidon-io/helidon/issues/10143</t>
  </si>
  <si>
    <t>gs://swe-bench-plus/evaluations/019c2528-578b-73cc-ad42-8f1328ded528-helidon-io__helidon-10143-swe-agent-claude-sonnet-4.5</t>
  </si>
  <si>
    <t>helm__helm-31015</t>
  </si>
  <si>
    <t>https://github.com/helm/helm/issues/31015</t>
  </si>
  <si>
    <t>gs://swe-bench-plus/evaluations/019a9c59-60ac-726c-a409-57ec3ba781b9-helm__helm-31015-swe-agent-claude-sonnet-4-20250514</t>
  </si>
  <si>
    <t>https://drive.google.com/drive/folders/1o2smN66ZztKXJ4S2SrK8ygxvU5tozvjf</t>
  </si>
  <si>
    <t>helm/helm</t>
  </si>
  <si>
    <t>helm__helm</t>
  </si>
  <si>
    <t>helm__helm-31295</t>
  </si>
  <si>
    <t>https://github.com/helm/helm/issues/31295</t>
  </si>
  <si>
    <t>gs://swe-bench-plus/evaluations/019a9c59-60ac-726c-a409-57ec3ba781b9-helm__helm-31295-swe-agent-claude-sonnet-4-20250514</t>
  </si>
  <si>
    <t>https://drive.google.com/drive/folders/14BJRP1MH5yGnEpRtXby5iTgdtV2fIeTk</t>
  </si>
  <si>
    <t>hetznercloud__cli-1115</t>
  </si>
  <si>
    <t>https://github.com/hetznercloud/cli/issues/1115</t>
  </si>
  <si>
    <t>gs://swe-bench-plus/evaluations/019b6aa7-0380-771f-9e02-24cda0fe6639-hetznercloud__cli-1115-swe-agent-claude-sonnet-4.5</t>
  </si>
  <si>
    <t>https://drive.google.com/drive/folders/16ELfXFS90KeaMpDqHJJ8f0_yntdfD3J5</t>
  </si>
  <si>
    <t>hetznercloud/cli</t>
  </si>
  <si>
    <t>hetznercloud__cli</t>
  </si>
  <si>
    <t>hey-api__openapi-ts-1512</t>
  </si>
  <si>
    <t>https://github.com/hey-api/openapi-ts/issues/1512</t>
  </si>
  <si>
    <t>https://drive.google.com/drive/folders/1mVlrZT3h4sIc39SbUhBynZ671Ro5VEJD</t>
  </si>
  <si>
    <t>https://drive.google.com/drive/folders/1kh28ps12Ignwe2KUgTxF2kA583EbUTO9</t>
  </si>
  <si>
    <t>hey-api/openapi-ts</t>
  </si>
  <si>
    <t>hey-api__openapi-ts</t>
  </si>
  <si>
    <t>HiDeoo__starlight-links-validator-100</t>
  </si>
  <si>
    <t>https://github.com/HiDeoo/starlight-links-validator/issues/100</t>
  </si>
  <si>
    <t>gs://swe-bench-plus/evaluations/019b6aa7-0380-771f-9e02-24cda0fe6639-HiDeoo__starlight-links-validator-100-swe-agent-claude-sonnet-4.5</t>
  </si>
  <si>
    <t>https://drive.google.com/drive/folders/17PUf1japv_nxkve2gJA8gZ74Rz54ksE7</t>
  </si>
  <si>
    <t>HiDeoo/starlight-links-validator</t>
  </si>
  <si>
    <t>HiDeoo__starlight-links-validator</t>
  </si>
  <si>
    <t>hiero-ledger__hiero-consensus-node-23014</t>
  </si>
  <si>
    <t>https://github.com/hiero-ledger/hiero-consensus-node/issues/23014</t>
  </si>
  <si>
    <t>gs://swe-bench-plus/evaluations/019c63b0-5201-7257-9916-f49303cabd22-hiero-ledger__hiero-consensus-node-23014-swe-agent-claude-sonnet-4.5</t>
  </si>
  <si>
    <t>https://drive.google.com/drive/folders/1Q0jvGXThKqkzREfe1cCP79fjbtnuG-c4</t>
  </si>
  <si>
    <t>hiero-ledger/hiero-consensus-node</t>
  </si>
  <si>
    <t>hiero-ledger__hiero-consensus-node</t>
  </si>
  <si>
    <t>hiero-ledger__hiero-consensus-node-22315</t>
  </si>
  <si>
    <t>https://github.com/hiero-ledger/hiero-consensus-node/issues/22315</t>
  </si>
  <si>
    <t>gs://swe-bench-plus/evaluations/019bc798-5e68-70de-88e9-08b16b20559a-hiero-ledger__hiero-consensus-node-22315-swe-agent-claude-sonnet-4-20250514</t>
  </si>
  <si>
    <t>https://drive.google.com/drive/folders/1qhJicdNKCcT9Hos0gdkKVEoI8MpmiSbn</t>
  </si>
  <si>
    <t>hiero-ledger__hiero-consensus-node-22924</t>
  </si>
  <si>
    <t>https://github.com/hiero-ledger/hiero-consensus-node/issues/22924</t>
  </si>
  <si>
    <t>gs://swe-bench-plus/evaluations/019c2529-a1c8-746f-909c-97aadb2f8ca7-hiero-ledger__hiero-consensus-node-22924-swe-agent-claude-sonnet-4.5</t>
  </si>
  <si>
    <t>https://drive.google.com/drive/folders/1Itv2tyN-m4p-gEtPVGzboOM8QIPQmtF8</t>
  </si>
  <si>
    <t>hiero-ledger__hiero-consensus-node-22051</t>
  </si>
  <si>
    <t>https://github.com/hiero-ledger/hiero-consensus-node/issues/22051</t>
  </si>
  <si>
    <t>gs://swe-bench-plus/evaluations/019c63b0-5201-7257-9916-f49303cabd22-hiero-ledger__hiero-consensus-node-22051-swe-agent-claude-sonnet-4-20250514</t>
  </si>
  <si>
    <t>hiero-ledger__hiero-consensus-node-21627</t>
  </si>
  <si>
    <t>https://github.com/hiero-ledger/hiero-consensus-node/issues/21627</t>
  </si>
  <si>
    <t>gs://swe-bench-plus/evaluations/019c75f5-6b8c-7228-9f9c-93aa98fd3824-hiero-ledger__hiero-consensus-node-21627-swe-agent-claude-sonnet-4.5</t>
  </si>
  <si>
    <t>https://drive.google.com/drive/folders/1a-isJAM-QH7lABg8_tZlvZOi_KtI6RtF</t>
  </si>
  <si>
    <t>hiero-ledger__hiero-local-node-868</t>
  </si>
  <si>
    <t>https://github.com/hiero-ledger/hiero-local-node/issues/868</t>
  </si>
  <si>
    <t>blockchain;infra-devops;devtools</t>
  </si>
  <si>
    <t>gs://swe-bench-plus/evaluations/019b6aaf-1788-707e-b6dd-d4dc12d72279-hiero-ledger__hiero-local-node-868-swe-agent-claude-sonnet-4.5</t>
  </si>
  <si>
    <t>https://drive.google.com/drive/folders/1MlgGlkcGnunr6hdF5FvaN9oC8auRnIub</t>
  </si>
  <si>
    <t>hiero-ledger/hiero-local-node</t>
  </si>
  <si>
    <t>hiero-ledger__hiero-local-node</t>
  </si>
  <si>
    <t>hiero-ledger__hiero-mirror-node-11245</t>
  </si>
  <si>
    <t>https://github.com/hiero-ledger/hiero-mirror-node/issues/11245</t>
  </si>
  <si>
    <t>gs://swe-bench-plus/evaluations/019bc798-5e68-70de-88e9-08b16b20559a-hiero-ledger__hiero-mirror-node-11245-swe-agent-claude-sonnet-4-20250514</t>
  </si>
  <si>
    <t>https://drive.google.com/drive/folders/1FMyLxq-n8nL5bj2uduJqg8UI1hVZU3IY</t>
  </si>
  <si>
    <t>hiero-ledger/hiero-mirror-node</t>
  </si>
  <si>
    <t>hiero-ledger__hiero-mirror-node</t>
  </si>
  <si>
    <t>hiero-ledger__hiero-mirror-node-12117</t>
  </si>
  <si>
    <t>https://github.com/hiero-ledger/hiero-mirror-node/issues/12117</t>
  </si>
  <si>
    <t>blockchain;data-eng</t>
  </si>
  <si>
    <t>gs://swe-bench-plus/evaluations/019b6ab1-4e74-7019-9e81-9c96e98a145d-hiero-ledger__hiero-mirror-node-12117-swe-agent-claude-sonnet-4.5</t>
  </si>
  <si>
    <t>https://drive.google.com/drive/folders/1OlhpiapUxTbu45-_xIsYCUn1NAFaHtpK</t>
  </si>
  <si>
    <t>hiero-ledger__hiero-sdk-js-3274</t>
  </si>
  <si>
    <t>https://github.com/hiero-ledger/hiero-sdk-js/issues/3274</t>
  </si>
  <si>
    <t>gs://swe-bench-plus/evaluations/019c66b4-eabc-7558-9200-0cb1aa23d63b-hiero-ledger__hiero-sdk-js-3274-swe-agent-claude-sonnet-4-20250514</t>
  </si>
  <si>
    <t>https://drive.google.com/drive/folders/1Geo2_WQ65gDJnd5g_x01OKI5IPGE9jkp</t>
  </si>
  <si>
    <t>hiero-ledger/hiero-sdk-js</t>
  </si>
  <si>
    <t>hiero-ledger__hiero-sdk-js</t>
  </si>
  <si>
    <t>hiero-ledger__hiero-sdk-js-3200</t>
  </si>
  <si>
    <t>https://github.com/hiero-ledger/hiero-sdk-js/issues/3200</t>
  </si>
  <si>
    <t>gs://swe-bench-plus/evaluations/019b6ab1-4e74-7019-9e81-9c96e98a145d-hiero-ledger__hiero-sdk-js-3200-swe-agent-claude-sonnet-4.5</t>
  </si>
  <si>
    <t>https://drive.google.com/drive/folders/1Up2jY9nzXUP_jHmBzW_xDMv-qYwvJpOs</t>
  </si>
  <si>
    <t>hierynomus__sshj-861</t>
  </si>
  <si>
    <t>https://github.com/hierynomus/sshj/issues/861</t>
  </si>
  <si>
    <t>feature;refactor;bug-fix</t>
  </si>
  <si>
    <t>gs://swe-bench-plus/evaluations/019bc794-37db-7668-96b7-98997dff752e-hierynomus__sshj-861-swe-agent-claude-sonnet-4-20250514</t>
  </si>
  <si>
    <t>https://drive.google.com/drive/folders/1J1U-0pkIJQEUgXn4yxk1NruCJ1ZYUErF</t>
  </si>
  <si>
    <t>hierynomus/sshj</t>
  </si>
  <si>
    <t>hierynomus__sshj</t>
  </si>
  <si>
    <t>higher-kinded-j__higher-kinded-j-321</t>
  </si>
  <si>
    <t>https://github.com/higher-kinded-j/higher-kinded-j/issues/321</t>
  </si>
  <si>
    <t>gs://swe-bench-plus/evaluations/019c9aad-36b7-7363-979b-09f446c180bc-higher-kinded-j__higher-kinded-j-321-swe-agent-claude-sonnet-4-20250514</t>
  </si>
  <si>
    <t>https://drive.google.com/drive/folders/1r0WlYtWzUEkcJ73VZfBe2VGNf-7xMHv6</t>
  </si>
  <si>
    <t>higher-kinded-j/higher-kinded-j</t>
  </si>
  <si>
    <t>higher-kinded-j__higher-kinded-j</t>
  </si>
  <si>
    <t>higher-kinded-j__higher-kinded-j-370</t>
  </si>
  <si>
    <t>https://github.com/higher-kinded-j/higher-kinded-j/issues/370</t>
  </si>
  <si>
    <t>gs://swe-bench-plus/evaluations/019c9aad-36b7-7363-979b-09f446c180bc-higher-kinded-j__higher-kinded-j-370-swe-agent-claude-sonnet-4-20250514</t>
  </si>
  <si>
    <t>https://drive.google.com/drive/folders/1VIF-rBS5AdAUzglsEs0fR8ADgy2H6Hks</t>
  </si>
  <si>
    <t>higher-kinded-j__higher-kinded-j-183</t>
  </si>
  <si>
    <t>https://github.com/higher-kinded-j/higher-kinded-j/issues/183</t>
  </si>
  <si>
    <t>gs://swe-bench-plus/evaluations/019c9aad-36b7-7363-979b-09f446c180bc-higher-kinded-j__higher-kinded-j-183-swe-agent-claude-sonnet-4-20250514</t>
  </si>
  <si>
    <t>https://drive.google.com/drive/folders/1YYCF7Ku2fAGJsJg51vKG52FdfY_Rbu31</t>
  </si>
  <si>
    <t>hitobito__hitobito-3407</t>
  </si>
  <si>
    <t>https://github.com/hitobito/hitobito/issues/3407</t>
  </si>
  <si>
    <t>gs://swe-bench-plus/evaluations/019a0e86-7f0e-770f-9e4a-12adf1aee67f-hitobito__hitobito-3407-swe-agent-claude-sonnet-4-20250514</t>
  </si>
  <si>
    <t>https://drive.google.com/drive/folders/1UjSkbYeLpVAkYuIQE9w3ZEbW_64tgr2c</t>
  </si>
  <si>
    <t>hitobito/hitobito</t>
  </si>
  <si>
    <t>hitobito__hitobito</t>
  </si>
  <si>
    <t>hluk__CopyQ-3159</t>
  </si>
  <si>
    <t>https://github.com/hluk/CopyQ/issues/3159</t>
  </si>
  <si>
    <t>gs://swe-bench-plus/evaluations/019b06b8-5347-7669-9f51-4e4681f5c848-hluk__CopyQ-3159-swe-agent-claude-sonnet-4.5</t>
  </si>
  <si>
    <t>https://drive.google.com/drive/folders/1-_3NltchzNgnzRhjaJ-yMDiPDLtdWFxD</t>
  </si>
  <si>
    <t>hluk/CopyQ</t>
  </si>
  <si>
    <t>hluk__CopyQ</t>
  </si>
  <si>
    <t>hmatuschek__qdmr-651</t>
  </si>
  <si>
    <t>https://github.com/hmatuschek/qdmr/issues/651</t>
  </si>
  <si>
    <t>feature;documentation;bug-fix</t>
  </si>
  <si>
    <t>gs://swe-bench-plus/evaluations/019b6aa7-0380-771f-9e02-24cda0fe6639-hmatuschek__qdmr-651-swe-agent-claude-sonnet-4.5</t>
  </si>
  <si>
    <t>https://drive.google.com/drive/folders/1F7VqSSqEYkuCPaEklq-0rbEvc8Ch_cIa</t>
  </si>
  <si>
    <t>hmatuschek/qdmr</t>
  </si>
  <si>
    <t>hmatuschek__qdmr</t>
  </si>
  <si>
    <t>hngprojects__hng_boilerplate_csharp_web-424</t>
  </si>
  <si>
    <t>https://github.com/hngprojects/hng_boilerplate_csharp_web/issues/424</t>
  </si>
  <si>
    <t>https://drive.google.com/drive/folders/1H0oeAMrh6FQMeesXR5Z8wAaBWtKHGDkq</t>
  </si>
  <si>
    <t>https://drive.google.com/drive/folders/1MKm2e1RRmU9QnYZ9817lTmzEPg2FlvlW</t>
  </si>
  <si>
    <t>hngprojects/hng_boilerplate_csharp_web</t>
  </si>
  <si>
    <t>hngprojects__hng_boilerplate_csharp_web</t>
  </si>
  <si>
    <t>hngprojects__hng_boilerplate_java_web-693</t>
  </si>
  <si>
    <t>https://github.com/hngprojects/hng_boilerplate_java_web/issues/693</t>
  </si>
  <si>
    <t>gs://swe-bench-plus/evaluations/019bc796-66b6-7744-99a6-9ba9969a7e01-hngprojects__hng_boilerplate_java_web-693-swe-agent-claude-sonnet-4-20250514</t>
  </si>
  <si>
    <t>https://drive.google.com/drive/folders/1QK5Or3EpZv1AxAKLhgTgZSzv9NkGbwzo</t>
  </si>
  <si>
    <t>hngprojects/hng_boilerplate_java_web</t>
  </si>
  <si>
    <t>hngprojects__hng_boilerplate_java_web</t>
  </si>
  <si>
    <t>holoviz__panel-7406</t>
  </si>
  <si>
    <t>https://github.com/holoviz/panel/issues/7406</t>
  </si>
  <si>
    <t>webdev;applications;graphics-media</t>
  </si>
  <si>
    <t>https://drive.google.com/drive/folders/1F1PJ1W3tP5PiEBXySX8BilvVVnYNZgn-</t>
  </si>
  <si>
    <t>https://drive.google.com/drive/folders/191K7Itbc_LDamdzI05jZbgSZubIHcmEy</t>
  </si>
  <si>
    <t>holoviz/panel</t>
  </si>
  <si>
    <t>holoviz__panel</t>
  </si>
  <si>
    <t>holoviz__panel-7558</t>
  </si>
  <si>
    <t>https://github.com/holoviz/panel/issues/7558</t>
  </si>
  <si>
    <t>applications;webdev;graphics-media</t>
  </si>
  <si>
    <t>https://drive.google.com/drive/folders/1PP3lvjMjlq9OilpA3r5MoKgMiZT4nnY-</t>
  </si>
  <si>
    <t>https://drive.google.com/drive/folders/1dSv_Gx1Z4OrNZNwHX89iOMZtDATY4Yzs</t>
  </si>
  <si>
    <t>home-assistant__supervisor-6179</t>
  </si>
  <si>
    <t>https://github.com/home-assistant/supervisor/issues/6179</t>
  </si>
  <si>
    <t>gs://swe-bench-plus/evaluations/019a11d0-17d3-730b-bffc-06f187eef661-home-assistant__supervisor-6179-swe-agent-claude-sonnet-4-20250514</t>
  </si>
  <si>
    <t>home-assistant/supervisor</t>
  </si>
  <si>
    <t>home-assistant__supervisor</t>
  </si>
  <si>
    <t>honojs__hono-3787</t>
  </si>
  <si>
    <t>https://github.com/honojs/hono/issues/3787</t>
  </si>
  <si>
    <t>https://drive.google.com/drive/folders/17qSMVsz4LdBOhVU3W3CBS9mclNLjunQT</t>
  </si>
  <si>
    <t>https://drive.google.com/drive/folders/1F58We-Amj-z0Kgvf7h8kO3RfB-iz2Tcr</t>
  </si>
  <si>
    <t>honojs/hono</t>
  </si>
  <si>
    <t>honojs__hono</t>
  </si>
  <si>
    <t>html2rss__html2rss-253</t>
  </si>
  <si>
    <t>https://github.com/html2rss/html2rss/issues/253</t>
  </si>
  <si>
    <t>gs://swe-bench-plus/evaluations/019b6aaf-1788-707e-b6dd-d4dc12d72279-html2rss__html2rss-253-swe-agent-claude-sonnet-4.5</t>
  </si>
  <si>
    <t>https://drive.google.com/drive/folders/13GWFZaYV0yAeelodlRRzDN5agBqgEEyD</t>
  </si>
  <si>
    <t>html2rss/html2rss</t>
  </si>
  <si>
    <t>html2rss__html2rss</t>
  </si>
  <si>
    <t>huggingface__hf-mcp-server-46</t>
  </si>
  <si>
    <t>https://github.com/huggingface/hf-mcp-server/issues/46</t>
  </si>
  <si>
    <t>gs://swe-bench-plus/evaluations/019b6aa7-0380-771f-9e02-24cda0fe6639-huggingface__hf-mcp-server-46-swe-agent-claude-sonnet-4.5</t>
  </si>
  <si>
    <t>https://drive.google.com/drive/folders/1NBS8EWxVMZBMAcWTcV1YP8tfu74AA5w3</t>
  </si>
  <si>
    <t>huggingface/hf-mcp-server</t>
  </si>
  <si>
    <t>huggingface__hf-mcp-server</t>
  </si>
  <si>
    <t>hukkin__mdformat-470</t>
  </si>
  <si>
    <t>https://github.com/hukkin/mdformat/issues/470</t>
  </si>
  <si>
    <t>gs://swe-bench-plus/evaluations/019a8f6e-6e49-72e1-8adc-7d67083c10ad-hukkin__mdformat-470-open-hands-claude-sonnet-4-20250514</t>
  </si>
  <si>
    <t>https://drive.google.com/drive/folders/1p3fPxBeNnWJTD2qFzS33a6Nfa32PUbpz</t>
  </si>
  <si>
    <t>hukkin/mdformat</t>
  </si>
  <si>
    <t>hukkin__mdformat</t>
  </si>
  <si>
    <t>hyochan__expo-iap-214</t>
  </si>
  <si>
    <t>https://github.com/hyochan/expo-iap/issues/214</t>
  </si>
  <si>
    <t>gs://swe-bench-plus/evaluations/019bcd77-2925-7748-82f0-eda561be7006-hyochan__expo-iap-214-swe-agent-claude-sonnet-4.5</t>
  </si>
  <si>
    <t>https://drive.google.com/drive/folders/1GZmERgE9K1W92DhufEAoH9Yzs6hqfhmA</t>
  </si>
  <si>
    <t>hyochan/expo-iap</t>
  </si>
  <si>
    <t>hyochan__expo-iap</t>
  </si>
  <si>
    <t>hyparam__hyparquet-80</t>
  </si>
  <si>
    <t>https://github.com/hyparam/hyparquet/issues/80</t>
  </si>
  <si>
    <t>refactor;build-ci;documentation</t>
  </si>
  <si>
    <t>gs://swe-bench-plus/evaluations/019b6aaf-1788-707e-b6dd-d4dc12d72279-hyparam__hyparquet-80-swe-agent-claude-sonnet-4.5</t>
  </si>
  <si>
    <t>https://drive.google.com/drive/folders/18JM3-edLMJeBQAzpNQsWmvzSWvYtQBqt</t>
  </si>
  <si>
    <t>hyparam/hyparquet</t>
  </si>
  <si>
    <t>hyparam__hyparquet</t>
  </si>
  <si>
    <t>hyperledger__besu-8375</t>
  </si>
  <si>
    <t>https://github.com/hyperledger/besu/issues/8375</t>
  </si>
  <si>
    <t>blockchain;infra-devops;applications</t>
  </si>
  <si>
    <t>gs://swe-bench-plus/evaluations/019b6aaf-1788-707e-b6dd-d4dc12d72279-hyperledger__besu-8375-swe-agent-claude-sonnet-4.5</t>
  </si>
  <si>
    <t>https://drive.google.com/drive/folders/1DPceoG2fIzodJfi3QMiISOVQeRHScgCF</t>
  </si>
  <si>
    <t>hyperledger/besu</t>
  </si>
  <si>
    <t>hyperledger__besu</t>
  </si>
  <si>
    <t>hyperledger__besu-9271</t>
  </si>
  <si>
    <t>https://github.com/hyperledger/besu/issues/9271</t>
  </si>
  <si>
    <t>gs://swe-bench-plus/evaluations/019b6ab1-4e74-7019-9e81-9c96e98a145d-hyperledger__besu-9271-swe-agent-claude-sonnet-4.5</t>
  </si>
  <si>
    <t>https://drive.google.com/drive/folders/1s-ovITSHp5lJQSxq8X8GSYqacg03aVbY</t>
  </si>
  <si>
    <t>hyperledger__besu-9536</t>
  </si>
  <si>
    <t>https://github.com/hyperledger/besu/issues/9536</t>
  </si>
  <si>
    <t>gs://swe-bench-plus/evaluations/019c2527-8af6-7128-8f79-c6ab950217ac-hyperledger__besu-9536-swe-agent-claude-sonnet-4.5</t>
  </si>
  <si>
    <t>https://drive.google.com/drive/folders/1Tm2M99BFiVlBlfAk77soZmjLSndFCKWj</t>
  </si>
  <si>
    <t>hyperledger__besu-9664</t>
  </si>
  <si>
    <t>https://github.com/hyperledger/besu/issues/9664</t>
  </si>
  <si>
    <t>gs://swe-bench-plus/evaluations/019c63b0-5201-7257-9916-f49303cabd22-hyperledger__besu-9664-swe-agent-claude-sonnet-4.5</t>
  </si>
  <si>
    <t>https://drive.google.com/drive/folders/1qGzXZYIz2MlQX6AXPffXU2F4ZfbcICnR</t>
  </si>
  <si>
    <t>HyphaApp__hypha-4390</t>
  </si>
  <si>
    <t>https://github.com/HyphaApp/hypha/issues/4390</t>
  </si>
  <si>
    <t>https://drive.google.com/drive/folders/1qhpCfNHO1LY0s34D8Ei0GhfnoOb5LEy5</t>
  </si>
  <si>
    <t>https://drive.google.com/drive/folders/11UrLOzEOe4BEBJ3MOlPe6h0tJ8PnV0KC</t>
  </si>
  <si>
    <t>HyphaApp/hypha</t>
  </si>
  <si>
    <t>HyphaApp__hypha</t>
  </si>
  <si>
    <t>ia-toki__tcframe-199</t>
  </si>
  <si>
    <t>https://github.com/ia-toki/tcframe/issues/199</t>
  </si>
  <si>
    <t>gs://swe-bench-plus/evaluations/019a5895-e71d-746e-aef5-2aa3e9b7f3a3-ia-toki__tcframe-199-swe-agent-claude-sonnet-4.5</t>
  </si>
  <si>
    <t>https://drive.google.com/drive/folders/1BOoZ-IIob-AqT0J21qttBahoiq7GQu7u</t>
  </si>
  <si>
    <t>ia-toki/tcframe</t>
  </si>
  <si>
    <t>ia-toki__tcframe</t>
  </si>
  <si>
    <t>IBM__mcp-context-forge-733</t>
  </si>
  <si>
    <t>https://github.com/IBM/mcp-context-forge/issues/733</t>
  </si>
  <si>
    <t>https://drive.google.com/drive/folders/1EOsEXk9TvvxR6E6N5qa4b1SBCW2xdbLs</t>
  </si>
  <si>
    <t>https://drive.google.com/drive/folders/1F60IXSaVDvKuq9PRKiIy21iozit6__ln</t>
  </si>
  <si>
    <t>IBM/mcp-context-forge</t>
  </si>
  <si>
    <t>IBM__mcp-context-forge</t>
  </si>
  <si>
    <t>IBM__terratorch-527</t>
  </si>
  <si>
    <t>https://github.com/IBM/terratorch/issues/527</t>
  </si>
  <si>
    <t>gs://swe-bench-plus/evaluations/019a8508-78a8-712a-b970-052ae053c3bc-IBM__terratorch-527-open-hands-claude-sonnet-4-20250514</t>
  </si>
  <si>
    <t>IBM/terratorch</t>
  </si>
  <si>
    <t>IBM__terratorch</t>
  </si>
  <si>
    <t>ical-org__ical.net-794</t>
  </si>
  <si>
    <t>https://github.com/ical-org/ical.net/issues/794</t>
  </si>
  <si>
    <t>https://drive.google.com/drive/folders/1X1e3-99jpG45B0prqWfud-6ee-Lv9jHa</t>
  </si>
  <si>
    <t>https://drive.google.com/drive/folders/1YY1Ux9egcXIwzxjF3nB0vioavFzHyyQv</t>
  </si>
  <si>
    <t>ical-org/ical.net</t>
  </si>
  <si>
    <t>ical-org__ical.net</t>
  </si>
  <si>
    <t>ical-org__ical.net-750</t>
  </si>
  <si>
    <t>https://github.com/ical-org/ical.net/issues/750</t>
  </si>
  <si>
    <t>gs://swe-bench-plus/evaluations/019b6aa7-0380-771f-9e02-24cda0fe6639-ical-org__ical.net-750-swe-agent-claude-sonnet-4.5</t>
  </si>
  <si>
    <t>https://drive.google.com/drive/folders/1S4_4ejYYlAn1JGnv9TbkQSyJnFIoNpOr</t>
  </si>
  <si>
    <t>ical-org__ical.net-851</t>
  </si>
  <si>
    <t>https://github.com/ical-org/ical.net/issues/851</t>
  </si>
  <si>
    <t>gs://swe-bench-plus/evaluations/019b6ab1-4e74-7019-9e81-9c96e98a145d-ical-org__ical.net-851-swe-agent-claude-sonnet-4.5</t>
  </si>
  <si>
    <t>https://drive.google.com/drive/folders/149HI954JyOOEhN3CBhx5t3SFjagfw64i</t>
  </si>
  <si>
    <t>icaros-usc__pyribs-639</t>
  </si>
  <si>
    <t>https://github.com/icaros-usc/pyribs/issues/639</t>
  </si>
  <si>
    <t>gs://swe-bench-plus/evaluations/019a6f31-5865-7528-b3d7-dd9431bd3aac-icaros-usc__pyribs-639-swe-agent-claude-sonnet-4.5</t>
  </si>
  <si>
    <t>icaros-usc/pyribs</t>
  </si>
  <si>
    <t>icaros-usc__pyribs</t>
  </si>
  <si>
    <t>Icinga__icinga2-9893</t>
  </si>
  <si>
    <t>https://github.com/Icinga/icinga2/issues/9893</t>
  </si>
  <si>
    <t>https://drive.google.com/drive/folders/1FrvODr8W3v_ljnS2BsoGzpy9bJ3x8zlr</t>
  </si>
  <si>
    <t>https://drive.google.com/drive/folders/1MTgy_rxoUsJNguqKDJ7gi-yBF5pw7l3G</t>
  </si>
  <si>
    <t>Icinga/icinga2</t>
  </si>
  <si>
    <t>Icinga__icinga2</t>
  </si>
  <si>
    <t>ICTU__quality-time-10300</t>
  </si>
  <si>
    <t>https://github.com/ICTU/quality-time/issues/10300</t>
  </si>
  <si>
    <t>applications;devtools;infra-devops</t>
  </si>
  <si>
    <t>https://drive.google.com/drive/folders/137wy7YWAzXU4He_WdaNg4xtmEFaWwkgA</t>
  </si>
  <si>
    <t>https://drive.google.com/drive/folders/12469inaQ3g45R7Zjo1lGr2kT7tgzeSmW</t>
  </si>
  <si>
    <t>ICTU/quality-time</t>
  </si>
  <si>
    <t>ICTU__quality-time</t>
  </si>
  <si>
    <t>igorkasyanchuk__active_storage_validations-294</t>
  </si>
  <si>
    <t>https://github.com/igorkasyanchuk/active_storage_validations/issues/294</t>
  </si>
  <si>
    <t>gs://swe-bench-plus/evaluations/019b6aaf-1788-707e-b6dd-d4dc12d72279-igorkasyanchuk__active_storage_validations-294-swe-agent-claude-sonnet-4.5</t>
  </si>
  <si>
    <t>https://drive.google.com/drive/folders/1HXHGhGrBhyHMcpb3m3HsafbhnvO1yrPf</t>
  </si>
  <si>
    <t>igorkasyanchuk/active_storage_validations</t>
  </si>
  <si>
    <t>igorkasyanchuk__active_storage_validations</t>
  </si>
  <si>
    <t>image-rs__image-webp-147</t>
  </si>
  <si>
    <t>https://github.com/image-rs/image-webp/issues/147</t>
  </si>
  <si>
    <t>https://drive.google.com/drive/folders/1Sv5mDksSmZsOPTSFpPdEKCspIygpHaQ0</t>
  </si>
  <si>
    <t>https://drive.google.com/drive/folders/19Wc7kBRGdRrLzon8nTKAtmOftK54edXT</t>
  </si>
  <si>
    <t>image-rs/image-webp</t>
  </si>
  <si>
    <t>image-rs__image-webp</t>
  </si>
  <si>
    <t>ImagingDataCommons__slim-326</t>
  </si>
  <si>
    <t>https://github.com/ImagingDataCommons/slim/issues/326</t>
  </si>
  <si>
    <t>gs://swe-bench-plus/evaluations/019b6aaf-1788-707e-b6dd-d4dc12d72279-ImagingDataCommons__slim-326-swe-agent-claude-sonnet-4.5</t>
  </si>
  <si>
    <t>https://drive.google.com/drive/folders/1ed3Yo5irW1kO5CVtGvrwZC2ixPwh3492</t>
  </si>
  <si>
    <t>ImagingDataCommons/slim</t>
  </si>
  <si>
    <t>ImagingDataCommons__slim</t>
  </si>
  <si>
    <t>imap-science-operations-center__imap_processing-1357</t>
  </si>
  <si>
    <t>https://github.com/imap-science-operations-center/imap_processing/issues/1357</t>
  </si>
  <si>
    <t>https://drive.google.com/drive/folders/1Vo-QgGblkPI-7jzS19btd5nWHwIT3zIT</t>
  </si>
  <si>
    <t>https://drive.google.com/drive/folders/1Oh13zCHsJvp571V-xc8rGXQJCt5erUSj</t>
  </si>
  <si>
    <t>imap-science-operations-center/imap_processing</t>
  </si>
  <si>
    <t>imap-science-operations-center__imap_processing</t>
  </si>
  <si>
    <t>imap-science-operations-center__imap_processing-1584</t>
  </si>
  <si>
    <t>https://github.com/imap-science-operations-center/imap_processing/issues/1584</t>
  </si>
  <si>
    <t>https://drive.google.com/drive/folders/1SjqK5NpPvANXUyndUD6xl0TwjjLGBsJL</t>
  </si>
  <si>
    <t>https://drive.google.com/drive/folders/1r78luYEb-_UxVbRAODkSyHjW0lj1ftRa</t>
  </si>
  <si>
    <t>immutables__immutables-1615</t>
  </si>
  <si>
    <t>https://github.com/immutables/immutables/issues/1615</t>
  </si>
  <si>
    <t>feature;dependency-update;test</t>
  </si>
  <si>
    <t>gs://swe-bench-plus/evaluations/019b3c26-16fe-7517-9031-f89dfd2f980c-immutables__immutables-1615-swe-agent-claude-sonnet-4-20250514</t>
  </si>
  <si>
    <t>https://drive.google.com/drive/folders/1Uo8FXhlrVZ0RgQvaYkq9vWRgpSfISyq6</t>
  </si>
  <si>
    <t>immutables/immutables</t>
  </si>
  <si>
    <t>immutables__immutables</t>
  </si>
  <si>
    <t>InboxWhiz__gmail-declutter-extension-71</t>
  </si>
  <si>
    <t>https://github.com/InboxWhiz/gmail-declutter-extension/issues/71</t>
  </si>
  <si>
    <t>gs://swe-bench-plus/evaluations/019b6aa7-0380-771f-9e02-24cda0fe6639-InboxWhiz__gmail-declutter-extension-71-swe-agent-claude-sonnet-4.5</t>
  </si>
  <si>
    <t>https://drive.google.com/drive/folders/1FkAvjSiTq-jULwxBLIiwjjo-y9dfa0oE</t>
  </si>
  <si>
    <t>InboxWhiz/gmail-declutter-extension</t>
  </si>
  <si>
    <t>InboxWhiz__gmail-declutter-extension</t>
  </si>
  <si>
    <t>infinispan__infinispan-operator-2236</t>
  </si>
  <si>
    <t>https://github.com/infinispan/infinispan-operator/issues/2236</t>
  </si>
  <si>
    <t>refactor;maintenance;performance</t>
  </si>
  <si>
    <t>gs://swe-bench-plus/evaluations/019b6aaf-1788-707e-b6dd-d4dc12d72279-infinispan__infinispan-operator-2236-swe-agent-claude-sonnet-4.5</t>
  </si>
  <si>
    <t>https://drive.google.com/drive/folders/17TYdZe6UE_0tY7AhKaFv2lcT_jCmrqrk</t>
  </si>
  <si>
    <t>infinispan/infinispan-operator</t>
  </si>
  <si>
    <t>infinispan__infinispan-operator</t>
  </si>
  <si>
    <t>InfluxCommunity__influxdb3-go-131</t>
  </si>
  <si>
    <t>https://github.com/InfluxCommunity/influxdb3-go/issues/131</t>
  </si>
  <si>
    <t>gs://swe-bench-plus/evaluations/019b0df7-ade4-70bc-89dc-2dc1c6248f76-InfluxCommunity__influxdb3-go-131-swe-agent-claude-opus-4.5</t>
  </si>
  <si>
    <t>https://drive.google.com/drive/folders/1Wk8_pu4vTWb5_rQ4GyeAm1iSl-XuBJBc</t>
  </si>
  <si>
    <t>InfluxCommunity/influxdb3-go</t>
  </si>
  <si>
    <t>InfluxCommunity__influxdb3-go</t>
  </si>
  <si>
    <t>InfluxCommunity__influxdb3-go-112</t>
  </si>
  <si>
    <t>https://github.com/InfluxCommunity/influxdb3-go/issues/112</t>
  </si>
  <si>
    <t>gs://swe-bench-plus/evaluations/019b6aa7-0380-771f-9e02-24cda0fe6639-InfluxCommunity__influxdb3-go-112-swe-agent-claude-sonnet-4.5</t>
  </si>
  <si>
    <t>https://drive.google.com/drive/folders/1fMpMQtkIW3nkh2zK0UdhDNT3BVWjBUDz</t>
  </si>
  <si>
    <t>InfluxCommunity__influxdb3-python-140</t>
  </si>
  <si>
    <t>https://github.com/InfluxCommunity/influxdb3-python/issues/140</t>
  </si>
  <si>
    <t>https://drive.google.com/drive/folders/1bZLW4PWCagBV1Ecwf43n2Ru4P_RAa7RY</t>
  </si>
  <si>
    <t>https://drive.google.com/drive/folders/1QKNPP7Qvs2JfrGNkgeah3Dl_yJVOb4KZ</t>
  </si>
  <si>
    <t>InfluxCommunity/influxdb3-python</t>
  </si>
  <si>
    <t>InfluxCommunity__influxdb3-python</t>
  </si>
  <si>
    <t>influxdata__influxdb-25914</t>
  </si>
  <si>
    <t>https://github.com/influxdata/influxdb/issues/25914</t>
  </si>
  <si>
    <t>https://drive.google.com/drive/folders/1y4eTCGTMtonXFIAoCTFlxq37zDNtnmL_</t>
  </si>
  <si>
    <t>https://drive.google.com/drive/folders/1ZoI_KthPqGbkO2ZwuyETadnDV-Ac6amA</t>
  </si>
  <si>
    <t>influxdata/influxdb</t>
  </si>
  <si>
    <t>influxdata__influxdb</t>
  </si>
  <si>
    <t>influxdata__influxdb-25793</t>
  </si>
  <si>
    <t>https://github.com/influxdata/influxdb/issues/25793</t>
  </si>
  <si>
    <t>https://drive.google.com/drive/folders/1mzu3OrJ51iGehTGXAjuX0MDtILpiHqRT</t>
  </si>
  <si>
    <t>https://drive.google.com/drive/folders/1UrMs-8eF4bFaV1CbWe5gZOpGwgAGwtVp</t>
  </si>
  <si>
    <t>influxdata__influxdb-25803</t>
  </si>
  <si>
    <t>https://github.com/influxdata/influxdb/issues/25803</t>
  </si>
  <si>
    <t>https://drive.google.com/drive/folders/1tG8Y-reYZUJNUAUjRGIfkgeY5j2AP2Qf</t>
  </si>
  <si>
    <t>https://drive.google.com/drive/folders/1uNE3FzEzypaijMCVW8HkXwDjEMD440TR</t>
  </si>
  <si>
    <t>Inist-CNRS__lodex-2742</t>
  </si>
  <si>
    <t>https://github.com/Inist-CNRS/lodex/issues/2742</t>
  </si>
  <si>
    <t>gs://swe-bench-plus/evaluations/019b6aaf-1788-707e-b6dd-d4dc12d72279-Inist-CNRS__lodex-2742-swe-agent-claude-sonnet-4.5</t>
  </si>
  <si>
    <t>https://drive.google.com/drive/folders/1En9ZN-83IhBeRLq1dUlRQZ9vgF1PHOma</t>
  </si>
  <si>
    <t>Inist-CNRS/lodex</t>
  </si>
  <si>
    <t>Inist-CNRS__lodex</t>
  </si>
  <si>
    <t>inocan-group__vue3-google-map</t>
  </si>
  <si>
    <t>inspectIT__inspectit-ocelot-1719</t>
  </si>
  <si>
    <t>https://github.com/inspectIT/inspectit-ocelot/issues/1719</t>
  </si>
  <si>
    <t>gs://swe-bench-plus/evaluations/019b6aaf-1788-707e-b6dd-d4dc12d72279-inspectIT__inspectit-ocelot-1719-swe-agent-claude-sonnet-4.5</t>
  </si>
  <si>
    <t>https://drive.google.com/drive/folders/1-39ODsL6FLah2y4LcZZxxqQTRw0yiBF0</t>
  </si>
  <si>
    <t>inspectIT/inspectit-ocelot</t>
  </si>
  <si>
    <t>inspectIT__inspectit-ocelot</t>
  </si>
  <si>
    <t>inspectIT__inspectit-ocelot-1753</t>
  </si>
  <si>
    <t>https://github.com/inspectIT/inspectit-ocelot/issues/1753</t>
  </si>
  <si>
    <t>gs://swe-bench-plus/evaluations/019bc798-5e68-70de-88e9-08b16b20559a-inspectIT__inspectit-ocelot-1753-swe-agent-claude-sonnet-4-20250514</t>
  </si>
  <si>
    <t>https://drive.google.com/drive/folders/1pgL_e92nuGDvjsdrc0-8l7-Pn0I2mjaE</t>
  </si>
  <si>
    <t>instructlab__instructlab-2886</t>
  </si>
  <si>
    <t>https://github.com/instructlab/instructlab/issues/2886</t>
  </si>
  <si>
    <t>gs://swe-bench-plus/evaluations/019ac57e-f665-72ea-8d22-b2c491531db5-instructlab__instructlab-2886-open-hands-claude-sonnet-4-20250514</t>
  </si>
  <si>
    <t>https://drive.google.com/drive/folders/176cFeks0e4pr2wABS7cmcFaM6jx1wGW-</t>
  </si>
  <si>
    <t>instructlab/instructlab</t>
  </si>
  <si>
    <t>instructlab__instructlab</t>
  </si>
  <si>
    <t>intellectronica__ruler-139</t>
  </si>
  <si>
    <t>https://github.com/intellectronica/ruler/issues/139</t>
  </si>
  <si>
    <t>gs://swe-bench-plus/evaluations/019c66b2-2d90-7260-9966-4e0d0d7a99cf-intellectronica__ruler-139-swe-agent-claude-sonnet-4-20250514</t>
  </si>
  <si>
    <t>https://drive.google.com/drive/folders/1pn2oxlSGdvazURKM_C9Dv4Bs6wLZNxQX</t>
  </si>
  <si>
    <t>intellectronica/ruler</t>
  </si>
  <si>
    <t>intellectronica__ruler</t>
  </si>
  <si>
    <t>interledger__web-monetization-extension-1027</t>
  </si>
  <si>
    <t>https://github.com/interledger/web-monetization-extension/issues/1027</t>
  </si>
  <si>
    <t>applications;blockchain;webdev</t>
  </si>
  <si>
    <t>https://drive.google.com/drive/folders/1kbxtWsPLcL6o-UwvXEglecCY8qBFlFK6</t>
  </si>
  <si>
    <t>https://drive.google.com/drive/folders/16-7FVraVi5vlPODwpKJGrhRk_cP8zXWp</t>
  </si>
  <si>
    <t>interledger/web-monetization-extension</t>
  </si>
  <si>
    <t>interledger__web-monetization-extension</t>
  </si>
  <si>
    <t>internetarchive__openlibrary-10110</t>
  </si>
  <si>
    <t>https://github.com/internetarchive/openlibrary/issues/10110</t>
  </si>
  <si>
    <t>applications;webdev;data-eng</t>
  </si>
  <si>
    <t>https://drive.google.com/drive/folders/1khnCDs83sIGyAULQi8O8BYuCdZZGgb__</t>
  </si>
  <si>
    <t>https://drive.google.com/drive/folders/1JGlXHPkz5EZXmlDHXwAToB58-pDiPeNK</t>
  </si>
  <si>
    <t>internetarchive/openlibrary</t>
  </si>
  <si>
    <t>internetarchive__openlibrary</t>
  </si>
  <si>
    <t>intershop__intershop-pwa-1804</t>
  </si>
  <si>
    <t>https://github.com/intershop/intershop-pwa/issues/1804</t>
  </si>
  <si>
    <t>gs://swe-bench-plus/evaluations/019b6aa7-0380-771f-9e02-24cda0fe6639-intershop__intershop-pwa-1804-swe-agent-claude-sonnet-4.5</t>
  </si>
  <si>
    <t>https://drive.google.com/drive/folders/1ZcDUNp-5ykFkoor_sSajidNYet8xRdJE</t>
  </si>
  <si>
    <t>intershop/intershop-pwa</t>
  </si>
  <si>
    <t>intershop__intershop-pwa</t>
  </si>
  <si>
    <t>iota-uz__iota-sdk-339</t>
  </si>
  <si>
    <t>https://github.com/iota-uz/iota-sdk/issues/339</t>
  </si>
  <si>
    <t>gs://swe-bench-plus/evaluations/019b6ab1-4e74-7019-9e81-9c96e98a145d-iota-uz__iota-sdk-339-swe-agent-claude-sonnet-4.5</t>
  </si>
  <si>
    <t>https://drive.google.com/drive/folders/15SdFESaDwiFoKoL3OCVVB0JygUShXDUW</t>
  </si>
  <si>
    <t>iota-uz/iota-sdk</t>
  </si>
  <si>
    <t>iota-uz__iota-sdk</t>
  </si>
  <si>
    <t>IQSS__dataverse-10972</t>
  </si>
  <si>
    <t>https://github.com/IQSS/dataverse/issues/10972</t>
  </si>
  <si>
    <t>applications;webdev;security;data-eng</t>
  </si>
  <si>
    <t>gs://swe-bench-plus/evaluations/019b6ab1-4e74-7019-9e81-9c96e98a145d-IQSS__dataverse-10972-swe-agent-claude-sonnet-4.5</t>
  </si>
  <si>
    <t>https://drive.google.com/drive/folders/1ltMrsuAgSXcJg3jrTz21jtuqPVsbajGW</t>
  </si>
  <si>
    <t>IQSS/dataverse</t>
  </si>
  <si>
    <t>IQSS__dataverse</t>
  </si>
  <si>
    <t>IQSS__dataverse-11622</t>
  </si>
  <si>
    <t>https://github.com/IQSS/dataverse/issues/11622</t>
  </si>
  <si>
    <t>gs://swe-bench-plus/evaluations/019b6ab1-4e74-7019-9e81-9c96e98a145d-IQSS__dataverse-11622-swe-agent-claude-sonnet-4.5</t>
  </si>
  <si>
    <t>https://drive.google.com/drive/folders/1CyPl9m13jcran7thCI7WJTWZd81dU5Cq</t>
  </si>
  <si>
    <t>IQSS__dataverse-11520</t>
  </si>
  <si>
    <t>https://github.com/IQSS/dataverse/issues/11520</t>
  </si>
  <si>
    <t>gs://swe-bench-plus/evaluations/019bc798-5e68-70de-88e9-08b16b20559a-IQSS__dataverse-11520-swe-agent-claude-sonnet-4-20250514</t>
  </si>
  <si>
    <t>https://drive.google.com/drive/folders/1tGHITWrNZLyakA-jmUQP0FbVrGIR_tGi</t>
  </si>
  <si>
    <t>isl-org__Open3D-7191</t>
  </si>
  <si>
    <t>https://github.com/isl-org/Open3D/issues/7191</t>
  </si>
  <si>
    <t>graphics-media;ai-ml;sci-comp</t>
  </si>
  <si>
    <t>gs://swe-bench-plus/evaluations/019b06b8-5347-7669-9f51-4e4681f5c848-isl-org__Open3D-7191-swe-agent-claude-sonnet-4.5</t>
  </si>
  <si>
    <t>https://drive.google.com/drive/folders/1WEuhYnkOz_f9Uwe2RLcE33VemcjE6B4g</t>
  </si>
  <si>
    <t>isl-org/Open3D</t>
  </si>
  <si>
    <t>isl-org__Open3D</t>
  </si>
  <si>
    <t>isledecomp__reccmp-91</t>
  </si>
  <si>
    <t>https://github.com/isledecomp/reccmp/issues/91</t>
  </si>
  <si>
    <t>gs://swe-bench-plus/evaluations/019a8508-78a8-712a-b970-052ae053c3bc-isledecomp__reccmp-91-swe-agent-claude-sonnet-4-20250514</t>
  </si>
  <si>
    <t>https://drive.google.com/drive/folders/1dQOcS7EAxfjlAVJOvoImreZUBA1UC7C9</t>
  </si>
  <si>
    <t>isledecomp/reccmp</t>
  </si>
  <si>
    <t>isledecomp__reccmp</t>
  </si>
  <si>
    <t>ispc__ispc-3243</t>
  </si>
  <si>
    <t>https://github.com/ispc/ispc/issues/3243</t>
  </si>
  <si>
    <t>https://drive.google.com/drive/folders/1lJOn4F0pissQmIEfZ_BesVqD5FAnfd9H</t>
  </si>
  <si>
    <t>https://drive.google.com/drive/folders/1PIpozIWuAmwTJN-7bEzSjiaa5NdrWAYi</t>
  </si>
  <si>
    <t>ispc/ispc</t>
  </si>
  <si>
    <t>ispc__ispc</t>
  </si>
  <si>
    <t>ispc__ispc-3162</t>
  </si>
  <si>
    <t>https://github.com/ispc/ispc/issues/3162</t>
  </si>
  <si>
    <t>https://drive.google.com/drive/folders/1KhNV20-S6N5Go0GF2W3Lcuvu4rDIHJls</t>
  </si>
  <si>
    <t>https://drive.google.com/drive/folders/1XMAp5h7ZB7WXtWCdDvDtzlznnExZg3oi</t>
  </si>
  <si>
    <t>ita-social-projects__GreenCity-7748</t>
  </si>
  <si>
    <t>https://github.com/ita-social-projects/GreenCity/issues/7748</t>
  </si>
  <si>
    <t>gs://swe-bench-plus/evaluations/019bc798-5e68-70de-88e9-08b16b20559a-ita-social-projects__GreenCity-7748-swe-agent-claude-sonnet-4-20250514</t>
  </si>
  <si>
    <t>https://drive.google.com/drive/folders/1GixEPzXEOh6--4rTqsfQ4hakIpi6Est_</t>
  </si>
  <si>
    <t>ita-social-projects/GreenCity</t>
  </si>
  <si>
    <t>ita-social-projects__GreenCity</t>
  </si>
  <si>
    <t>ithacaxyz__odyssey-97</t>
  </si>
  <si>
    <t>https://github.com/ithacaxyz/odyssey/issues/97</t>
  </si>
  <si>
    <t>gs://swe-bench-plus/evaluations/019b06bd-e8b8-7239-a811-43270291d9ff-ithacaxyz__odyssey-97-swe-agent-claude-sonnet-4.5</t>
  </si>
  <si>
    <t>https://drive.google.com/drive/folders/10U-di6m2nWksGkl7zkJlbRkASOKxGA_k</t>
  </si>
  <si>
    <t>ithacaxyz/odyssey</t>
  </si>
  <si>
    <t>ithacaxyz__odyssey</t>
  </si>
  <si>
    <t>itwin__itwinjs-core-8110</t>
  </si>
  <si>
    <t>https://github.com/itwin/itwinjs-core/issues/8110</t>
  </si>
  <si>
    <t>graphics-media;applications</t>
  </si>
  <si>
    <t>gs://swe-bench-plus/evaluations/019c66b1-510b-717a-a36b-0bf7c9af4077-itwin__itwinjs-core-8110-swe-agent-claude-sonnet-4-20250514</t>
  </si>
  <si>
    <t>https://drive.google.com/drive/folders/17zNNZVqCQlz2FJYbw5GmqNNEDzgMyJuz</t>
  </si>
  <si>
    <t>itwin/itwinjs-core</t>
  </si>
  <si>
    <t>itwin__itwinjs-core</t>
  </si>
  <si>
    <t>iTwin__itwinjs-core-8683</t>
  </si>
  <si>
    <t>https://github.com/iTwin/itwinjs-core/issues/8683</t>
  </si>
  <si>
    <t>applications;graphics-media;webdev</t>
  </si>
  <si>
    <t>gs://swe-bench-plus/evaluations/019c63b1-c215-72ef-93d9-9f9031bd8a71-iTwin__itwinjs-core-8683-swe-agent-claude-sonnet-4-20250514</t>
  </si>
  <si>
    <t>https://drive.google.com/drive/folders/1IQzRDTyXxli9hRhzm-f441yunHBq69f2</t>
  </si>
  <si>
    <t>iTwin/itwinjs-core</t>
  </si>
  <si>
    <t>iTwin__itwinjs-core</t>
  </si>
  <si>
    <t>iTwin__itwinjs-core-7435</t>
  </si>
  <si>
    <t>https://github.com/iTwin/itwinjs-core/issues/7435</t>
  </si>
  <si>
    <t>gs://swe-bench-plus/evaluations/019c63b1-c215-72ef-93d9-9f9031bd8a71-iTwin__itwinjs-core-7435-swe-agent-claude-sonnet-4-20250514</t>
  </si>
  <si>
    <t>https://drive.google.com/drive/folders/1s1u2PIlFvOpIS1lCX2fEklctdx-MAII5</t>
  </si>
  <si>
    <t>iTwin__itwinjs-core-7637</t>
  </si>
  <si>
    <t>https://github.com/iTwin/itwinjs-core/issues/7637</t>
  </si>
  <si>
    <t>gs://swe-bench-plus/evaluations/019c63b1-c215-72ef-93d9-9f9031bd8a71-iTwin__itwinjs-core-7637-swe-agent-claude-sonnet-4-20250514</t>
  </si>
  <si>
    <t>https://drive.google.com/drive/folders/1ek9gQtuZxWegvipss9Z_oWVDS8XuQ50w</t>
  </si>
  <si>
    <t>itzg__mc-router-397</t>
  </si>
  <si>
    <t>https://github.com/itzg/mc-router/issues/397</t>
  </si>
  <si>
    <t>gs://swe-bench-plus/evaluations/019b6aaf-1788-707e-b6dd-d4dc12d72279-itzg__mc-router-397-swe-agent-claude-sonnet-4.5</t>
  </si>
  <si>
    <t>https://drive.google.com/drive/folders/1ZHGYtnuK_f6sqlVc6WKYKtr91W92LJtE</t>
  </si>
  <si>
    <t>itzg/mc-router</t>
  </si>
  <si>
    <t>itzg__mc-router</t>
  </si>
  <si>
    <t>ivo-toby__mcp-openapi-server-27</t>
  </si>
  <si>
    <t>https://github.com/ivo-toby/mcp-openapi-server/issues/27</t>
  </si>
  <si>
    <t>bug-fix;refactor;test;build-ci</t>
  </si>
  <si>
    <t>https://drive.google.com/drive/folders/1SsloIXnj58gkK8ej8-cN6PDcn2S0gfTc</t>
  </si>
  <si>
    <t>https://drive.google.com/drive/folders/1O4KE4AIsTuTXHuP_pntt3_T_cZyUn94M</t>
  </si>
  <si>
    <t>ivo-toby/mcp-openapi-server</t>
  </si>
  <si>
    <t>ivo-toby__mcp-openapi-server</t>
  </si>
  <si>
    <t>j178__prek-1129</t>
  </si>
  <si>
    <t>https://github.com/j178/prek/issues/1129</t>
  </si>
  <si>
    <t>gs://swe-bench-plus/evaluations/019b06bd-e8b8-7239-a811-43270291d9ff-j178__prek-1129-swe-agent-claude-sonnet-4.5</t>
  </si>
  <si>
    <t>https://drive.google.com/drive/folders/10MdccikFyS2RRWeriLQ-6UQVp43-LFPW</t>
  </si>
  <si>
    <t>j178/prek</t>
  </si>
  <si>
    <t>j178__prek</t>
  </si>
  <si>
    <t>j178__prek-1185</t>
  </si>
  <si>
    <t>https://github.com/j178/prek/issues/1185</t>
  </si>
  <si>
    <t>gs://swe-bench-plus/evaluations/019b33b2-92dc-775f-92dd-9f03bf4fe149-j178__prek-1185-swe-agent-claude-sonnet-4-20250514</t>
  </si>
  <si>
    <t>https://drive.google.com/drive/folders/1NBnWTeew8k6J0NRLLm2sqXd3803uphUZ</t>
  </si>
  <si>
    <t>JabRef__jabref-13694</t>
  </si>
  <si>
    <t>https://github.com/JabRef/jabref/issues/13694</t>
  </si>
  <si>
    <t>gs://swe-bench-plus/evaluations/019c9aa0-7f24-746b-9521-001bf9a16e92-JabRef__jabref-13694-swe-agent-claude-sonnet-4-20250514</t>
  </si>
  <si>
    <t>https://drive.google.com/drive/folders/1tTyaKTZnprjrVAJViWCOs7AoVD_ShGpc</t>
  </si>
  <si>
    <t>JabRef/jabref</t>
  </si>
  <si>
    <t>JabRef__jabref</t>
  </si>
  <si>
    <t>jaegertracing__jaeger-5922</t>
  </si>
  <si>
    <t>https://github.com/jaegertracing/jaeger/issues/5922</t>
  </si>
  <si>
    <t>https://drive.google.com/drive/folders/1JIfC8sQe5d1h6CGMngIuvGGr4-52z_uD</t>
  </si>
  <si>
    <t>https://drive.google.com/drive/folders/1-iR3YKS7cFXkqAGbiCi5Yhru4N2YM0I4</t>
  </si>
  <si>
    <t>jaegertracing/jaeger</t>
  </si>
  <si>
    <t>jaegertracing__jaeger</t>
  </si>
  <si>
    <t>jakartaee__data-1054</t>
  </si>
  <si>
    <t>https://github.com/jakartaee/data/issues/1054</t>
  </si>
  <si>
    <t>https://drive.google.com/drive/folders/12Ss0O8sDWO-hT4LiQECozaNKeZW_sJhr</t>
  </si>
  <si>
    <t>https://drive.google.com/drive/folders/1iLJqRAtGWuw3lkx4n4nBL8zhb2RGOQmu</t>
  </si>
  <si>
    <t>jakartaee/data</t>
  </si>
  <si>
    <t>jakartaee__data</t>
  </si>
  <si>
    <t>jakartaee__mail-api-725</t>
  </si>
  <si>
    <t>https://github.com/jakartaee/mail-api/issues/725</t>
  </si>
  <si>
    <t>dependency-update;refactor;maintenance</t>
  </si>
  <si>
    <t>gs://swe-bench-plus/evaluations/019bcd77-2925-7748-82f0-eda561be7006-jakartaee__mail-api-725-swe-agent-claude-sonnet-4.5</t>
  </si>
  <si>
    <t>https://drive.google.com/drive/folders/1yKBH482OPdB3NKhxM67qK0pTJlceH-EW</t>
  </si>
  <si>
    <t>jakartaee/mail-api</t>
  </si>
  <si>
    <t>jakartaee__mail-api</t>
  </si>
  <si>
    <t>janhq__jan-6891</t>
  </si>
  <si>
    <t>https://github.com/janhq/jan/issues/6891</t>
  </si>
  <si>
    <t>gs://swe-bench-plus/evaluations/019c7387-769d-7229-8870-d94df44ef198-janhq__jan-6891-swe-agent-claude-sonnet-4.5</t>
  </si>
  <si>
    <t>https://drive.google.com/drive/folders/1B8B6ZZA-9KGv0WHuasehZLyANJ-VeI47</t>
  </si>
  <si>
    <t>janhq/jan</t>
  </si>
  <si>
    <t>janhq__jan</t>
  </si>
  <si>
    <t>jannikmi__timezonefinder-298</t>
  </si>
  <si>
    <t>https://github.com/jannikmi/timezonefinder/issues/298</t>
  </si>
  <si>
    <t>documentation;chore</t>
  </si>
  <si>
    <t>feature;dependency-update;build-ci;refactor</t>
  </si>
  <si>
    <t>https://drive.google.com/drive/folders/1goi4CwKzxAgH7Wh-gpQVwPgSEDtK-f0b</t>
  </si>
  <si>
    <t>https://drive.google.com/drive/folders/1yC3lL8cw91JitqzClQXoN4Ks8D4Ij3OS</t>
  </si>
  <si>
    <t>jannikmi/timezonefinder</t>
  </si>
  <si>
    <t>jannikmi__timezonefinder</t>
  </si>
  <si>
    <t>jasonraimondi__ts-oauth2-server-196</t>
  </si>
  <si>
    <t>https://github.com/jasonraimondi/ts-oauth2-server/issues/196</t>
  </si>
  <si>
    <t>gs://swe-bench-plus/evaluations/019c7386-53d5-75df-82fb-8ade9fa70e16-jasonraimondi__ts-oauth2-server-196-swe-agent-claude-sonnet-4-20250514</t>
  </si>
  <si>
    <t>https://drive.google.com/drive/folders/1f5brlonb9D-ExmKUMHyFFhQi2b40HnXp</t>
  </si>
  <si>
    <t>jasonraimondi/ts-oauth2-server</t>
  </si>
  <si>
    <t>jasonraimondi__ts-oauth2-server</t>
  </si>
  <si>
    <t>javascript-obfuscator__javascript-obfuscator-1367</t>
  </si>
  <si>
    <t>https://github.com/javascript-obfuscator/javascript-obfuscator/issues/1367</t>
  </si>
  <si>
    <t>bug-fix;feature;maintenance</t>
  </si>
  <si>
    <t>gs://swe-bench-plus/evaluations/019c7387-769d-7229-8870-d94df44ef198-javascript-obfuscator__javascript-obfuscator-1367-swe-agent-claude-sonnet-4.5</t>
  </si>
  <si>
    <t>https://drive.google.com/drive/folders/1FaZe1Y6ORu4VdckZHev-q5hLR6BThPNv</t>
  </si>
  <si>
    <t>javascript-obfuscator/javascript-obfuscator</t>
  </si>
  <si>
    <t>javascript-obfuscator__javascript-obfuscator</t>
  </si>
  <si>
    <t>jax-ml__jax-28300</t>
  </si>
  <si>
    <t>https://github.com/jax-ml/jax/issues/28300</t>
  </si>
  <si>
    <t>https://drive.google.com/drive/folders/1UllpOr6e9tnNquch4sc52OH6u8YBPiqm</t>
  </si>
  <si>
    <t>https://drive.google.com/drive/folders/10Va-rl27W6iKARmJZuOHsnxXOqB2CkUa</t>
  </si>
  <si>
    <t>jax-ml/jax</t>
  </si>
  <si>
    <t>jax-ml__jax</t>
  </si>
  <si>
    <t>jazzband__django-auditlog-743</t>
  </si>
  <si>
    <t>https://github.com/jazzband/django-auditlog/issues/743</t>
  </si>
  <si>
    <t>https://drive.google.com/drive/folders/1GWmOW7pBnXDd1nf79BJfmsLh6YxhLBnU</t>
  </si>
  <si>
    <t>https://drive.google.com/drive/folders/1lmjYUGFWgtsQrD24yb9rugO-yPp9F3eK</t>
  </si>
  <si>
    <t>jazzband/django-auditlog</t>
  </si>
  <si>
    <t>jazzband__django-auditlog</t>
  </si>
  <si>
    <t>jbuckmccready__cavalier_contours-68</t>
  </si>
  <si>
    <t>https://github.com/jbuckmccready/cavalier_contours/issues/68</t>
  </si>
  <si>
    <t>gs://swe-bench-plus/evaluations/019b6ab1-4e74-7019-9e81-9c96e98a145d-jbuckmccready__cavalier_contours-68-swe-agent-claude-sonnet-4.5</t>
  </si>
  <si>
    <t>https://drive.google.com/drive/folders/1JVzzn0YWFBC-lljhnPRqLOiyaR550OXo</t>
  </si>
  <si>
    <t>jbuckmccready/cavalier_contours</t>
  </si>
  <si>
    <t>jbuckmccready__cavalier_contours</t>
  </si>
  <si>
    <t>jelmer__dulwich-1615</t>
  </si>
  <si>
    <t>https://github.com/jelmer/dulwich/issues/1615</t>
  </si>
  <si>
    <t>https://drive.google.com/drive/folders/1Jf5Xm1o-OL73_XwH1ISPXctyGL9UBPcr</t>
  </si>
  <si>
    <t>https://drive.google.com/drive/folders/1z04SToXcEh1fFUngBBnobwH5uP4jk-3-</t>
  </si>
  <si>
    <t>jelmer/dulwich</t>
  </si>
  <si>
    <t>jelmer__dulwich</t>
  </si>
  <si>
    <t>JelteF__derive_more-485</t>
  </si>
  <si>
    <t>https://github.com/JelteF/derive_more/issues/485</t>
  </si>
  <si>
    <t>https://drive.google.com/drive/folders/1MqVjTGQpM2P_WdmA70Eb9eXXbRbFMpMv</t>
  </si>
  <si>
    <t>https://drive.google.com/drive/folders/1nG8SvPA5pOYeIVIuQHxAsHj_7-jnxUcP</t>
  </si>
  <si>
    <t>JelteF/derive_more</t>
  </si>
  <si>
    <t>JelteF__derive_more</t>
  </si>
  <si>
    <t>jenkinsci__dependency-track-plugin-292</t>
  </si>
  <si>
    <t>https://github.com/jenkinsci/dependency-track-plugin/issues/292</t>
  </si>
  <si>
    <t>gs://swe-bench-plus/evaluations/019b6aaf-1788-707e-b6dd-d4dc12d72279-jenkinsci__dependency-track-plugin-292-swe-agent-claude-sonnet-4.5</t>
  </si>
  <si>
    <t>https://drive.google.com/drive/folders/138IFiBpurWFEjJ8WbYRgcQFQ68F8om1V</t>
  </si>
  <si>
    <t>jenkinsci/dependency-track-plugin</t>
  </si>
  <si>
    <t>jenkinsci__dependency-track-plugin</t>
  </si>
  <si>
    <t>jeremiah-c-leary__vhdl-style-guide-1355</t>
  </si>
  <si>
    <t>https://github.com/jeremiah-c-leary/vhdl-style-guide/issues/1355</t>
  </si>
  <si>
    <t>gs://swe-bench-plus/evaluations/019a8f6e-6e49-72e1-8adc-7d67083c10ad-jeremiah-c-leary__vhdl-style-guide-1355-open-hands-claude-sonnet-4-20250514</t>
  </si>
  <si>
    <t>https://drive.google.com/drive/folders/1gAhvEN2vWUlC7YtvREB237DaHprDBqgE</t>
  </si>
  <si>
    <t>jeremiah-c-leary/vhdl-style-guide</t>
  </si>
  <si>
    <t>jeremiah-c-leary__vhdl-style-guide</t>
  </si>
  <si>
    <t>jeremiah-c-leary__vhdl-style-guide-1386</t>
  </si>
  <si>
    <t>https://github.com/jeremiah-c-leary/vhdl-style-guide/issues/1386</t>
  </si>
  <si>
    <t>gs://swe-bench-plus/evaluations/019a8f6e-6e49-72e1-8adc-7d67083c10ad-jeremiah-c-leary__vhdl-style-guide-1386-open-hands-claude-sonnet-4-20250514</t>
  </si>
  <si>
    <t>https://drive.google.com/drive/folders/14SYpAMGxekoGoR2R7LZdFeVLcjxdS7up</t>
  </si>
  <si>
    <t>jeremiah-c-leary__vhdl-style-guide-1259</t>
  </si>
  <si>
    <t>https://github.com/jeremiah-c-leary/vhdl-style-guide/issues/1259</t>
  </si>
  <si>
    <t>https://drive.google.com/drive/folders/1BTumRhjp9nZzTrNCW9A6y-ZpiR38vI-Y</t>
  </si>
  <si>
    <t>https://drive.google.com/drive/folders/1LkrzjfD1EdaalfHHkEWVf6vpvIBc4MoS</t>
  </si>
  <si>
    <t>jesseduffield__lazygit-4291</t>
  </si>
  <si>
    <t>https://github.com/jesseduffield/lazygit/issues/4291</t>
  </si>
  <si>
    <t>https://drive.google.com/drive/folders/16z2Xejg9vwLpKA9tjVRH33R8vkaMDduc</t>
  </si>
  <si>
    <t>https://drive.google.com/drive/folders/1pyjg4TNTS7gCy2WlBNLLoSI6GvKpamRl</t>
  </si>
  <si>
    <t>jesseduffield/lazygit</t>
  </si>
  <si>
    <t>jesseduffield__lazygit</t>
  </si>
  <si>
    <t>jetty__jetty.project-13308</t>
  </si>
  <si>
    <t>https://github.com/jetty/jetty.project/issues/13308</t>
  </si>
  <si>
    <t>https://drive.google.com/drive/folders/1BN3pmZVeVw5HJiBAGkF4cj1ZBUnK1xB7</t>
  </si>
  <si>
    <t>https://drive.google.com/drive/folders/1VhJ_qo5u0-JtEyUgiiR0enDTdYWJKlTY</t>
  </si>
  <si>
    <t>jetty/jetty.project</t>
  </si>
  <si>
    <t>jetty__jetty.project</t>
  </si>
  <si>
    <t>jetty__jetty.project-12827</t>
  </si>
  <si>
    <t>https://github.com/jetty/jetty.project/issues/12827</t>
  </si>
  <si>
    <t>gs://swe-bench-plus/evaluations/019c75f5-6b8c-7228-9f9c-93aa98fd3824-jetty__jetty.project-12827-swe-agent-claude-sonnet-4-20250514</t>
  </si>
  <si>
    <t>jetty__jetty.project-13106</t>
  </si>
  <si>
    <t>https://github.com/jetty/jetty.project/issues/13106</t>
  </si>
  <si>
    <t>gs://swe-bench-plus/evaluations/019c9aa0-7f24-746b-9521-001bf9a16e92-jetty__jetty.project-13106-swe-agent-claude-sonnet-4.5</t>
  </si>
  <si>
    <t>JFormDesigner__FlatLaf-936</t>
  </si>
  <si>
    <t>https://github.com/JFormDesigner/FlatLaf/issues/936</t>
  </si>
  <si>
    <t>gs://swe-bench-plus/evaluations/019b6aaf-1788-707e-b6dd-d4dc12d72279-JFormDesigner__FlatLaf-936-swe-agent-claude-sonnet-4.5</t>
  </si>
  <si>
    <t>https://drive.google.com/drive/folders/1awOBRO_2MyPG89yCQ08W0G7gBgG04kMa</t>
  </si>
  <si>
    <t>JFormDesigner/FlatLaf</t>
  </si>
  <si>
    <t>JFormDesigner__FlatLaf</t>
  </si>
  <si>
    <t>jgarzik__botmaker-15</t>
  </si>
  <si>
    <t>https://github.com/jgarzik/botmaker/issues/15</t>
  </si>
  <si>
    <t>gs://swe-bench-plus/evaluations/019c7387-769d-7229-8870-d94df44ef198-jgarzik__botmaker-15-swe-agent-claude-sonnet-4.5</t>
  </si>
  <si>
    <t>https://drive.google.com/drive/folders/1zllRz14FAzJa__zWoJMlwcvGp94Ra0HL</t>
  </si>
  <si>
    <t>jgarzik/botmaker</t>
  </si>
  <si>
    <t>jgarzik__botmaker</t>
  </si>
  <si>
    <t>jlowin__fastmcp-527</t>
  </si>
  <si>
    <t>https://github.com/jlowin/fastmcp/issues/527</t>
  </si>
  <si>
    <t>https://drive.google.com/drive/folders/1CowlYdgErHgbGkQhQloRuRMvnubE5Swn</t>
  </si>
  <si>
    <t>https://drive.google.com/drive/folders/173g8wI6zbpxqUY1L73rH0z59-lWJB0xR</t>
  </si>
  <si>
    <t>jlowin/fastmcp</t>
  </si>
  <si>
    <t>jlowin__fastmcp</t>
  </si>
  <si>
    <t>jlowin__fastmcp-1190</t>
  </si>
  <si>
    <t>https://github.com/jlowin/fastmcp/issues/1190</t>
  </si>
  <si>
    <t>https://drive.google.com/drive/folders/1cyZvB6ghS_s3aUWATsIHhb-rSIi5g99a</t>
  </si>
  <si>
    <t>https://drive.google.com/drive/folders/1NJevdUMCCZuE4bv2A1i3hXJh-zwE0BfJ</t>
  </si>
  <si>
    <t>josdejong__workerpool-518</t>
  </si>
  <si>
    <t>https://github.com/josdejong/workerpool/issues/518</t>
  </si>
  <si>
    <t>gs://swe-bench-plus/evaluations/019aa44b-e448-70bd-bc41-ba2d780bdc22-josdejong__workerpool-518-swe-agent-claude-sonnet-4-20250514</t>
  </si>
  <si>
    <t>https://drive.google.com/drive/folders/18e4Up1KHWam_nbBqlwMip0_lU8K-C5-E</t>
  </si>
  <si>
    <t>josdejong/workerpool</t>
  </si>
  <si>
    <t>josdejong__workerpool</t>
  </si>
  <si>
    <t>joseluis9595__lovelace-navbar-card-135</t>
  </si>
  <si>
    <t>https://github.com/joseluis9595/lovelace-navbar-card/issues/135</t>
  </si>
  <si>
    <t>gs://swe-bench-plus/evaluations/019b6aaf-1788-707e-b6dd-d4dc12d72279-joseluis9595__lovelace-navbar-card-135-swe-agent-claude-sonnet-4.5</t>
  </si>
  <si>
    <t>https://drive.google.com/drive/folders/1YvIfh6nWqpcb9il6wPLYcbCyEvHqxcUQ</t>
  </si>
  <si>
    <t>joseluis9595/lovelace-navbar-card</t>
  </si>
  <si>
    <t>joseluis9595__lovelace-navbar-card</t>
  </si>
  <si>
    <t>joshmedeski__sesh-203</t>
  </si>
  <si>
    <t>https://github.com/joshmedeski/sesh/issues/203</t>
  </si>
  <si>
    <t>gs://swe-bench-plus/evaluations/019b6aa7-0380-771f-9e02-24cda0fe6639-joshmedeski__sesh-203-swe-agent-claude-sonnet-4.5</t>
  </si>
  <si>
    <t>https://drive.google.com/drive/folders/1jRlKTdP4ZcoBhc4dA1EdX0At-03zIzd5</t>
  </si>
  <si>
    <t>joshmedeski/sesh</t>
  </si>
  <si>
    <t>joshmedeski__sesh</t>
  </si>
  <si>
    <t>JoshuaKGoldberg__create-typescript-app-2310</t>
  </si>
  <si>
    <t>https://github.com/JoshuaKGoldberg/create-typescript-app/issues/2310</t>
  </si>
  <si>
    <t>gs://swe-bench-plus/evaluations/019c7387-769d-7229-8870-d94df44ef198-JoshuaKGoldberg__create-typescript-app-2310-swe-agent-claude-sonnet-4.5</t>
  </si>
  <si>
    <t>https://drive.google.com/drive/folders/1bsGXtbCSSXcNc2PzkYqE0B6gDFBVUMgb</t>
  </si>
  <si>
    <t>JoshuaKGoldberg/create-typescript-app</t>
  </si>
  <si>
    <t>JoshuaKGoldberg__create-typescript-app</t>
  </si>
  <si>
    <t>JoshuaKGoldberg__create-typescript-app-1892</t>
  </si>
  <si>
    <t>https://github.com/JoshuaKGoldberg/create-typescript-app/issues/1892</t>
  </si>
  <si>
    <t>bug-fix;dependency-update;build-ci</t>
  </si>
  <si>
    <t>gs://swe-bench-plus/evaluations/019bcd77-2925-7748-82f0-eda561be7006-JoshuaKGoldberg__create-typescript-app-1892-swe-agent-claude-sonnet-4.5</t>
  </si>
  <si>
    <t>https://drive.google.com/drive/folders/18-5bGCRUcZEuFkNrrvODAo3mYJhVp7AC</t>
  </si>
  <si>
    <t>JoshuaKGoldberg__flint-500</t>
  </si>
  <si>
    <t>https://github.com/JoshuaKGoldberg/flint/issues/500</t>
  </si>
  <si>
    <t>gs://swe-bench-plus/evaluations/019b6aa7-0380-771f-9e02-24cda0fe6639-JoshuaKGoldberg__flint-500-swe-agent-claude-sonnet-4.5</t>
  </si>
  <si>
    <t>https://drive.google.com/drive/folders/1GUg4biO8N9FGJwXBsB9p3fma00A9S44i</t>
  </si>
  <si>
    <t>JoshuaKGoldberg/flint</t>
  </si>
  <si>
    <t>JoshuaKGoldberg__flint</t>
  </si>
  <si>
    <t>JoshuaKGoldberg__flint-466</t>
  </si>
  <si>
    <t>https://github.com/JoshuaKGoldberg/flint/issues/466</t>
  </si>
  <si>
    <t>gs://swe-bench-plus/evaluations/019b6aa7-0380-771f-9e02-24cda0fe6639-JoshuaKGoldberg__flint-466-swe-agent-claude-sonnet-4.5</t>
  </si>
  <si>
    <t>https://drive.google.com/drive/folders/14tkyQIClwUJTlqwgG2wX7ETfkEpj1QLh</t>
  </si>
  <si>
    <t>JoshuaKGoldberg__flint-91</t>
  </si>
  <si>
    <t>https://github.com/JoshuaKGoldberg/flint/issues/91</t>
  </si>
  <si>
    <t>gs://swe-bench-plus/evaluations/019b6aaf-1788-707e-b6dd-d4dc12d72279-JoshuaKGoldberg__flint-91-swe-agent-claude-sonnet-4.5</t>
  </si>
  <si>
    <t>https://drive.google.com/drive/folders/1zEaf_6nCEiTGpN9nErFVR9tpNuEi1oFk</t>
  </si>
  <si>
    <t>JoshuaKGoldberg__flint-866</t>
  </si>
  <si>
    <t>https://github.com/JoshuaKGoldberg/flint/issues/866</t>
  </si>
  <si>
    <t>gs://swe-bench-plus/evaluations/019c63b1-c215-72ef-93d9-9f9031bd8a71-JoshuaKGoldberg__flint-866-swe-agent-claude-sonnet-4.5</t>
  </si>
  <si>
    <t>jQAssistant__jqassistant-992</t>
  </si>
  <si>
    <t>https://github.com/jQAssistant/jqassistant/issues/992</t>
  </si>
  <si>
    <t>gs://swe-bench-plus/evaluations/019c39f2-198a-7148-b5b8-b8ba5f4e060f-jQAssistant__jqassistant-992-swe-agent-claude-sonnet-4.5</t>
  </si>
  <si>
    <t>https://drive.google.com/drive/folders/18b2RFlfpTlHZeDxgJUbu8omt1Pnk_dNK</t>
  </si>
  <si>
    <t>jQAssistant/jqassistant</t>
  </si>
  <si>
    <t>jQAssistant__jqassistant</t>
  </si>
  <si>
    <t>jQAssistant__jqassistant-967</t>
  </si>
  <si>
    <t>https://github.com/jQAssistant/jqassistant/issues/967</t>
  </si>
  <si>
    <t>gs://swe-bench-plus/evaluations/019b6aaf-1788-707e-b6dd-d4dc12d72279-jQAssistant__jqassistant-967-swe-agent-claude-sonnet-4.5</t>
  </si>
  <si>
    <t>https://drive.google.com/drive/folders/1YWPcRQdAogIcdBaKixOnMPBRUdYZ0FAU</t>
  </si>
  <si>
    <t>jsiek__deduce-167</t>
  </si>
  <si>
    <t>https://github.com/jsiek/deduce/issues/167</t>
  </si>
  <si>
    <t>https://drive.google.com/drive/folders/1tV2Euyni9utgnYMYDYfcPkwJ6I6Ug3J3</t>
  </si>
  <si>
    <t>https://drive.google.com/drive/folders/1eTKEtJfTd3Uoig_ggo3rNolTZQU_8TKZ</t>
  </si>
  <si>
    <t>jsiek/deduce</t>
  </si>
  <si>
    <t>jsiek__deduce</t>
  </si>
  <si>
    <t>jtroo__kanata-1345</t>
  </si>
  <si>
    <t>https://github.com/jtroo/kanata/issues/1345</t>
  </si>
  <si>
    <t>gs://swe-bench-plus/evaluations/019a6ebd-83c1-77e0-8232-17c9935d310f-jtroo__kanata-1345-swe-agent-claude-sonnet-4.5</t>
  </si>
  <si>
    <t>jtroo/kanata</t>
  </si>
  <si>
    <t>jtroo__kanata</t>
  </si>
  <si>
    <t>jtroo__kanata-1715</t>
  </si>
  <si>
    <t>https://github.com/jtroo/kanata/issues/1715</t>
  </si>
  <si>
    <t>https://drive.google.com/drive/folders/1u52wETxA8Jw6HDjGkt4xiscr0DwjQBCg</t>
  </si>
  <si>
    <t>https://drive.google.com/drive/folders/14KbE6y6TpZBoXxosH1xKrSomWgk9mtD8</t>
  </si>
  <si>
    <t>jtroo__kanata-1866</t>
  </si>
  <si>
    <t>https://github.com/jtroo/kanata/issues/1866</t>
  </si>
  <si>
    <t>gs://swe-bench-plus/evaluations/019aea31-e007-7279-96d6-bae7f13958af-jtroo__kanata-1866-swe-agent-claude-sonnet-4-20250514</t>
  </si>
  <si>
    <t>https://drive.google.com/drive/folders/1fyiveiyZ4x-a8UsKsjlaeVzQ6Zc0sFrc</t>
  </si>
  <si>
    <t>juanfont__headscale-2765</t>
  </si>
  <si>
    <t>https://github.com/juanfont/headscale/issues/2765</t>
  </si>
  <si>
    <t>infra-devops;security;applications</t>
  </si>
  <si>
    <t>bug-fix;feature;refactor;dependency-update</t>
  </si>
  <si>
    <t>https://drive.google.com/drive/folders/1Z1hW2p4PLFxioAGW1FSHsCOTXcfkinc6</t>
  </si>
  <si>
    <t>https://drive.google.com/drive/folders/16CHJnIF9Ccufy8rpghQht7EpqUqACyqu</t>
  </si>
  <si>
    <t>juanfont/headscale</t>
  </si>
  <si>
    <t>juanfont__headscale</t>
  </si>
  <si>
    <t>junit-pioneer__junit-pioneer-848</t>
  </si>
  <si>
    <t>https://github.com/junit-pioneer/junit-pioneer/issues/848</t>
  </si>
  <si>
    <t>gs://swe-bench-plus/evaluations/019bc31c-2360-7079-b8da-e850535b9cd1-junit-pioneer__junit-pioneer-848-swe-agent-claude-sonnet-4-20250514</t>
  </si>
  <si>
    <t>https://drive.google.com/drive/folders/1vXCIlxlIM8nfcVQfhU4l0hD-Em8S5pOK</t>
  </si>
  <si>
    <t>junit-pioneer/junit-pioneer</t>
  </si>
  <si>
    <t>junit-pioneer__junit-pioneer</t>
  </si>
  <si>
    <t>junit-pioneer__junit-pioneer-770</t>
  </si>
  <si>
    <t>https://github.com/junit-pioneer/junit-pioneer/issues/770</t>
  </si>
  <si>
    <t>gs://swe-bench-plus/evaluations/019b6aaf-1788-707e-b6dd-d4dc12d72279-junit-pioneer__junit-pioneer-770-swe-agent-claude-sonnet-4.5</t>
  </si>
  <si>
    <t>https://drive.google.com/drive/folders/15Sv_I0gm4WVsTe_hI5Rpgu3CySGwTVvZ</t>
  </si>
  <si>
    <t>junit-team__junit-framework-4492</t>
  </si>
  <si>
    <t>https://github.com/junit-team/junit-framework/issues/4492</t>
  </si>
  <si>
    <t>https://drive.google.com/drive/folders/1ctn4Z1CUMgSYDlad3Al-0JSfb33Cv3wF</t>
  </si>
  <si>
    <t>https://drive.google.com/drive/folders/1e9s910-5e4EW9wx245Woqy5nFJAgbtqt</t>
  </si>
  <si>
    <t>junit-team/junit-framework</t>
  </si>
  <si>
    <t>junit-team__junit-framework</t>
  </si>
  <si>
    <t>junit-team__junit-framework-4353</t>
  </si>
  <si>
    <t>https://github.com/junit-team/junit-framework/issues/4353</t>
  </si>
  <si>
    <t>https://drive.google.com/drive/folders/1UA6j4r7-zKZYH-dDyjUgCrEsIEcdNcyc</t>
  </si>
  <si>
    <t>junit-team__junit-framework-4530</t>
  </si>
  <si>
    <t>https://github.com/junit-team/junit-framework/issues/4530</t>
  </si>
  <si>
    <t>gs://swe-bench-plus/evaluations/019bc798-5e68-70de-88e9-08b16b20559a-junit-team__junit-framework-4530-swe-agent-claude-sonnet-4.5</t>
  </si>
  <si>
    <t>junit-team__junit-framework-5042</t>
  </si>
  <si>
    <t>https://github.com/junit-team/junit-framework/issues/5042</t>
  </si>
  <si>
    <t>feature;build-ci;refactor</t>
  </si>
  <si>
    <t>gs://swe-bench-plus/evaluations/019c2527-4e2e-77ee-bb46-1b5af2881d6d-junit-team__junit-framework-5042-swe-agent-claude-sonnet-4-20250514</t>
  </si>
  <si>
    <t>https://drive.google.com/drive/folders/15A9dfwn4v51tqukdJlEpEzTB-kJT1GgS</t>
  </si>
  <si>
    <t>junit-team__junit-framework-4366</t>
  </si>
  <si>
    <t>https://github.com/junit-team/junit-framework/issues/4366</t>
  </si>
  <si>
    <t>gs://swe-bench-plus/evaluations/019c2528-578b-73cc-ad42-8f1328ded528-junit-team__junit-framework-4366-swe-agent-claude-sonnet-4-20250514</t>
  </si>
  <si>
    <t>https://drive.google.com/drive/folders/1bq8TwZeunWdwcEZ1dSERTLWz4fWdnae3</t>
  </si>
  <si>
    <t>junit-team__junit-framework-4452</t>
  </si>
  <si>
    <t>https://github.com/junit-team/junit-framework/issues/4452</t>
  </si>
  <si>
    <t>gs://swe-bench-plus/evaluations/019c39f2-198a-7148-b5b8-b8ba5f4e060f-junit-team__junit-framework-4452-swe-agent-claude-sonnet-4-20250514</t>
  </si>
  <si>
    <t>https://drive.google.com/drive/folders/1H40HJnnd5B5ht7MrV7lLqOvOh2jd_-Wc</t>
  </si>
  <si>
    <t>junit-team__junit-framework-4289</t>
  </si>
  <si>
    <t>https://github.com/junit-team/junit-framework/issues/4289</t>
  </si>
  <si>
    <t>gs://swe-bench-plus/evaluations/019c75f5-6b8c-7228-9f9c-93aa98fd3824-junit-team__junit-framework-4289-swe-agent-claude-sonnet-4-20250514</t>
  </si>
  <si>
    <t>https://drive.google.com/drive/folders/1xV9v1tYg6IPmZq4-Ap4tCdGYuVjEFlPQ</t>
  </si>
  <si>
    <t>junit-team__junit5-2972</t>
  </si>
  <si>
    <t>https://github.com/junit-team/junit5/issues/2972</t>
  </si>
  <si>
    <t>https://drive.google.com/drive/folders/1CZ1JtaHMlvJfbIx5EIO6Zb2-iPqj-yWG</t>
  </si>
  <si>
    <t>https://drive.google.com/drive/folders/1TM99vT5dlEc5-3JB7mN_IKcod0Ju4xkI</t>
  </si>
  <si>
    <t>junit-team/junit5</t>
  </si>
  <si>
    <t>junit-team__junit5</t>
  </si>
  <si>
    <t>junit-team__junit5-2743</t>
  </si>
  <si>
    <t>https://github.com/junit-team/junit5/issues/2743</t>
  </si>
  <si>
    <t>gs://swe-bench-plus/evaluations/019bd2bf-00de-723c-8b2d-1d9d8c821830-junit-team__junit5-2743-swe-agent-claude-sonnet-4-20250514</t>
  </si>
  <si>
    <t>https://drive.google.com/drive/folders/1vSslgcxWg9dpqzvczR13IUZ4tAhY93o5</t>
  </si>
  <si>
    <t>junit-team__junit5-4405</t>
  </si>
  <si>
    <t>https://github.com/junit-team/junit5/issues/4405</t>
  </si>
  <si>
    <t>https://drive.google.com/drive/folders/1eWnjPqCAXhvtF5uiPGevBoa3gZdac1GS</t>
  </si>
  <si>
    <t>junit-team__junit5-2478</t>
  </si>
  <si>
    <t>https://github.com/junit-team/junit5/issues/2478</t>
  </si>
  <si>
    <t>https://drive.google.com/drive/folders/12NUNFL8DBsUUUUdRRCEGxNkFV15v1n4D</t>
  </si>
  <si>
    <t>https://drive.google.com/drive/folders/12RsEGfcTTRfa6o0IibudS_6tKSZqz7NY</t>
  </si>
  <si>
    <t>junit-team__junit5-2770</t>
  </si>
  <si>
    <t>https://github.com/junit-team/junit5/issues/2770</t>
  </si>
  <si>
    <t>gs://swe-bench-plus/evaluations/019c63b0-5201-7257-9916-f49303cabd22-junit-team__junit5-2770-swe-agent-claude-sonnet-4-20250514</t>
  </si>
  <si>
    <t>https://drive.google.com/drive/folders/1WkZq-Cx_4BwRWWDc4ic-2DAZ7xTtGBuI</t>
  </si>
  <si>
    <t>junit-team__junit5-4267</t>
  </si>
  <si>
    <t>https://github.com/junit-team/junit5/issues/4267</t>
  </si>
  <si>
    <t>gs://swe-bench-plus/evaluations/019c63b0-5201-7257-9916-f49303cabd22-junit-team__junit5-4267-swe-agent-claude-sonnet-4-20250514</t>
  </si>
  <si>
    <t>https://drive.google.com/drive/folders/10ugz4De0spkfPlYfNesxUaOrHVZdUkx_</t>
  </si>
  <si>
    <t>jupyterlab__jupyterlab-18388</t>
  </si>
  <si>
    <t>https://github.com/jupyterlab/jupyterlab/issues/18388</t>
  </si>
  <si>
    <t>applications;devtools;webdev;sci-comp</t>
  </si>
  <si>
    <t>gs://swe-bench-plus/evaluations/019c7387-769d-7229-8870-d94df44ef198-jupyterlab__jupyterlab-18388-swe-agent-claude-sonnet-4-20250514</t>
  </si>
  <si>
    <t>https://drive.google.com/drive/folders/11afOquOlPSNm2tuBD9Vd0ySTxicbYjR9</t>
  </si>
  <si>
    <t>jupyterlab/jupyterlab</t>
  </si>
  <si>
    <t>jupyterlab__jupyterlab</t>
  </si>
  <si>
    <t>justinribeiro__zotero-google-scholar-citation-count-55</t>
  </si>
  <si>
    <t>https://github.com/justinribeiro/zotero-google-scholar-citation-count/issues/55</t>
  </si>
  <si>
    <t>gs://swe-bench-plus/evaluations/019b6aaf-1788-707e-b6dd-d4dc12d72279-justinribeiro__zotero-google-scholar-citation-count-55-swe-agent-claude-sonnet-4.5</t>
  </si>
  <si>
    <t>https://drive.google.com/drive/folders/1NxedmQVFFA1R08-VxQOqlbEUpF87aJww</t>
  </si>
  <si>
    <t>justinribeiro/zotero-google-scholar-citation-count</t>
  </si>
  <si>
    <t>justinribeiro__zotero-google-scholar-citation-count</t>
  </si>
  <si>
    <t>justinribeiro__zotero-google-scholar-citation-count-44</t>
  </si>
  <si>
    <t>https://github.com/justinribeiro/zotero-google-scholar-citation-count/issues/44</t>
  </si>
  <si>
    <t>gs://swe-bench-plus/evaluations/019b6aaf-1788-707e-b6dd-d4dc12d72279-justinribeiro__zotero-google-scholar-citation-count-44-swe-agent-claude-sonnet-4.5</t>
  </si>
  <si>
    <t>https://drive.google.com/drive/folders/1gx5yJ6gTKPVOo-3c-btmz1xyi4f8YZdT</t>
  </si>
  <si>
    <t>jverneaut__html-to-gutenberg-123</t>
  </si>
  <si>
    <t>https://github.com/jverneaut/html-to-gutenberg/issues/123</t>
  </si>
  <si>
    <t>gs://swe-bench-plus/evaluations/019b323f-37c8-77f9-a5cf-b87eb4fec6ab-jverneaut__html-to-gutenberg-123-swe-agent-claude-sonnet-4-20250514</t>
  </si>
  <si>
    <t>https://drive.google.com/drive/folders/1XmhjKpc9hUbps0lJP1ZTLPaUlVn4_IxK</t>
  </si>
  <si>
    <t>jverneaut/html-to-gutenberg</t>
  </si>
  <si>
    <t>jverneaut__html-to-gutenberg</t>
  </si>
  <si>
    <t>jverneaut__html-to-gutenberg-37</t>
  </si>
  <si>
    <t>https://github.com/jverneaut/html-to-gutenberg/issues/37</t>
  </si>
  <si>
    <t>gs://swe-bench-plus/evaluations/019b6aa7-0380-771f-9e02-24cda0fe6639-jverneaut__html-to-gutenberg-37-swe-agent-claude-sonnet-4.5</t>
  </si>
  <si>
    <t>https://drive.google.com/drive/folders/1H5VTynToRAv91PQedt23J9lv5h1Q3K3b</t>
  </si>
  <si>
    <t>jverneaut__html-to-gutenberg-78</t>
  </si>
  <si>
    <t>https://github.com/jverneaut/html-to-gutenberg/issues/78</t>
  </si>
  <si>
    <t>gs://swe-bench-plus/evaluations/019b6aaf-1788-707e-b6dd-d4dc12d72279-jverneaut__html-to-gutenberg-78-swe-agent-claude-sonnet-4.5</t>
  </si>
  <si>
    <t>https://drive.google.com/drive/folders/1ePvoPHiovo0bnp7EHrWezzhRjCldDtYq</t>
  </si>
  <si>
    <t>jverneaut__html-to-gutenberg-75</t>
  </si>
  <si>
    <t>https://github.com/jverneaut/html-to-gutenberg/issues/75</t>
  </si>
  <si>
    <t>gs://swe-bench-plus/evaluations/019b6aaf-1788-707e-b6dd-d4dc12d72279-jverneaut__html-to-gutenberg-75-swe-agent-claude-sonnet-4.5</t>
  </si>
  <si>
    <t>https://drive.google.com/drive/folders/1SZyp-tDZDYAy3gDQ67HBvJ2RTQOq1WjY</t>
  </si>
  <si>
    <t>jverneaut__html-to-gutenberg-22</t>
  </si>
  <si>
    <t>https://github.com/jverneaut/html-to-gutenberg/issues/22</t>
  </si>
  <si>
    <t>gs://swe-bench-plus/evaluations/019b6aaf-1788-707e-b6dd-d4dc12d72279-jverneaut__html-to-gutenberg-22-swe-agent-claude-sonnet-4.5</t>
  </si>
  <si>
    <t>https://drive.google.com/drive/folders/1WGfQwTsaWgdRJlC8yTE2fmAwUToc1tg3</t>
  </si>
  <si>
    <t>jwt__ruby-jwt-669</t>
  </si>
  <si>
    <t>https://github.com/jwt/ruby-jwt/issues/669</t>
  </si>
  <si>
    <t>https://drive.google.com/drive/folders/1wjimEglKstBxKHwvMw8p89Wd3GCK7_qd</t>
  </si>
  <si>
    <t>jwt/ruby-jwt</t>
  </si>
  <si>
    <t>jwt__ruby-jwt</t>
  </si>
  <si>
    <t>jwtowner__lug-34</t>
  </si>
  <si>
    <t>https://github.com/jwtowner/lug/issues/34</t>
  </si>
  <si>
    <t>gs://swe-bench-plus/evaluations/019b6aa7-0380-771f-9e02-24cda0fe6639-jwtowner__lug-34-swe-agent-claude-sonnet-4.5</t>
  </si>
  <si>
    <t>https://drive.google.com/drive/folders/1084_jX9msLvsCOiTqQXxtsWjfgvEW_e5</t>
  </si>
  <si>
    <t>jwtowner/lug</t>
  </si>
  <si>
    <t>jwtowner__lug</t>
  </si>
  <si>
    <t>jxlsteam__jxls-400</t>
  </si>
  <si>
    <t>https://github.com/jxlsteam/jxls/issues/400</t>
  </si>
  <si>
    <t>chore;bug-report;documentation</t>
  </si>
  <si>
    <t>refactor;documentation;maintenance</t>
  </si>
  <si>
    <t>gs://swe-bench-plus/evaluations/019b6ab1-4e74-7019-9e81-9c96e98a145d-jxlsteam__jxls-400-swe-agent-claude-sonnet-4.5</t>
  </si>
  <si>
    <t>https://drive.google.com/drive/folders/1i3nwdjKENMvG-DfO68Ex-mEwvBPsQSgm</t>
  </si>
  <si>
    <t>jxlsteam/jxls</t>
  </si>
  <si>
    <t>jxlsteam__jxls</t>
  </si>
  <si>
    <t>k0sproject__k0sctl-864</t>
  </si>
  <si>
    <t>https://github.com/k0sproject/k0sctl/issues/864</t>
  </si>
  <si>
    <t>gs://swe-bench-plus/evaluations/019b6aa7-0380-771f-9e02-24cda0fe6639-k0sproject__k0sctl-864-swe-agent-claude-sonnet-4.5</t>
  </si>
  <si>
    <t>https://drive.google.com/drive/folders/1PcmwN7eCNtipF1dkdlHfoeI5zyF-neWr</t>
  </si>
  <si>
    <t>k0sproject/k0sctl</t>
  </si>
  <si>
    <t>k0sproject__k0sctl</t>
  </si>
  <si>
    <t>k0sproject__k0smotron-923</t>
  </si>
  <si>
    <t>https://github.com/k0sproject/k0smotron/issues/923</t>
  </si>
  <si>
    <t>gs://swe-bench-plus/evaluations/019b6ab1-4e74-7019-9e81-9c96e98a145d-k0sproject__k0smotron-923-swe-agent-claude-sonnet-4.5</t>
  </si>
  <si>
    <t>https://drive.google.com/drive/folders/1jiENW56npo7o3gX046dDpYvNaJU2m8Ax</t>
  </si>
  <si>
    <t>k0sproject/k0smotron</t>
  </si>
  <si>
    <t>k0sproject__k0smotron</t>
  </si>
  <si>
    <t>k1LoW__deck-225</t>
  </si>
  <si>
    <t>https://github.com/k1LoW/deck/issues/225</t>
  </si>
  <si>
    <t>gs://swe-bench-plus/evaluations/019b6ab1-4e74-7019-9e81-9c96e98a145d-k1LoW__deck-225-swe-agent-claude-sonnet-4.5</t>
  </si>
  <si>
    <t>https://drive.google.com/drive/folders/1bDtr05nKr-Mlv2hLVmDbB4E4X8jpVrGg</t>
  </si>
  <si>
    <t>k1LoW/deck</t>
  </si>
  <si>
    <t>k1LoW__deck</t>
  </si>
  <si>
    <t>k8sgpt-ai__k8sgpt-operator-662</t>
  </si>
  <si>
    <t>https://github.com/k8sgpt-ai/k8sgpt-operator/issues/662</t>
  </si>
  <si>
    <t>gs://swe-bench-plus/evaluations/019b6aa7-0380-771f-9e02-24cda0fe6639-k8sgpt-ai__k8sgpt-operator-662-swe-agent-claude-sonnet-4.5</t>
  </si>
  <si>
    <t>https://drive.google.com/drive/folders/1sqWwAUw75o6slOS3oRx7b03TUAnfztTw</t>
  </si>
  <si>
    <t>k8sgpt-ai/k8sgpt-operator</t>
  </si>
  <si>
    <t>k8sgpt-ai__k8sgpt-operator</t>
  </si>
  <si>
    <t>k8ssandra__cass-operator-730</t>
  </si>
  <si>
    <t>https://github.com/k8ssandra/cass-operator/issues/730</t>
  </si>
  <si>
    <t>gs://swe-bench-plus/evaluations/019b6aa7-0380-771f-9e02-24cda0fe6639-k8ssandra__cass-operator-730-swe-agent-claude-sonnet-4.5</t>
  </si>
  <si>
    <t>https://drive.google.com/drive/folders/1eBUPi-fV-mYKtWC1J0Y3vKNa9uPGG3kx</t>
  </si>
  <si>
    <t>k8ssandra/cass-operator</t>
  </si>
  <si>
    <t>k8ssandra__cass-operator</t>
  </si>
  <si>
    <t>kafbat__kafka-ui-663</t>
  </si>
  <si>
    <t>https://github.com/kafbat/kafka-ui/issues/663</t>
  </si>
  <si>
    <t>gs://swe-bench-plus/evaluations/019c2528-578b-73cc-ad42-8f1328ded528-kafbat__kafka-ui-663-swe-agent-claude-sonnet-4-20250514</t>
  </si>
  <si>
    <t>https://drive.google.com/drive/folders/1F17Z5NYisqqt5UzdSAz-kDrUlfW3hlgT</t>
  </si>
  <si>
    <t>kafbat/kafka-ui</t>
  </si>
  <si>
    <t>kafbat__kafka-ui</t>
  </si>
  <si>
    <t>kaitranntt__ccs-130</t>
  </si>
  <si>
    <t>https://github.com/kaitranntt/ccs/issues/130</t>
  </si>
  <si>
    <t>gs://swe-bench-plus/evaluations/019c7387-769d-7229-8870-d94df44ef198-kaitranntt__ccs-130-swe-agent-claude-sonnet-4.5</t>
  </si>
  <si>
    <t>https://drive.google.com/drive/folders/19nuSd9ptGAUj20cpS0lHMK05ltmwOQZx</t>
  </si>
  <si>
    <t>kaitranntt/ccs</t>
  </si>
  <si>
    <t>kaitranntt__ccs</t>
  </si>
  <si>
    <t>Kaliumhexacyanoferrat__GenHTTP-559</t>
  </si>
  <si>
    <t>https://github.com/Kaliumhexacyanoferrat/GenHTTP/issues/559</t>
  </si>
  <si>
    <t>gs://swe-bench-plus/evaluations/019b6aa7-0380-771f-9e02-24cda0fe6639-Kaliumhexacyanoferrat__GenHTTP-559-swe-agent-claude-sonnet-4.5</t>
  </si>
  <si>
    <t>https://drive.google.com/drive/folders/1-8lQ5AHBOhhguZHWMnRpWPY_eApUK-i7</t>
  </si>
  <si>
    <t>Kaliumhexacyanoferrat/GenHTTP</t>
  </si>
  <si>
    <t>Kaliumhexacyanoferrat__GenHTTP</t>
  </si>
  <si>
    <t>karafka__karafka-web-552</t>
  </si>
  <si>
    <t>https://github.com/karafka/karafka-web/issues/552</t>
  </si>
  <si>
    <t>gs://swe-bench-plus/evaluations/019b6aa7-0380-771f-9e02-24cda0fe6639-karafka__karafka-web-552-swe-agent-claude-sonnet-4.5</t>
  </si>
  <si>
    <t>https://drive.google.com/drive/folders/1h_N1u8cCkRcDZFk9gElJgmI4C-IA4FU4</t>
  </si>
  <si>
    <t>karafka/karafka-web</t>
  </si>
  <si>
    <t>karafka__karafka-web</t>
  </si>
  <si>
    <t>karmada-io__karmada-6512</t>
  </si>
  <si>
    <t>https://github.com/karmada-io/karmada/issues/6512</t>
  </si>
  <si>
    <t>https://drive.google.com/drive/folders/1CYnhtRaS3EvJfeaXe8if_Ffz7TXVTlBJ</t>
  </si>
  <si>
    <t>https://drive.google.com/drive/folders/1DwJRGXU710aLqBOS-tLfNVdatN9Ou8dG</t>
  </si>
  <si>
    <t>karmada-io/karmada</t>
  </si>
  <si>
    <t>karmada-io__karmada</t>
  </si>
  <si>
    <t>katanemo__archgw-250</t>
  </si>
  <si>
    <t>https://github.com/katanemo/archgw/issues/250</t>
  </si>
  <si>
    <t>gs://swe-bench-plus/evaluations/019b06be-e158-75e3-bc3e-1e0574eebf73-katanemo__archgw-250-swe-agent-claude-sonnet-4.5</t>
  </si>
  <si>
    <t>https://drive.google.com/drive/folders/14IJ56znD-R4IFlZqV7hInspQ9sD69oml</t>
  </si>
  <si>
    <t>katanemo/archgw</t>
  </si>
  <si>
    <t>katanemo__archgw</t>
  </si>
  <si>
    <t>kbwo__ccmanager-31</t>
  </si>
  <si>
    <t>https://github.com/kbwo/ccmanager/issues/31</t>
  </si>
  <si>
    <t>gs://swe-bench-plus/evaluations/019b6aaf-1788-707e-b6dd-d4dc12d72279-kbwo__ccmanager-31-swe-agent-claude-sonnet-4.5</t>
  </si>
  <si>
    <t>https://drive.google.com/drive/folders/1eMtB231sjzRQ9Y5ux0g-WfRNxvigYfSv</t>
  </si>
  <si>
    <t>kbwo/ccmanager</t>
  </si>
  <si>
    <t>kbwo__ccmanager</t>
  </si>
  <si>
    <t>kbwo__ccmanager-60</t>
  </si>
  <si>
    <t>https://github.com/kbwo/ccmanager/issues/60</t>
  </si>
  <si>
    <t>gs://swe-bench-plus/evaluations/019b6aaf-1788-707e-b6dd-d4dc12d72279-kbwo__ccmanager-60-swe-agent-claude-sonnet-4.5</t>
  </si>
  <si>
    <t>https://drive.google.com/drive/folders/10eyTw1DigyKfL4OsHWcuYOF4ESnNu260</t>
  </si>
  <si>
    <t>kedro-org__kedro-4543</t>
  </si>
  <si>
    <t>https://github.com/kedro-org/kedro/issues/4543</t>
  </si>
  <si>
    <t>https://drive.google.com/drive/folders/1JrqTh_Avo2WSmsktnQD3dwbabC-lbIfl</t>
  </si>
  <si>
    <t>https://drive.google.com/drive/folders/11TlMYVp_HkpcJ5rgCHV1O97rbBUpd6iX</t>
  </si>
  <si>
    <t>kedro-org/kedro</t>
  </si>
  <si>
    <t>kedro-org__kedro</t>
  </si>
  <si>
    <t>kedro-org__kedro-4653</t>
  </si>
  <si>
    <t>https://github.com/kedro-org/kedro/issues/4653</t>
  </si>
  <si>
    <t>https://drive.google.com/drive/folders/1mbnR9dr0JGZohlFD9nHqpTLTH1Ju-jP9</t>
  </si>
  <si>
    <t>https://drive.google.com/drive/folders/19-MSfL30mu-blR59R-tRzf1maLVnaZG4</t>
  </si>
  <si>
    <t>keepassxreboot__keepassxc-9852</t>
  </si>
  <si>
    <t>https://github.com/keepassxreboot/keepassxc/issues/9852</t>
  </si>
  <si>
    <t>https://drive.google.com/drive/folders/1nhxeYmxtDg9OgqchSIjWPsJeW9ZJS3_3</t>
  </si>
  <si>
    <t>https://drive.google.com/drive/folders/1R2XeC1g9Zg7i6Vw6zFSaV51SdntB3fzc</t>
  </si>
  <si>
    <t>keepassxreboot/keepassxc</t>
  </si>
  <si>
    <t>keepassxreboot__keepassxc</t>
  </si>
  <si>
    <t>keepassxreboot__keepassxc-11197</t>
  </si>
  <si>
    <t>https://github.com/keepassxreboot/keepassxc/issues/11197</t>
  </si>
  <si>
    <t>https://drive.google.com/drive/folders/10-QYNrmZkWhl8VvFEqlQlUfA2J_OrBEz</t>
  </si>
  <si>
    <t>https://drive.google.com/drive/folders/1NInogXZAdHQZJLhktGZjvy6Qc5TXpaUD</t>
  </si>
  <si>
    <t>keepassxreboot__keepassxc-9835</t>
  </si>
  <si>
    <t>https://github.com/keepassxreboot/keepassxc/issues/9835</t>
  </si>
  <si>
    <t>https://drive.google.com/drive/folders/1RRmz1JFa7eJwn4xr2EWoCUIhYCW2zbW0</t>
  </si>
  <si>
    <t>https://drive.google.com/drive/folders/1BF81IRuBmO38aU6CueObMyBvRedbuITE</t>
  </si>
  <si>
    <t>keepassxreboot__keepassxc-11401</t>
  </si>
  <si>
    <t>https://github.com/keepassxreboot/keepassxc/issues/11401</t>
  </si>
  <si>
    <t>https://drive.google.com/drive/folders/1L1RcdL7tsq7EPJ9HsaE1GVjb7_0ZU4cr</t>
  </si>
  <si>
    <t>https://drive.google.com/drive/folders/11thaeZnfdlvAadDvb7UkbvD8BJrvnCab</t>
  </si>
  <si>
    <t>keploy__keploy-2921</t>
  </si>
  <si>
    <t>https://github.com/keploy/keploy/issues/2921</t>
  </si>
  <si>
    <t>https://drive.google.com/drive/folders/1ch06C4FZT6v2NEabyWGbqDoe-v4h-Hng</t>
  </si>
  <si>
    <t>https://drive.google.com/drive/folders/1Af6RLwwF8sZD77pcqnL6hSGiZvIXYZy3</t>
  </si>
  <si>
    <t>keploy/keploy</t>
  </si>
  <si>
    <t>keploy__keploy</t>
  </si>
  <si>
    <t>keras-team__keras-20452</t>
  </si>
  <si>
    <t>https://github.com/keras-team/keras/issues/20452</t>
  </si>
  <si>
    <t>https://drive.google.com/drive/folders/17j9jPVYZwFRLsRbz4zhYfmx0pp3_ruBr</t>
  </si>
  <si>
    <t>https://drive.google.com/drive/folders/1LRUSLILZcGcxK0x51iQWyDcUd3VU5UM_</t>
  </si>
  <si>
    <t>keras-team/keras</t>
  </si>
  <si>
    <t>keras-team__keras</t>
  </si>
  <si>
    <t>kestra-io__kestra-7729</t>
  </si>
  <si>
    <t>https://github.com/kestra-io/kestra/issues/7729</t>
  </si>
  <si>
    <t>https://drive.google.com/drive/folders/1uYRCGt-UqOdyDyxxNayHu7Dh3SIHUyEC</t>
  </si>
  <si>
    <t>https://drive.google.com/drive/folders/1ouyV_EEvS80sFOkifZAqGfMZQ1C97F_g</t>
  </si>
  <si>
    <t>kestra-io/kestra</t>
  </si>
  <si>
    <t>kestra-io__kestra</t>
  </si>
  <si>
    <t>kevinthedang__discord-ollama-149</t>
  </si>
  <si>
    <t>https://github.com/kevinthedang/discord-ollama/issues/149</t>
  </si>
  <si>
    <t>refactor;maintenance;build-ci</t>
  </si>
  <si>
    <t>gs://swe-bench-plus/evaluations/019b6aaf-1788-707e-b6dd-d4dc12d72279-kevinthedang__discord-ollama-149-swe-agent-claude-sonnet-4.5</t>
  </si>
  <si>
    <t>https://drive.google.com/drive/folders/1mizBvOPP8JaylKOEehYwGaY2os6ZKlOw</t>
  </si>
  <si>
    <t>kevinthedang/discord-ollama</t>
  </si>
  <si>
    <t>kevinthedang__discord-ollama</t>
  </si>
  <si>
    <t>keycloak__keycloak-46127</t>
  </si>
  <si>
    <t>https://github.com/keycloak/keycloak/issues/46127</t>
  </si>
  <si>
    <t>gs://swe-bench-plus/evaluations/019c9aad-36b7-7363-979b-09f446c180bc-keycloak__keycloak-46127-swe-agent-claude-sonnet-4.5</t>
  </si>
  <si>
    <t>keycloak/keycloak</t>
  </si>
  <si>
    <t>keycloak__keycloak</t>
  </si>
  <si>
    <t>keycloak__keycloak-34551</t>
  </si>
  <si>
    <t>https://github.com/keycloak/keycloak/issues/34551</t>
  </si>
  <si>
    <t>gs://swe-bench-plus/evaluations/019bc796-66b6-7744-99a6-9ba9969a7e01-keycloak__keycloak-34551-swe-agent-claude-sonnet-4-20250514</t>
  </si>
  <si>
    <t>https://drive.google.com/drive/folders/1_QVG6_lI4QZuvxtM6CFfacZGXQq5awX_</t>
  </si>
  <si>
    <t>keycloak__keycloak-36881</t>
  </si>
  <si>
    <t>https://github.com/keycloak/keycloak/issues/36881</t>
  </si>
  <si>
    <t>gs://swe-bench-plus/evaluations/019bd2bf-00de-723c-8b2d-1d9d8c821830-keycloak__keycloak-36881-swe-agent-claude-sonnet-4.5</t>
  </si>
  <si>
    <t>keycloak__keycloak-45400</t>
  </si>
  <si>
    <t>https://github.com/keycloak/keycloak/issues/45400</t>
  </si>
  <si>
    <t>gs://swe-bench-plus/evaluations/019c39f2-198a-7148-b5b8-b8ba5f4e060f-keycloak__keycloak-45400-swe-agent-claude-sonnet-4-20250514</t>
  </si>
  <si>
    <t>https://drive.google.com/drive/folders/14QxOgLbVJxwsyiQTW6CdTlVQ96qw_fVb</t>
  </si>
  <si>
    <t>keycloak__keycloak-43963</t>
  </si>
  <si>
    <t>https://github.com/keycloak/keycloak/issues/43963</t>
  </si>
  <si>
    <t>security;applications;infra-devops</t>
  </si>
  <si>
    <t>gs://swe-bench-plus/evaluations/019c9aa0-7f24-746b-9521-001bf9a16e92-keycloak__keycloak-43963-swe-agent-claude-sonnet-4.5</t>
  </si>
  <si>
    <t>kgateway-dev__kgateway-12274</t>
  </si>
  <si>
    <t>https://github.com/kgateway-dev/kgateway/issues/12274</t>
  </si>
  <si>
    <t>https://drive.google.com/drive/folders/1g8h2bQ87UbE59MO7qbfcqlRKTu0GfSJS</t>
  </si>
  <si>
    <t>https://drive.google.com/drive/folders/1n6zqKvImEtQhQ03ORQdAgfh0dW-oSljO</t>
  </si>
  <si>
    <t>kgateway-dev/kgateway</t>
  </si>
  <si>
    <t>kgateway-dev__kgateway</t>
  </si>
  <si>
    <t>kgateway-dev__kgateway-11861</t>
  </si>
  <si>
    <t>https://github.com/kgateway-dev/kgateway/issues/11861</t>
  </si>
  <si>
    <t>https://drive.google.com/drive/folders/1axUlDCqLf16mum47tJ8cLd923MWTCsqA</t>
  </si>
  <si>
    <t>https://drive.google.com/drive/folders/1U4Syv43mXEsVAkqK4xn2fSbw72-gVmjs</t>
  </si>
  <si>
    <t>KhronosGroup__Vulkan-ValidationLayers-11102</t>
  </si>
  <si>
    <t>https://github.com/KhronosGroup/Vulkan-ValidationLayers/issues/11102</t>
  </si>
  <si>
    <t>gs://swe-bench-plus/evaluations/019b06b8-5347-7669-9f51-4e4681f5c848-KhronosGroup__Vulkan-ValidationLayers-11102-swe-agent-claude-sonnet-4.5</t>
  </si>
  <si>
    <t>https://drive.google.com/drive/folders/1rWgBEqk56bbp5-yVbPRv8_QaLweDFuwN</t>
  </si>
  <si>
    <t>KhronosGroup/Vulkan-ValidationLayers</t>
  </si>
  <si>
    <t>KhronosGroup__Vulkan-ValidationLayers</t>
  </si>
  <si>
    <t>kiwix__libkiwix-1043</t>
  </si>
  <si>
    <t>https://github.com/kiwix/libkiwix/issues/1043</t>
  </si>
  <si>
    <t>gs://swe-bench-plus/evaluations/019b6aa7-0380-771f-9e02-24cda0fe6639-kiwix__libkiwix-1043-swe-agent-claude-sonnet-4.5</t>
  </si>
  <si>
    <t>https://drive.google.com/drive/folders/17X8mL38q6--TidyLQ7ZHigbcPykOx4SU</t>
  </si>
  <si>
    <t>kiwix/libkiwix</t>
  </si>
  <si>
    <t>kiwix__libkiwix</t>
  </si>
  <si>
    <t>kiwix__libkiwix-1112</t>
  </si>
  <si>
    <t>https://github.com/kiwix/libkiwix/issues/1112</t>
  </si>
  <si>
    <t>gs://swe-bench-plus/evaluations/019b6aa7-0380-771f-9e02-24cda0fe6639-kiwix__libkiwix-1112-swe-agent-claude-sonnet-4.5</t>
  </si>
  <si>
    <t>https://drive.google.com/drive/folders/1S018HFoUfUNikWaAwjylTlhW43Y22UsK</t>
  </si>
  <si>
    <t>kmbhm1__supabase-pydantic-90</t>
  </si>
  <si>
    <t>https://github.com/kmbhm1/supabase-pydantic/issues/90</t>
  </si>
  <si>
    <t>feature;bug-fix;documentation;refactor</t>
  </si>
  <si>
    <t>https://drive.google.com/drive/folders/1R1To0ovG2A59oFqGOlzx52p0x522Co9V</t>
  </si>
  <si>
    <t>https://drive.google.com/drive/folders/1FlxCFGukSt_n62F8Am49ssGq7tqWwkWk</t>
  </si>
  <si>
    <t>kmbhm1/supabase-pydantic</t>
  </si>
  <si>
    <t>kmbhm1__supabase-pydantic</t>
  </si>
  <si>
    <t>kmbhm1__supabase-pydantic-63</t>
  </si>
  <si>
    <t>https://github.com/kmbhm1/supabase-pydantic/issues/63</t>
  </si>
  <si>
    <t>devtools;webdev;data-eng</t>
  </si>
  <si>
    <t>https://drive.google.com/drive/folders/1BdK6TOX_fdRTpl7lKYdBjRxvGZ5-uTen</t>
  </si>
  <si>
    <t>https://drive.google.com/drive/folders/1GCqCj6Eo7az-74HC8E3FPFJBLi2G30Yp</t>
  </si>
  <si>
    <t>knative__func-2677</t>
  </si>
  <si>
    <t>https://github.com/knative/func/issues/2677</t>
  </si>
  <si>
    <t>feature;build-ci;refactor;dependency-update;test</t>
  </si>
  <si>
    <t>gs://swe-bench-plus/evaluations/019b6ab1-4e74-7019-9e81-9c96e98a145d-knative__func-2677-swe-agent-claude-sonnet-4.5</t>
  </si>
  <si>
    <t>https://drive.google.com/drive/folders/1xg01A_Adzl9XW_Z_Kibetw5zPgsdMnos</t>
  </si>
  <si>
    <t>knative/func</t>
  </si>
  <si>
    <t>knative__func</t>
  </si>
  <si>
    <t>knatten__cppquiz-372</t>
  </si>
  <si>
    <t>https://github.com/knatten/cppquiz/issues/372</t>
  </si>
  <si>
    <t>https://drive.google.com/drive/folders/1mWezRYlPsYxLuSYzBSZUnCBy0VlS63Nv</t>
  </si>
  <si>
    <t>https://drive.google.com/drive/folders/1ZHwvdO0cX26BvycOYuEEDqydKZwEi-kH</t>
  </si>
  <si>
    <t>knatten/cppquiz</t>
  </si>
  <si>
    <t>knatten__cppquiz</t>
  </si>
  <si>
    <t>kodustech__kodus-ai-616</t>
  </si>
  <si>
    <t>https://github.com/kodustech/kodus-ai/issues/616</t>
  </si>
  <si>
    <t>gs://swe-bench-plus/evaluations/019c7387-769d-7229-8870-d94df44ef198-kodustech__kodus-ai-616-swe-agent-claude-sonnet-4.5</t>
  </si>
  <si>
    <t>https://drive.google.com/drive/folders/1HkzASOK8jDeY0IJRKYNM7EVPqqxrG1GG</t>
  </si>
  <si>
    <t>kodustech/kodus-ai</t>
  </si>
  <si>
    <t>kodustech__kodus-ai</t>
  </si>
  <si>
    <t>kodustech__kodus-ai-547</t>
  </si>
  <si>
    <t>https://github.com/kodustech/kodus-ai/issues/547</t>
  </si>
  <si>
    <t>gs://swe-bench-plus/evaluations/019c7387-769d-7229-8870-d94df44ef198-kodustech__kodus-ai-547-swe-agent-claude-sonnet-4.5</t>
  </si>
  <si>
    <t>https://drive.google.com/drive/folders/1cxZBXZYgcypbLwZKzCqcI5IEXQ4_hzFx</t>
  </si>
  <si>
    <t>kolide__launcher-2188</t>
  </si>
  <si>
    <t>https://github.com/kolide/launcher/issues/2188</t>
  </si>
  <si>
    <t>gs://swe-bench-plus/evaluations/019b6aa7-0380-771f-9e02-24cda0fe6639-kolide__launcher-2188-swe-agent-claude-sonnet-4.5</t>
  </si>
  <si>
    <t>https://drive.google.com/drive/folders/1zRE7ciKPNaWbPHKSfu1tcPD8J3iiB3_5</t>
  </si>
  <si>
    <t>kolide/launcher</t>
  </si>
  <si>
    <t>kolide__launcher</t>
  </si>
  <si>
    <t>Kong__kong-operator-2440</t>
  </si>
  <si>
    <t>https://github.com/Kong/kong-operator/issues/2440</t>
  </si>
  <si>
    <t>gs://swe-bench-plus/evaluations/019b6aa7-0380-771f-9e02-24cda0fe6639-Kong__kong-operator-2440-swe-agent-claude-sonnet-4.5</t>
  </si>
  <si>
    <t>https://drive.google.com/drive/folders/1Onef2lJdYAUsl3m2__hiJPENnU9j4GIa</t>
  </si>
  <si>
    <t>Kong/kong-operator</t>
  </si>
  <si>
    <t>Kong__kong-operator</t>
  </si>
  <si>
    <t>Kong__kong-operator-2400</t>
  </si>
  <si>
    <t>https://github.com/Kong/kong-operator/issues/2400</t>
  </si>
  <si>
    <t>gs://swe-bench-plus/evaluations/019b6aa7-0380-771f-9e02-24cda0fe6639-Kong__kong-operator-2400-swe-agent-claude-sonnet-4.5</t>
  </si>
  <si>
    <t>https://drive.google.com/drive/folders/15wpKWNwBYUHogFCeZsFaSWe-R5wDc25F</t>
  </si>
  <si>
    <t>Kong__kubernetes-ingress-controller-6766</t>
  </si>
  <si>
    <t>https://github.com/Kong/kubernetes-ingress-controller/issues/6766</t>
  </si>
  <si>
    <t>https://drive.google.com/drive/folders/16k144OK3uaM_3XifXlU4yqlYzm1odvQT</t>
  </si>
  <si>
    <t>https://drive.google.com/drive/folders/1A6Xs9f_Dfjyw5GaQXDtinwl8tqI04EQA</t>
  </si>
  <si>
    <t>Kong/kubernetes-ingress-controller</t>
  </si>
  <si>
    <t>Kong__kubernetes-ingress-controller</t>
  </si>
  <si>
    <t>koralium__flowtide-787</t>
  </si>
  <si>
    <t>https://github.com/koralium/flowtide/issues/787</t>
  </si>
  <si>
    <t>gs://swe-bench-plus/evaluations/019b6aa7-0380-771f-9e02-24cda0fe6639-koralium__flowtide-787-swe-agent-claude-sonnet-4.5</t>
  </si>
  <si>
    <t>https://drive.google.com/drive/folders/1024uf_4pxm-eOGCWFWqVI-_e1blMqXr0</t>
  </si>
  <si>
    <t>koralium/flowtide</t>
  </si>
  <si>
    <t>koralium__flowtide</t>
  </si>
  <si>
    <t>koralium__flowtide-780</t>
  </si>
  <si>
    <t>https://github.com/koralium/flowtide/issues/780</t>
  </si>
  <si>
    <t>gs://swe-bench-plus/evaluations/019b6aa7-0380-771f-9e02-24cda0fe6639-koralium__flowtide-780-swe-agent-claude-sonnet-4.5</t>
  </si>
  <si>
    <t>https://drive.google.com/drive/folders/1ks06c4wgv9hPU-y5roGCpwCwawdw4EpW</t>
  </si>
  <si>
    <t>koralium__flowtide-795</t>
  </si>
  <si>
    <t>https://github.com/koralium/flowtide/issues/795</t>
  </si>
  <si>
    <t>gs://swe-bench-plus/evaluations/019b6aa7-0380-771f-9e02-24cda0fe6639-koralium__flowtide-795-swe-agent-claude-sonnet-4.5</t>
  </si>
  <si>
    <t>https://drive.google.com/drive/folders/1gj7aMnNoWpxXHRuKYLlC0DP5OJ58z6Vf</t>
  </si>
  <si>
    <t>koralium__flowtide-754</t>
  </si>
  <si>
    <t>https://github.com/koralium/flowtide/issues/754</t>
  </si>
  <si>
    <t>data-eng;sci-comp;devtools</t>
  </si>
  <si>
    <t>gs://swe-bench-plus/evaluations/019b6aa7-0380-771f-9e02-24cda0fe6639-koralium__flowtide-754-swe-agent-claude-sonnet-4.5</t>
  </si>
  <si>
    <t>https://drive.google.com/drive/folders/1lfLL8WmeC7B42wIgS7TtwfeqQGwTQMyF</t>
  </si>
  <si>
    <t>koralium__flowtide-646</t>
  </si>
  <si>
    <t>https://github.com/koralium/flowtide/issues/646</t>
  </si>
  <si>
    <t>gs://swe-bench-plus/evaluations/019b6aa7-0380-771f-9e02-24cda0fe6639-koralium__flowtide-646-swe-agent-claude-sonnet-4.5</t>
  </si>
  <si>
    <t>https://drive.google.com/drive/folders/1smqR3IIGhVPZNvIwUtSvTAp7zH1yjWDT</t>
  </si>
  <si>
    <t>koralium__flowtide-593</t>
  </si>
  <si>
    <t>https://github.com/koralium/flowtide/issues/593</t>
  </si>
  <si>
    <t>gs://swe-bench-plus/evaluations/019b6aa7-0380-771f-9e02-24cda0fe6639-koralium__flowtide-593-swe-agent-claude-sonnet-4.5</t>
  </si>
  <si>
    <t>https://drive.google.com/drive/folders/1WaF9a1KTSius83nBV095OeLodPa2-jj0</t>
  </si>
  <si>
    <t>koto-lang__koto-520</t>
  </si>
  <si>
    <t>https://github.com/koto-lang/koto/issues/520</t>
  </si>
  <si>
    <t>gs://swe-bench-plus/evaluations/019b06be-e158-75e3-bc3e-1e0574eebf73-koto-lang__koto-520-swe-agent-claude-sonnet-4.5</t>
  </si>
  <si>
    <t>https://drive.google.com/drive/folders/1nmkPRHv67VEpcUDHI9lKpIbADDzZLtey</t>
  </si>
  <si>
    <t>koto-lang/koto</t>
  </si>
  <si>
    <t>koto-lang__koto</t>
  </si>
  <si>
    <t>koto-lang__koto-419</t>
  </si>
  <si>
    <t>https://github.com/koto-lang/koto/issues/419</t>
  </si>
  <si>
    <t>gs://swe-bench-plus/evaluations/019b06be-e158-75e3-bc3e-1e0574eebf73-koto-lang__koto-419-swe-agent-claude-sonnet-4.5</t>
  </si>
  <si>
    <t>https://drive.google.com/drive/folders/1NmMieMcIGgowsSFe9uh1MI6aiK2RJWv4</t>
  </si>
  <si>
    <t>koto-lang__koto-531</t>
  </si>
  <si>
    <t>https://github.com/koto-lang/koto/issues/531</t>
  </si>
  <si>
    <t>gs://swe-bench-plus/evaluations/019b06be-e158-75e3-bc3e-1e0574eebf73-koto-lang__koto-531-swe-agent-claude-sonnet-4.5</t>
  </si>
  <si>
    <t>https://drive.google.com/drive/folders/1O37orotHVAb3fhiQ-Fj8NXf1w7WZk8By</t>
  </si>
  <si>
    <t>koxudaxi__datamodel-code-generator-2340</t>
  </si>
  <si>
    <t>https://github.com/koxudaxi/datamodel-code-generator/issues/2340</t>
  </si>
  <si>
    <t>https://drive.google.com/drive/folders/11746mjTXBE68J7TNh1TN0Hjru7DekD0T</t>
  </si>
  <si>
    <t>https://drive.google.com/drive/folders/1IK3ue3cgR5ikZ_G47hsh9rjnLGt5q9nG</t>
  </si>
  <si>
    <t>koxudaxi/datamodel-code-generator</t>
  </si>
  <si>
    <t>koxudaxi__datamodel-code-generator</t>
  </si>
  <si>
    <t>Kozea__Radicale-1860</t>
  </si>
  <si>
    <t>https://github.com/Kozea/Radicale/issues/1860</t>
  </si>
  <si>
    <t>webdev;security;applications</t>
  </si>
  <si>
    <t>https://drive.google.com/drive/folders/1DL7rQMKjQaaVL4tsJ3xdg-Y4AWyF-SSV</t>
  </si>
  <si>
    <t>https://drive.google.com/drive/folders/13FA0Ojkz8h1NrDfzsyCbOxRgTi4_w82O</t>
  </si>
  <si>
    <t>Kozea/Radicale</t>
  </si>
  <si>
    <t>Kozea__Radicale</t>
  </si>
  <si>
    <t>krisk__Fuse-773</t>
  </si>
  <si>
    <t>https://github.com/krisk/Fuse/issues/773</t>
  </si>
  <si>
    <t>gs://swe-bench-plus/evaluations/019c24fa-2999-746b-a6fd-aa256611b73a-krisk__Fuse-773-swe-agent-claude-sonnet-4-20250514</t>
  </si>
  <si>
    <t>https://drive.google.com/drive/folders/1DIUIuj9JmCCpGwq6SB5Wo29Eir9KSMgY</t>
  </si>
  <si>
    <t>krisk/Fuse</t>
  </si>
  <si>
    <t>krisk__Fuse</t>
  </si>
  <si>
    <t>kserve__kserve-3652</t>
  </si>
  <si>
    <t>https://github.com/kserve/kserve/issues/3652</t>
  </si>
  <si>
    <t>https://drive.google.com/drive/folders/1nvnCfJUKrtyjq9v_nsN47Q5K4IwpnvpD</t>
  </si>
  <si>
    <t>kserve/kserve</t>
  </si>
  <si>
    <t>kserve__kserve</t>
  </si>
  <si>
    <t>Kuadrant__kuadrant-operator-1508</t>
  </si>
  <si>
    <t>https://github.com/Kuadrant/kuadrant-operator/issues/1508</t>
  </si>
  <si>
    <t>gs://swe-bench-plus/evaluations/019b6aa7-0380-771f-9e02-24cda0fe6639-Kuadrant__kuadrant-operator-1508-swe-agent-claude-sonnet-4.5</t>
  </si>
  <si>
    <t>https://drive.google.com/drive/folders/1ZPMVH_GdtllkUmSOlw0kaTDGITc2XCz5</t>
  </si>
  <si>
    <t>Kuadrant/kuadrant-operator</t>
  </si>
  <si>
    <t>Kuadrant__kuadrant-operator</t>
  </si>
  <si>
    <t>Kuadrant__kuadrant-operator-1379</t>
  </si>
  <si>
    <t>https://github.com/Kuadrant/kuadrant-operator/issues/1379</t>
  </si>
  <si>
    <t>gs://swe-bench-plus/evaluations/019b6aa7-0380-771f-9e02-24cda0fe6639-Kuadrant__kuadrant-operator-1379-swe-agent-claude-sonnet-4.5</t>
  </si>
  <si>
    <t>https://drive.google.com/drive/folders/1EpNFc6cDawgkahz5XhZiOWkRCm-IjxLC</t>
  </si>
  <si>
    <t>kubb-labs__kubb-2394</t>
  </si>
  <si>
    <t>https://github.com/kubb-labs/kubb/issues/2394</t>
  </si>
  <si>
    <t>https://drive.google.com/drive/folders/1pc7SPf0Wjc1J7Rp_rT92Y-0eQUInrSjq</t>
  </si>
  <si>
    <t>https://drive.google.com/drive/folders/1dX3t-EGSH0dyBHnB_vRksHUy3bLbGMeB</t>
  </si>
  <si>
    <t>kubb-labs/kubb</t>
  </si>
  <si>
    <t>kubb-labs__kubb</t>
  </si>
  <si>
    <t>kubernetes-sigs__aws-ebs-csi-driver</t>
  </si>
  <si>
    <t>kubernetes-sigs__cluster-api-provider-azure-5509</t>
  </si>
  <si>
    <t>https://github.com/kubernetes-sigs/cluster-api-provider-azure/issues/5509</t>
  </si>
  <si>
    <t>gs://swe-bench-plus/evaluations/019b6aa7-0380-771f-9e02-24cda0fe6639-kubernetes-sigs__cluster-api-provider-azure-5509-swe-agent-claude-sonnet-4.5</t>
  </si>
  <si>
    <t>https://drive.google.com/drive/folders/1R9cZdwv1KUq3R6yTkQiJT7eHMrUzDgQz</t>
  </si>
  <si>
    <t>kubernetes-sigs/cluster-api-provider-azure</t>
  </si>
  <si>
    <t>kubernetes-sigs__cluster-api-provider-azure</t>
  </si>
  <si>
    <t>kubernetes-sigs__jobset-740</t>
  </si>
  <si>
    <t>https://github.com/kubernetes-sigs/jobset/issues/740</t>
  </si>
  <si>
    <t>gs://swe-bench-plus/evaluations/019ac57e-f665-72ea-8d22-b2c491531db5-kubernetes-sigs__jobset-740-open-hands-claude-sonnet-4-20250514</t>
  </si>
  <si>
    <t>https://drive.google.com/drive/folders/1ntEnIPKfSwT2bzXoGH_GKAV2u5Q-AVDG</t>
  </si>
  <si>
    <t>kubernetes-sigs/jobset</t>
  </si>
  <si>
    <t>kubernetes-sigs__jobset</t>
  </si>
  <si>
    <t>kubernetes-sigs__kube-api-linter-41</t>
  </si>
  <si>
    <t>https://github.com/kubernetes-sigs/kube-api-linter/issues/41</t>
  </si>
  <si>
    <t>feature;build-ci;test;documentation</t>
  </si>
  <si>
    <t>gs://swe-bench-plus/evaluations/019b6ab1-4e74-7019-9e81-9c96e98a145d-kubernetes-sigs__kube-api-linter-41-swe-agent-claude-sonnet-4.5</t>
  </si>
  <si>
    <t>https://drive.google.com/drive/folders/1yzWFymFg7E-Dk7hyC8npiv_H66yiOADo</t>
  </si>
  <si>
    <t>kubernetes-sigs/kube-api-linter</t>
  </si>
  <si>
    <t>kubernetes-sigs__kube-api-linter</t>
  </si>
  <si>
    <t>kubernetes-sigs__kube-api-linter-85</t>
  </si>
  <si>
    <t>https://github.com/kubernetes-sigs/kube-api-linter/issues/85</t>
  </si>
  <si>
    <t>gs://swe-bench-plus/evaluations/019b6ab1-4e74-7019-9e81-9c96e98a145d-kubernetes-sigs__kube-api-linter-85-swe-agent-claude-sonnet-4.5</t>
  </si>
  <si>
    <t>https://drive.google.com/drive/folders/1DrZ30G_f-CwWkgHNf9VznT2IE7HUM1WE</t>
  </si>
  <si>
    <t>kubernetes-sigs__kueue-6906</t>
  </si>
  <si>
    <t>https://github.com/kubernetes-sigs/kueue/issues/6906</t>
  </si>
  <si>
    <t>gs://swe-bench-plus/evaluations/019b21b8-cb17-706d-bade-2f9b34b81acc-kubernetes-sigs__kueue-6906-swe-agent-claude-sonnet-4-20250514</t>
  </si>
  <si>
    <t>https://drive.google.com/drive/folders/1yJhOFW3ZrEPMgU3KMhWK00MHsGLZOq1e</t>
  </si>
  <si>
    <t>kubernetes-sigs/kueue</t>
  </si>
  <si>
    <t>kubernetes-sigs__kueue</t>
  </si>
  <si>
    <t>kubernetes__kubernetes-130599</t>
  </si>
  <si>
    <t>https://github.com/kubernetes/kubernetes/issues/130599</t>
  </si>
  <si>
    <t>https://drive.google.com/drive/folders/1NuDJuXag2mJYvbARfW6jZv9vA2IvwzCV</t>
  </si>
  <si>
    <t>https://drive.google.com/drive/folders/1WFfUfG1RQVbIkZfJtfiSjaXRY-ynok3r</t>
  </si>
  <si>
    <t>kubernetes/kubernetes</t>
  </si>
  <si>
    <t>kubernetes__kubernetes</t>
  </si>
  <si>
    <t>kubernetes__kubernetes-130398</t>
  </si>
  <si>
    <t>https://github.com/kubernetes/kubernetes/issues/130398</t>
  </si>
  <si>
    <t>https://drive.google.com/drive/folders/13gWKI1LLXkWzMR-Ng9rl31QhZ7EWBQVa</t>
  </si>
  <si>
    <t>https://drive.google.com/drive/folders/1OEU__Xa0FMcRRDkOOaEn-PUzJWv9htOr</t>
  </si>
  <si>
    <t>kubernetes__kubernetes-130720</t>
  </si>
  <si>
    <t>https://github.com/kubernetes/kubernetes/issues/130720</t>
  </si>
  <si>
    <t>gs://swe-bench-plus/evaluations/019a8f63-9719-76e6-95d0-86201157cd29-kubernetes__kubernetes-130720-open-hands-claude-sonnet-4-20250514</t>
  </si>
  <si>
    <t>kubernetes__kubernetes-132430</t>
  </si>
  <si>
    <t>https://github.com/kubernetes/kubernetes/issues/132430</t>
  </si>
  <si>
    <t>https://drive.google.com/drive/folders/126GI6Ol9MbgTj0AL94AsMGY7taIqjoNc</t>
  </si>
  <si>
    <t>https://drive.google.com/drive/folders/1UseVpFOpxdsx-KFmyUipkn4pgiXdumIT</t>
  </si>
  <si>
    <t>kuzmoyev__google-calendar-simple-api-207</t>
  </si>
  <si>
    <t>https://github.com/kuzmoyev/google-calendar-simple-api/issues/207</t>
  </si>
  <si>
    <t>feature;refactor;dependency-update;documentation;maintenance</t>
  </si>
  <si>
    <t>https://drive.google.com/drive/folders/1A2OorGNEuiKgbU7i1NUZCKoaeM5SMQ4M</t>
  </si>
  <si>
    <t>https://drive.google.com/drive/folders/1XzHJiW4spPS37gZG8I-JzHh9rtBT4-76</t>
  </si>
  <si>
    <t>kuzmoyev/google-calendar-simple-api</t>
  </si>
  <si>
    <t>kuzmoyev__google-calendar-simple-api</t>
  </si>
  <si>
    <t>kuzudb__kuzu-4711</t>
  </si>
  <si>
    <t>https://github.com/kuzudb/kuzu/issues/4711</t>
  </si>
  <si>
    <t>https://drive.google.com/drive/folders/1bAEpmU-9zZujAqcovYSayAw-z8aM_2ra</t>
  </si>
  <si>
    <t>kuzudb/kuzu</t>
  </si>
  <si>
    <t>kuzudb__kuzu</t>
  </si>
  <si>
    <t>kwsch__PKHeX-4482</t>
  </si>
  <si>
    <t>https://github.com/kwsch/PKHeX/issues/4482</t>
  </si>
  <si>
    <t>gs://swe-bench-plus/evaluations/019b6ab1-4e74-7019-9e81-9c96e98a145d-kwsch__PKHeX-4482-swe-agent-claude-sonnet-4.5</t>
  </si>
  <si>
    <t>https://drive.google.com/drive/folders/15ZMLUKTkpI2EOfRPZRxjxBSB02JnYRMU</t>
  </si>
  <si>
    <t>kwsch/PKHeX</t>
  </si>
  <si>
    <t>kwsch__PKHeX</t>
  </si>
  <si>
    <t>KyoriPowered__adventure-1161</t>
  </si>
  <si>
    <t>https://github.com/KyoriPowered/adventure/issues/1161</t>
  </si>
  <si>
    <t>gs://swe-bench-plus/evaluations/019c2528-578b-73cc-ad42-8f1328ded528-KyoriPowered__adventure-1161-swe-agent-claude-sonnet-4.5</t>
  </si>
  <si>
    <t>KyoriPowered/adventure</t>
  </si>
  <si>
    <t>KyoriPowered__adventure</t>
  </si>
  <si>
    <t>kyverno__policy-reporter-913</t>
  </si>
  <si>
    <t>https://github.com/kyverno/policy-reporter/issues/913</t>
  </si>
  <si>
    <t>gs://swe-bench-plus/evaluations/019b6aa7-0380-771f-9e02-24cda0fe6639-kyverno__policy-reporter-913-swe-agent-claude-sonnet-4.5</t>
  </si>
  <si>
    <t>https://drive.google.com/drive/folders/1c2X5YCvKC5gEJO99jyjY-gGZ9rkdvmZC</t>
  </si>
  <si>
    <t>kyverno/policy-reporter</t>
  </si>
  <si>
    <t>kyverno__policy-reporter</t>
  </si>
  <si>
    <t>l2beat__earl-317</t>
  </si>
  <si>
    <t>https://github.com/l2beat/earl/issues/317</t>
  </si>
  <si>
    <t>gs://swe-bench-plus/evaluations/019bd0bc-ca69-75d8-90e1-0b11e2a6213c-l2beat__earl-317-swe-agent-claude-sonnet-4.5</t>
  </si>
  <si>
    <t>https://drive.google.com/drive/folders/1PNrvHc9E8odqHUwCkeFfgacCEpZ4fVRp</t>
  </si>
  <si>
    <t>l2beat/earl</t>
  </si>
  <si>
    <t>l2beat__earl</t>
  </si>
  <si>
    <t>lammps__lammps-4380</t>
  </si>
  <si>
    <t>https://github.com/lammps/lammps/issues/4380</t>
  </si>
  <si>
    <t>gs://swe-bench-plus/evaluations/019b6aa7-0380-771f-9e02-24cda0fe6639-lammps__lammps-4380-swe-agent-claude-sonnet-4.5</t>
  </si>
  <si>
    <t>https://drive.google.com/drive/folders/1U--wxiszJ5zwAydBhlY30OJyfWG8KaJ9</t>
  </si>
  <si>
    <t>lammps/lammps</t>
  </si>
  <si>
    <t>lammps__lammps</t>
  </si>
  <si>
    <t>langchain-ai__langchain-aws-340</t>
  </si>
  <si>
    <t>https://github.com/langchain-ai/langchain-aws/issues/340</t>
  </si>
  <si>
    <t>https://drive.google.com/drive/folders/1kASzc-rlDcrQRCipYSggftcFqETyOJZ_</t>
  </si>
  <si>
    <t>https://drive.google.com/drive/folders/1eShaCvguULAhoTurZQ9s7oEevqufpAEL</t>
  </si>
  <si>
    <t>langchain-ai/langchain-aws</t>
  </si>
  <si>
    <t>langchain-ai__langchain-aws</t>
  </si>
  <si>
    <t>langchain4j__langchain4j-4240</t>
  </si>
  <si>
    <t>https://github.com/langchain4j/langchain4j/issues/4240</t>
  </si>
  <si>
    <t>gs://swe-bench-plus/evaluations/019c2527-8af6-7128-8f79-c6ab950217ac-langchain4j__langchain4j-4240-swe-agent-claude-sonnet-4-20250514</t>
  </si>
  <si>
    <t>https://drive.google.com/drive/folders/152znIYmoPgBbqj3IogHL7cnLxH1iSIyb</t>
  </si>
  <si>
    <t>langchain4j/langchain4j</t>
  </si>
  <si>
    <t>langchain4j__langchain4j</t>
  </si>
  <si>
    <t>langchain4j__langchain4j-4483</t>
  </si>
  <si>
    <t>https://github.com/langchain4j/langchain4j/issues/4483</t>
  </si>
  <si>
    <t>gs://swe-bench-plus/evaluations/019c6646-ea55-7645-a600-58791210a874-langchain4j__langchain4j-4483-swe-agent-claude-sonnet-4-20250514</t>
  </si>
  <si>
    <t>https://drive.google.com/drive/folders/1j11KaIl1AKob3tLeqp5xsJWNXMv8tf33</t>
  </si>
  <si>
    <t>LearningCircuit__local-deep-research-651</t>
  </si>
  <si>
    <t>https://github.com/LearningCircuit/local-deep-research/issues/651</t>
  </si>
  <si>
    <t>applications;ai-ml;webdev</t>
  </si>
  <si>
    <t>https://drive.google.com/drive/folders/13elGUW2ZhfCypOw0PcV-LKtClm-GlVb0</t>
  </si>
  <si>
    <t>LearningCircuit/local-deep-research</t>
  </si>
  <si>
    <t>LearningCircuit__local-deep-research</t>
  </si>
  <si>
    <t>Lemick__open-iframe-resizer-8</t>
  </si>
  <si>
    <t>https://github.com/Lemick/open-iframe-resizer/issues/8</t>
  </si>
  <si>
    <t>gs://swe-bench-plus/evaluations/019c24f9-74aa-74ea-9952-2088a9ea13aa-Lemick__open-iframe-resizer-8-swe-agent-claude-sonnet-4-20250514</t>
  </si>
  <si>
    <t>https://drive.google.com/drive/folders/1nHhGR83HvMEUPuylQ2Vhv4sC1uUrIOPc</t>
  </si>
  <si>
    <t>Lemick/open-iframe-resizer</t>
  </si>
  <si>
    <t>Lemick__open-iframe-resizer</t>
  </si>
  <si>
    <t>lemonade-sdk__lemonade-383</t>
  </si>
  <si>
    <t>https://github.com/lemonade-sdk/lemonade/issues/383</t>
  </si>
  <si>
    <t>https://drive.google.com/drive/folders/1Zv0-tB4RGZUMSGWlOSvJiNjoHffcDK31</t>
  </si>
  <si>
    <t>https://drive.google.com/drive/folders/1iZ0Sd77TQElEwFsIp8LsGZyAMHOauuwF</t>
  </si>
  <si>
    <t>lemonade-sdk/lemonade</t>
  </si>
  <si>
    <t>lemonade-sdk__lemonade</t>
  </si>
  <si>
    <t>lemonsaurus__blackbox-159</t>
  </si>
  <si>
    <t>https://github.com/lemonsaurus/blackbox/issues/159</t>
  </si>
  <si>
    <t>https://drive.google.com/drive/folders/1UVitEpTnYxnrjUs-nP1v7VqULNOkzB0g</t>
  </si>
  <si>
    <t>https://drive.google.com/drive/folders/1aC67nc5e73KBXkVdHu1uc_D3xIiaqurM</t>
  </si>
  <si>
    <t>lemonsaurus/blackbox</t>
  </si>
  <si>
    <t>lemonsaurus__blackbox</t>
  </si>
  <si>
    <t>lenskit__lkpy-744</t>
  </si>
  <si>
    <t>https://github.com/lenskit/lkpy/issues/744</t>
  </si>
  <si>
    <t>gs://swe-bench-plus/evaluations/019a11d0-17d3-730b-bffc-06f187eef661-lenskit__lkpy-744-swe-agent-claude-sonnet-4-20250514</t>
  </si>
  <si>
    <t>https://drive.google.com/drive/folders/1zANVnun9otba48kE0iGB7fRbLnbqDyie</t>
  </si>
  <si>
    <t>lenskit/lkpy</t>
  </si>
  <si>
    <t>lenskit__lkpy</t>
  </si>
  <si>
    <t>letsencrypt__boulder-8181</t>
  </si>
  <si>
    <t>https://github.com/letsencrypt/boulder/issues/8181</t>
  </si>
  <si>
    <t>security;infra-devops;applications</t>
  </si>
  <si>
    <t>https://drive.google.com/drive/folders/1FU-5t2vd-c6rgNOBjpEzF64YmNI3Ve9C</t>
  </si>
  <si>
    <t>https://drive.google.com/drive/folders/1tv4M3HlIPi5l0JfRkvehryKecSqidqaH</t>
  </si>
  <si>
    <t>letsencrypt/boulder</t>
  </si>
  <si>
    <t>letsencrypt__boulder</t>
  </si>
  <si>
    <t>LFDT-web3j__web3j-2192</t>
  </si>
  <si>
    <t>https://github.com/LFDT-web3j/web3j/issues/2192</t>
  </si>
  <si>
    <t>https://drive.google.com/drive/folders/1DY3DpHShxpcV4q3G9LfHKGoubr722mQu</t>
  </si>
  <si>
    <t>https://drive.google.com/drive/folders/1498_BQlzFPhBmz70bwfXfcOe8YmauTg5</t>
  </si>
  <si>
    <t>LFDT-web3j/web3j</t>
  </si>
  <si>
    <t>LFDT-web3j__web3j</t>
  </si>
  <si>
    <t>LiamMorrow__LiftLog-664</t>
  </si>
  <si>
    <t>https://github.com/LiamMorrow/LiftLog/issues/664</t>
  </si>
  <si>
    <t>gs://swe-bench-plus/evaluations/019c7387-769d-7229-8870-d94df44ef198-LiamMorrow__LiftLog-664-swe-agent-claude-sonnet-4.5</t>
  </si>
  <si>
    <t>https://drive.google.com/drive/folders/1RL6X3VJ_FjGrslJwwqYIZIuSDOS9dQFH</t>
  </si>
  <si>
    <t>LiamMorrow/LiftLog</t>
  </si>
  <si>
    <t>LiamMorrow__LiftLog</t>
  </si>
  <si>
    <t>libp2p__py-libp2p-631</t>
  </si>
  <si>
    <t>https://github.com/libp2p/py-libp2p/issues/631</t>
  </si>
  <si>
    <t>security;infra-devops;blockchain</t>
  </si>
  <si>
    <t>https://drive.google.com/drive/folders/1YhgWaE4VwS16L88WBjG2cQyMoPEcnOru</t>
  </si>
  <si>
    <t>https://drive.google.com/drive/folders/1qlWhxdfMHL9HxS1YVWO3SGbp427PYfHb</t>
  </si>
  <si>
    <t>libp2p/py-libp2p</t>
  </si>
  <si>
    <t>libp2p__py-libp2p</t>
  </si>
  <si>
    <t>Lightning-AI__litgpt-2036</t>
  </si>
  <si>
    <t>https://github.com/Lightning-AI/litgpt/issues/2036</t>
  </si>
  <si>
    <t>https://drive.google.com/drive/folders/1pw2dkM3bMGh0_qRRENCzVyFZnl2j3dTl</t>
  </si>
  <si>
    <t>https://drive.google.com/drive/folders/1Gily_i0seroXQ_87Se8hdfxKaK3ei_AC</t>
  </si>
  <si>
    <t>Lightning-AI/litgpt</t>
  </si>
  <si>
    <t>Lightning-AI__litgpt</t>
  </si>
  <si>
    <t>Lightning-AI__pytorch-lightning-21071</t>
  </si>
  <si>
    <t>https://github.com/Lightning-AI/pytorch-lightning/issues/21071</t>
  </si>
  <si>
    <t>gs://swe-bench-plus/evaluations/019a8f6e-6e49-72e1-8adc-7d67083c10ad-Lightning-AI__pytorch-lightning-21071-open-hands-claude-sonnet-4-20250514</t>
  </si>
  <si>
    <t>Lightning-AI/pytorch-lightning</t>
  </si>
  <si>
    <t>Lightning-AI__pytorch-lightning</t>
  </si>
  <si>
    <t>lightninglabs__taproot-assets-1335</t>
  </si>
  <si>
    <t>https://github.com/lightninglabs/taproot-assets/issues/1335</t>
  </si>
  <si>
    <t>gs://swe-bench-plus/evaluations/019b6aa7-0380-771f-9e02-24cda0fe6639-lightninglabs__taproot-assets-1335-swe-agent-claude-sonnet-4.5</t>
  </si>
  <si>
    <t>https://drive.google.com/drive/folders/1vwMHnsuLNYift2A0U8wIfhpEUVjIsrYO</t>
  </si>
  <si>
    <t>lightninglabs/taproot-assets</t>
  </si>
  <si>
    <t>lightninglabs__taproot-assets</t>
  </si>
  <si>
    <t>lightninglabs__taproot-assets-1748</t>
  </si>
  <si>
    <t>https://github.com/lightninglabs/taproot-assets/issues/1748</t>
  </si>
  <si>
    <t>gs://swe-bench-plus/evaluations/019b6aa7-0380-771f-9e02-24cda0fe6639-lightninglabs__taproot-assets-1748-swe-agent-claude-sonnet-4.5</t>
  </si>
  <si>
    <t>https://drive.google.com/drive/folders/11zEfpN3a9QrNel8S-nTAm3XVLxm7x1Pd</t>
  </si>
  <si>
    <t>lightninglabs__taproot-assets-1675</t>
  </si>
  <si>
    <t>https://github.com/lightninglabs/taproot-assets/issues/1675</t>
  </si>
  <si>
    <t>gs://swe-bench-plus/evaluations/019b6aa7-0380-771f-9e02-24cda0fe6639-lightninglabs__taproot-assets-1675-swe-agent-claude-sonnet-4.5</t>
  </si>
  <si>
    <t>https://drive.google.com/drive/folders/1YDt0sOw_Q6Bv5yWhXHDgoxQav_l_YPA4</t>
  </si>
  <si>
    <t>lima-vm__lima-3699</t>
  </si>
  <si>
    <t>https://github.com/lima-vm/lima/issues/3699</t>
  </si>
  <si>
    <t>https://drive.google.com/drive/folders/1sxUN78mLoHD4Lec-R1aYJ9sVzbdKE_mb</t>
  </si>
  <si>
    <t>https://drive.google.com/drive/folders/1Sdkmc0ozY3WIPgFIY19YjL76O9EFFQpU</t>
  </si>
  <si>
    <t>lima-vm/lima</t>
  </si>
  <si>
    <t>lima-vm__lima</t>
  </si>
  <si>
    <t>line__armeria-5574</t>
  </si>
  <si>
    <t>https://github.com/line/armeria/issues/5574</t>
  </si>
  <si>
    <t>gs://swe-bench-plus/evaluations/019c6646-ea55-7645-a600-58791210a874-line__armeria-5574-swe-agent-claude-sonnet-4-20250514</t>
  </si>
  <si>
    <t>https://drive.google.com/drive/folders/14HQWiSCTFvmHx3yOuaf2aUOYqTT8hqqh</t>
  </si>
  <si>
    <t>line/armeria</t>
  </si>
  <si>
    <t>line__armeria</t>
  </si>
  <si>
    <t>line__armeria-6069</t>
  </si>
  <si>
    <t>https://github.com/line/armeria/issues/6069</t>
  </si>
  <si>
    <t>gs://swe-bench-plus/evaluations/019c6646-ea55-7645-a600-58791210a874-line__armeria-6069-swe-agent-claude-sonnet-4-20250514</t>
  </si>
  <si>
    <t>https://drive.google.com/drive/folders/1fTJh7MwPSTjBtwgpeskvy8lXiUEtwG9e</t>
  </si>
  <si>
    <t>line__armeria-6115</t>
  </si>
  <si>
    <t>https://github.com/line/armeria/issues/6115</t>
  </si>
  <si>
    <t>gs://swe-bench-plus/evaluations/019c6646-ea55-7645-a600-58791210a874-line__armeria-6115-swe-agent-claude-sonnet-4.5</t>
  </si>
  <si>
    <t>line__armeria-6231</t>
  </si>
  <si>
    <t>https://github.com/line/armeria/issues/6231</t>
  </si>
  <si>
    <t>gs://swe-bench-plus/evaluations/019c6646-ea55-7645-a600-58791210a874-line__armeria-6231-swe-agent-claude-sonnet-4-20250514</t>
  </si>
  <si>
    <t>https://drive.google.com/drive/folders/1QZWdSidZvDEIO8bqLtma8mH3TlEp8R11</t>
  </si>
  <si>
    <t>line__centraldogma-1094</t>
  </si>
  <si>
    <t>https://github.com/line/centraldogma/issues/1094</t>
  </si>
  <si>
    <t>gs://swe-bench-plus/evaluations/019c2529-a1c8-746f-909c-97aadb2f8ca7-line__centraldogma-1094-swe-agent-claude-sonnet-4.5</t>
  </si>
  <si>
    <t>https://drive.google.com/drive/folders/19XqA8Nnm0s5MFh1DneRZusWfSt3cVPF0</t>
  </si>
  <si>
    <t>line/centraldogma</t>
  </si>
  <si>
    <t>line__centraldogma</t>
  </si>
  <si>
    <t>line__decaton-262</t>
  </si>
  <si>
    <t>https://github.com/line/decaton/issues/262</t>
  </si>
  <si>
    <t>gs://swe-bench-plus/evaluations/019b6ab1-4e74-7019-9e81-9c96e98a145d-line__decaton-262-swe-agent-claude-sonnet-4.5</t>
  </si>
  <si>
    <t>https://drive.google.com/drive/folders/1R9dLqLU_MVaCAnugGk4R776ZHRn9XIJ0</t>
  </si>
  <si>
    <t>line/decaton</t>
  </si>
  <si>
    <t>line__decaton</t>
  </si>
  <si>
    <t>line__line-bot-sdk-ruby-505</t>
  </si>
  <si>
    <t>https://github.com/line/line-bot-sdk-ruby/issues/505</t>
  </si>
  <si>
    <t>gs://swe-bench-plus/evaluations/019b6aaf-1788-707e-b6dd-d4dc12d72279-line__line-bot-sdk-ruby-505-swe-agent-claude-sonnet-4.5</t>
  </si>
  <si>
    <t>https://drive.google.com/drive/folders/12qCAQCjIR8zW6ZV3fp-mhJ7lLM1mYBrn</t>
  </si>
  <si>
    <t>line/line-bot-sdk-ruby</t>
  </si>
  <si>
    <t>line__line-bot-sdk-ruby</t>
  </si>
  <si>
    <t>line__line-fido2-server-68</t>
  </si>
  <si>
    <t>https://github.com/line/line-fido2-server/issues/68</t>
  </si>
  <si>
    <t>https://drive.google.com/drive/folders/1OcMVa9YLruM-s55IMmZHDvbS5NwF2yGf</t>
  </si>
  <si>
    <t>line/line-fido2-server</t>
  </si>
  <si>
    <t>line__line-fido2-server</t>
  </si>
  <si>
    <t>linkedin__cruise-control-1889</t>
  </si>
  <si>
    <t>https://github.com/linkedin/cruise-control/issues/1889</t>
  </si>
  <si>
    <t>https://drive.google.com/drive/folders/1TA7JLc6QiNPO_FEDZpLVnWciA7UUXtdj</t>
  </si>
  <si>
    <t>linkedin/cruise-control</t>
  </si>
  <si>
    <t>linkedin__cruise-control</t>
  </si>
  <si>
    <t>linkedin__cruise-control-79</t>
  </si>
  <si>
    <t>https://github.com/linkedin/cruise-control/issues/79</t>
  </si>
  <si>
    <t>gs://swe-bench-plus/evaluations/019c6646-7363-7129-a755-983bd4a97b5a-linkedin__cruise-control-79-swe-agent-claude-sonnet-4-20250514</t>
  </si>
  <si>
    <t>https://drive.google.com/drive/folders/1P32a_WRhS5ObGTFyLgTNrJdsq6Ht9QPw</t>
  </si>
  <si>
    <t>linkedin__cruise-control-666</t>
  </si>
  <si>
    <t>https://github.com/linkedin/cruise-control/issues/666</t>
  </si>
  <si>
    <t>gs://swe-bench-plus/evaluations/019c75f5-6b8c-7228-9f9c-93aa98fd3824-linkedin__cruise-control-666-swe-agent-claude-sonnet-4-20250514</t>
  </si>
  <si>
    <t>liquidos-ai__AutoAgents-64</t>
  </si>
  <si>
    <t>https://github.com/liquidos-ai/AutoAgents/issues/64</t>
  </si>
  <si>
    <t>ai-ml;autonomy</t>
  </si>
  <si>
    <t>gs://swe-bench-plus/evaluations/019b6aaf-1788-707e-b6dd-d4dc12d72279-liquidos-ai__AutoAgents-64-swe-agent-claude-sonnet-4.5</t>
  </si>
  <si>
    <t>https://drive.google.com/drive/folders/1MyKutbJUx5Ic_yTmQqOLIVAMZMUcPbWW</t>
  </si>
  <si>
    <t>liquidos-ai/AutoAgents</t>
  </si>
  <si>
    <t>liquidos-ai__AutoAgents</t>
  </si>
  <si>
    <t>lirantal__ls-mcp-75</t>
  </si>
  <si>
    <t>https://github.com/lirantal/ls-mcp/issues/75</t>
  </si>
  <si>
    <t>security;devtools;ai-ml</t>
  </si>
  <si>
    <t>gs://swe-bench-plus/evaluations/019b6aaf-1788-707e-b6dd-d4dc12d72279-lirantal__ls-mcp-75-swe-agent-claude-sonnet-4.5</t>
  </si>
  <si>
    <t>https://drive.google.com/drive/folders/1KiMqio94ralEoJKXAI8087WRzX9SUfUT</t>
  </si>
  <si>
    <t>lirantal/ls-mcp</t>
  </si>
  <si>
    <t>lirantal__ls-mcp</t>
  </si>
  <si>
    <t>lirantal__ls-mcp-79</t>
  </si>
  <si>
    <t>https://github.com/lirantal/ls-mcp/issues/79</t>
  </si>
  <si>
    <t>gs://swe-bench-plus/evaluations/019b6aaf-1788-707e-b6dd-d4dc12d72279-lirantal__ls-mcp-79-swe-agent-claude-sonnet-4.5</t>
  </si>
  <si>
    <t>https://drive.google.com/drive/folders/1_bV_-MZLQMvBPLT7pYOFANw211cCRGbK</t>
  </si>
  <si>
    <t>liushuangls__go-anthropic-52</t>
  </si>
  <si>
    <t>https://github.com/liushuangls/go-anthropic/issues/52</t>
  </si>
  <si>
    <t>gs://swe-bench-plus/evaluations/019b6aa7-0380-771f-9e02-24cda0fe6639-liushuangls__go-anthropic-52-swe-agent-claude-sonnet-4.5</t>
  </si>
  <si>
    <t>https://drive.google.com/drive/folders/1-b3fMi2LV3ZpY-lXELLpyz3oW0dN6yoc</t>
  </si>
  <si>
    <t>liushuangls/go-anthropic</t>
  </si>
  <si>
    <t>liushuangls__go-anthropic</t>
  </si>
  <si>
    <t>liveloveapp__hashbrown-137</t>
  </si>
  <si>
    <t>https://github.com/liveloveapp/hashbrown/issues/137</t>
  </si>
  <si>
    <t>gs://swe-bench-plus/evaluations/019b6aaf-1788-707e-b6dd-d4dc12d72279-liveloveapp__hashbrown-137-swe-agent-claude-sonnet-4.5</t>
  </si>
  <si>
    <t>https://drive.google.com/drive/folders/1pDuP6UUeyGKBIwR19Tq5YCDSfgOVFKMn</t>
  </si>
  <si>
    <t>liveloveapp/hashbrown</t>
  </si>
  <si>
    <t>liveloveapp__hashbrown</t>
  </si>
  <si>
    <t>livestorejs__livestore-818</t>
  </si>
  <si>
    <t>https://github.com/livestorejs/livestore/issues/818</t>
  </si>
  <si>
    <t>data-eng;webdev;devtools</t>
  </si>
  <si>
    <t>refactor;maintenance;dependency-update</t>
  </si>
  <si>
    <t>gs://swe-bench-plus/evaluations/019c7387-769d-7229-8870-d94df44ef198-livestorejs__livestore-818-swe-agent-claude-sonnet-4-20250514</t>
  </si>
  <si>
    <t>livestorejs/livestore</t>
  </si>
  <si>
    <t>livestorejs__livestore</t>
  </si>
  <si>
    <t>llmrb__llm-95</t>
  </si>
  <si>
    <t>https://github.com/llmrb/llm/issues/95</t>
  </si>
  <si>
    <t>refactor;bug-fix;feature;documentation</t>
  </si>
  <si>
    <t>gs://swe-bench-plus/evaluations/019b6ab1-4e74-7019-9e81-9c96e98a145d-llmrb__llm-95-swe-agent-claude-sonnet-4.5</t>
  </si>
  <si>
    <t>https://drive.google.com/drive/folders/16NA_f33T6US7gcFl_JYv5Mb48sdsnkm8</t>
  </si>
  <si>
    <t>llmrb/llm</t>
  </si>
  <si>
    <t>llmrb__llm</t>
  </si>
  <si>
    <t>LLNL__axom-1627</t>
  </si>
  <si>
    <t>https://github.com/LLNL/axom/issues/1627</t>
  </si>
  <si>
    <t>bug-report;feature-request;chore</t>
  </si>
  <si>
    <t>gs://swe-bench-plus/evaluations/019a8f51-4621-711a-ad6b-50abcd4c4d65-LLNL__axom-1627-open-hands-claude-sonnet-4-20250514</t>
  </si>
  <si>
    <t>https://drive.google.com/drive/folders/1BXksDL3BvP1yZeArNZ0-7u2Px2Kyo2-z</t>
  </si>
  <si>
    <t>LLNL/axom</t>
  </si>
  <si>
    <t>LLNL__axom</t>
  </si>
  <si>
    <t>LLNL__conduit-1477</t>
  </si>
  <si>
    <t>https://github.com/LLNL/conduit/issues/1477</t>
  </si>
  <si>
    <t>gs://swe-bench-plus/evaluations/019b06b8-5347-7669-9f51-4e4681f5c848-LLNL__conduit-1477-swe-agent-claude-sonnet-4.5</t>
  </si>
  <si>
    <t>https://drive.google.com/drive/folders/1MyRhmGKiDXY5uHjv5OZ9nD_8d4vbEwM-</t>
  </si>
  <si>
    <t>LLNL/conduit</t>
  </si>
  <si>
    <t>LLNL__conduit</t>
  </si>
  <si>
    <t>lmstudio-ai__venvstacks-236</t>
  </si>
  <si>
    <t>https://github.com/lmstudio-ai/venvstacks/issues/236</t>
  </si>
  <si>
    <t>gs://swe-bench-plus/evaluations/019a8f6e-6e49-72e1-8adc-7d67083c10ad-lmstudio-ai__venvstacks-236-open-hands-claude-sonnet-4-20250514</t>
  </si>
  <si>
    <t>https://drive.google.com/drive/folders/1FHiQqYCpSPw4IlylDkxOwbfz47SSULku</t>
  </si>
  <si>
    <t>lmstudio-ai/venvstacks</t>
  </si>
  <si>
    <t>lmstudio-ai__venvstacks</t>
  </si>
  <si>
    <t>lmstudio-ai__venvstacks-206</t>
  </si>
  <si>
    <t>https://github.com/lmstudio-ai/venvstacks/issues/206</t>
  </si>
  <si>
    <t>https://drive.google.com/drive/folders/18el7K4PEFFFdD4X9YuU46yh4HUMGmreQ</t>
  </si>
  <si>
    <t>https://drive.google.com/drive/folders/10ujMl_KGXJfh9gf0l2kybrSecr36qddR</t>
  </si>
  <si>
    <t>lobehub__lobe-chat-6331</t>
  </si>
  <si>
    <t>https://github.com/lobehub/lobe-chat/issues/6331</t>
  </si>
  <si>
    <t>https://drive.google.com/drive/folders/1YGtyBxjKnHECfE3mt-yHz22xLxRYvLrw</t>
  </si>
  <si>
    <t>https://drive.google.com/drive/folders/1CyteJsRE3XZYkEFNzDPt_DxLwjUYrQVx</t>
  </si>
  <si>
    <t>lobehub/lobe-chat</t>
  </si>
  <si>
    <t>lobehub__lobe-chat</t>
  </si>
  <si>
    <t>logchange__hofund-95</t>
  </si>
  <si>
    <t>https://github.com/logchange/hofund/issues/95</t>
  </si>
  <si>
    <t>gs://swe-bench-plus/evaluations/019b6ab1-4e74-7019-9e81-9c96e98a145d-logchange__hofund-95-swe-agent-claude-sonnet-4.5</t>
  </si>
  <si>
    <t>https://drive.google.com/drive/folders/1BxST-hbS0yyey3BqAFz0X-cdo4wykKmy</t>
  </si>
  <si>
    <t>logchange/hofund</t>
  </si>
  <si>
    <t>logchange__hofund</t>
  </si>
  <si>
    <t>logchange__hofund-107</t>
  </si>
  <si>
    <t>https://github.com/logchange/hofund/issues/107</t>
  </si>
  <si>
    <t>gs://swe-bench-plus/evaluations/019b6ab1-4e74-7019-9e81-9c96e98a145d-logchange__hofund-107-swe-agent-claude-sonnet-4.5</t>
  </si>
  <si>
    <t>https://drive.google.com/drive/folders/14jZ_BGw3-i8YmGbDmabB1Ggz9z8sNwtx</t>
  </si>
  <si>
    <t>logchange__logchange-663</t>
  </si>
  <si>
    <t>https://github.com/logchange/logchange/issues/663</t>
  </si>
  <si>
    <t>gs://swe-bench-plus/evaluations/019b6aaf-1788-707e-b6dd-d4dc12d72279-logchange__logchange-663-swe-agent-claude-sonnet-4.5</t>
  </si>
  <si>
    <t>https://drive.google.com/drive/folders/1XfNLewG2KsURUOI1KM0MbNGSpDVihASY</t>
  </si>
  <si>
    <t>logchange/logchange</t>
  </si>
  <si>
    <t>logchange__logchange</t>
  </si>
  <si>
    <t>logtail__logtail-js-130</t>
  </si>
  <si>
    <t>https://github.com/logtail/logtail-js/issues/130</t>
  </si>
  <si>
    <t>gs://swe-bench-plus/evaluations/019b6ab1-4e74-7019-9e81-9c96e98a145d-logtail__logtail-js-130-swe-agent-claude-sonnet-4.5</t>
  </si>
  <si>
    <t>https://drive.google.com/drive/folders/1VyvN8_0DwQQ9UJa73tD2zRug9OMFOndv</t>
  </si>
  <si>
    <t>logtail/logtail-js</t>
  </si>
  <si>
    <t>logtail__logtail-js</t>
  </si>
  <si>
    <t>loro-dev__loro-862</t>
  </si>
  <si>
    <t>https://github.com/loro-dev/loro/issues/862</t>
  </si>
  <si>
    <t>gs://swe-bench-plus/evaluations/019ad82c-4054-73b2-bb2d-8aeb78d3d8fa-loro-dev__loro-862-swe-agent-claude-sonnet-4-20250514</t>
  </si>
  <si>
    <t>https://drive.google.com/drive/folders/1_r_KWs_pnoBA0wE-lhHnmso03V6kl35R</t>
  </si>
  <si>
    <t>loro-dev/loro</t>
  </si>
  <si>
    <t>loro-dev__loro</t>
  </si>
  <si>
    <t>losisin__helm-values-schema-json-178</t>
  </si>
  <si>
    <t>https://github.com/losisin/helm-values-schema-json/issues/178</t>
  </si>
  <si>
    <t>refactor;documentation;build-ci</t>
  </si>
  <si>
    <t>gs://swe-bench-plus/evaluations/019b6aa7-0380-771f-9e02-24cda0fe6639-losisin__helm-values-schema-json-178-swe-agent-claude-sonnet-4.5</t>
  </si>
  <si>
    <t>https://drive.google.com/drive/folders/1i-I-NqALq-FDfJQ0Trjoj6QmFFB2AzaK</t>
  </si>
  <si>
    <t>losisin/helm-values-schema-json</t>
  </si>
  <si>
    <t>losisin__helm-values-schema-json</t>
  </si>
  <si>
    <t>losisin__helm-values-schema-json-177</t>
  </si>
  <si>
    <t>https://github.com/losisin/helm-values-schema-json/issues/177</t>
  </si>
  <si>
    <t>gs://swe-bench-plus/evaluations/019b6aa7-0380-771f-9e02-24cda0fe6639-losisin__helm-values-schema-json-177-swe-agent-claude-sonnet-4.5</t>
  </si>
  <si>
    <t>https://drive.google.com/drive/folders/1wH3fbwkgMH1EnIaqxu867v-S-dGtF2-2</t>
  </si>
  <si>
    <t>losisin__helm-values-schema-json-167</t>
  </si>
  <si>
    <t>https://github.com/losisin/helm-values-schema-json/issues/167</t>
  </si>
  <si>
    <t>gs://swe-bench-plus/evaluations/019b6aa7-0380-771f-9e02-24cda0fe6639-losisin__helm-values-schema-json-167-swe-agent-claude-sonnet-4.5</t>
  </si>
  <si>
    <t>https://drive.google.com/drive/folders/1NXiluuruxzkUzC8wZA7uC0KvZxZcitPi</t>
  </si>
  <si>
    <t>losisin__helm-values-schema-json-215</t>
  </si>
  <si>
    <t>https://github.com/losisin/helm-values-schema-json/issues/215</t>
  </si>
  <si>
    <t>gs://swe-bench-plus/evaluations/019b6aa7-0380-771f-9e02-24cda0fe6639-losisin__helm-values-schema-json-215-swe-agent-claude-sonnet-4.5</t>
  </si>
  <si>
    <t>https://drive.google.com/drive/folders/1Joyz2c5ivtBB9dHibZsiXerSDVZwYJJ1</t>
  </si>
  <si>
    <t>losisin__helm-values-schema-json-111</t>
  </si>
  <si>
    <t>https://github.com/losisin/helm-values-schema-json/issues/111</t>
  </si>
  <si>
    <t>gs://swe-bench-plus/evaluations/019b6aa7-0380-771f-9e02-24cda0fe6639-losisin__helm-values-schema-json-111-swe-agent-claude-sonnet-4.5</t>
  </si>
  <si>
    <t>https://drive.google.com/drive/folders/1cbgl2rK2-94pSKUEeIGhUPpBUq-EEWdP</t>
  </si>
  <si>
    <t>louis-langholtz__PlayRho-551</t>
  </si>
  <si>
    <t>https://github.com/louis-langholtz/PlayRho/issues/551</t>
  </si>
  <si>
    <t>gs://swe-bench-plus/evaluations/019b6aa7-0380-771f-9e02-24cda0fe6639-louis-langholtz__PlayRho-551-swe-agent-claude-sonnet-4.5</t>
  </si>
  <si>
    <t>https://drive.google.com/drive/folders/1MJ1vXmMVs8Qen-aR3SHGNGUcng53oz6v</t>
  </si>
  <si>
    <t>louis-langholtz/PlayRho</t>
  </si>
  <si>
    <t>louis-langholtz__PlayRho</t>
  </si>
  <si>
    <t>louis-langholtz__PlayRho-577</t>
  </si>
  <si>
    <t>https://github.com/louis-langholtz/PlayRho/issues/577</t>
  </si>
  <si>
    <t>gs://swe-bench-plus/evaluations/019b6aa7-0380-771f-9e02-24cda0fe6639-louis-langholtz__PlayRho-577-swe-agent-claude-sonnet-4.5</t>
  </si>
  <si>
    <t>https://drive.google.com/drive/folders/1-rk4-eW7SkhjCiPYJfBWTzJVG1tLafbQ</t>
  </si>
  <si>
    <t>ls1intum__Artemis-11054</t>
  </si>
  <si>
    <t>https://github.com/ls1intum/Artemis/issues/11054</t>
  </si>
  <si>
    <t>gs://swe-bench-plus/evaluations/019c75f5-6b8c-7228-9f9c-93aa98fd3824-ls1intum__Artemis-11054-swe-agent-claude-sonnet-4-20250514</t>
  </si>
  <si>
    <t>ls1intum/Artemis</t>
  </si>
  <si>
    <t>ls1intum__Artemis</t>
  </si>
  <si>
    <t>ltwlf__json-diff-ts-243</t>
  </si>
  <si>
    <t>https://github.com/ltwlf/json-diff-ts/issues/243</t>
  </si>
  <si>
    <t>gs://swe-bench-plus/evaluations/019b6aaf-1788-707e-b6dd-d4dc12d72279-ltwlf__json-diff-ts-243-swe-agent-claude-sonnet-4.5</t>
  </si>
  <si>
    <t>https://drive.google.com/drive/folders/1BySe4xE8ZwuYfHl0ykqt1Nk77qpmGRGA</t>
  </si>
  <si>
    <t>ltwlf/json-diff-ts</t>
  </si>
  <si>
    <t>ltwlf__json-diff-ts</t>
  </si>
  <si>
    <t>macieklamberski__feedsmith-159</t>
  </si>
  <si>
    <t>https://github.com/macieklamberski/feedsmith/issues/159</t>
  </si>
  <si>
    <t>graphics-media;data-eng</t>
  </si>
  <si>
    <t>gs://swe-bench-plus/evaluations/019c7387-769d-7229-8870-d94df44ef198-macieklamberski__feedsmith-159-swe-agent-claude-sonnet-4.5</t>
  </si>
  <si>
    <t>https://drive.google.com/drive/folders/1yB4Ag_dTh_QLIxn79aeRaTa-HGFcjwnz</t>
  </si>
  <si>
    <t>macieklamberski/feedsmith</t>
  </si>
  <si>
    <t>macieklamberski__feedsmith</t>
  </si>
  <si>
    <t>macieklamberski__feedsmith-23</t>
  </si>
  <si>
    <t>https://github.com/macieklamberski/feedsmith/issues/23</t>
  </si>
  <si>
    <t>gs://swe-bench-plus/evaluations/019bd0bc-ca69-75d8-90e1-0b11e2a6213c-macieklamberski__feedsmith-23-swe-agent-claude-sonnet-4.5</t>
  </si>
  <si>
    <t>https://drive.google.com/drive/folders/1tNm01eP8e19nf57Lfs4XpQUUUYLyTzZs</t>
  </si>
  <si>
    <t>macieklamberski__feedsmith-111</t>
  </si>
  <si>
    <t>https://github.com/macieklamberski/feedsmith/issues/111</t>
  </si>
  <si>
    <t>gs://swe-bench-plus/evaluations/019b6aaf-1788-707e-b6dd-d4dc12d72279-macieklamberski__feedsmith-111-swe-agent-claude-sonnet-4.5</t>
  </si>
  <si>
    <t>https://drive.google.com/drive/folders/1sYpv1_ZjXxn87KpOCvN4AHi60nF1VjT0</t>
  </si>
  <si>
    <t>MacroPower__kat-36</t>
  </si>
  <si>
    <t>https://github.com/MacroPower/kat/issues/36</t>
  </si>
  <si>
    <t>gs://swe-bench-plus/evaluations/019b6ab1-4e74-7019-9e81-9c96e98a145d-MacroPower__kat-36-swe-agent-claude-sonnet-4.5</t>
  </si>
  <si>
    <t>https://drive.google.com/drive/folders/1yVmmW8XqgIg8HM3rTUEeWhPFoUGtU6X-</t>
  </si>
  <si>
    <t>MacroPower/kat</t>
  </si>
  <si>
    <t>MacroPower__kat</t>
  </si>
  <si>
    <t>MacroPower__kat-30</t>
  </si>
  <si>
    <t>https://github.com/MacroPower/kat/issues/30</t>
  </si>
  <si>
    <t>gs://swe-bench-plus/evaluations/019b6ab1-4e74-7019-9e81-9c96e98a145d-MacroPower__kat-30-swe-agent-claude-sonnet-4.5</t>
  </si>
  <si>
    <t>https://drive.google.com/drive/folders/1lOjfJpNpChBYG17IR9yRoTZOtNPNCVMh</t>
  </si>
  <si>
    <t>MagicMirrorOrg__MagicMirror-3255</t>
  </si>
  <si>
    <t>https://github.com/MagicMirrorOrg/MagicMirror/issues/3255</t>
  </si>
  <si>
    <t>autonomy;applications</t>
  </si>
  <si>
    <t>https://drive.google.com/drive/folders/1Yj9UjHam0-J22i2liqY_7pKvFY9lt7mt</t>
  </si>
  <si>
    <t>https://drive.google.com/drive/folders/1hhU-3DBb0_oY2LN_e8QCY1DpKoASLLk4</t>
  </si>
  <si>
    <t>MagicMirrorOrg/MagicMirror</t>
  </si>
  <si>
    <t>MagicMirrorOrg__MagicMirror</t>
  </si>
  <si>
    <t>magnusvk__counter_culture-405</t>
  </si>
  <si>
    <t>https://github.com/magnusvk/counter_culture/issues/405</t>
  </si>
  <si>
    <t>feature;refactor;documentation;performance</t>
  </si>
  <si>
    <t>https://drive.google.com/drive/folders/1829xQXlz0pkLju8Uvvd6G0tLSmdXeIbI</t>
  </si>
  <si>
    <t>https://drive.google.com/drive/folders/1RjcOy-ewgTeH36nvqVx3OfU6WJA-0M6f</t>
  </si>
  <si>
    <t>magnusvk/counter_culture</t>
  </si>
  <si>
    <t>magnusvk__counter_culture</t>
  </si>
  <si>
    <t>mainmatter__ember-intl-analyzer-738</t>
  </si>
  <si>
    <t>https://github.com/mainmatter/ember-intl-analyzer/issues/738</t>
  </si>
  <si>
    <t>https://drive.google.com/drive/folders/1o5-gSqqf9nrVgJrNfzZeTzgsRHz_YMu9</t>
  </si>
  <si>
    <t>https://drive.google.com/drive/folders/1fqwtve6ZAvuswns80zshqezOljRS0v-h</t>
  </si>
  <si>
    <t>mainmatter/ember-intl-analyzer</t>
  </si>
  <si>
    <t>mainmatter__ember-intl-analyzer</t>
  </si>
  <si>
    <t>mamertofabian__bolt-to-github-138</t>
  </si>
  <si>
    <t>https://github.com/mamertofabian/bolt-to-github/issues/138</t>
  </si>
  <si>
    <t>gs://swe-bench-plus/evaluations/019b6aaf-1788-707e-b6dd-d4dc12d72279-mamertofabian__bolt-to-github-138-swe-agent-claude-sonnet-4.5</t>
  </si>
  <si>
    <t>https://drive.google.com/drive/folders/16n4fzfD-qnbqaShLB8du2jrWgrUSXreZ</t>
  </si>
  <si>
    <t>mamertofabian/bolt-to-github</t>
  </si>
  <si>
    <t>mamertofabian__bolt-to-github</t>
  </si>
  <si>
    <t>manusa__electronim-646</t>
  </si>
  <si>
    <t>https://github.com/manusa/electronim/issues/646</t>
  </si>
  <si>
    <t>https://drive.google.com/drive/folders/1trLX2oCQMztGqVSbJrEfLzW5R6_Q2Kvm</t>
  </si>
  <si>
    <t>https://drive.google.com/drive/folders/1e0kvtLL5PyBA2F316-992QauLWWpW2e1</t>
  </si>
  <si>
    <t>manusa/electronim</t>
  </si>
  <si>
    <t>manusa__electronim</t>
  </si>
  <si>
    <t>manyfold3d__manyfold-4572</t>
  </si>
  <si>
    <t>https://github.com/manyfold3d/manyfold/issues/4572</t>
  </si>
  <si>
    <t>gs://swe-bench-plus/evaluations/019b6aaf-1788-707e-b6dd-d4dc12d72279-manyfold3d__manyfold-4572-swe-agent-claude-sonnet-4.5</t>
  </si>
  <si>
    <t>https://drive.google.com/drive/folders/1xFyzdVpJjxO7lEN_BNvZ06hlMt4otIqW</t>
  </si>
  <si>
    <t>manyfold3d/manyfold</t>
  </si>
  <si>
    <t>manyfold3d__manyfold</t>
  </si>
  <si>
    <t>mapstruct__mapstruct-2994</t>
  </si>
  <si>
    <t>https://github.com/mapstruct/mapstruct/issues/2994</t>
  </si>
  <si>
    <t>https://drive.google.com/drive/folders/1LO_rtL2kWxS1QxZuw9NFyDNBUaSW6uu_</t>
  </si>
  <si>
    <t>https://drive.google.com/drive/folders/1CvUQy7igxmh-bFgKSwI6Vl03h5Exjv7u</t>
  </si>
  <si>
    <t>mapstruct/mapstruct</t>
  </si>
  <si>
    <t>mapstruct__mapstruct</t>
  </si>
  <si>
    <t>mapstruct__mapstruct-3070</t>
  </si>
  <si>
    <t>https://github.com/mapstruct/mapstruct/issues/3070</t>
  </si>
  <si>
    <t>https://drive.google.com/drive/folders/1geXaMhHw1Fd2mfClCkibVD7ZFABNTBi1</t>
  </si>
  <si>
    <t>https://drive.google.com/drive/folders/1MSQofQWzRWNP8xwW7yRuNB8DTIW0Enh6</t>
  </si>
  <si>
    <t>marimo-team__vscode-marimo-57</t>
  </si>
  <si>
    <t>https://github.com/marimo-team/vscode-marimo/issues/57</t>
  </si>
  <si>
    <t>gs://swe-bench-plus/evaluations/019b6aaf-1788-707e-b6dd-d4dc12d72279-marimo-team__vscode-marimo-57-swe-agent-claude-sonnet-4.5</t>
  </si>
  <si>
    <t>https://drive.google.com/drive/folders/1XSo4Cri5sXIEyo5535DInLTXtNqJ5WgH</t>
  </si>
  <si>
    <t>marimo-team/vscode-marimo</t>
  </si>
  <si>
    <t>marimo-team__vscode-marimo</t>
  </si>
  <si>
    <t>mark3labs__mcp-go-515</t>
  </si>
  <si>
    <t>https://github.com/mark3labs/mcp-go/issues/515</t>
  </si>
  <si>
    <t>https://drive.google.com/drive/folders/1rPpOVhma1IQP7oKt5QvmhWG3L8WtIWQi</t>
  </si>
  <si>
    <t>https://drive.google.com/drive/folders/1wdB8bLQnX1JvyE9XB52yLb9UCMsyy4fg</t>
  </si>
  <si>
    <t>mark3labs/mcp-go</t>
  </si>
  <si>
    <t>mark3labs__mcp-go</t>
  </si>
  <si>
    <t>marmelab__react-admin-10821</t>
  </si>
  <si>
    <t>https://github.com/marmelab/react-admin/issues/10821</t>
  </si>
  <si>
    <t>gs://swe-bench-plus/evaluations/019c66b2-2d90-7260-9966-4e0d0d7a99cf-marmelab__react-admin-10821-swe-agent-claude-sonnet-4-20250514</t>
  </si>
  <si>
    <t>https://drive.google.com/drive/folders/1xNGPYuu6T8TAduVZg0zT44rEfIRZs0bJ</t>
  </si>
  <si>
    <t>marmelab/react-admin</t>
  </si>
  <si>
    <t>marmelab__react-admin</t>
  </si>
  <si>
    <t>marp-team__marpit-428</t>
  </si>
  <si>
    <t>https://github.com/marp-team/marpit/issues/428</t>
  </si>
  <si>
    <t>gs://swe-bench-plus/evaluations/019b6aa7-0380-771f-9e02-24cda0fe6639-marp-team__marpit-428-swe-agent-claude-sonnet-4.5</t>
  </si>
  <si>
    <t>https://drive.google.com/drive/folders/1R2mWsgwflgcB-ZLRvVwtLJwsEhnZ7cc4</t>
  </si>
  <si>
    <t>marp-team/marpit</t>
  </si>
  <si>
    <t>marp-team__marpit</t>
  </si>
  <si>
    <t>marshmallow-code__marshmallow-1965</t>
  </si>
  <si>
    <t>https://github.com/marshmallow-code/marshmallow/issues/1965</t>
  </si>
  <si>
    <t>https://drive.google.com/drive/folders/13Z8lflPypZ6mrUO3Vh_9auIf5y6HpyG8</t>
  </si>
  <si>
    <t>https://drive.google.com/drive/folders/13G5dmbhN8QM-zHwr1ye_sv2lhfUOiauc</t>
  </si>
  <si>
    <t>marshmallow-code/marshmallow</t>
  </si>
  <si>
    <t>marshmallow-code__marshmallow</t>
  </si>
  <si>
    <t>MaskingTechnology__jitar-563</t>
  </si>
  <si>
    <t>https://github.com/MaskingTechnology/jitar/issues/563</t>
  </si>
  <si>
    <t>gs://swe-bench-plus/evaluations/019b6aaf-1788-707e-b6dd-d4dc12d72279-MaskingTechnology__jitar-563-swe-agent-claude-sonnet-4.5</t>
  </si>
  <si>
    <t>https://drive.google.com/drive/folders/1nIOeip_B6vq9MVKCxvlHH9gBhDeLlGYc</t>
  </si>
  <si>
    <t>MaskingTechnology/jitar</t>
  </si>
  <si>
    <t>MaskingTechnology__jitar</t>
  </si>
  <si>
    <t>mastra-ai__mastra-6409</t>
  </si>
  <si>
    <t>https://github.com/mastra-ai/mastra/issues/6409</t>
  </si>
  <si>
    <t>https://drive.google.com/drive/folders/1KyjzUXRTWrv-eXyAXD4hUo99h38QkWat</t>
  </si>
  <si>
    <t>https://drive.google.com/drive/folders/1NDCIX-PCDkBzpujp30SU-P6UFoPjt0oo</t>
  </si>
  <si>
    <t>mastra-ai/mastra</t>
  </si>
  <si>
    <t>mastra-ai__mastra</t>
  </si>
  <si>
    <t>mastra-ai__mastra-8603</t>
  </si>
  <si>
    <t>https://github.com/mastra-ai/mastra/issues/8603</t>
  </si>
  <si>
    <t>gs://swe-bench-plus/evaluations/019a8500-4013-7108-bfc2-d19fc2de39e5-mastra-ai__mastra-8603-swe-agent-claude-sonnet-4-20250514</t>
  </si>
  <si>
    <t>mastra-ai__mastra-6441</t>
  </si>
  <si>
    <t>https://github.com/mastra-ai/mastra/issues/6441</t>
  </si>
  <si>
    <t>https://drive.google.com/drive/folders/1BavliOhHpbPfl-7MotTKhLRf5HoJ9tpI</t>
  </si>
  <si>
    <t>https://drive.google.com/drive/folders/1VY1vEtm_jqRTFgOtnVodW2B2e7ZpkAJQ</t>
  </si>
  <si>
    <t>matchms__matchms-709</t>
  </si>
  <si>
    <t>https://github.com/matchms/matchms/issues/709</t>
  </si>
  <si>
    <t>dependency-update;bug-fix</t>
  </si>
  <si>
    <t>https://drive.google.com/drive/folders/1qkWl9CcKbq8H_9F1_x2XqLGw1JiBzs-D</t>
  </si>
  <si>
    <t>https://drive.google.com/drive/folders/1XhBYPp6Eaw1EHEGhgZSAmnmK4tUpJoWo</t>
  </si>
  <si>
    <t>matchms/matchms</t>
  </si>
  <si>
    <t>matchms__matchms</t>
  </si>
  <si>
    <t>matrix-org__matrix-rust-sdk-4741</t>
  </si>
  <si>
    <t>https://github.com/matrix-org/matrix-rust-sdk/issues/4741</t>
  </si>
  <si>
    <t>gs://swe-bench-plus/evaluations/019b06be-e158-75e3-bc3e-1e0574eebf73-matrix-org__matrix-rust-sdk-4741-swe-agent-claude-sonnet-4.5</t>
  </si>
  <si>
    <t>https://drive.google.com/drive/folders/1_ZM_2gm6WeOStKp9oklHOuQWZlVaCAYo</t>
  </si>
  <si>
    <t>matrix-org/matrix-rust-sdk</t>
  </si>
  <si>
    <t>matrix-org__matrix-rust-sdk</t>
  </si>
  <si>
    <t>Matroska-Org__libebml-176</t>
  </si>
  <si>
    <t>https://github.com/Matroska-Org/libebml/issues/176</t>
  </si>
  <si>
    <t>https://drive.google.com/drive/folders/1KLkQOQtJJl20wIzhEItAD4r93qGuDBo2</t>
  </si>
  <si>
    <t>https://drive.google.com/drive/folders/1PeIn3xH_jZYOwk-sVdYNr0KploePMJaq</t>
  </si>
  <si>
    <t>Matroska-Org/libebml</t>
  </si>
  <si>
    <t>Matroska-Org__libebml</t>
  </si>
  <si>
    <t>matter-labs__anvil-zksync-446</t>
  </si>
  <si>
    <t>https://github.com/matter-labs/anvil-zksync/issues/446</t>
  </si>
  <si>
    <t>gs://swe-bench-plus/evaluations/019b06be-e158-75e3-bc3e-1e0574eebf73-matter-labs__anvil-zksync-446-swe-agent-claude-sonnet-4.5</t>
  </si>
  <si>
    <t>https://drive.google.com/drive/folders/1srZsjyK8qDPH10nuSzZa9zQuKL8sbTsM</t>
  </si>
  <si>
    <t>matter-labs/anvil-zksync</t>
  </si>
  <si>
    <t>matter-labs__anvil-zksync</t>
  </si>
  <si>
    <t>matthewwardrop__formulaic-204</t>
  </si>
  <si>
    <t>https://github.com/matthewwardrop/formulaic/issues/204</t>
  </si>
  <si>
    <t>https://drive.google.com/drive/folders/1WqrIlqV88y9R8Xu1c584Di1za4q8Fkm1</t>
  </si>
  <si>
    <t>https://drive.google.com/drive/folders/1yBPv1gm8Nwn2Sw6LJHihDSBK6n3_Xetg</t>
  </si>
  <si>
    <t>matthewwardrop/formulaic</t>
  </si>
  <si>
    <t>matthewwardrop__formulaic</t>
  </si>
  <si>
    <t>mattpocock__evalite-194</t>
  </si>
  <si>
    <t>https://github.com/mattpocock/evalite/issues/194</t>
  </si>
  <si>
    <t>gs://swe-bench-plus/evaluations/019b6aa7-0380-771f-9e02-24cda0fe6639-mattpocock__evalite-194-swe-agent-claude-sonnet-4.5</t>
  </si>
  <si>
    <t>https://drive.google.com/drive/folders/1FtP_8J1ZHYVMj4TsxXYRmxQit5kGUs1b</t>
  </si>
  <si>
    <t>mattpocock/evalite</t>
  </si>
  <si>
    <t>mattpocock__evalite</t>
  </si>
  <si>
    <t>mattzcarey__shippie-457</t>
  </si>
  <si>
    <t>https://github.com/mattzcarey/shippie/issues/457</t>
  </si>
  <si>
    <t>gs://swe-bench-plus/evaluations/019b6aaf-1788-707e-b6dd-d4dc12d72279-mattzcarey__shippie-457-swe-agent-claude-sonnet-4.5</t>
  </si>
  <si>
    <t>https://drive.google.com/drive/folders/1LzBIQO4_H9SzZhOQAELRXF8F42pyGdW7</t>
  </si>
  <si>
    <t>mattzcarey/shippie</t>
  </si>
  <si>
    <t>mattzcarey__shippie</t>
  </si>
  <si>
    <t>maximn__google-maps-177</t>
  </si>
  <si>
    <t>https://github.com/maximn/google-maps/issues/177</t>
  </si>
  <si>
    <t>https://drive.google.com/drive/folders/1cWpLzRX_rIHjS4sekDrzgHr3ndH63F7Q</t>
  </si>
  <si>
    <t>https://drive.google.com/drive/folders/1lvX4m0lI-4XjE71kNvJxshnsELiN_0hD</t>
  </si>
  <si>
    <t>maximn/google-maps</t>
  </si>
  <si>
    <t>maximn__google-maps</t>
  </si>
  <si>
    <t>maybe-finance__maybe-1531</t>
  </si>
  <si>
    <t>https://github.com/maybe-finance/maybe/issues/1531</t>
  </si>
  <si>
    <t>gs://swe-bench-plus/evaluations/019b6aaf-1788-707e-b6dd-d4dc12d72279-maybe-finance__maybe-1531-swe-agent-claude-sonnet-4.5</t>
  </si>
  <si>
    <t>https://drive.google.com/drive/folders/18JWnnM5Z1Cw_PG8h9kCqUJoz15ZcUWt5</t>
  </si>
  <si>
    <t>maybe-finance/maybe</t>
  </si>
  <si>
    <t>maybe-finance__maybe</t>
  </si>
  <si>
    <t>ME-ICA__tedana-1232</t>
  </si>
  <si>
    <t>https://github.com/ME-ICA/tedana/issues/1232</t>
  </si>
  <si>
    <t>https://drive.google.com/drive/folders/1IoJd5kdpdng-SIAeWQUU5ioQkaqJSpq7</t>
  </si>
  <si>
    <t>https://drive.google.com/drive/folders/1ss0N0vYughboJN-tczxXBzMaP54ESusm</t>
  </si>
  <si>
    <t>ME-ICA/tedana</t>
  </si>
  <si>
    <t>ME-ICA__tedana</t>
  </si>
  <si>
    <t>medic__cht-core-9602</t>
  </si>
  <si>
    <t>https://github.com/medic/cht-core/issues/9602</t>
  </si>
  <si>
    <t>gs://swe-bench-plus/evaluations/019b6aaf-1788-707e-b6dd-d4dc12d72279-medic__cht-core-9602-swe-agent-claude-sonnet-4.5</t>
  </si>
  <si>
    <t>https://drive.google.com/drive/folders/1rofQGEWvCeXgBcu5ke35UPNAa-vRJatk</t>
  </si>
  <si>
    <t>medic/cht-core</t>
  </si>
  <si>
    <t>medic__cht-core</t>
  </si>
  <si>
    <t>medplum__medplum-6313</t>
  </si>
  <si>
    <t>https://github.com/medplum/medplum/issues/6313</t>
  </si>
  <si>
    <t>https://drive.google.com/drive/folders/1sHdD94WtaO9fBhojPvT-37DjsfnxGilk</t>
  </si>
  <si>
    <t>https://drive.google.com/drive/folders/1MOJSbmqvBSBrtzSyxAmlqMmng63REypB</t>
  </si>
  <si>
    <t>medplum/medplum</t>
  </si>
  <si>
    <t>medplum__medplum</t>
  </si>
  <si>
    <t>meltano__meltano-8975</t>
  </si>
  <si>
    <t>https://github.com/meltano/meltano/issues/8975</t>
  </si>
  <si>
    <t>https://drive.google.com/drive/folders/17DRyU8pkmha54xcKtvrO_JECfi99e2E4</t>
  </si>
  <si>
    <t>https://drive.google.com/drive/folders/1aV5_1spwS9NYv8cOZjvxnYY8ZysQovrf</t>
  </si>
  <si>
    <t>meltano/meltano</t>
  </si>
  <si>
    <t>meltano__meltano</t>
  </si>
  <si>
    <t>meltano__meltano-9411</t>
  </si>
  <si>
    <t>https://github.com/meltano/meltano/issues/9411</t>
  </si>
  <si>
    <t>https://drive.google.com/drive/folders/184LiF-heukICAqHFCA562hTGdjna8YXN</t>
  </si>
  <si>
    <t>https://drive.google.com/drive/folders/1OluraGwRNE5RMPdMe9F9rSK43r71IKrV</t>
  </si>
  <si>
    <t>MetaMask__metamask-extension-33353</t>
  </si>
  <si>
    <t>https://github.com/MetaMask/metamask-extension/issues/33353</t>
  </si>
  <si>
    <t>blockchain;applications</t>
  </si>
  <si>
    <t>bug-fix;dependency-update;maintenance</t>
  </si>
  <si>
    <t>gs://swe-bench-plus/evaluations/019c66b1-510b-717a-a36b-0bf7c9af4077-MetaMask__metamask-extension-33353-swe-agent-claude-sonnet-4-20250514</t>
  </si>
  <si>
    <t>https://drive.google.com/drive/folders/18C-eszlMbo_JyuYC1uf7RFHDVs_LORSV</t>
  </si>
  <si>
    <t>MetaMask/metamask-extension</t>
  </si>
  <si>
    <t>MetaMask__metamask-extension</t>
  </si>
  <si>
    <t>MetaMask__metamask-extension-36455</t>
  </si>
  <si>
    <t>https://github.com/MetaMask/metamask-extension/issues/36455</t>
  </si>
  <si>
    <t>gs://swe-bench-plus/evaluations/019a84ff-3389-73db-a3cf-3a352ac2d560-MetaMask__metamask-extension-36455-swe-agent-claude-sonnet-4-20250514</t>
  </si>
  <si>
    <t>https://drive.google.com/drive/folders/1GTqxUNFXdVAimZl7drnpTFcxaJPTd_Tm</t>
  </si>
  <si>
    <t>MetaMask__metamask-extension-35040</t>
  </si>
  <si>
    <t>https://github.com/MetaMask/metamask-extension/issues/35040</t>
  </si>
  <si>
    <t>blockchain;applications;security</t>
  </si>
  <si>
    <t>https://drive.google.com/drive/folders/1wieXIP1w80KtBH9hkGloEjn-pYm5Y2Ae</t>
  </si>
  <si>
    <t>https://drive.google.com/drive/folders/1w7lEGxBQ_GNcS3YaHKVtw_itFFxZaNiS</t>
  </si>
  <si>
    <t>MetaMask__metamask-mobile-16262</t>
  </si>
  <si>
    <t>https://github.com/MetaMask/metamask-mobile/issues/16262</t>
  </si>
  <si>
    <t>applications;blockchain;security</t>
  </si>
  <si>
    <t>https://drive.google.com/drive/folders/1tqScussrkV-GOKOAv1wGzB4shGjaxDKx</t>
  </si>
  <si>
    <t>https://drive.google.com/drive/folders/1UY3qgZHivOChJnQoo6j7EydoC7n6869V</t>
  </si>
  <si>
    <t>MetaMask/metamask-mobile</t>
  </si>
  <si>
    <t>MetaMask__metamask-mobile</t>
  </si>
  <si>
    <t>MetaMask__metamask-mobile-13371</t>
  </si>
  <si>
    <t>https://github.com/MetaMask/metamask-mobile/issues/13371</t>
  </si>
  <si>
    <t>https://drive.google.com/drive/folders/1MJoUjMcO49VDr8Z5obxkD3_9SqJnblPY</t>
  </si>
  <si>
    <t>https://drive.google.com/drive/folders/1G6uvxHOlzQ3LvqyaiBh1axjUcQlD-Oq1</t>
  </si>
  <si>
    <t>MetaMask__snaps-3071</t>
  </si>
  <si>
    <t>https://github.com/MetaMask/snaps/issues/3071</t>
  </si>
  <si>
    <t>gs://swe-bench-plus/evaluations/019b6aaf-1788-707e-b6dd-d4dc12d72279-MetaMask__snaps-3071-swe-agent-claude-sonnet-4.5</t>
  </si>
  <si>
    <t>https://drive.google.com/drive/folders/1UMRHcYm5IBq6oZeTTWNi10YpgpQjs8vv</t>
  </si>
  <si>
    <t>MetaMask/snaps</t>
  </si>
  <si>
    <t>MetaMask__snaps</t>
  </si>
  <si>
    <t>mgechev__revive-1540</t>
  </si>
  <si>
    <t>https://github.com/mgechev/revive/issues/1540</t>
  </si>
  <si>
    <t>gs://swe-bench-plus/evaluations/019a9e4b-9519-731b-a75d-8cd6bc13b0c0-mgechev__revive-1540-swe-agent-claude-sonnet-4-20250514</t>
  </si>
  <si>
    <t>https://drive.google.com/drive/folders/1CV3P1U3484eChnWRGh6GxmRzb7iHPNTW</t>
  </si>
  <si>
    <t>mgechev/revive</t>
  </si>
  <si>
    <t>mgechev__revive</t>
  </si>
  <si>
    <t>mgechev__revive-1520</t>
  </si>
  <si>
    <t>https://github.com/mgechev/revive/issues/1520</t>
  </si>
  <si>
    <t>https://drive.google.com/drive/folders/1EVHvrbvvvO-Haz2Ujcmh9dMQfSXVvTqW</t>
  </si>
  <si>
    <t>https://drive.google.com/drive/folders/17feWFJ6yoLv-5X0_LIdPjZydhLjLzxTL</t>
  </si>
  <si>
    <t>michelin__ns4kafka-577</t>
  </si>
  <si>
    <t>https://github.com/michelin/ns4kafka/issues/577</t>
  </si>
  <si>
    <t>gs://swe-bench-plus/evaluations/019b6aaf-1788-707e-b6dd-d4dc12d72279-michelin__ns4kafka-577-swe-agent-claude-sonnet-4.5</t>
  </si>
  <si>
    <t>https://drive.google.com/drive/folders/1_eKBdq3mmCj0AZw38ZklkRRrBIMBxt9-</t>
  </si>
  <si>
    <t>michelin/ns4kafka</t>
  </si>
  <si>
    <t>michelin__ns4kafka</t>
  </si>
  <si>
    <t>microcks__microcks-1486</t>
  </si>
  <si>
    <t>https://github.com/microcks/microcks/issues/1486</t>
  </si>
  <si>
    <t>devtools;infra-devops;applications</t>
  </si>
  <si>
    <t>gs://swe-bench-plus/evaluations/019b6ab1-4e74-7019-9e81-9c96e98a145d-microcks__microcks-1486-swe-agent-claude-sonnet-4.5</t>
  </si>
  <si>
    <t>https://drive.google.com/drive/folders/17-BzhHP0Vs5UrK1KUrGSFmLorV-FWhj5</t>
  </si>
  <si>
    <t>microcks/microcks</t>
  </si>
  <si>
    <t>microcks__microcks</t>
  </si>
  <si>
    <t>microcks__microcks-1738</t>
  </si>
  <si>
    <t>https://github.com/microcks/microcks/issues/1738</t>
  </si>
  <si>
    <t>gs://swe-bench-plus/evaluations/019b6ab1-4e74-7019-9e81-9c96e98a145d-microcks__microcks-1738-swe-agent-claude-sonnet-4.5</t>
  </si>
  <si>
    <t>https://drive.google.com/drive/folders/17GuC9UqovAppQ54jOsUATX-cgaDTolih</t>
  </si>
  <si>
    <t>micronaut-projects__micronaut-core-11347</t>
  </si>
  <si>
    <t>https://github.com/micronaut-projects/micronaut-core/issues/11347</t>
  </si>
  <si>
    <t>https://drive.google.com/drive/folders/1-OBODmPqZJ1LDScJ_PrGz6UJEbETXogW</t>
  </si>
  <si>
    <t>micronaut-projects/micronaut-core</t>
  </si>
  <si>
    <t>micronaut-projects__micronaut-core</t>
  </si>
  <si>
    <t>microsoft__azure-devops-mcp-368</t>
  </si>
  <si>
    <t>https://github.com/microsoft/azure-devops-mcp/issues/368</t>
  </si>
  <si>
    <t>gs://swe-bench-plus/evaluations/019b6aaf-1788-707e-b6dd-d4dc12d72279-microsoft__azure-devops-mcp-368-swe-agent-claude-sonnet-4.5</t>
  </si>
  <si>
    <t>https://drive.google.com/drive/folders/192hGraEPu9lKSr30qwTkhIOTmUZmSfN3</t>
  </si>
  <si>
    <t>microsoft/azure-devops-mcp</t>
  </si>
  <si>
    <t>microsoft__azure-devops-mcp</t>
  </si>
  <si>
    <t>microsoft__terraform-provider-azuredevops-1253</t>
  </si>
  <si>
    <t>https://github.com/microsoft/terraform-provider-azuredevops/issues/1253</t>
  </si>
  <si>
    <t>gs://swe-bench-plus/evaluations/019b6aa7-0380-771f-9e02-24cda0fe6639-microsoft__terraform-provider-azuredevops-1253-swe-agent-claude-sonnet-4.5</t>
  </si>
  <si>
    <t>https://drive.google.com/drive/folders/1Hn0CoOLLBHdLxxPQP10PwLfLS_zkWvsw</t>
  </si>
  <si>
    <t>microsoft/terraform-provider-azuredevops</t>
  </si>
  <si>
    <t>microsoft__terraform-provider-azuredevops</t>
  </si>
  <si>
    <t>microsoft__testfx-5892</t>
  </si>
  <si>
    <t>https://github.com/microsoft/testfx/issues/5892</t>
  </si>
  <si>
    <t>gs://swe-bench-plus/evaluations/019b6ab1-4e74-7019-9e81-9c96e98a145d-microsoft__testfx-5892-swe-agent-claude-sonnet-4.5</t>
  </si>
  <si>
    <t>https://drive.google.com/drive/folders/18tjxrUod1nr_7TsxJ6TgMdraiCik4sLa</t>
  </si>
  <si>
    <t>microsoft/testfx</t>
  </si>
  <si>
    <t>microsoft__testfx</t>
  </si>
  <si>
    <t>microsoft__testfx-6429</t>
  </si>
  <si>
    <t>https://github.com/microsoft/testfx/issues/6429</t>
  </si>
  <si>
    <t>gs://swe-bench-plus/evaluations/019b6ab1-4e74-7019-9e81-9c96e98a145d-microsoft__testfx-6429-swe-agent-claude-sonnet-4.5</t>
  </si>
  <si>
    <t>https://drive.google.com/drive/folders/1y3-5I0N5Tt4htI79yP5y65twR4fHUlfp</t>
  </si>
  <si>
    <t>microsoft__vscode-cmake-tools-4094</t>
  </si>
  <si>
    <t>https://github.com/microsoft/vscode-cmake-tools/issues/4094</t>
  </si>
  <si>
    <t>feature;build-ci;dependency-update;documentation</t>
  </si>
  <si>
    <t>gs://swe-bench-plus/evaluations/019b6ab1-4e74-7019-9e81-9c96e98a145d-microsoft__vscode-cmake-tools-4094-swe-agent-claude-sonnet-4.5</t>
  </si>
  <si>
    <t>https://drive.google.com/drive/folders/1dAQ7x_iZy_2Sz2tmGCQKskfoS9vykYGZ</t>
  </si>
  <si>
    <t>microsoft/vscode-cmake-tools</t>
  </si>
  <si>
    <t>microsoft__vscode-cmake-tools</t>
  </si>
  <si>
    <t>microsoft__vscode-prompt-tsx-145</t>
  </si>
  <si>
    <t>https://github.com/microsoft/vscode-prompt-tsx/issues/145</t>
  </si>
  <si>
    <t>gs://swe-bench-plus/evaluations/019b6aaf-1788-707e-b6dd-d4dc12d72279-microsoft__vscode-prompt-tsx-145-swe-agent-claude-sonnet-4.5</t>
  </si>
  <si>
    <t>https://drive.google.com/drive/folders/1YP6ilFV4Wpl1gfiCQb71vkK_0pIKTQq2</t>
  </si>
  <si>
    <t>microsoft/vscode-prompt-tsx</t>
  </si>
  <si>
    <t>microsoft__vscode-prompt-tsx</t>
  </si>
  <si>
    <t>mierak__rmpc-211</t>
  </si>
  <si>
    <t>https://github.com/mierak/rmpc/issues/211</t>
  </si>
  <si>
    <t>gs://swe-bench-plus/evaluations/019a6ebd-83c1-77e0-8232-17c9935d310f-mierak__rmpc-211-swe-agent-claude-sonnet-4.5</t>
  </si>
  <si>
    <t>https://drive.google.com/drive/folders/1onpw86fyqpTWS2p4F1PaWJmFqpP00fO-</t>
  </si>
  <si>
    <t>mierak/rmpc</t>
  </si>
  <si>
    <t>mierak__rmpc</t>
  </si>
  <si>
    <t>MikeSchulze__gdUnit4Net-164</t>
  </si>
  <si>
    <t>https://github.com/MikeSchulze/gdUnit4Net/issues/164</t>
  </si>
  <si>
    <t>gs://swe-bench-plus/evaluations/019b6aa7-0380-771f-9e02-24cda0fe6639-MikeSchulze__gdUnit4Net-164-swe-agent-claude-sonnet-4.5</t>
  </si>
  <si>
    <t>https://drive.google.com/drive/folders/1z8XblT6wtQTXHjRJxvNQNtSlXt5K1SFP</t>
  </si>
  <si>
    <t>MikeSchulze/gdUnit4Net</t>
  </si>
  <si>
    <t>MikeSchulze__gdUnit4Net</t>
  </si>
  <si>
    <t>MikeSchulze__gdUnit4Net-201</t>
  </si>
  <si>
    <t>https://github.com/MikeSchulze/gdUnit4Net/issues/201</t>
  </si>
  <si>
    <t>gs://swe-bench-plus/evaluations/019b6aa7-0380-771f-9e02-24cda0fe6639-MikeSchulze__gdUnit4Net-201-swe-agent-claude-sonnet-4.5</t>
  </si>
  <si>
    <t>https://drive.google.com/drive/folders/1EbBnZMnJk9bZY6QG0y18dlQdZoGi2SHE</t>
  </si>
  <si>
    <t>mini-software__MiniExcel-695</t>
  </si>
  <si>
    <t>https://github.com/mini-software/MiniExcel/issues/695</t>
  </si>
  <si>
    <t>gs://swe-bench-plus/evaluations/019b6ab1-4e74-7019-9e81-9c96e98a145d-mini-software__MiniExcel-695-swe-agent-claude-sonnet-4.5</t>
  </si>
  <si>
    <t>https://drive.google.com/drive/folders/1JpNE645h_LlVvTgZh28KMW0g3yVle0aQ</t>
  </si>
  <si>
    <t>mini-software/MiniExcel</t>
  </si>
  <si>
    <t>mini-software__MiniExcel</t>
  </si>
  <si>
    <t>Mirascope__lilypad-569</t>
  </si>
  <si>
    <t>https://github.com/Mirascope/lilypad/issues/569</t>
  </si>
  <si>
    <t>https://drive.google.com/drive/folders/1XFLO0KBp7uQxPMu4rt1J3msqLxnp4crN</t>
  </si>
  <si>
    <t>https://drive.google.com/drive/folders/1q86e40yVT7AS99h8nuFLsxZOFCq2w1Mz</t>
  </si>
  <si>
    <t>Mirascope/lilypad</t>
  </si>
  <si>
    <t>Mirascope__lilypad</t>
  </si>
  <si>
    <t>Mirascope__mirascope-743</t>
  </si>
  <si>
    <t>https://github.com/Mirascope/mirascope/issues/743</t>
  </si>
  <si>
    <t>https://drive.google.com/drive/folders/1wo6e7RG2cMcvMO6sh6MMb5biPVEqPRyi</t>
  </si>
  <si>
    <t>https://drive.google.com/drive/folders/1FmZW_q0blkEpuuT-NG3kBbf5pvDRUgXv</t>
  </si>
  <si>
    <t>Mirascope/mirascope</t>
  </si>
  <si>
    <t>Mirascope__mirascope</t>
  </si>
  <si>
    <t>mitsuhiko__minijinja-687</t>
  </si>
  <si>
    <t>https://github.com/mitsuhiko/minijinja/issues/687</t>
  </si>
  <si>
    <t>https://drive.google.com/drive/folders/1tudP0mkjUOrKr56pSpD-Z7dNE9oUSZ7o</t>
  </si>
  <si>
    <t>https://drive.google.com/drive/folders/1q94zomU6-oe0V2WHJBSmBGWgGD2NdPw_</t>
  </si>
  <si>
    <t>mitsuhiko/minijinja</t>
  </si>
  <si>
    <t>mitsuhiko__minijinja</t>
  </si>
  <si>
    <t>mizdra__css-modules-kit-205</t>
  </si>
  <si>
    <t>https://github.com/mizdra/css-modules-kit/issues/205</t>
  </si>
  <si>
    <t>https://drive.google.com/drive/folders/1fHVXB4HtWpVWDtdISECvjC3-n8nYV7ZY</t>
  </si>
  <si>
    <t>https://drive.google.com/drive/folders/1ms8z-1bDFGuHnVLYSjBuV_IH_ZSsnLJh</t>
  </si>
  <si>
    <t>mizdra/css-modules-kit</t>
  </si>
  <si>
    <t>mizdra__css-modules-kit</t>
  </si>
  <si>
    <t>mkniewallner__migrate-to-uv-16</t>
  </si>
  <si>
    <t>https://github.com/mkniewallner/migrate-to-uv/issues/16</t>
  </si>
  <si>
    <t>gs://swe-bench-plus/evaluations/019b6aaf-1788-707e-b6dd-d4dc12d72279-mkniewallner__migrate-to-uv-16-swe-agent-claude-sonnet-4.5</t>
  </si>
  <si>
    <t>https://drive.google.com/drive/folders/1yQ-xC8MXz7FMbbMSAueBNtGjQWKW10J3</t>
  </si>
  <si>
    <t>mkniewallner/migrate-to-uv</t>
  </si>
  <si>
    <t>mkniewallner__migrate-to-uv</t>
  </si>
  <si>
    <t>mne-tools__mne-python-12955</t>
  </si>
  <si>
    <t>https://github.com/mne-tools/mne-python/issues/12955</t>
  </si>
  <si>
    <t>gs://swe-bench-plus/evaluations/019a8f6e-6e49-72e1-8adc-7d67083c10ad-mne-tools__mne-python-12955-open-hands-claude-sonnet-4-20250514</t>
  </si>
  <si>
    <t>mne-tools/mne-python</t>
  </si>
  <si>
    <t>mne-tools__mne-python</t>
  </si>
  <si>
    <t>mne-tools__mne-python-12848</t>
  </si>
  <si>
    <t>https://github.com/mne-tools/mne-python/issues/12848</t>
  </si>
  <si>
    <t>gs://swe-bench-plus/evaluations/019a8f6e-6e49-72e1-8adc-7d67083c10ad-mne-tools__mne-python-12848-open-hands-claude-sonnet-4-20250514</t>
  </si>
  <si>
    <t>mne-tools__mne-python-13044</t>
  </si>
  <si>
    <t>https://github.com/mne-tools/mne-python/issues/13044</t>
  </si>
  <si>
    <t>https://drive.google.com/drive/folders/1l6X4Nx2A0Wdx-RXd2vVa61XUKK1kvIiZ</t>
  </si>
  <si>
    <t>MobiFlight__MobiFlight-Connector-2348</t>
  </si>
  <si>
    <t>https://github.com/MobiFlight/MobiFlight-Connector/issues/2348</t>
  </si>
  <si>
    <t>gs://swe-bench-plus/evaluations/019a25fc-6046-74dd-9a6b-6259f32e9dff-MobiFlight__MobiFlight-Connector-2348-swe-agent-claude-sonnet-4-20250514</t>
  </si>
  <si>
    <t>MobiFlight/MobiFlight-Connector</t>
  </si>
  <si>
    <t>MobiFlight__MobiFlight-Connector</t>
  </si>
  <si>
    <t>modelcontextprotocol__go-sdk-292</t>
  </si>
  <si>
    <t>https://github.com/modelcontextprotocol/go-sdk/issues/292</t>
  </si>
  <si>
    <t>https://drive.google.com/drive/folders/1wPe4x_XgP4ejXWtgHLbihehAqpT-d0fE</t>
  </si>
  <si>
    <t>https://drive.google.com/drive/folders/1vj7Az6MWaXm1iy2K8zHd4ivcbqUaJ0wi</t>
  </si>
  <si>
    <t>modelcontextprotocol/go-sdk</t>
  </si>
  <si>
    <t>modelcontextprotocol__go-sdk</t>
  </si>
  <si>
    <t>modelcontextprotocol__go-sdk-517</t>
  </si>
  <si>
    <t>https://github.com/modelcontextprotocol/go-sdk/issues/517</t>
  </si>
  <si>
    <t>gs://swe-bench-plus/evaluations/019a9e4b-9519-731b-a75d-8cd6bc13b0c0-modelcontextprotocol__go-sdk-517-swe-agent-claude-sonnet-4-20250514</t>
  </si>
  <si>
    <t>https://drive.google.com/drive/folders/1I8hlAbgA8e_V7YejRX3EiXBIJP2xsWVa</t>
  </si>
  <si>
    <t>modelcontextprotocol__registry-282</t>
  </si>
  <si>
    <t>https://github.com/modelcontextprotocol/registry/issues/282</t>
  </si>
  <si>
    <t>applications;ai-ml;infra-devops;security</t>
  </si>
  <si>
    <t>https://drive.google.com/drive/folders/1Pfs_x8mtRlzY7a-d_ZXQJW2fSrxmD35p</t>
  </si>
  <si>
    <t>https://drive.google.com/drive/folders/12JhsJk5_lABr1GX_U6Y6Y1-jmBMeZ67L</t>
  </si>
  <si>
    <t>modelcontextprotocol/registry</t>
  </si>
  <si>
    <t>modelcontextprotocol__registry</t>
  </si>
  <si>
    <t>modelcontextprotocol__rust-sdk-558</t>
  </si>
  <si>
    <t>https://github.com/modelcontextprotocol/rust-sdk/issues/558</t>
  </si>
  <si>
    <t>gs://swe-bench-plus/evaluations/019b33b2-92dc-775f-92dd-9f03bf4fe149-modelcontextprotocol__rust-sdk-558-swe-agent-claude-sonnet-4-20250514</t>
  </si>
  <si>
    <t>https://drive.google.com/drive/folders/1jc7ek3jE9cRgZA29s7WVgfOQWGups9P_</t>
  </si>
  <si>
    <t>modelcontextprotocol/rust-sdk</t>
  </si>
  <si>
    <t>modelcontextprotocol__rust-sdk</t>
  </si>
  <si>
    <t>modern-python__that-depends-187</t>
  </si>
  <si>
    <t>https://github.com/modern-python/that-depends/issues/187</t>
  </si>
  <si>
    <t>gs://swe-bench-plus/evaluations/019b0df7-ade4-70bc-89dc-2dc1c6248f76-modern-python__that-depends-187-swe-agent-claude-opus-4.5</t>
  </si>
  <si>
    <t>https://drive.google.com/drive/folders/1BdYfKh-_IUuTHwRIuh0g4WWfkh01nodR</t>
  </si>
  <si>
    <t>modern-python/that-depends</t>
  </si>
  <si>
    <t>modern-python__that-depends</t>
  </si>
  <si>
    <t>modevol-com__gqloom-14</t>
  </si>
  <si>
    <t>https://github.com/modevol-com/gqloom/issues/14</t>
  </si>
  <si>
    <t>gs://swe-bench-plus/evaluations/019b6aaf-1788-707e-b6dd-d4dc12d72279-modevol-com__gqloom-14-swe-agent-claude-sonnet-4.5</t>
  </si>
  <si>
    <t>https://drive.google.com/drive/folders/1biY7TjRVMWWk2vk-dIxXKMKJn0x9LPf7</t>
  </si>
  <si>
    <t>modevol-com/gqloom</t>
  </si>
  <si>
    <t>modevol-com__gqloom</t>
  </si>
  <si>
    <t>modin-project__modin-7430</t>
  </si>
  <si>
    <t>https://github.com/modin-project/modin/issues/7430</t>
  </si>
  <si>
    <t>gs://swe-bench-plus/evaluations/019a11d0-17d3-730b-bffc-06f187eef661-modin-project__modin-7430-swe-agent-claude-sonnet-4-20250514</t>
  </si>
  <si>
    <t>https://drive.google.com/drive/folders/1UPhulj0AmCqVtlmf0KvA1nxJr4qEGucj</t>
  </si>
  <si>
    <t>modin-project/modin</t>
  </si>
  <si>
    <t>modin-project__modin</t>
  </si>
  <si>
    <t>ModProg__derive-where-105</t>
  </si>
  <si>
    <t>https://github.com/ModProg/derive-where/issues/105</t>
  </si>
  <si>
    <t>gs://swe-bench-plus/evaluations/019b6aaf-1788-707e-b6dd-d4dc12d72279-ModProg__derive-where-105-swe-agent-claude-sonnet-4.5</t>
  </si>
  <si>
    <t>https://drive.google.com/drive/folders/1LEsuhlu3Rv2kZqkr_Ia62uCH06xCAuBj</t>
  </si>
  <si>
    <t>ModProg/derive-where</t>
  </si>
  <si>
    <t>ModProg__derive-where</t>
  </si>
  <si>
    <t>moeru-ai__xsai-118</t>
  </si>
  <si>
    <t>https://github.com/moeru-ai/xsai/issues/118</t>
  </si>
  <si>
    <t>gs://swe-bench-plus/evaluations/019b6aa7-0380-771f-9e02-24cda0fe6639-moeru-ai__xsai-118-swe-agent-claude-sonnet-4.5</t>
  </si>
  <si>
    <t>https://drive.google.com/drive/folders/1Elb4-Vqch7cb3MEctaNoKsX0nF-gSk_w</t>
  </si>
  <si>
    <t>moeru-ai/xsai</t>
  </si>
  <si>
    <t>moeru-ai__xsai</t>
  </si>
  <si>
    <t>Mooncake-Labs__moonlink-337</t>
  </si>
  <si>
    <t>https://github.com/Mooncake-Labs/moonlink/issues/337</t>
  </si>
  <si>
    <t>gs://swe-bench-plus/evaluations/019a6ebd-83c1-77e0-8232-17c9935d310f-Mooncake-Labs__moonlink-337-swe-agent-claude-sonnet-4.5</t>
  </si>
  <si>
    <t>https://drive.google.com/drive/folders/1Ts5BI97byYVqe5PlST_wZEfFfeSYYl-3</t>
  </si>
  <si>
    <t>Mooncake-Labs/moonlink</t>
  </si>
  <si>
    <t>Mooncake-Labs__moonlink</t>
  </si>
  <si>
    <t>Mooncake-Labs__moonlink-921</t>
  </si>
  <si>
    <t>https://github.com/Mooncake-Labs/moonlink/issues/921</t>
  </si>
  <si>
    <t>feature;dependency-update;test;performance</t>
  </si>
  <si>
    <t>gs://swe-bench-plus/evaluations/019b06be-e158-75e3-bc3e-1e0574eebf73-Mooncake-Labs__moonlink-921-swe-agent-claude-sonnet-4.5</t>
  </si>
  <si>
    <t>https://drive.google.com/drive/folders/14a4y86SkdbDu2EECGgb1UUHYBItWHXkG</t>
  </si>
  <si>
    <t>mouzt__mzt-biz-log-101</t>
  </si>
  <si>
    <t>https://github.com/mouzt/mzt-biz-log/issues/101</t>
  </si>
  <si>
    <t>https://drive.google.com/drive/folders/1WzbStZw5ihfqBUuQo1ng8Ez-6veqfjA6</t>
  </si>
  <si>
    <t>https://drive.google.com/drive/folders/1O0rSpRc5ZjGTO-XlBdC07HtT_9NqwKmw</t>
  </si>
  <si>
    <t>mouzt/mzt-biz-log</t>
  </si>
  <si>
    <t>mouzt__mzt-biz-log</t>
  </si>
  <si>
    <t>mozilla-ai__mcpd-84</t>
  </si>
  <si>
    <t>https://github.com/mozilla-ai/mcpd/issues/84</t>
  </si>
  <si>
    <t>infra-devops;ai-ml;devtools</t>
  </si>
  <si>
    <t>gs://swe-bench-plus/evaluations/019b6ab1-4e74-7019-9e81-9c96e98a145d-mozilla-ai__mcpd-84-swe-agent-claude-sonnet-4.5</t>
  </si>
  <si>
    <t>https://drive.google.com/drive/folders/1ZvQtquyvLPumrMjwf_y9-_Yb7KGndBKs</t>
  </si>
  <si>
    <t>mozilla-ai/mcpd</t>
  </si>
  <si>
    <t>mozilla-ai__mcpd</t>
  </si>
  <si>
    <t>mozilla-ai__mcpd-152</t>
  </si>
  <si>
    <t>https://github.com/mozilla-ai/mcpd/issues/152</t>
  </si>
  <si>
    <t>gs://swe-bench-plus/evaluations/019b6ab1-4e74-7019-9e81-9c96e98a145d-mozilla-ai__mcpd-152-swe-agent-claude-sonnet-4.5</t>
  </si>
  <si>
    <t>https://drive.google.com/drive/folders/1IDUWaYKFgzKBSdnwezxW6yFCoeKp2XXi</t>
  </si>
  <si>
    <t>mozilla-ai__mcpd-52</t>
  </si>
  <si>
    <t>https://github.com/mozilla-ai/mcpd/issues/52</t>
  </si>
  <si>
    <t>gs://swe-bench-plus/evaluations/019b6ab1-4e74-7019-9e81-9c96e98a145d-mozilla-ai__mcpd-52-swe-agent-claude-sonnet-4.5</t>
  </si>
  <si>
    <t>https://drive.google.com/drive/folders/1wVWQ3yFOfVnw214oAq5-8wKXDaCK2HHU</t>
  </si>
  <si>
    <t>mozilla-ai__mcpd-142</t>
  </si>
  <si>
    <t>https://github.com/mozilla-ai/mcpd/issues/142</t>
  </si>
  <si>
    <t>gs://swe-bench-plus/evaluations/019b6ab1-4e74-7019-9e81-9c96e98a145d-mozilla-ai__mcpd-142-swe-agent-claude-sonnet-4.5</t>
  </si>
  <si>
    <t>https://drive.google.com/drive/folders/1Y3WcxUwTK9hv5ZMYXSCDSPDmUAK3K3Pd</t>
  </si>
  <si>
    <t>mozilla-ai__mcpd-69</t>
  </si>
  <si>
    <t>https://github.com/mozilla-ai/mcpd/issues/69</t>
  </si>
  <si>
    <t>gs://swe-bench-plus/evaluations/019b6ab1-4e74-7019-9e81-9c96e98a145d-mozilla-ai__mcpd-69-swe-agent-claude-sonnet-4.5</t>
  </si>
  <si>
    <t>https://drive.google.com/drive/folders/16_oBsnUgZQpDlgnDGUkn9SkqT0p-ymKy</t>
  </si>
  <si>
    <t>mozilla-ai__mcpd-106</t>
  </si>
  <si>
    <t>https://github.com/mozilla-ai/mcpd/issues/106</t>
  </si>
  <si>
    <t>gs://swe-bench-plus/evaluations/019b6ab1-4e74-7019-9e81-9c96e98a145d-mozilla-ai__mcpd-106-swe-agent-claude-sonnet-4.5</t>
  </si>
  <si>
    <t>https://drive.google.com/drive/folders/1WRcCpkOuYNKsFY01EvTmatJsq47bCy3t</t>
  </si>
  <si>
    <t>mozilla-ai__mcpd-86</t>
  </si>
  <si>
    <t>https://github.com/mozilla-ai/mcpd/issues/86</t>
  </si>
  <si>
    <t>gs://swe-bench-plus/evaluations/019b6ab1-4e74-7019-9e81-9c96e98a145d-mozilla-ai__mcpd-86-swe-agent-claude-sonnet-4.5</t>
  </si>
  <si>
    <t>https://drive.google.com/drive/folders/1Ak3IWcGn5jG-qGyN6gPTp8nBdlEJs5id</t>
  </si>
  <si>
    <t>mozilla-ai__mcpd-149</t>
  </si>
  <si>
    <t>https://github.com/mozilla-ai/mcpd/issues/149</t>
  </si>
  <si>
    <t>gs://swe-bench-plus/evaluations/019b6ab1-4e74-7019-9e81-9c96e98a145d-mozilla-ai__mcpd-149-swe-agent-claude-sonnet-4.5</t>
  </si>
  <si>
    <t>https://drive.google.com/drive/folders/1yr13rGuurORkl8rliXvzmron47TkZExu</t>
  </si>
  <si>
    <t>mozilla__addons-frontend-13533</t>
  </si>
  <si>
    <t>https://github.com/mozilla/addons-frontend/issues/13533</t>
  </si>
  <si>
    <t>gs://swe-bench-plus/evaluations/019c24fa-2999-746b-a6fd-aa256611b73a-mozilla__addons-frontend-13533-swe-agent-claude-sonnet-4-20250514</t>
  </si>
  <si>
    <t>https://drive.google.com/drive/folders/1H-msWFezbtq7BXNKhwnO5vkL8uHGwpBm</t>
  </si>
  <si>
    <t>mozilla/addons-frontend</t>
  </si>
  <si>
    <t>mozilla__addons-frontend</t>
  </si>
  <si>
    <t>mozilla__addons-linter-5829</t>
  </si>
  <si>
    <t>https://github.com/mozilla/addons-linter/issues/5829</t>
  </si>
  <si>
    <t>gs://swe-bench-plus/evaluations/019c39f2-e206-779c-90aa-5844335bcaf5-mozilla__addons-linter-5829-swe-agent-claude-sonnet-4-20250514</t>
  </si>
  <si>
    <t>https://drive.google.com/drive/folders/1uNbBfqvCdnv1wkg2SSwfLtOiN-vYQ0s3</t>
  </si>
  <si>
    <t>mozilla/addons-linter</t>
  </si>
  <si>
    <t>mozilla__addons-linter</t>
  </si>
  <si>
    <t>mozilla__experimenter-13291</t>
  </si>
  <si>
    <t>https://github.com/mozilla/experimenter/issues/13291</t>
  </si>
  <si>
    <t>applications;webdev;infra-devops</t>
  </si>
  <si>
    <t>https://drive.google.com/drive/folders/1Phu7FtVBztGrwNwjeFlkdKghlAXnxrdZ</t>
  </si>
  <si>
    <t>https://drive.google.com/drive/folders/1MiPDPlbfaBqDkTNjU9HoR7h7Bs1ugOub</t>
  </si>
  <si>
    <t>mozilla/experimenter</t>
  </si>
  <si>
    <t>mozilla__experimenter</t>
  </si>
  <si>
    <t>mozilla__web-ext-3519</t>
  </si>
  <si>
    <t>https://github.com/mozilla/web-ext/issues/3519</t>
  </si>
  <si>
    <t>https://drive.google.com/drive/folders/1AU6aXH-uSP8b2mU_drLFNRl_kB928Iao</t>
  </si>
  <si>
    <t>https://drive.google.com/drive/folders/1XTOukOKhirK553hP4AQedlP64XZZvoeP</t>
  </si>
  <si>
    <t>mozilla/web-ext</t>
  </si>
  <si>
    <t>mozilla__web-ext</t>
  </si>
  <si>
    <t>mozilla__web-ext-3434</t>
  </si>
  <si>
    <t>https://github.com/mozilla/web-ext/issues/3434</t>
  </si>
  <si>
    <t>gs://swe-bench-plus/evaluations/019bb790-00c3-731f-bfe7-c55413fd6291-mozilla__web-ext-3434-swe-agent-claude-sonnet-4-20250514</t>
  </si>
  <si>
    <t>https://drive.google.com/drive/folders/1Y_G-DdeHUmZXbQ1AmIMJDyNfbbWuzEml</t>
  </si>
  <si>
    <t>mybatis__mybatis-dynamic-sql-969</t>
  </si>
  <si>
    <t>https://github.com/mybatis/mybatis-dynamic-sql/issues/969</t>
  </si>
  <si>
    <t>gs://swe-bench-plus/evaluations/019b6aaf-1788-707e-b6dd-d4dc12d72279-mybatis__mybatis-dynamic-sql-969-swe-agent-claude-sonnet-4.5</t>
  </si>
  <si>
    <t>https://drive.google.com/drive/folders/15_FVQ61owd1qrzy6w_PiHqorxbd5haM2</t>
  </si>
  <si>
    <t>mybatis/mybatis-dynamic-sql</t>
  </si>
  <si>
    <t>mybatis__mybatis-dynamic-sql</t>
  </si>
  <si>
    <t>mycodeself__mongo-migrate-ts-123</t>
  </si>
  <si>
    <t>https://github.com/mycodeself/mongo-migrate-ts/issues/123</t>
  </si>
  <si>
    <t>gs://swe-bench-plus/evaluations/019b6aaf-1788-707e-b6dd-d4dc12d72279-mycodeself__mongo-migrate-ts-123-swe-agent-claude-sonnet-4.5</t>
  </si>
  <si>
    <t>https://drive.google.com/drive/folders/1lB-aEgYPlSGJ-sgWCPOFG-FvTu5Yef7U</t>
  </si>
  <si>
    <t>mycodeself/mongo-migrate-ts</t>
  </si>
  <si>
    <t>mycodeself__mongo-migrate-ts</t>
  </si>
  <si>
    <t>n0-computer__iroh-2937</t>
  </si>
  <si>
    <t>https://github.com/n0-computer/iroh/issues/2937</t>
  </si>
  <si>
    <t>https://drive.google.com/drive/folders/1Px8oha64pQUdiZhMjxGRcYh2k4JYcZJM</t>
  </si>
  <si>
    <t>https://drive.google.com/drive/folders/1haxj4VVEEfo9V4Ucsf3XCaYAD4y9HVa0</t>
  </si>
  <si>
    <t>n0-computer/iroh</t>
  </si>
  <si>
    <t>n0-computer__iroh</t>
  </si>
  <si>
    <t>napari__napari-7673</t>
  </si>
  <si>
    <t>https://github.com/napari/napari/issues/7673</t>
  </si>
  <si>
    <t>graphics-media;sci-comp;applications</t>
  </si>
  <si>
    <t>https://drive.google.com/drive/folders/1Vc4CvK0anucAAEZoY63H41_ED7W_oole</t>
  </si>
  <si>
    <t>https://drive.google.com/drive/folders/1OLqh3asXEzkDGfTXWRCUmLw-AoLUs_T2</t>
  </si>
  <si>
    <t>napari/napari</t>
  </si>
  <si>
    <t>napari__napari</t>
  </si>
  <si>
    <t>narwhals-dev__narwhals-1625</t>
  </si>
  <si>
    <t>https://github.com/narwhals-dev/narwhals/issues/1625</t>
  </si>
  <si>
    <t>gs://swe-bench-plus/evaluations/019a8f6e-6e49-72e1-8adc-7d67083c10ad-narwhals-dev__narwhals-1625-open-hands-claude-sonnet-4-20250514</t>
  </si>
  <si>
    <t>https://drive.google.com/drive/folders/1TjO5U9SX4-YlEwjjHSESiw0FR4DCie28</t>
  </si>
  <si>
    <t>narwhals-dev/narwhals</t>
  </si>
  <si>
    <t>narwhals-dev__narwhals</t>
  </si>
  <si>
    <t>narwhals-dev__narwhals-1571</t>
  </si>
  <si>
    <t>https://github.com/narwhals-dev/narwhals/issues/1571</t>
  </si>
  <si>
    <t>https://drive.google.com/drive/folders/15D5UNBjZqREZoXz1o9FK3uU4hZ1CE_3X</t>
  </si>
  <si>
    <t>https://drive.google.com/drive/folders/1e51JVSCrkgmaWLJ9a8yxbmgALw2zKyXs</t>
  </si>
  <si>
    <t>narwhals-dev__narwhals-1924</t>
  </si>
  <si>
    <t>https://github.com/narwhals-dev/narwhals/issues/1924</t>
  </si>
  <si>
    <t>gs://swe-bench-plus/evaluations/019a8f6e-6e49-72e1-8adc-7d67083c10ad-narwhals-dev__narwhals-1924-open-hands-claude-sonnet-4-20250514</t>
  </si>
  <si>
    <t>https://drive.google.com/drive/folders/1vuByq2XCSKzbSoyzm1YY54bETzIljbiC</t>
  </si>
  <si>
    <t>narwhals-dev__narwhals-2104</t>
  </si>
  <si>
    <t>https://github.com/narwhals-dev/narwhals/issues/2104</t>
  </si>
  <si>
    <t>https://drive.google.com/drive/folders/118XidRDNEsXMXDgTMdlre1HGsEbfepWI</t>
  </si>
  <si>
    <t>https://drive.google.com/drive/folders/1NYJ_t7k3hBxEXBgwoAansVQ8dOiQZArP</t>
  </si>
  <si>
    <t>narwhals-dev__narwhals-2632</t>
  </si>
  <si>
    <t>https://github.com/narwhals-dev/narwhals/issues/2632</t>
  </si>
  <si>
    <t>gs://swe-bench-plus/evaluations/019a8f6e-6e49-72e1-8adc-7d67083c10ad-narwhals-dev__narwhals-2632-open-hands-claude-sonnet-4-20250514</t>
  </si>
  <si>
    <t>https://drive.google.com/drive/folders/1p859N_cbSOlK4W5vbNBcOtawUdhUsBU4</t>
  </si>
  <si>
    <t>narwhals-dev__narwhals-2637</t>
  </si>
  <si>
    <t>https://github.com/narwhals-dev/narwhals/issues/2637</t>
  </si>
  <si>
    <t>gs://swe-bench-plus/evaluations/019a8f6e-6e49-72e1-8adc-7d67083c10ad-narwhals-dev__narwhals-2637-open-hands-claude-sonnet-4-20250514</t>
  </si>
  <si>
    <t>https://drive.google.com/drive/folders/1gOoKjZhv3aMl98Sz6Bn0ms8tPoC1kBqP</t>
  </si>
  <si>
    <t>narwhals-dev__narwhals-2719</t>
  </si>
  <si>
    <t>https://github.com/narwhals-dev/narwhals/issues/2719</t>
  </si>
  <si>
    <t>https://drive.google.com/drive/folders/1lORJoOHysb_gjIrBHDJ0s_E4zthGiaJl</t>
  </si>
  <si>
    <t>narwhals-dev__narwhals-2886</t>
  </si>
  <si>
    <t>https://github.com/narwhals-dev/narwhals/issues/2886</t>
  </si>
  <si>
    <t>https://drive.google.com/drive/folders/1nJJ3bQrJILEOxu6JgfT4XVlaGSezCz8t</t>
  </si>
  <si>
    <t>narwhals-dev__narwhals-2126</t>
  </si>
  <si>
    <t>https://github.com/narwhals-dev/narwhals/issues/2126</t>
  </si>
  <si>
    <t>https://drive.google.com/drive/folders/1_Hwr97emuxRTZzDn4imZcurGyQSZNgnE</t>
  </si>
  <si>
    <t>NASA-AMMOS__aerie-1611</t>
  </si>
  <si>
    <t>https://github.com/NASA-AMMOS/aerie/issues/1611</t>
  </si>
  <si>
    <t>sci-comp;applications;autonomy</t>
  </si>
  <si>
    <t>feature;refactor;bug-fix;build-ci</t>
  </si>
  <si>
    <t>gs://swe-bench-plus/evaluations/019b6aaf-1788-707e-b6dd-d4dc12d72279-NASA-AMMOS__aerie-1611-swe-agent-claude-sonnet-4.5</t>
  </si>
  <si>
    <t>https://drive.google.com/drive/folders/1Y8OScClZVMDx3m9YIYbTuaImP8bkAyOJ</t>
  </si>
  <si>
    <t>NASA-AMMOS/aerie</t>
  </si>
  <si>
    <t>NASA-AMMOS__aerie</t>
  </si>
  <si>
    <t>nasa__fprime-4025</t>
  </si>
  <si>
    <t>https://github.com/nasa/fprime/issues/4025</t>
  </si>
  <si>
    <t>https://drive.google.com/drive/folders/1LIKjuKweH028ePYrmVJpujVmp9nWzBxV</t>
  </si>
  <si>
    <t>https://drive.google.com/drive/folders/1t-haWHsCp3QZZ-NqwofNw1wjdP-YtkLf</t>
  </si>
  <si>
    <t>nasa/fprime</t>
  </si>
  <si>
    <t>nasa__fprime</t>
  </si>
  <si>
    <t>nasa__fprime-3845</t>
  </si>
  <si>
    <t>https://github.com/nasa/fprime/issues/3845</t>
  </si>
  <si>
    <t>autonomy;infra-devops</t>
  </si>
  <si>
    <t>https://drive.google.com/drive/folders/1c6qnXbkmBmR-YVH4DtKVtmN185eRNJ_x</t>
  </si>
  <si>
    <t>https://drive.google.com/drive/folders/1Gbfu3hvxJ3gRvfVSuySl5n3JxHUF4FvV</t>
  </si>
  <si>
    <t>nasa__fprime-3847</t>
  </si>
  <si>
    <t>https://github.com/nasa/fprime/issues/3847</t>
  </si>
  <si>
    <t>https://drive.google.com/drive/folders/1fH19fGimXJ4heA-CqEgzvj29awF5LXxW</t>
  </si>
  <si>
    <t>https://drive.google.com/drive/folders/1b59xCFTO96m3phdbPkCUkS1csY3V6o-a</t>
  </si>
  <si>
    <t>nasa__fprime-3820</t>
  </si>
  <si>
    <t>https://github.com/nasa/fprime/issues/3820</t>
  </si>
  <si>
    <t>autonomy;devtools;infra-devops</t>
  </si>
  <si>
    <t>https://drive.google.com/drive/folders/1cRpwhGGTicWIZ9l4Q5H-vF3GVPQreHzz</t>
  </si>
  <si>
    <t>https://drive.google.com/drive/folders/1k2rIX-hK190tZc98PXnLaKaiSMdriEKt</t>
  </si>
  <si>
    <t>nasa__fprime-3049</t>
  </si>
  <si>
    <t>https://github.com/nasa/fprime/issues/3049</t>
  </si>
  <si>
    <t>https://drive.google.com/drive/folders/1ewDUaBHi0HnKkbS2pfhdQx6_catzpFqL</t>
  </si>
  <si>
    <t>https://drive.google.com/drive/folders/1HUAzU7d4s1ne5mfQOEDtRhfPqiell5wo</t>
  </si>
  <si>
    <t>nasa__fprime-3488</t>
  </si>
  <si>
    <t>https://github.com/nasa/fprime/issues/3488</t>
  </si>
  <si>
    <t>https://drive.google.com/drive/folders/1nvNzrDUavR1zmhFwoCPVGdiA8viBszf7</t>
  </si>
  <si>
    <t>https://drive.google.com/drive/folders/15bpqZV-VCy8OHREUyZ8ZO4XkrFB8_Moo</t>
  </si>
  <si>
    <t>nasa__fprime-2790</t>
  </si>
  <si>
    <t>https://github.com/nasa/fprime/issues/2790</t>
  </si>
  <si>
    <t>refactor;test;build-ci</t>
  </si>
  <si>
    <t>https://drive.google.com/drive/folders/1IVLkZmzbYr_wSBsWHiwVx2nfBIXiLbra</t>
  </si>
  <si>
    <t>https://drive.google.com/drive/folders/1twNpQ3yrSsC_kNi8xqKYLOWcI1dO84DX</t>
  </si>
  <si>
    <t>NatLibFi__Annif-877</t>
  </si>
  <si>
    <t>https://github.com/NatLibFi/Annif/issues/877</t>
  </si>
  <si>
    <t>gs://swe-bench-plus/evaluations/019a8f6e-6e49-72e1-8adc-7d67083c10ad-NatLibFi__Annif-877-open-hands-claude-sonnet-4-20250514</t>
  </si>
  <si>
    <t>https://drive.google.com/drive/folders/1h-ykgHdaK94pcTpfE-LDAwwRD4AhwWns</t>
  </si>
  <si>
    <t>NatLibFi/Annif</t>
  </si>
  <si>
    <t>NatLibFi__Annif</t>
  </si>
  <si>
    <t>NcStudios__NcEngine-799</t>
  </si>
  <si>
    <t>https://github.com/NcStudios/NcEngine/issues/799</t>
  </si>
  <si>
    <t>gs://swe-bench-plus/evaluations/019b6aa7-0380-771f-9e02-24cda0fe6639-NcStudios__NcEngine-799-swe-agent-claude-sonnet-4.5</t>
  </si>
  <si>
    <t>https://drive.google.com/drive/folders/1BWQaaPU-Q337zxlGxFutqhfJMruhYPim</t>
  </si>
  <si>
    <t>NcStudios/NcEngine</t>
  </si>
  <si>
    <t>NcStudios__NcEngine</t>
  </si>
  <si>
    <t>NcStudios__NcEngine-787</t>
  </si>
  <si>
    <t>https://github.com/NcStudios/NcEngine/issues/787</t>
  </si>
  <si>
    <t>gs://swe-bench-plus/evaluations/019b6aa7-0380-771f-9e02-24cda0fe6639-NcStudios__NcEngine-787-swe-agent-claude-sonnet-4.5</t>
  </si>
  <si>
    <t>https://drive.google.com/drive/folders/1L9-gxATRFJaEFNfaaEwNZKWhEO9ZGHXO</t>
  </si>
  <si>
    <t>NeilMacMullen__kusto-loco-216</t>
  </si>
  <si>
    <t>https://github.com/NeilMacMullen/kusto-loco/issues/216</t>
  </si>
  <si>
    <t>data-eng;sci-comp;graphics-media;devtools</t>
  </si>
  <si>
    <t>gs://swe-bench-plus/evaluations/019b6ab1-4e74-7019-9e81-9c96e98a145d-NeilMacMullen__kusto-loco-216-swe-agent-claude-sonnet-4.5</t>
  </si>
  <si>
    <t>https://drive.google.com/drive/folders/13wtvAApitCF3ZntHoXecaZa69FzsIu8n</t>
  </si>
  <si>
    <t>NeilMacMullen/kusto-loco</t>
  </si>
  <si>
    <t>NeilMacMullen__kusto-loco</t>
  </si>
  <si>
    <t>neo-project__neo-3696</t>
  </si>
  <si>
    <t>https://github.com/neo-project/neo/issues/3696</t>
  </si>
  <si>
    <t>https://drive.google.com/drive/folders/1O6yaoQOWbyhcj65ZWtVAlgB-LVRQ5Pul</t>
  </si>
  <si>
    <t>https://drive.google.com/drive/folders/1Rr3lQmTFXEwODFD0IZmPBWKglQLPST6P</t>
  </si>
  <si>
    <t>neo-project/neo</t>
  </si>
  <si>
    <t>neo-project__neo</t>
  </si>
  <si>
    <t>neo4j__cypher-builder-444</t>
  </si>
  <si>
    <t>https://github.com/neo4j/cypher-builder/issues/444</t>
  </si>
  <si>
    <t>gs://swe-bench-plus/evaluations/019b6aaf-1788-707e-b6dd-d4dc12d72279-neo4j__cypher-builder-444-swe-agent-claude-sonnet-4.5</t>
  </si>
  <si>
    <t>https://drive.google.com/drive/folders/1fC1kkA7AO8-79RCNnXNiOapQeqczqOcg</t>
  </si>
  <si>
    <t>neo4j/cypher-builder</t>
  </si>
  <si>
    <t>neo4j__cypher-builder</t>
  </si>
  <si>
    <t>nestjs__event-emitter-1248</t>
  </si>
  <si>
    <t>https://github.com/nestjs/event-emitter/issues/1248</t>
  </si>
  <si>
    <t>gs://swe-bench-plus/evaluations/019c24f9-74aa-74ea-9952-2088a9ea13aa-nestjs__event-emitter-1248-swe-agent-claude-sonnet-4-20250514</t>
  </si>
  <si>
    <t>https://drive.google.com/drive/folders/13YAUzKWTiLsMen_Xh8ksLFQ-DEQTjyvO</t>
  </si>
  <si>
    <t>nestjs/event-emitter</t>
  </si>
  <si>
    <t>nestjs__event-emitter</t>
  </si>
  <si>
    <t>NetApp__harvest-3433</t>
  </si>
  <si>
    <t>https://github.com/NetApp/harvest/issues/3433</t>
  </si>
  <si>
    <t>bug-fix;refactor;feature;documentation</t>
  </si>
  <si>
    <t>https://drive.google.com/drive/folders/11tp2fQU6sSmJ1c2ULNTWr7I4-DZfvtcl</t>
  </si>
  <si>
    <t>https://drive.google.com/drive/folders/1YmCnLS2LxGsRlQ9ezQZA24FKQAFEnzN9</t>
  </si>
  <si>
    <t>NetApp/harvest</t>
  </si>
  <si>
    <t>NetApp__harvest</t>
  </si>
  <si>
    <t>netdevops__hier_config-138</t>
  </si>
  <si>
    <t>https://github.com/netdevops/hier_config/issues/138</t>
  </si>
  <si>
    <t>gs://swe-bench-plus/evaluations/019a11d0-17d3-730b-bffc-06f187eef661-netdevops__hier_config-138-swe-agent-claude-sonnet-4-20250514</t>
  </si>
  <si>
    <t>https://drive.google.com/drive/folders/1emA35PUyjNbfFbxrDSixAUUlmelk4x8S</t>
  </si>
  <si>
    <t>netdevops/hier_config</t>
  </si>
  <si>
    <t>netdevops__hier_config</t>
  </si>
  <si>
    <t>netromdk__vermin-111</t>
  </si>
  <si>
    <t>https://github.com/netromdk/vermin/issues/111</t>
  </si>
  <si>
    <t>https://drive.google.com/drive/folders/1uaYVwSKm5T318A5xUAO2HPScKs5wl-8H</t>
  </si>
  <si>
    <t>https://drive.google.com/drive/folders/1jeF0vOqyVsxh2n1s2bKEv_KZgy1-wwo0</t>
  </si>
  <si>
    <t>netromdk/vermin</t>
  </si>
  <si>
    <t>netromdk__vermin</t>
  </si>
  <si>
    <t>netty__netty-14152</t>
  </si>
  <si>
    <t>https://github.com/netty/netty/issues/14152</t>
  </si>
  <si>
    <t>https://drive.google.com/drive/folders/1_Cnsa8ziVpe12J3RDMhH46vD0VphyNtx</t>
  </si>
  <si>
    <t>https://drive.google.com/drive/folders/1KvGdLKw9Ew1jImNqjrxoT_lIrkKDYq4j</t>
  </si>
  <si>
    <t>netty/netty</t>
  </si>
  <si>
    <t>netty__netty</t>
  </si>
  <si>
    <t>newrelic__newrelic-lambda-extension-352</t>
  </si>
  <si>
    <t>https://github.com/newrelic/newrelic-lambda-extension/issues/352</t>
  </si>
  <si>
    <t>gs://swe-bench-plus/evaluations/019b6aa7-0380-771f-9e02-24cda0fe6639-newrelic__newrelic-lambda-extension-352-swe-agent-claude-sonnet-4.5</t>
  </si>
  <si>
    <t>https://drive.google.com/drive/folders/1xcg49Tm4dVna_9t3i_1f9mdBVAE66d5G</t>
  </si>
  <si>
    <t>newrelic/newrelic-lambda-extension</t>
  </si>
  <si>
    <t>newrelic__newrelic-lambda-extension</t>
  </si>
  <si>
    <t>newrelic__node-newrelic-3206</t>
  </si>
  <si>
    <t>https://github.com/newrelic/node-newrelic/issues/3206</t>
  </si>
  <si>
    <t>gs://swe-bench-plus/evaluations/019b6aaf-1788-707e-b6dd-d4dc12d72279-newrelic__node-newrelic-3206-swe-agent-claude-sonnet-4.5</t>
  </si>
  <si>
    <t>https://drive.google.com/drive/folders/1RMEdeR8FLyN0S31xNvge9ZUNX9ut3aim</t>
  </si>
  <si>
    <t>newrelic/node-newrelic</t>
  </si>
  <si>
    <t>newrelic__node-newrelic</t>
  </si>
  <si>
    <t>newrelic__node-newrelic-3121</t>
  </si>
  <si>
    <t>https://github.com/newrelic/node-newrelic/issues/3121</t>
  </si>
  <si>
    <t>gs://swe-bench-plus/evaluations/019b6aaf-1788-707e-b6dd-d4dc12d72279-newrelic__node-newrelic-3121-swe-agent-claude-sonnet-4.5</t>
  </si>
  <si>
    <t>https://drive.google.com/drive/folders/1YVW79WQz1Fx98qOSW25wbCWBLwQYjRLz</t>
  </si>
  <si>
    <t>Nexus-Mods__NexusMods.App-3729</t>
  </si>
  <si>
    <t>https://github.com/Nexus-Mods/NexusMods.App/issues/3729</t>
  </si>
  <si>
    <t>gs://swe-bench-plus/evaluations/019b6ab1-4e74-7019-9e81-9c96e98a145d-Nexus-Mods__NexusMods.App-3729-swe-agent-claude-sonnet-4.5</t>
  </si>
  <si>
    <t>https://drive.google.com/drive/folders/1YQHYRyxXfDelZ9fGAwRG5X9EvaR3Ay5X</t>
  </si>
  <si>
    <t>Nexus-Mods/NexusMods.App</t>
  </si>
  <si>
    <t>Nexus-Mods__NexusMods.App</t>
  </si>
  <si>
    <t>nginx__nginx-gateway-fabric-3942</t>
  </si>
  <si>
    <t>https://github.com/nginx/nginx-gateway-fabric/issues/3942</t>
  </si>
  <si>
    <t>https://drive.google.com/drive/folders/14EQU4AvoQiMKCh-qc3H-kxbTHy7Qgd5O</t>
  </si>
  <si>
    <t>https://drive.google.com/drive/folders/1j2MuOCzZU7p_c2sI1cnFYQEPQx4f_MD8</t>
  </si>
  <si>
    <t>nginx/nginx-gateway-fabric</t>
  </si>
  <si>
    <t>nginx__nginx-gateway-fabric</t>
  </si>
  <si>
    <t>ngx-formly__ngx-formly-4141</t>
  </si>
  <si>
    <t>https://github.com/ngx-formly/ngx-formly/issues/4141</t>
  </si>
  <si>
    <t>gs://swe-bench-plus/evaluations/019c66b2-8d12-718e-a308-6ab44b696b4d-ngx-formly__ngx-formly-4141-swe-agent-claude-sonnet-4.5</t>
  </si>
  <si>
    <t>https://drive.google.com/drive/folders/1khsD9wwjYjU9Lt1NAMYimtbILxC9AZ4K</t>
  </si>
  <si>
    <t>ngx-formly/ngx-formly</t>
  </si>
  <si>
    <t>ngx-formly__ngx-formly</t>
  </si>
  <si>
    <t>nibanks__msh3-317</t>
  </si>
  <si>
    <t>https://github.com/nibanks/msh3/issues/317</t>
  </si>
  <si>
    <t>gs://swe-bench-plus/evaluations/019b6aa7-0380-771f-9e02-24cda0fe6639-nibanks__msh3-317-swe-agent-claude-sonnet-4.5</t>
  </si>
  <si>
    <t>https://drive.google.com/drive/folders/1j7pVg76_Q7zzbX-yhEXUzmrBKdmJZGbc</t>
  </si>
  <si>
    <t>nibanks/msh3</t>
  </si>
  <si>
    <t>nibanks__msh3</t>
  </si>
  <si>
    <t>nilearn__nilearn-5672</t>
  </si>
  <si>
    <t>https://github.com/nilearn/nilearn/issues/5672</t>
  </si>
  <si>
    <t>https://drive.google.com/drive/folders/1AVHMgLtzGpyMOJtLGOEGHlFi_3wq5HKC</t>
  </si>
  <si>
    <t>https://drive.google.com/drive/folders/1vy9BUGNI69xhu1T5AsvuQ4U4Hg5THw1C</t>
  </si>
  <si>
    <t>nilearn/nilearn</t>
  </si>
  <si>
    <t>nilearn__nilearn</t>
  </si>
  <si>
    <t>nilearn__nilearn-5450</t>
  </si>
  <si>
    <t>https://github.com/nilearn/nilearn/issues/5450</t>
  </si>
  <si>
    <t>gs://swe-bench-plus/evaluations/019a8f6e-6e49-72e1-8adc-7d67083c10ad-nilearn__nilearn-5450-open-hands-claude-sonnet-4-20250514</t>
  </si>
  <si>
    <t>https://drive.google.com/drive/folders/1EbTAqSmM88wkXk5RCB-Rf1j50ElEpM5D</t>
  </si>
  <si>
    <t>nilearn__nilearn-5309</t>
  </si>
  <si>
    <t>https://github.com/nilearn/nilearn/issues/5309</t>
  </si>
  <si>
    <t>https://drive.google.com/drive/folders/1cTD7wzqj6LkPvE31UrZ-GRb8eNZLNR3_</t>
  </si>
  <si>
    <t>https://drive.google.com/drive/folders/1f8aMWUXAlMyaLfCjogS6S1qUpa3wfzlz</t>
  </si>
  <si>
    <t>nilsschmidt1337__ldparteditor-1154</t>
  </si>
  <si>
    <t>https://github.com/nilsschmidt1337/ldparteditor/issues/1154</t>
  </si>
  <si>
    <t>gs://swe-bench-plus/evaluations/019b6ab1-4e74-7019-9e81-9c96e98a145d-nilsschmidt1337__ldparteditor-1154-swe-agent-claude-sonnet-4.5</t>
  </si>
  <si>
    <t>https://drive.google.com/drive/folders/1GRY7Bnm55cK6RGYYFQCFqE5PJJGV40xU</t>
  </si>
  <si>
    <t>nilsschmidt1337/ldparteditor</t>
  </si>
  <si>
    <t>nilsschmidt1337__ldparteditor</t>
  </si>
  <si>
    <t>ninja-build__ninja-2497</t>
  </si>
  <si>
    <t>https://github.com/ninja-build/ninja/issues/2497</t>
  </si>
  <si>
    <t>https://drive.google.com/drive/folders/1MTIshgiVyU8vngo7d92LF6oC4JlxIJmy</t>
  </si>
  <si>
    <t>https://drive.google.com/drive/folders/1HRpSPfwgpcmWSJffMqJfULFSgBwdE8mM</t>
  </si>
  <si>
    <t>ninja-build/ninja</t>
  </si>
  <si>
    <t>ninja-build__ninja</t>
  </si>
  <si>
    <t>nitrite__nitrite-java-1183</t>
  </si>
  <si>
    <t>https://github.com/nitrite/nitrite-java/issues/1183</t>
  </si>
  <si>
    <t>gs://swe-bench-plus/evaluations/019b6ab1-4e74-7019-9e81-9c96e98a145d-nitrite__nitrite-java-1183-swe-agent-claude-sonnet-4.5</t>
  </si>
  <si>
    <t>https://drive.google.com/drive/folders/18FFp6lfhN7DB5aaiqbECWsUa79EdPwTF</t>
  </si>
  <si>
    <t>nitrite/nitrite-java</t>
  </si>
  <si>
    <t>nitrite__nitrite-java</t>
  </si>
  <si>
    <t>nlewo__comin-64</t>
  </si>
  <si>
    <t>https://github.com/nlewo/comin/issues/64</t>
  </si>
  <si>
    <t>gs://swe-bench-plus/evaluations/019b6aa7-0380-771f-9e02-24cda0fe6639-nlewo__comin-64-swe-agent-claude-sonnet-4.5</t>
  </si>
  <si>
    <t>https://drive.google.com/drive/folders/1oSKxIZkd865b89hrl_3P9r6HPaWuPSMs</t>
  </si>
  <si>
    <t>nlewo/comin</t>
  </si>
  <si>
    <t>nlewo__comin</t>
  </si>
  <si>
    <t>nodeSolidServer__node-solid-server-1800</t>
  </si>
  <si>
    <t>https://github.com/nodeSolidServer/node-solid-server/issues/1800</t>
  </si>
  <si>
    <t>gs://swe-bench-plus/evaluations/019c24fa-2999-746b-a6fd-aa256611b73a-nodeSolidServer__node-solid-server-1800-swe-agent-claude-sonnet-4-20250514</t>
  </si>
  <si>
    <t>https://drive.google.com/drive/folders/1on4Q6jNn7MFMDRqUlzXgZYrTESeLg9eL</t>
  </si>
  <si>
    <t>nodeSolidServer/node-solid-server</t>
  </si>
  <si>
    <t>nodeSolidServer__node-solid-server</t>
  </si>
  <si>
    <t>NomicFoundation__hardhat-6139</t>
  </si>
  <si>
    <t>https://github.com/NomicFoundation/hardhat/issues/6139</t>
  </si>
  <si>
    <t>https://drive.google.com/drive/folders/1SM6QJVaLuBDMmS3ONtKZ7yqunnpJNwvD</t>
  </si>
  <si>
    <t>https://drive.google.com/drive/folders/1A6UYgLP2GhzQZ59cnGlCdZ-rXh-KJJAt</t>
  </si>
  <si>
    <t>NomicFoundation/hardhat</t>
  </si>
  <si>
    <t>NomicFoundation__hardhat</t>
  </si>
  <si>
    <t>novasamatech__nova-spektr-4348</t>
  </si>
  <si>
    <t>https://github.com/novasamatech/nova-spektr/issues/4348</t>
  </si>
  <si>
    <t>gs://swe-bench-plus/evaluations/019b6aaf-1788-707e-b6dd-d4dc12d72279-novasamatech__nova-spektr-4348-swe-agent-claude-sonnet-4.5</t>
  </si>
  <si>
    <t>https://drive.google.com/drive/folders/1mLN7GNFHFiMIbc26Muc7SQjixjhykquo</t>
  </si>
  <si>
    <t>novasamatech/nova-spektr</t>
  </si>
  <si>
    <t>novasamatech__nova-spektr</t>
  </si>
  <si>
    <t>novasamatech__nova-spektr-2740</t>
  </si>
  <si>
    <t>https://github.com/novasamatech/nova-spektr/issues/2740</t>
  </si>
  <si>
    <t>https://drive.google.com/drive/folders/1QVvO_iljKRor95p9xv3QvO3YncUTaR5f</t>
  </si>
  <si>
    <t>https://drive.google.com/drive/folders/1bcKqzsciBu1Vj-euxGhw7mT1BTfQX-7Y</t>
  </si>
  <si>
    <t>nowarp__misti-219</t>
  </si>
  <si>
    <t>https://github.com/nowarp/misti/issues/219</t>
  </si>
  <si>
    <t>gs://swe-bench-plus/evaluations/019b6aaf-1788-707e-b6dd-d4dc12d72279-nowarp__misti-219-swe-agent-claude-sonnet-4.5</t>
  </si>
  <si>
    <t>https://drive.google.com/drive/folders/1pukW5sAG-ohNMzm08PE__OEiwBTsl313</t>
  </si>
  <si>
    <t>nowarp/misti</t>
  </si>
  <si>
    <t>nowarp__misti</t>
  </si>
  <si>
    <t>nowarp__misti-235</t>
  </si>
  <si>
    <t>https://github.com/nowarp/misti/issues/235</t>
  </si>
  <si>
    <t>security;devtools;blockchain</t>
  </si>
  <si>
    <t>gs://swe-bench-plus/evaluations/019b6aaf-1788-707e-b6dd-d4dc12d72279-nowarp__misti-235-swe-agent-claude-sonnet-4.5</t>
  </si>
  <si>
    <t>https://drive.google.com/drive/folders/1C_UH7646MVJu45fO1YdA5BlaXHd2KhY3</t>
  </si>
  <si>
    <t>nowarp__misti-275</t>
  </si>
  <si>
    <t>https://github.com/nowarp/misti/issues/275</t>
  </si>
  <si>
    <t>gs://swe-bench-plus/evaluations/019b6aaf-1788-707e-b6dd-d4dc12d72279-nowarp__misti-275-swe-agent-claude-sonnet-4.5</t>
  </si>
  <si>
    <t>https://drive.google.com/drive/folders/1goa3pTsBxP3C0AGU4F0cJgo0bfK-qA6w</t>
  </si>
  <si>
    <t>NREL__floris-1129</t>
  </si>
  <si>
    <t>https://github.com/NREL/floris/issues/1129</t>
  </si>
  <si>
    <t>https://drive.google.com/drive/folders/154nOfbLUZ6MCpffRpcBuV2cj-CNuNGWn</t>
  </si>
  <si>
    <t>https://drive.google.com/drive/folders/1jjQPO5dj3F05-X84sCAeikTiMZ0mtv8a</t>
  </si>
  <si>
    <t>NREL/floris</t>
  </si>
  <si>
    <t>NREL__floris</t>
  </si>
  <si>
    <t>nspady__google-calendar-mcp-36</t>
  </si>
  <si>
    <t>https://github.com/nspady/google-calendar-mcp/issues/36</t>
  </si>
  <si>
    <t>gs://swe-bench-plus/evaluations/019b6aaf-1788-707e-b6dd-d4dc12d72279-nspady__google-calendar-mcp-36-swe-agent-claude-sonnet-4.5</t>
  </si>
  <si>
    <t>https://drive.google.com/drive/folders/1H9Kx_XlGfIGTL1IAav9XGw9k1In7sM05</t>
  </si>
  <si>
    <t>nspady/google-calendar-mcp</t>
  </si>
  <si>
    <t>nspady__google-calendar-mcp</t>
  </si>
  <si>
    <t>nspcc-dev__neo-go-3978</t>
  </si>
  <si>
    <t>https://github.com/nspcc-dev/neo-go/issues/3978</t>
  </si>
  <si>
    <t>gs://swe-bench-plus/evaluations/019b6aa7-0380-771f-9e02-24cda0fe6639-nspcc-dev__neo-go-3978-swe-agent-claude-sonnet-4.5</t>
  </si>
  <si>
    <t>https://drive.google.com/drive/folders/1v6EUuZ9mzjUH-_wjKuWapzRKjNmo-2Oy</t>
  </si>
  <si>
    <t>nspcc-dev/neo-go</t>
  </si>
  <si>
    <t>nspcc-dev__neo-go</t>
  </si>
  <si>
    <t>nspcc-dev__neo-go-3724</t>
  </si>
  <si>
    <t>https://github.com/nspcc-dev/neo-go/issues/3724</t>
  </si>
  <si>
    <t>https://drive.google.com/drive/folders/13DLcoAJuBNoIWk096RfLwvq73AvrL32B</t>
  </si>
  <si>
    <t>https://drive.google.com/drive/folders/1EHpnTq92_KIsI95qbg2W1pCwKwlr2p_N</t>
  </si>
  <si>
    <t>numpy__numpydoc-611</t>
  </si>
  <si>
    <t>https://github.com/numpy/numpydoc/issues/611</t>
  </si>
  <si>
    <t>refactor;performance;dependency-update</t>
  </si>
  <si>
    <t>https://drive.google.com/drive/folders/1lPz2_nxMmv88C7ZEv2VLi2KuSgmP9f3m</t>
  </si>
  <si>
    <t>https://drive.google.com/drive/folders/1MbgxNpjOhoHMIQze6h4D2s89l82KMjKA</t>
  </si>
  <si>
    <t>numpy/numpydoc</t>
  </si>
  <si>
    <t>numpy__numpydoc</t>
  </si>
  <si>
    <t>NVIDIA-NeMo__RL-697</t>
  </si>
  <si>
    <t>https://github.com/NVIDIA-NeMo/RL/issues/697</t>
  </si>
  <si>
    <t>https://drive.google.com/drive/folders/1_69XW7p4Zn_UXpXWultTW0vmosyzfupF</t>
  </si>
  <si>
    <t>https://drive.google.com/drive/folders/1TmoIFhI4bxY6dSdaxItyfTKcyBVVhePe</t>
  </si>
  <si>
    <t>NVIDIA-NeMo/RL</t>
  </si>
  <si>
    <t>NVIDIA-NeMo__RL</t>
  </si>
  <si>
    <t>NVIDIA__KAI-Scheduler-379</t>
  </si>
  <si>
    <t>https://github.com/NVIDIA/KAI-Scheduler/issues/379</t>
  </si>
  <si>
    <t>gs://swe-bench-plus/evaluations/019b6ab1-4e74-7019-9e81-9c96e98a145d-NVIDIA__KAI-Scheduler-379-swe-agent-claude-sonnet-4.5</t>
  </si>
  <si>
    <t>https://drive.google.com/drive/folders/1Vto-kvUYBDnjE0FNFYDCIn09yJcxwfle</t>
  </si>
  <si>
    <t>NVIDIA/KAI-Scheduler</t>
  </si>
  <si>
    <t>NVIDIA__KAI-Scheduler</t>
  </si>
  <si>
    <t>NVIDIA__Megatron-Energon-41</t>
  </si>
  <si>
    <t>https://github.com/NVIDIA/Megatron-Energon/issues/41</t>
  </si>
  <si>
    <t>https://drive.google.com/drive/folders/13kRTbGiRbbeW0T7qt0YIkpuX72Feo_dR</t>
  </si>
  <si>
    <t>https://drive.google.com/drive/folders/1qQdSupyqUxS3CBRKj8cCea91eHDIYmkI</t>
  </si>
  <si>
    <t>NVIDIA/Megatron-Energon</t>
  </si>
  <si>
    <t>NVIDIA__Megatron-Energon</t>
  </si>
  <si>
    <t>objectionary__eo-3578</t>
  </si>
  <si>
    <t>https://github.com/objectionary/eo/issues/3578</t>
  </si>
  <si>
    <t>gs://swe-bench-plus/evaluations/019b6aaf-1788-707e-b6dd-d4dc12d72279-objectionary__eo-3578-swe-agent-claude-sonnet-4.5</t>
  </si>
  <si>
    <t>https://drive.google.com/drive/folders/1zek1nMuIBGDpwUrR7OH1AAB3c-tTiuKu</t>
  </si>
  <si>
    <t>objectionary/eo</t>
  </si>
  <si>
    <t>objectionary__eo</t>
  </si>
  <si>
    <t>objectionary__eo-3920</t>
  </si>
  <si>
    <t>https://github.com/objectionary/eo/issues/3920</t>
  </si>
  <si>
    <t>gs://swe-bench-plus/evaluations/019c75f5-6b8c-7228-9f9c-93aa98fd3824-objectionary__eo-3920-swe-agent-claude-sonnet-4.5</t>
  </si>
  <si>
    <t>https://drive.google.com/drive/folders/1nxIM0lBFSaFB5NuZybNdY-n1UOOX-FgJ</t>
  </si>
  <si>
    <t>obmarg__cynic-1144</t>
  </si>
  <si>
    <t>https://github.com/obmarg/cynic/issues/1144</t>
  </si>
  <si>
    <t>gs://swe-bench-plus/evaluations/019b06be-e158-75e3-bc3e-1e0574eebf73-obmarg__cynic-1144-swe-agent-claude-sonnet-4.5</t>
  </si>
  <si>
    <t>https://drive.google.com/drive/folders/1MrX0RwyAmMOJob-rs0Tek1DZBsA5Ztu1</t>
  </si>
  <si>
    <t>obmarg/cynic</t>
  </si>
  <si>
    <t>obmarg__cynic</t>
  </si>
  <si>
    <t>obsidian-tasks-group__obsidian-tasks-3364</t>
  </si>
  <si>
    <t>https://github.com/obsidian-tasks-group/obsidian-tasks/issues/3364</t>
  </si>
  <si>
    <t>https://drive.google.com/drive/folders/1TZZ_yK3Sbh91mSvBOlkkqQfd87fG1BrD</t>
  </si>
  <si>
    <t>https://drive.google.com/drive/folders/1rsaOP5g4K8gkXH-wuOL7-W1J9ifgV1cG</t>
  </si>
  <si>
    <t>obsidian-tasks-group/obsidian-tasks</t>
  </si>
  <si>
    <t>obsidian-tasks-group__obsidian-tasks</t>
  </si>
  <si>
    <t>obsidian-tasks-group__obsidian-tasks-1330</t>
  </si>
  <si>
    <t>https://github.com/obsidian-tasks-group/obsidian-tasks/issues/1330</t>
  </si>
  <si>
    <t>feature;test;build-ci;documentation</t>
  </si>
  <si>
    <t>https://drive.google.com/drive/folders/1lOgufy4oGdIJKrIVKaYRNPGNUDwYs9fs</t>
  </si>
  <si>
    <t>https://drive.google.com/drive/folders/1FAibNnWfAkvH4bPIjyXrL9Gs5TkC8FtC</t>
  </si>
  <si>
    <t>odygrd__quill-788</t>
  </si>
  <si>
    <t>https://github.com/odygrd/quill/issues/788</t>
  </si>
  <si>
    <t>gs://swe-bench-plus/evaluations/019a0242-6b7a-708e-89b1-224cfd5d39fe-odygrd__quill-788-open-hands-claude-sonnet-4-20250514</t>
  </si>
  <si>
    <t>https://drive.google.com/drive/folders/11L9V7X_SD3EvFSht1U3ZMYIUbE4Eaxy3</t>
  </si>
  <si>
    <t>odygrd/quill</t>
  </si>
  <si>
    <t>odygrd__quill</t>
  </si>
  <si>
    <t>odygrd__quill-597</t>
  </si>
  <si>
    <t>https://github.com/odygrd/quill/issues/597</t>
  </si>
  <si>
    <t>gs://swe-bench-plus/evaluations/019b6aa7-0380-771f-9e02-24cda0fe6639-odygrd__quill-597-swe-agent-claude-sonnet-4.5</t>
  </si>
  <si>
    <t>https://drive.google.com/drive/folders/1APzdPThuAWfM4IrjO1wkEWZ7hjtbau6z</t>
  </si>
  <si>
    <t>odygrd__quill-535</t>
  </si>
  <si>
    <t>https://github.com/odygrd/quill/issues/535</t>
  </si>
  <si>
    <t>gs://swe-bench-plus/evaluations/019b6aa7-0380-771f-9e02-24cda0fe6639-odygrd__quill-535-swe-agent-claude-sonnet-4.5</t>
  </si>
  <si>
    <t>https://drive.google.com/drive/folders/1eXI33piQPNcGZTxzokjII35M9EQ0T2ti</t>
  </si>
  <si>
    <t>odygrd__quill-764</t>
  </si>
  <si>
    <t>https://github.com/odygrd/quill/issues/764</t>
  </si>
  <si>
    <t>gs://swe-bench-plus/evaluations/019a8f51-4621-711a-ad6b-50abcd4c4d65-odygrd__quill-764-open-hands-claude-sonnet-4-20250514</t>
  </si>
  <si>
    <t>https://drive.google.com/drive/folders/1R9ImYzYfBfAHWtTpdO4kXqftm4gRHUvM</t>
  </si>
  <si>
    <t>oemof__demandlib-78</t>
  </si>
  <si>
    <t>https://github.com/oemof/demandlib/issues/78</t>
  </si>
  <si>
    <t>https://drive.google.com/drive/folders/1_QrDOVFa3q3pr3-p_OPJx1C9F3O7eWQp</t>
  </si>
  <si>
    <t>https://drive.google.com/drive/folders/1mP3wHnAle7ljwUooireD4ckCQ-K4AysP</t>
  </si>
  <si>
    <t>oemof/demandlib</t>
  </si>
  <si>
    <t>oemof__demandlib</t>
  </si>
  <si>
    <t>oemof__oemof-solph-980</t>
  </si>
  <si>
    <t>https://github.com/oemof/oemof-solph/issues/980</t>
  </si>
  <si>
    <t>https://drive.google.com/drive/folders/1xGhWV_4huz8NN6oh9VAjTKcz--5dMS4t</t>
  </si>
  <si>
    <t>https://drive.google.com/drive/folders/1yXOEdXj2Zwuvuy5lZeXB13mIT0Gk5MCX</t>
  </si>
  <si>
    <t>oemof/oemof-solph</t>
  </si>
  <si>
    <t>oemof__oemof-solph</t>
  </si>
  <si>
    <t>OffchainLabs__prysm-14687</t>
  </si>
  <si>
    <t>https://github.com/OffchainLabs/prysm/issues/14687</t>
  </si>
  <si>
    <t>https://drive.google.com/drive/folders/1z59W7nVr2kQEYUnyrZkx7GiTypeU_Lfa</t>
  </si>
  <si>
    <t>https://drive.google.com/drive/folders/13gy1A3V5wAQVeDuOwAqDGnW-RHgGNM-q</t>
  </si>
  <si>
    <t>OffchainLabs/prysm</t>
  </si>
  <si>
    <t>OffchainLabs__prysm</t>
  </si>
  <si>
    <t>okTurtles__group-income-2725</t>
  </si>
  <si>
    <t>https://github.com/okTurtles/group-income/issues/2725</t>
  </si>
  <si>
    <t>gs://swe-bench-plus/evaluations/019c24fa-2999-746b-a6fd-aa256611b73a-okTurtles__group-income-2725-swe-agent-claude-sonnet-4-20250514</t>
  </si>
  <si>
    <t>https://drive.google.com/drive/folders/14ZD3fC-RRJbIPCprruTxnmUBqip50exX</t>
  </si>
  <si>
    <t>okTurtles/group-income</t>
  </si>
  <si>
    <t>okTurtles__group-income</t>
  </si>
  <si>
    <t>OleksandrKvl__sbepp-105</t>
  </si>
  <si>
    <t>https://github.com/OleksandrKvl/sbepp/issues/105</t>
  </si>
  <si>
    <t>gs://swe-bench-plus/evaluations/019b6aa7-0380-771f-9e02-24cda0fe6639-OleksandrKvl__sbepp-105-swe-agent-claude-sonnet-4.5</t>
  </si>
  <si>
    <t>https://drive.google.com/drive/folders/1IXjYRKh5ZyldaoZPxs6clCbdsp9EPoRe</t>
  </si>
  <si>
    <t>OleksandrKvl/sbepp</t>
  </si>
  <si>
    <t>OleksandrKvl__sbepp</t>
  </si>
  <si>
    <t>ollama__ollama-10650</t>
  </si>
  <si>
    <t>https://github.com/ollama/ollama/issues/10650</t>
  </si>
  <si>
    <t>ai-ml;applications;devtools;infra-devops</t>
  </si>
  <si>
    <t>https://drive.google.com/drive/folders/1RcTWNq8CeN1UvzXZBGW6hUqw-1K0Lk36</t>
  </si>
  <si>
    <t>https://drive.google.com/drive/folders/1sgrqFvANFDD3J3wPmtANKpAxOO735lyT</t>
  </si>
  <si>
    <t>ollama/ollama</t>
  </si>
  <si>
    <t>ollama__ollama</t>
  </si>
  <si>
    <t>OlympiaAI__raix-27</t>
  </si>
  <si>
    <t>https://github.com/OlympiaAI/raix/issues/27</t>
  </si>
  <si>
    <t>gs://swe-bench-plus/evaluations/019b6aaf-1788-707e-b6dd-d4dc12d72279-OlympiaAI__raix-27-swe-agent-claude-sonnet-4.5</t>
  </si>
  <si>
    <t>https://drive.google.com/drive/folders/1JOdMK8iEtNrDB130AC_J52O1CxDB6qlp</t>
  </si>
  <si>
    <t>OlympiaAI/raix</t>
  </si>
  <si>
    <t>OlympiaAI__raix</t>
  </si>
  <si>
    <t>omar-dulaimi__prisma-zod-generator-303</t>
  </si>
  <si>
    <t>https://github.com/omar-dulaimi/prisma-zod-generator/issues/303</t>
  </si>
  <si>
    <t>gs://swe-bench-plus/evaluations/019b6ab1-4e74-7019-9e81-9c96e98a145d-omar-dulaimi__prisma-zod-generator-303-swe-agent-claude-sonnet-4.5</t>
  </si>
  <si>
    <t>https://drive.google.com/drive/folders/1PFsE8HckC8cwX0FHH5h3mrefDaMNKm2_</t>
  </si>
  <si>
    <t>omar-dulaimi/prisma-zod-generator</t>
  </si>
  <si>
    <t>omar-dulaimi__prisma-zod-generator</t>
  </si>
  <si>
    <t>omni-us__jsonargparse-758</t>
  </si>
  <si>
    <t>https://github.com/omni-us/jsonargparse/issues/758</t>
  </si>
  <si>
    <t>https://drive.google.com/drive/folders/1McgskAcRPfA0GggDdN6ped0LrcgolAVb</t>
  </si>
  <si>
    <t>https://drive.google.com/drive/folders/1uNEx9igJbSwLxyrG2aeYf5V62m2FDO6W</t>
  </si>
  <si>
    <t>omni-us/jsonargparse</t>
  </si>
  <si>
    <t>omni-us__jsonargparse</t>
  </si>
  <si>
    <t>omwn__omw-data-53</t>
  </si>
  <si>
    <t>https://github.com/omwn/omw-data/issues/53</t>
  </si>
  <si>
    <t>https://drive.google.com/drive/folders/1JO6RUYF_p91sjMS6xVNXVoJ-VvcwS6BW</t>
  </si>
  <si>
    <t>https://drive.google.com/drive/folders/1ZooF0Ws087ocGLnZa2hijKwPurlFLMO4</t>
  </si>
  <si>
    <t>omwn/omw-data</t>
  </si>
  <si>
    <t>omwn__omw-data</t>
  </si>
  <si>
    <t>onetimesecret__onetimesecret-1181</t>
  </si>
  <si>
    <t>https://github.com/onetimesecret/onetimesecret/issues/1181</t>
  </si>
  <si>
    <t>gs://swe-bench-plus/evaluations/019b6ab1-4e74-7019-9e81-9c96e98a145d-onetimesecret__onetimesecret-1181-swe-agent-claude-sonnet-4.5</t>
  </si>
  <si>
    <t>https://drive.google.com/drive/folders/1fZSsuSmIxUp5moBLc8Y_lFhZVEEJzI7z</t>
  </si>
  <si>
    <t>onetimesecret/onetimesecret</t>
  </si>
  <si>
    <t>onetimesecret__onetimesecret</t>
  </si>
  <si>
    <t>onetimesecret__onetimesecret-1087</t>
  </si>
  <si>
    <t>https://github.com/onetimesecret/onetimesecret/issues/1087</t>
  </si>
  <si>
    <t>feature;build-ci;dependency-update;refactor</t>
  </si>
  <si>
    <t>gs://swe-bench-plus/evaluations/019b6aaf-1788-707e-b6dd-d4dc12d72279-onetimesecret__onetimesecret-1087-swe-agent-claude-sonnet-4.5</t>
  </si>
  <si>
    <t>https://drive.google.com/drive/folders/1g7aGm02cLFnvlG692teKwpZWJXlji2b4</t>
  </si>
  <si>
    <t>Open-CMSIS-Pack__devtools-2064</t>
  </si>
  <si>
    <t>https://github.com/Open-CMSIS-Pack/devtools/issues/2064</t>
  </si>
  <si>
    <t>gs://swe-bench-plus/evaluations/019a8f51-4621-711a-ad6b-50abcd4c4d65-Open-CMSIS-Pack__devtools-2064-open-hands-claude-sonnet-4-20250514</t>
  </si>
  <si>
    <t>https://drive.google.com/drive/folders/1K2uBRW8kBDR9Pz7M8spvQ1eM1IONXIBc</t>
  </si>
  <si>
    <t>Open-CMSIS-Pack/devtools</t>
  </si>
  <si>
    <t>Open-CMSIS-Pack__devtools</t>
  </si>
  <si>
    <t>Open-CMSIS-Pack__devtools-1858</t>
  </si>
  <si>
    <t>https://github.com/Open-CMSIS-Pack/devtools/issues/1858</t>
  </si>
  <si>
    <t>devtools;autonomy</t>
  </si>
  <si>
    <t>gs://swe-bench-plus/evaluations/019a8f51-4621-711a-ad6b-50abcd4c4d65-Open-CMSIS-Pack__devtools-1858-open-hands-claude-sonnet-4-20250514</t>
  </si>
  <si>
    <t>https://drive.google.com/drive/folders/1VhtRs6kF4QepxpGAMXROYr6OHsotPq6h</t>
  </si>
  <si>
    <t>Open-CMSIS-Pack__devtools-1575</t>
  </si>
  <si>
    <t>https://github.com/Open-CMSIS-Pack/devtools/issues/1575</t>
  </si>
  <si>
    <t>gs://swe-bench-plus/evaluations/019b6aa7-0380-771f-9e02-24cda0fe6639-Open-CMSIS-Pack__devtools-1575-swe-agent-claude-sonnet-4.5</t>
  </si>
  <si>
    <t>https://drive.google.com/drive/folders/1GS-0TJoB-Sakdv-5N4dpGBGtStAnLbxq</t>
  </si>
  <si>
    <t>Open-CMSIS-Pack__devtools-1516</t>
  </si>
  <si>
    <t>https://github.com/Open-CMSIS-Pack/devtools/issues/1516</t>
  </si>
  <si>
    <t>https://drive.google.com/drive/folders/1119nTAsMulRwYtMk7tczKY0vlpKNPP7x</t>
  </si>
  <si>
    <t>Open-CMSIS-Pack__devtools-1194</t>
  </si>
  <si>
    <t>https://github.com/Open-CMSIS-Pack/devtools/issues/1194</t>
  </si>
  <si>
    <t>https://drive.google.com/drive/folders/1neGrs7h5Nc_JEbPC-Wej50LCOoEY8mpP</t>
  </si>
  <si>
    <t>Open-CMSIS-Pack__devtools-1408</t>
  </si>
  <si>
    <t>https://github.com/Open-CMSIS-Pack/devtools/issues/1408</t>
  </si>
  <si>
    <t>gs://swe-bench-plus/evaluations/019b6aa7-0380-771f-9e02-24cda0fe6639-Open-CMSIS-Pack__devtools-1408-swe-agent-claude-sonnet-4.5</t>
  </si>
  <si>
    <t>https://drive.google.com/drive/folders/1CpXtcA_wWG_BYywNUC7eg1_ifjsTvu0U</t>
  </si>
  <si>
    <t>open-feature__dotnet-sdk-459</t>
  </si>
  <si>
    <t>https://github.com/open-feature/dotnet-sdk/issues/459</t>
  </si>
  <si>
    <t>gs://swe-bench-plus/evaluations/019b6aa7-0380-771f-9e02-24cda0fe6639-open-feature__dotnet-sdk-459-swe-agent-claude-sonnet-4.5</t>
  </si>
  <si>
    <t>https://drive.google.com/drive/folders/1ywTzzm_MtclVyrPGc9RGOUglY3AK-99B</t>
  </si>
  <si>
    <t>open-feature/dotnet-sdk</t>
  </si>
  <si>
    <t>open-feature__dotnet-sdk</t>
  </si>
  <si>
    <t>open-feature__dotnet-sdk-335</t>
  </si>
  <si>
    <t>https://github.com/open-feature/dotnet-sdk/issues/335</t>
  </si>
  <si>
    <t>gs://swe-bench-plus/evaluations/019b6ab1-4e74-7019-9e81-9c96e98a145d-open-feature__dotnet-sdk-335-swe-agent-claude-sonnet-4.5</t>
  </si>
  <si>
    <t>https://drive.google.com/drive/folders/1lezwjC6BucFvVPBlaX7187UYzfi6_kN7</t>
  </si>
  <si>
    <t>open-telemetry__opentelemetry-collector-contrib-42752</t>
  </si>
  <si>
    <t>https://github.com/open-telemetry/opentelemetry-collector-contrib/issues/42752</t>
  </si>
  <si>
    <t>gs://swe-bench-plus/evaluations/019a9e4b-9519-731b-a75d-8cd6bc13b0c0-open-telemetry__opentelemetry-collector-contrib-42752-swe-agent-claude-sonnet-4-20250514</t>
  </si>
  <si>
    <t>https://drive.google.com/drive/folders/1Lo--ibMPxmF9H4E-3TfoKVjnCphReGCe</t>
  </si>
  <si>
    <t>open-telemetry/opentelemetry-collector-contrib</t>
  </si>
  <si>
    <t>open-telemetry__opentelemetry-collector-contrib</t>
  </si>
  <si>
    <t>open-telemetry__opentelemetry-cpp-3043</t>
  </si>
  <si>
    <t>https://github.com/open-telemetry/opentelemetry-cpp/issues/3043</t>
  </si>
  <si>
    <t>gs://swe-bench-plus/evaluations/019b6aa7-0380-771f-9e02-24cda0fe6639-open-telemetry__opentelemetry-cpp-3043-swe-agent-claude-sonnet-4.5</t>
  </si>
  <si>
    <t>https://drive.google.com/drive/folders/1bgsSf1dOma2On7jmFUgECFXSLxkk91Vs</t>
  </si>
  <si>
    <t>open-telemetry/opentelemetry-cpp</t>
  </si>
  <si>
    <t>open-telemetry__opentelemetry-cpp</t>
  </si>
  <si>
    <t>open-telemetry__opentelemetry-cpp-3410</t>
  </si>
  <si>
    <t>https://github.com/open-telemetry/opentelemetry-cpp/issues/3410</t>
  </si>
  <si>
    <t>gs://swe-bench-plus/evaluations/019a4b8c-31c8-72dd-b467-4464fdbe9308-open-telemetry__opentelemetry-cpp-3410-open-hands-claude-sonnet-4-20250514</t>
  </si>
  <si>
    <t>https://drive.google.com/drive/folders/1LU_EGGjGCT2O8MqAQ934LkFrLT6jBuh0</t>
  </si>
  <si>
    <t>open-telemetry__opentelemetry-cpp-3495</t>
  </si>
  <si>
    <t>https://github.com/open-telemetry/opentelemetry-cpp/issues/3495</t>
  </si>
  <si>
    <t>gs://swe-bench-plus/evaluations/019a4b8c-31c8-72dd-b467-4464fdbe9308-open-telemetry__opentelemetry-cpp-3495-open-hands-claude-sonnet-4-20250514</t>
  </si>
  <si>
    <t>https://drive.google.com/drive/folders/1m4Fetlzm_EkO93VWC9M5f00pRkZzs--0</t>
  </si>
  <si>
    <t>open-telemetry__opentelemetry-java-7266</t>
  </si>
  <si>
    <t>https://github.com/open-telemetry/opentelemetry-java/issues/7266</t>
  </si>
  <si>
    <t>gs://swe-bench-plus/evaluations/019c75f5-6b8c-7228-9f9c-93aa98fd3824-open-telemetry__opentelemetry-java-7266-swe-agent-claude-sonnet-4-20250514</t>
  </si>
  <si>
    <t>open-telemetry/opentelemetry-java</t>
  </si>
  <si>
    <t>open-telemetry__opentelemetry-java</t>
  </si>
  <si>
    <t>open-telemetry__opentelemetry-java-instrumentation-13709</t>
  </si>
  <si>
    <t>https://github.com/open-telemetry/opentelemetry-java-instrumentation/issues/13709</t>
  </si>
  <si>
    <t>https://drive.google.com/drive/folders/1GA-iKkbbHyKgtb7UU859WjBEVUtzqo-t</t>
  </si>
  <si>
    <t>https://drive.google.com/drive/folders/1oA5zcT6CTW07IABTjiU6WRzDFryZDypM</t>
  </si>
  <si>
    <t>open-telemetry/opentelemetry-java-instrumentation</t>
  </si>
  <si>
    <t>open-telemetry__opentelemetry-java-instrumentation</t>
  </si>
  <si>
    <t>open-telemetry__opentelemetry-js-5308</t>
  </si>
  <si>
    <t>https://github.com/open-telemetry/opentelemetry-js/issues/5308</t>
  </si>
  <si>
    <t>https://drive.google.com/drive/folders/1e6Dw18mB4kmoucMyPc4pLyhZSvTduLuv</t>
  </si>
  <si>
    <t>https://drive.google.com/drive/folders/1t2Pm8KLTfTUi3apMvwnJgAeSeluNceQK</t>
  </si>
  <si>
    <t>open-telemetry/opentelemetry-js</t>
  </si>
  <si>
    <t>open-telemetry__opentelemetry-js</t>
  </si>
  <si>
    <t>open-telemetry__opentelemetry-js-5928</t>
  </si>
  <si>
    <t>https://github.com/open-telemetry/opentelemetry-js/issues/5928</t>
  </si>
  <si>
    <t>gs://swe-bench-plus/evaluations/019a8500-4013-7108-bfc2-d19fc2de39e5-open-telemetry__opentelemetry-js-5928-swe-agent-claude-sonnet-4-20250514</t>
  </si>
  <si>
    <t>https://drive.google.com/drive/folders/1rCdWkEE_c_TcPQlcZEzrHgf3RmdXvu7T</t>
  </si>
  <si>
    <t>open-telemetry__opentelemetry-python-4342</t>
  </si>
  <si>
    <t>https://github.com/open-telemetry/opentelemetry-python/issues/4342</t>
  </si>
  <si>
    <t>https://drive.google.com/drive/folders/1-I_jxTJekkRuaWxmRRgzHvJHztNw-lTB</t>
  </si>
  <si>
    <t>https://drive.google.com/drive/folders/1-A09CeASrBWovlZmn1OMSAvduuEHsybk</t>
  </si>
  <si>
    <t>open-telemetry/opentelemetry-python</t>
  </si>
  <si>
    <t>open-telemetry__opentelemetry-python</t>
  </si>
  <si>
    <t>open-ug__conveyor-92</t>
  </si>
  <si>
    <t>https://github.com/open-ug/conveyor/issues/92</t>
  </si>
  <si>
    <t>gs://swe-bench-plus/evaluations/019b6ab1-4e74-7019-9e81-9c96e98a145d-open-ug__conveyor-92-swe-agent-claude-sonnet-4.5</t>
  </si>
  <si>
    <t>https://drive.google.com/drive/folders/1QyqrYIFsOE7YkoC6SlhAMfeVBjEyHZUw</t>
  </si>
  <si>
    <t>open-ug/conveyor</t>
  </si>
  <si>
    <t>open-ug__conveyor</t>
  </si>
  <si>
    <t>open5e__open5e-api-720</t>
  </si>
  <si>
    <t>https://github.com/open5e/open5e-api/issues/720</t>
  </si>
  <si>
    <t>https://drive.google.com/drive/folders/1jw7SpWUuwBLfOVNXt-bCUzPyaq08jxYW</t>
  </si>
  <si>
    <t>https://drive.google.com/drive/folders/1F-Towls5PdhgrEwsNOryTUqwXgAPdmbv</t>
  </si>
  <si>
    <t>open5e/open5e-api</t>
  </si>
  <si>
    <t>open5e__open5e-api</t>
  </si>
  <si>
    <t>open5e__open5e-api-614</t>
  </si>
  <si>
    <t>https://github.com/open5e/open5e-api/issues/614</t>
  </si>
  <si>
    <t>https://drive.google.com/drive/folders/1M1C7eRPbMIJlGtptB_nLMWcAWW5MtL3R</t>
  </si>
  <si>
    <t>https://drive.google.com/drive/folders/1LpLrcP_2cb42cR0dqivCqJflZKbVlnG9</t>
  </si>
  <si>
    <t>OpenAgentsInc__openagents-914</t>
  </si>
  <si>
    <t>https://github.com/OpenAgentsInc/openagents/issues/914</t>
  </si>
  <si>
    <t>blockchain;webdev;devtools</t>
  </si>
  <si>
    <t>gs://swe-bench-plus/evaluations/019b2143-6667-7740-abe4-83b7ea23e5a3-OpenAgentsInc__openagents-914-swe-agent-claude-sonnet-4-20250514</t>
  </si>
  <si>
    <t>OpenAgentsInc/openagents</t>
  </si>
  <si>
    <t>OpenAgentsInc__openagents</t>
  </si>
  <si>
    <t>openai__openai-agents-python-925</t>
  </si>
  <si>
    <t>https://github.com/openai/openai-agents-python/issues/925</t>
  </si>
  <si>
    <t>gs://swe-bench-plus/evaluations/019a8508-78a8-712a-b970-052ae053c3bc-openai__openai-agents-python-925-swe-agent-claude-sonnet-4-20250514</t>
  </si>
  <si>
    <t>https://drive.google.com/drive/folders/14WOjoOE1FT57i0rzYaiviytx6kg3cOJt</t>
  </si>
  <si>
    <t>openai/openai-agents-python</t>
  </si>
  <si>
    <t>openai__openai-agents-python</t>
  </si>
  <si>
    <t>OpenAssetIO__OpenAssetIO-1190</t>
  </si>
  <si>
    <t>https://github.com/OpenAssetIO/OpenAssetIO/issues/1190</t>
  </si>
  <si>
    <t>gs://swe-bench-plus/evaluations/019aa6db-bd20-74c7-9964-169f0da3a1c2-OpenAssetIO__OpenAssetIO-1190-open-hands-claude-sonnet-4-20250514</t>
  </si>
  <si>
    <t>https://drive.google.com/drive/folders/1lQrMmoahnT4ccWimEN0AF-fp6Adu4nee</t>
  </si>
  <si>
    <t>OpenAssetIO/OpenAssetIO</t>
  </si>
  <si>
    <t>OpenAssetIO__OpenAssetIO</t>
  </si>
  <si>
    <t>OpenBAS-Platform__openbas-2908</t>
  </si>
  <si>
    <t>https://github.com/OpenBAS-Platform/openbas/issues/2908</t>
  </si>
  <si>
    <t>gs://swe-bench-plus/evaluations/019b6aaf-1788-707e-b6dd-d4dc12d72279-OpenBAS-Platform__openbas-2908-swe-agent-claude-sonnet-4.5</t>
  </si>
  <si>
    <t>https://drive.google.com/drive/folders/1gjjTBrI_3yfYwwkDfu7EaBFBtgbIiLuT</t>
  </si>
  <si>
    <t>OpenBAS-Platform/openbas</t>
  </si>
  <si>
    <t>OpenBAS-Platform__openbas</t>
  </si>
  <si>
    <t>opencast__opencast-6640</t>
  </si>
  <si>
    <t>https://github.com/opencast/opencast/issues/6640</t>
  </si>
  <si>
    <t>performance;refactor;maintenance</t>
  </si>
  <si>
    <t>gs://swe-bench-plus/evaluations/019b6ab1-4e74-7019-9e81-9c96e98a145d-opencast__opencast-6640-swe-agent-claude-sonnet-4.5</t>
  </si>
  <si>
    <t>https://drive.google.com/drive/folders/1YVwCyug3j6-TdDFzg-GZgE61FuIrlraL</t>
  </si>
  <si>
    <t>opencast/opencast</t>
  </si>
  <si>
    <t>opencast__opencast</t>
  </si>
  <si>
    <t>opendataloader-project__opendataloader-pdf-145</t>
  </si>
  <si>
    <t>https://github.com/opendataloader-project/opendataloader-pdf/issues/145</t>
  </si>
  <si>
    <t>data-eng;ai-ml;graphics-media;devtools</t>
  </si>
  <si>
    <t>gs://swe-bench-plus/evaluations/019c2527-4e2e-77ee-bb46-1b5af2881d6d-opendataloader-project__opendataloader-pdf-145-swe-agent-claude-sonnet-4-20250514</t>
  </si>
  <si>
    <t>https://drive.google.com/drive/folders/1GLSc1ioSZbKl5LyQEcuvucNeiz45qtkm</t>
  </si>
  <si>
    <t>opendataloader-project/opendataloader-pdf</t>
  </si>
  <si>
    <t>opendataloader-project__opendataloader-pdf</t>
  </si>
  <si>
    <t>openfoodfacts__robotoff-1760</t>
  </si>
  <si>
    <t>https://github.com/openfoodfacts/robotoff/issues/1760</t>
  </si>
  <si>
    <t>applications;ai-ml;data-eng</t>
  </si>
  <si>
    <t>dependency-update;feature;refactor</t>
  </si>
  <si>
    <t>https://drive.google.com/drive/folders/1GMc_uz7rpgQ6-H8tb2Yd6gYvhUlCT761</t>
  </si>
  <si>
    <t>https://drive.google.com/drive/folders/1Uz1Xj2YjgLX4SLHlPZ2AKJgKGRJNSsc-</t>
  </si>
  <si>
    <t>openfoodfacts/robotoff</t>
  </si>
  <si>
    <t>openfoodfacts__robotoff</t>
  </si>
  <si>
    <t>openfoodfoundation__openfoodnetwork-13255</t>
  </si>
  <si>
    <t>https://github.com/openfoodfoundation/openfoodnetwork/issues/13255</t>
  </si>
  <si>
    <t>gs://swe-bench-plus/evaluations/019b6aa7-0380-771f-9e02-24cda0fe6639-openfoodfoundation__openfoodnetwork-13255-swe-agent-claude-sonnet-4.5</t>
  </si>
  <si>
    <t>https://drive.google.com/drive/folders/1SQu9ldPclC7YApmNKTpQFDljrFK3g5XW</t>
  </si>
  <si>
    <t>openfoodfoundation/openfoodnetwork</t>
  </si>
  <si>
    <t>openfoodfoundation__openfoodnetwork</t>
  </si>
  <si>
    <t>openkruise__kruise-1873</t>
  </si>
  <si>
    <t>https://github.com/openkruise/kruise/issues/1873</t>
  </si>
  <si>
    <t>https://drive.google.com/drive/folders/1xZwFrImta3kcEi2XB5yUvKf3EpsgInIH</t>
  </si>
  <si>
    <t>https://drive.google.com/drive/folders/1Qn0YQ5qbS3_L7j6FeNYOFd0Uw3vXLx85</t>
  </si>
  <si>
    <t>openkruise/kruise</t>
  </si>
  <si>
    <t>openkruise__kruise</t>
  </si>
  <si>
    <t>OpenLiberty__open-liberty-30513</t>
  </si>
  <si>
    <t>https://github.com/OpenLiberty/open-liberty/issues/30513</t>
  </si>
  <si>
    <t>gs://swe-bench-plus/evaluations/019c63b0-5201-7257-9916-f49303cabd22-OpenLiberty__open-liberty-30513-swe-agent-claude-sonnet-4.5</t>
  </si>
  <si>
    <t>https://drive.google.com/drive/folders/1OJ4pUoY6SeonRCMwYEIK0r5MiPZGHzqH</t>
  </si>
  <si>
    <t>OpenLiberty/open-liberty</t>
  </si>
  <si>
    <t>OpenLiberty__open-liberty</t>
  </si>
  <si>
    <t>OpenLiberty__open-liberty-33511</t>
  </si>
  <si>
    <t>https://github.com/OpenLiberty/open-liberty/issues/33511</t>
  </si>
  <si>
    <t>gs://swe-bench-plus/evaluations/019c2527-4e2e-77ee-bb46-1b5af2881d6d-OpenLiberty__open-liberty-33511-swe-agent-claude-sonnet-4-20250514</t>
  </si>
  <si>
    <t>https://drive.google.com/drive/folders/1_daceX2DfTDhbmpvloPKH1odwB8mlfCJ</t>
  </si>
  <si>
    <t>OpenMDAO__dymos-1147</t>
  </si>
  <si>
    <t>https://github.com/OpenMDAO/dymos/issues/1147</t>
  </si>
  <si>
    <t>https://drive.google.com/drive/folders/1zAGP8i6FQWWk6sS0JsT-UKwFjrNCzqSR</t>
  </si>
  <si>
    <t>OpenMDAO/dymos</t>
  </si>
  <si>
    <t>OpenMDAO__dymos</t>
  </si>
  <si>
    <t>OpenMDAO__OpenMDAO-3608</t>
  </si>
  <si>
    <t>https://github.com/OpenMDAO/OpenMDAO/issues/3608</t>
  </si>
  <si>
    <t>https://drive.google.com/drive/folders/1NVvGFGNK3jofZchNWjObH8EKDY9vusJy</t>
  </si>
  <si>
    <t>https://drive.google.com/drive/folders/1uD0u0M4rxjTunucU6e1aI7gJe57x0ycz</t>
  </si>
  <si>
    <t>OpenMDAO/OpenMDAO</t>
  </si>
  <si>
    <t>OpenMDAO__OpenMDAO</t>
  </si>
  <si>
    <t>openmm__openmm-4732</t>
  </si>
  <si>
    <t>https://github.com/openmm/openmm/issues/4732</t>
  </si>
  <si>
    <t>https://drive.google.com/drive/folders/1_0Vz1nw1UcrV4AnfFIx-EFgVfPnfmVjL</t>
  </si>
  <si>
    <t>https://drive.google.com/drive/folders/1XCrf4WOabZL7gMCsQecjDaF0Kgs3gZ0z</t>
  </si>
  <si>
    <t>openmm/openmm</t>
  </si>
  <si>
    <t>openmm__openmm</t>
  </si>
  <si>
    <t>openmm__openmm-4348</t>
  </si>
  <si>
    <t>https://github.com/openmm/openmm/issues/4348</t>
  </si>
  <si>
    <t>gs://swe-bench-plus/evaluations/019b6aaf-1788-707e-b6dd-d4dc12d72279-openmm__openmm-4348-swe-agent-claude-sonnet-4.5</t>
  </si>
  <si>
    <t>https://drive.google.com/drive/folders/1RMyTbjXnW8wZDv2oSnopZKYJOvs16y2i</t>
  </si>
  <si>
    <t>openPMD__openPMD-api-1737</t>
  </si>
  <si>
    <t>https://github.com/openPMD/openPMD-api/issues/1737</t>
  </si>
  <si>
    <t>gs://swe-bench-plus/evaluations/019b6aa7-0380-771f-9e02-24cda0fe6639-openPMD__openPMD-api-1737-swe-agent-claude-sonnet-4.5</t>
  </si>
  <si>
    <t>https://drive.google.com/drive/folders/17aS6cCStgcsmyhn36UCb2M9maTZ0TFoW</t>
  </si>
  <si>
    <t>openPMD/openPMD-api</t>
  </si>
  <si>
    <t>openPMD__openPMD-api</t>
  </si>
  <si>
    <t>openpubkey__openpubkey-220</t>
  </si>
  <si>
    <t>https://github.com/openpubkey/openpubkey/issues/220</t>
  </si>
  <si>
    <t>gs://swe-bench-plus/evaluations/019b6aa7-0380-771f-9e02-24cda0fe6639-openpubkey__openpubkey-220-swe-agent-claude-sonnet-4.5</t>
  </si>
  <si>
    <t>https://drive.google.com/drive/folders/1UrQeYUPnUPvTVWHCJQaOybANNCGgwb2V</t>
  </si>
  <si>
    <t>openpubkey/openpubkey</t>
  </si>
  <si>
    <t>openpubkey__openpubkey</t>
  </si>
  <si>
    <t>openpubkey__opkssh-68</t>
  </si>
  <si>
    <t>https://github.com/openpubkey/opkssh/issues/68</t>
  </si>
  <si>
    <t>gs://swe-bench-plus/evaluations/019b6ab1-4e74-7019-9e81-9c96e98a145d-openpubkey__opkssh-68-swe-agent-claude-sonnet-4.5</t>
  </si>
  <si>
    <t>https://drive.google.com/drive/folders/1Qi8fieQy_vpb9z2RJ_VG_9x7yv0kM8kj</t>
  </si>
  <si>
    <t>openpubkey/opkssh</t>
  </si>
  <si>
    <t>openpubkey__opkssh</t>
  </si>
  <si>
    <t>openpubkey__opkssh-181</t>
  </si>
  <si>
    <t>https://github.com/openpubkey/opkssh/issues/181</t>
  </si>
  <si>
    <t>gs://swe-bench-plus/evaluations/019b6ab1-4e74-7019-9e81-9c96e98a145d-openpubkey__opkssh-181-swe-agent-claude-sonnet-4.5</t>
  </si>
  <si>
    <t>https://drive.google.com/drive/folders/1mSx4H3jLiGm-F1vwTyKCWMS5zqtd7DeX</t>
  </si>
  <si>
    <t>opensafely-core__opencodelists-2578</t>
  </si>
  <si>
    <t>https://github.com/opensafely-core/opencodelists/issues/2578</t>
  </si>
  <si>
    <t>https://drive.google.com/drive/folders/1jVsncsXiQ-AIwNRjN81GVLaae3A_gR7l</t>
  </si>
  <si>
    <t>https://drive.google.com/drive/folders/1krzBC4MdCpTiSD0cXFK59dL5pgH7BYyX</t>
  </si>
  <si>
    <t>opensafely-core/opencodelists</t>
  </si>
  <si>
    <t>opensafely-core__opencodelists</t>
  </si>
  <si>
    <t>opensearch-project__data-prepper-6148</t>
  </si>
  <si>
    <t>https://github.com/opensearch-project/data-prepper/issues/6148</t>
  </si>
  <si>
    <t>gs://swe-bench-plus/evaluations/019b6aaf-1788-707e-b6dd-d4dc12d72279-opensearch-project__data-prepper-6148-swe-agent-claude-sonnet-4.5</t>
  </si>
  <si>
    <t>https://drive.google.com/drive/folders/1HgD9KMcm31jd8VnNQbYlPXQkJmm45zD8</t>
  </si>
  <si>
    <t>opensearch-project/data-prepper</t>
  </si>
  <si>
    <t>opensearch-project__data-prepper</t>
  </si>
  <si>
    <t>opensearch-project__data-prepper-5354</t>
  </si>
  <si>
    <t>https://github.com/opensearch-project/data-prepper/issues/5354</t>
  </si>
  <si>
    <t>feature;performance;test</t>
  </si>
  <si>
    <t>gs://swe-bench-plus/evaluations/019b6aaf-1788-707e-b6dd-d4dc12d72279-opensearch-project__data-prepper-5354-swe-agent-claude-sonnet-4.5</t>
  </si>
  <si>
    <t>https://drive.google.com/drive/folders/1iwVhd7Z7oANQxwQgod5Q8-zBsRk9icY2</t>
  </si>
  <si>
    <t>opensearch-project__data-prepper-6182</t>
  </si>
  <si>
    <t>https://github.com/opensearch-project/data-prepper/issues/6182</t>
  </si>
  <si>
    <t>gs://swe-bench-plus/evaluations/019b6ab1-4e74-7019-9e81-9c96e98a145d-opensearch-project__data-prepper-6182-swe-agent-claude-sonnet-4.5</t>
  </si>
  <si>
    <t>https://drive.google.com/drive/folders/1Utvd43gphLmjPhjJn8bvqQpHjDzknZ6i</t>
  </si>
  <si>
    <t>opensearch-project__data-prepper-5994</t>
  </si>
  <si>
    <t>https://github.com/opensearch-project/data-prepper/issues/5994</t>
  </si>
  <si>
    <t>gs://swe-bench-plus/evaluations/019b6ab1-4e74-7019-9e81-9c96e98a145d-opensearch-project__data-prepper-5994-swe-agent-claude-sonnet-4.5</t>
  </si>
  <si>
    <t>https://drive.google.com/drive/folders/1yePWgs3OXeTLUghRj5Lo56AcNMviY4K3</t>
  </si>
  <si>
    <t>opensearch-project__data-prepper-6415</t>
  </si>
  <si>
    <t>https://github.com/opensearch-project/data-prepper/issues/6415</t>
  </si>
  <si>
    <t>gs://swe-bench-plus/evaluations/019c39f2-198a-7148-b5b8-b8ba5f4e060f-opensearch-project__data-prepper-6415-swe-agent-claude-sonnet-4.5</t>
  </si>
  <si>
    <t>https://drive.google.com/drive/folders/1lBQAIxuXtdz6DgSJ0TT7YydNovFU2hCn</t>
  </si>
  <si>
    <t>opensearch-project__data-prepper-6273</t>
  </si>
  <si>
    <t>https://github.com/opensearch-project/data-prepper/issues/6273</t>
  </si>
  <si>
    <t>gs://swe-bench-plus/evaluations/019c63b0-5201-7257-9916-f49303cabd22-opensearch-project__data-prepper-6273-swe-agent-claude-sonnet-4.5</t>
  </si>
  <si>
    <t>https://drive.google.com/drive/folders/1gJSt2QGOuiqasKgcYznLK8PrsgQXdY9p</t>
  </si>
  <si>
    <t>opensearch-project__OpenSearch-17055</t>
  </si>
  <si>
    <t>https://github.com/opensearch-project/OpenSearch/issues/17055</t>
  </si>
  <si>
    <t>gs://swe-bench-plus/evaluations/019c75f5-6b8c-7228-9f9c-93aa98fd3824-opensearch-project__OpenSearch-17055-swe-agent-claude-sonnet-4-20250514</t>
  </si>
  <si>
    <t>opensearch-project/OpenSearch</t>
  </si>
  <si>
    <t>opensearch-project__OpenSearch</t>
  </si>
  <si>
    <t>opensearch-project__OpenSearch-17741</t>
  </si>
  <si>
    <t>https://github.com/opensearch-project/OpenSearch/issues/17741</t>
  </si>
  <si>
    <t>applications;infra-devops;data-eng</t>
  </si>
  <si>
    <t>gs://swe-bench-plus/evaluations/019c39f2-198a-7148-b5b8-b8ba5f4e060f-opensearch-project__OpenSearch-17741-swe-agent-claude-sonnet-4-20250514</t>
  </si>
  <si>
    <t>opensearch-project__opensearch-mcp-server-py-68</t>
  </si>
  <si>
    <t>https://github.com/opensearch-project/opensearch-mcp-server-py/issues/68</t>
  </si>
  <si>
    <t>https://drive.google.com/drive/folders/14JZGY-iWkf39xAL8or76bkpPQm6W3a7c</t>
  </si>
  <si>
    <t>https://drive.google.com/drive/folders/1MAE1LCzMWUrnG_LzPPcLZYejmtkApIL9</t>
  </si>
  <si>
    <t>opensearch-project/opensearch-mcp-server-py</t>
  </si>
  <si>
    <t>opensearch-project__opensearch-mcp-server-py</t>
  </si>
  <si>
    <t>opensearch-project__sql-4010</t>
  </si>
  <si>
    <t>https://github.com/opensearch-project/sql/issues/4010</t>
  </si>
  <si>
    <t>https://drive.google.com/drive/folders/156O52JIKPZAvpo5sP6Ogy7XnpTIVMy6u</t>
  </si>
  <si>
    <t>opensearch-project/sql</t>
  </si>
  <si>
    <t>opensearch-project__sql</t>
  </si>
  <si>
    <t>openshift-pipelines__pipelines-as-code-2095</t>
  </si>
  <si>
    <t>https://github.com/openshift-pipelines/pipelines-as-code/issues/2095</t>
  </si>
  <si>
    <t>gs://swe-bench-plus/evaluations/019b6aaf-1788-707e-b6dd-d4dc12d72279-openshift-pipelines__pipelines-as-code-2095-swe-agent-claude-sonnet-4.5</t>
  </si>
  <si>
    <t>https://drive.google.com/drive/folders/1BSn3BJ4wrT8ADbRm4hVl7jLbsSApVo2j</t>
  </si>
  <si>
    <t>openshift-pipelines/pipelines-as-code</t>
  </si>
  <si>
    <t>openshift-pipelines__pipelines-as-code</t>
  </si>
  <si>
    <t>openstack-exporter__openstack-exporter-378</t>
  </si>
  <si>
    <t>https://github.com/openstack-exporter/openstack-exporter/issues/378</t>
  </si>
  <si>
    <t>gs://swe-bench-plus/evaluations/019b6ab1-4e74-7019-9e81-9c96e98a145d-openstack-exporter__openstack-exporter-378-swe-agent-claude-sonnet-4.5</t>
  </si>
  <si>
    <t>https://drive.google.com/drive/folders/1NTIuEiSQ_9QhpqrILTlRVQgMZ8NwL1yi</t>
  </si>
  <si>
    <t>openstack-exporter/openstack-exporter</t>
  </si>
  <si>
    <t>openstack-exporter__openstack-exporter</t>
  </si>
  <si>
    <t>openstenoproject__plover-1400</t>
  </si>
  <si>
    <t>https://github.com/openstenoproject/plover/issues/1400</t>
  </si>
  <si>
    <t>https://drive.google.com/drive/folders/1ZYU8Mgth_igxOjE2-6_lkn_lnfLE3J_y</t>
  </si>
  <si>
    <t>https://drive.google.com/drive/folders/1vY7C8v2FSrDjA6oEE96vNmKCNH5gZNuB</t>
  </si>
  <si>
    <t>openstenoproject/plover</t>
  </si>
  <si>
    <t>openstenoproject__plover</t>
  </si>
  <si>
    <t>opentofu__opentofu-3009</t>
  </si>
  <si>
    <t>https://github.com/opentofu/opentofu/issues/3009</t>
  </si>
  <si>
    <t>https://drive.google.com/drive/folders/10vVBAhPvN15jN1pD2fdAID0CRBOSG6Zc</t>
  </si>
  <si>
    <t>https://drive.google.com/drive/folders/15xwbhWKstB_BP1kkfFdoN6fCTA7BLg-K</t>
  </si>
  <si>
    <t>opentofu/opentofu</t>
  </si>
  <si>
    <t>opentofu__opentofu</t>
  </si>
  <si>
    <t>opentofu__opentofu-3038</t>
  </si>
  <si>
    <t>https://github.com/opentofu/opentofu/issues/3038</t>
  </si>
  <si>
    <t>gs://swe-bench-plus/evaluations/019a9c4e-0063-727d-8204-48136c489e61-opentofu__opentofu-3038-swe-agent-claude-sonnet-4-20250514</t>
  </si>
  <si>
    <t>https://drive.google.com/drive/folders/1hNVyyDZ36SaScDNkDu8ySfQuSZaQIWMf</t>
  </si>
  <si>
    <t>opentripplanner__OpenTripPlanner-7098</t>
  </si>
  <si>
    <t>https://github.com/opentripplanner/OpenTripPlanner/issues/7098</t>
  </si>
  <si>
    <t>gs://swe-bench-plus/evaluations/019b3c26-16fe-7517-9031-f89dfd2f980c-opentripplanner__OpenTripPlanner-7098-swe-agent-claude-sonnet-4-20250514</t>
  </si>
  <si>
    <t>https://drive.google.com/drive/folders/1KfLLxJ_eYpiFXDkBmqNgm8XUrjTn5NPE</t>
  </si>
  <si>
    <t>opentripplanner/OpenTripPlanner</t>
  </si>
  <si>
    <t>opentripplanner__OpenTripPlanner</t>
  </si>
  <si>
    <t>opentripplanner__OpenTripPlanner-7126</t>
  </si>
  <si>
    <t>https://github.com/opentripplanner/OpenTripPlanner/issues/7126</t>
  </si>
  <si>
    <t>applications;data-eng;webdev</t>
  </si>
  <si>
    <t>gs://swe-bench-plus/evaluations/019c63b0-5201-7257-9916-f49303cabd22-opentripplanner__OpenTripPlanner-7126-swe-agent-claude-sonnet-4-20250514</t>
  </si>
  <si>
    <t>https://drive.google.com/drive/folders/19jH8yPyh4K9P2ZTlSdnL5MXxVbcxbict</t>
  </si>
  <si>
    <t>openwallet-foundation__acapy-3173</t>
  </si>
  <si>
    <t>https://github.com/openwallet-foundation/acapy/issues/3173</t>
  </si>
  <si>
    <t>blockchain;security;applications</t>
  </si>
  <si>
    <t>https://drive.google.com/drive/folders/1zxbPZavw0Er0eKEYW3fHbs-Vm4AxNMVj</t>
  </si>
  <si>
    <t>https://drive.google.com/drive/folders/1oSLjCZ-6I8W9swbvel5Jej7GdFWej3zs</t>
  </si>
  <si>
    <t>openwallet-foundation/acapy</t>
  </si>
  <si>
    <t>openwallet-foundation__acapy</t>
  </si>
  <si>
    <t>openwallet-foundation__acapy-vc-authn-oidc-675</t>
  </si>
  <si>
    <t>https://github.com/openwallet-foundation/acapy-vc-authn-oidc/issues/675</t>
  </si>
  <si>
    <t>https://drive.google.com/drive/folders/1ENMzGoBRM04L6u2m16wkJkGkq16wKdHp</t>
  </si>
  <si>
    <t>https://drive.google.com/drive/folders/1YmAVap-jGq49SCm9dojzXP3pWwdGonXz</t>
  </si>
  <si>
    <t>openwallet-foundation/acapy-vc-authn-oidc</t>
  </si>
  <si>
    <t>openwallet-foundation__acapy-vc-authn-oidc</t>
  </si>
  <si>
    <t>openwisp__netjsonconfig-319</t>
  </si>
  <si>
    <t>https://github.com/openwisp/netjsonconfig/issues/319</t>
  </si>
  <si>
    <t>gs://swe-bench-plus/evaluations/019a6f31-5865-7528-b3d7-dd9431bd3aac-openwisp__netjsonconfig-319-swe-agent-claude-sonnet-4.5</t>
  </si>
  <si>
    <t>https://drive.google.com/drive/folders/1r9U3tGw27CK_G55VJDrSSEIsQbHCw2lZ</t>
  </si>
  <si>
    <t>openwisp/netjsonconfig</t>
  </si>
  <si>
    <t>openwisp__netjsonconfig</t>
  </si>
  <si>
    <t>openwisp__netjsonconfig-261</t>
  </si>
  <si>
    <t>https://github.com/openwisp/netjsonconfig/issues/261</t>
  </si>
  <si>
    <t>infra-devops;autonomy</t>
  </si>
  <si>
    <t>https://drive.google.com/drive/folders/1Ct8JavYxu1v8cyojMUkS8YXtWOxmEWpg</t>
  </si>
  <si>
    <t>https://drive.google.com/drive/folders/1ulHx43l8Y8W2dZgUdyuk9Yasxvjij_xO</t>
  </si>
  <si>
    <t>openyurtio__openyurt</t>
  </si>
  <si>
    <t>openyurtio__openyurt-2307</t>
  </si>
  <si>
    <t>https://github.com/openyurtio/openyurt/issues/2307</t>
  </si>
  <si>
    <t>gs://swe-bench-plus/evaluations/019b6aaf-1788-707e-b6dd-d4dc12d72279-openyurtio__openyurt-2307-swe-agent-claude-sonnet-4.5</t>
  </si>
  <si>
    <t>https://drive.google.com/drive/folders/1_ig-aWtWum2UmD3GUEOqta-HtIvCEJTT</t>
  </si>
  <si>
    <t>OpenZeppelin__stellar-contracts-124</t>
  </si>
  <si>
    <t>https://github.com/OpenZeppelin/stellar-contracts/issues/124</t>
  </si>
  <si>
    <t>gs://swe-bench-plus/evaluations/019b6ab1-4e74-7019-9e81-9c96e98a145d-OpenZeppelin__stellar-contracts-124-swe-agent-claude-sonnet-4.5</t>
  </si>
  <si>
    <t>https://drive.google.com/drive/folders/1QW0fKceJdWYarDyeF3hLMkU4mJiy-Dtl</t>
  </si>
  <si>
    <t>OpenZeppelin/stellar-contracts</t>
  </si>
  <si>
    <t>OpenZeppelin__stellar-contracts</t>
  </si>
  <si>
    <t>OpenZeppelin__stellar-contracts-214</t>
  </si>
  <si>
    <t>https://github.com/OpenZeppelin/stellar-contracts/issues/214</t>
  </si>
  <si>
    <t>gs://swe-bench-plus/evaluations/019b6aaf-1788-707e-b6dd-d4dc12d72279-OpenZeppelin__stellar-contracts-214-swe-agent-claude-sonnet-4.5</t>
  </si>
  <si>
    <t>https://drive.google.com/drive/folders/1IFY0Cdx9qskh51eJUpIkfX9YLUdNHr3B</t>
  </si>
  <si>
    <t>OpenZeppelin__stellar-contracts-228</t>
  </si>
  <si>
    <t>https://github.com/OpenZeppelin/stellar-contracts/issues/228</t>
  </si>
  <si>
    <t>gs://swe-bench-plus/evaluations/019b6aaf-1788-707e-b6dd-d4dc12d72279-OpenZeppelin__stellar-contracts-228-swe-agent-claude-sonnet-4.5</t>
  </si>
  <si>
    <t>https://drive.google.com/drive/folders/1h4jAK0Pro9SU4ckTJkidJ_t1M2vKCBnT</t>
  </si>
  <si>
    <t>openzim__libzim-997</t>
  </si>
  <si>
    <t>https://github.com/openzim/libzim/issues/997</t>
  </si>
  <si>
    <t>gs://swe-bench-plus/evaluations/019a3a6a-dc7a-71e0-ac71-cf2e27fa7b89-openzim__libzim-997-open-hands-claude-sonnet-4-20250514</t>
  </si>
  <si>
    <t>https://drive.google.com/drive/folders/1XubQvjNCoTIJe4nrNQw9Uq0w-jw15jeg</t>
  </si>
  <si>
    <t>openzim/libzim</t>
  </si>
  <si>
    <t>openzim__libzim</t>
  </si>
  <si>
    <t>oras-project__oras-go-933</t>
  </si>
  <si>
    <t>https://github.com/oras-project/oras-go/issues/933</t>
  </si>
  <si>
    <t>gs://swe-bench-plus/evaluations/019b6ab1-4e74-7019-9e81-9c96e98a145d-oras-project__oras-go-933-swe-agent-claude-sonnet-4.5</t>
  </si>
  <si>
    <t>https://drive.google.com/drive/folders/1UEOSnYJjF_PNkxu0By-7vWsT1dRA4AAO</t>
  </si>
  <si>
    <t>oras-project/oras-go</t>
  </si>
  <si>
    <t>oras-project__oras-go</t>
  </si>
  <si>
    <t>ORNL__ReSolve-350</t>
  </si>
  <si>
    <t>https://github.com/ORNL/ReSolve/issues/350</t>
  </si>
  <si>
    <t>gs://swe-bench-plus/evaluations/0199cfc6-9d66-747f-bc1f-a03d29818092-ORNL__ReSolve-350-open-hands-claude-sonnet-4-20250514</t>
  </si>
  <si>
    <t>https://drive.google.com/drive/folders/1ZyHBgIhT51z-HJv1wWKmAmCqfOmqZvJa</t>
  </si>
  <si>
    <t>ORNL/ReSolve</t>
  </si>
  <si>
    <t>ORNL__ReSolve</t>
  </si>
  <si>
    <t>OSGeo__gdal-13009</t>
  </si>
  <si>
    <t>https://github.com/OSGeo/gdal/issues/13009</t>
  </si>
  <si>
    <t>gs://swe-bench-plus/evaluations/019aa43f-155b-7788-8163-de539d9661dc-OSGeo__gdal-13009-swe-agent-claude-sonnet-4-20250514</t>
  </si>
  <si>
    <t>https://drive.google.com/drive/folders/1IkXmyb8cf7Su4l5jQhXguO87mCflu3xu</t>
  </si>
  <si>
    <t>OSGeo/gdal</t>
  </si>
  <si>
    <t>OSGeo__gdal</t>
  </si>
  <si>
    <t>OSGeo__gdal-11985</t>
  </si>
  <si>
    <t>https://github.com/OSGeo/gdal/issues/11985</t>
  </si>
  <si>
    <t>https://drive.google.com/drive/folders/1J2r2fhSudh0uI4GyZdFWN9tk8FRVtGFW</t>
  </si>
  <si>
    <t>https://drive.google.com/drive/folders/1_cVkJsR66ju2Iv8hDYtP9Nh0t0J8UiDu</t>
  </si>
  <si>
    <t>OSGeo__PROJ-4144</t>
  </si>
  <si>
    <t>https://github.com/OSGeo/PROJ/issues/4144</t>
  </si>
  <si>
    <t>gs://swe-bench-plus/evaluations/019b6aa7-0380-771f-9e02-24cda0fe6639-OSGeo__PROJ-4144-swe-agent-claude-sonnet-4.5</t>
  </si>
  <si>
    <t>https://drive.google.com/drive/folders/1h5rh9cERk7HgcwEcTOeb7JKw3nCr9IwM</t>
  </si>
  <si>
    <t>OSGeo/PROJ</t>
  </si>
  <si>
    <t>OSGeo__PROJ</t>
  </si>
  <si>
    <t>oslllo__svg-fixer-122</t>
  </si>
  <si>
    <t>https://github.com/oslllo/svg-fixer/issues/122</t>
  </si>
  <si>
    <t>gs://swe-bench-plus/evaluations/019c24f4-30e3-70ea-b7f0-117807b87851-oslllo__svg-fixer-122-swe-agent-claude-sonnet-4.5</t>
  </si>
  <si>
    <t>https://drive.google.com/drive/folders/1O-DlcGT68TUulHYYpN8H3Xmcy_oKAN1P</t>
  </si>
  <si>
    <t>oslllo/svg-fixer</t>
  </si>
  <si>
    <t>oslllo__svg-fixer</t>
  </si>
  <si>
    <t>ossf__scorecard-4423</t>
  </si>
  <si>
    <t>https://github.com/ossf/scorecard/issues/4423</t>
  </si>
  <si>
    <t>https://drive.google.com/drive/folders/1vQgRrVQHi5l6du2sCdbJZrCf0t_jk0B3</t>
  </si>
  <si>
    <t>https://drive.google.com/drive/folders/1SV9a2aCC72s_9wWQfQC5wl-_X-qYYnjG</t>
  </si>
  <si>
    <t>ossf/scorecard</t>
  </si>
  <si>
    <t>ossf__scorecard</t>
  </si>
  <si>
    <t>ossrs__srs-4598</t>
  </si>
  <si>
    <t>https://github.com/ossrs/srs/issues/4598</t>
  </si>
  <si>
    <t>gs://swe-bench-plus/evaluations/019b06b8-5347-7669-9f51-4e4681f5c848-ossrs__srs-4598-swe-agent-claude-sonnet-4.5</t>
  </si>
  <si>
    <t>https://drive.google.com/drive/folders/1e7DfLar-kwmaTFGyoNBjxbqr5Kq85gzY</t>
  </si>
  <si>
    <t>ossrs/srs</t>
  </si>
  <si>
    <t>ossrs__srs</t>
  </si>
  <si>
    <t>Oudwins__zog-172</t>
  </si>
  <si>
    <t>https://github.com/Oudwins/zog/issues/172</t>
  </si>
  <si>
    <t>gs://swe-bench-plus/evaluations/019b6aaf-1788-707e-b6dd-d4dc12d72279-Oudwins__zog-172-swe-agent-claude-sonnet-4.5</t>
  </si>
  <si>
    <t>https://drive.google.com/drive/folders/1IbuhyoYBimfFdLq3maiyBQJFwkUyh9Is</t>
  </si>
  <si>
    <t>Oudwins/zog</t>
  </si>
  <si>
    <t>Oudwins__zog</t>
  </si>
  <si>
    <t>oumi-ai__oumi-1678</t>
  </si>
  <si>
    <t>https://github.com/oumi-ai/oumi/issues/1678</t>
  </si>
  <si>
    <t>https://drive.google.com/drive/folders/1ffJYdsY8fd4P1rbVlj16h-UcuFjbz3iv</t>
  </si>
  <si>
    <t>https://drive.google.com/drive/folders/1XUpBSBVMAmEo_kR-eS3Yw92WNA7-O1NK</t>
  </si>
  <si>
    <t>oumi-ai/oumi</t>
  </si>
  <si>
    <t>oumi-ai__oumi</t>
  </si>
  <si>
    <t>Ouranosinc__xclim-2190</t>
  </si>
  <si>
    <t>https://github.com/Ouranosinc/xclim/issues/2190</t>
  </si>
  <si>
    <t>https://drive.google.com/drive/folders/1fPgjY3vZFfn2T8-h64Tjq_PArASomheP</t>
  </si>
  <si>
    <t>Ouranosinc/xclim</t>
  </si>
  <si>
    <t>Ouranosinc__xclim</t>
  </si>
  <si>
    <t>refactor;documentation;dependency-update</t>
  </si>
  <si>
    <t>ovechkin-dm__mockio</t>
  </si>
  <si>
    <t>ovn-kubernetes__libovsdb-399</t>
  </si>
  <si>
    <t>https://github.com/ovn-kubernetes/libovsdb/issues/399</t>
  </si>
  <si>
    <t>gs://swe-bench-plus/evaluations/019b6aa7-0380-771f-9e02-24cda0fe6639-ovn-kubernetes__libovsdb-399-swe-agent-claude-sonnet-4.5</t>
  </si>
  <si>
    <t>https://drive.google.com/drive/folders/1JHYDnoSKPv-ApJffm0epT0YaycTLZDpZ</t>
  </si>
  <si>
    <t>ovn-kubernetes/libovsdb</t>
  </si>
  <si>
    <t>ovn-kubernetes__libovsdb</t>
  </si>
  <si>
    <t>OWASP__threat-dragon-1325</t>
  </si>
  <si>
    <t>https://github.com/OWASP/threat-dragon/issues/1325</t>
  </si>
  <si>
    <t>gs://swe-bench-plus/evaluations/019b6aaf-1788-707e-b6dd-d4dc12d72279-OWASP__threat-dragon-1325-swe-agent-claude-sonnet-4.5</t>
  </si>
  <si>
    <t>https://drive.google.com/drive/folders/1QVE3xZgIMuQPtJibRi1W-nZfe2TGl4wb</t>
  </si>
  <si>
    <t>OWASP/threat-dragon</t>
  </si>
  <si>
    <t>OWASP__threat-dragon</t>
  </si>
  <si>
    <t>owncloud__web-12052</t>
  </si>
  <si>
    <t>https://github.com/owncloud/web/issues/12052</t>
  </si>
  <si>
    <t>gs://swe-bench-plus/evaluations/019b6aaf-1788-707e-b6dd-d4dc12d72279-owncloud__web-12052-swe-agent-claude-sonnet-4.5</t>
  </si>
  <si>
    <t>https://drive.google.com/drive/folders/1uoEepEUg5gmq3E7zvpxW-FDVXj87yXwK</t>
  </si>
  <si>
    <t>owncloud/web</t>
  </si>
  <si>
    <t>owncloud__web</t>
  </si>
  <si>
    <t>oxidecomputer__iddqd-18</t>
  </si>
  <si>
    <t>https://github.com/oxidecomputer/iddqd/issues/18</t>
  </si>
  <si>
    <t>gs://swe-bench-plus/evaluations/019b0df7-ade4-70bc-89dc-2dc1c6248f76-oxidecomputer__iddqd-18-swe-agent-claude-opus-4.5</t>
  </si>
  <si>
    <t>https://drive.google.com/drive/folders/1Dl6fda4j-w3F1-PUx19xo6ZqnCEbQib8</t>
  </si>
  <si>
    <t>oxidecomputer/iddqd</t>
  </si>
  <si>
    <t>oxidecomputer__iddqd</t>
  </si>
  <si>
    <t>ozontech__file.d-776</t>
  </si>
  <si>
    <t>https://github.com/ozontech/file.d/issues/776</t>
  </si>
  <si>
    <t>gs://swe-bench-plus/evaluations/019b6aaf-1788-707e-b6dd-d4dc12d72279-ozontech__file.d-776-swe-agent-claude-sonnet-4.5</t>
  </si>
  <si>
    <t>https://drive.google.com/drive/folders/1jTThThSYJKWwRv3_O2h0FEQkdE0skKtc</t>
  </si>
  <si>
    <t>ozontech/file.d</t>
  </si>
  <si>
    <t>ozontech__file.d</t>
  </si>
  <si>
    <t>ozontech__file.d-689</t>
  </si>
  <si>
    <t>https://github.com/ozontech/file.d/issues/689</t>
  </si>
  <si>
    <t>gs://swe-bench-plus/evaluations/019b6ab1-4e74-7019-9e81-9c96e98a145d-ozontech__file.d-689-swe-agent-claude-sonnet-4.5</t>
  </si>
  <si>
    <t>https://drive.google.com/drive/folders/1mL8vYIxxCECg4eb-DgiYYlQuy-pmwvaQ</t>
  </si>
  <si>
    <t>Pabloo22__job_shop_lib-67</t>
  </si>
  <si>
    <t>https://github.com/Pabloo22/job_shop_lib/issues/67</t>
  </si>
  <si>
    <t>feature;performance;documentation;dependency-update</t>
  </si>
  <si>
    <t>https://drive.google.com/drive/folders/1sFbN_caNQpD_1liuwf2GMieDqs-PiFLM</t>
  </si>
  <si>
    <t>https://drive.google.com/drive/folders/1XX3yxx901d9Iv-8QVVpcmXcHZhg8bpzH</t>
  </si>
  <si>
    <t>Pabloo22/job_shop_lib</t>
  </si>
  <si>
    <t>Pabloo22__job_shop_lib</t>
  </si>
  <si>
    <t>packit__packit-2589</t>
  </si>
  <si>
    <t>https://github.com/packit/packit/issues/2589</t>
  </si>
  <si>
    <t>https://drive.google.com/drive/folders/1FvMgsZ3MMcPDzPxNJBuwIBdgZikt9caO</t>
  </si>
  <si>
    <t>https://drive.google.com/drive/folders/1QOuXRXroUswQ-G_vLjY6BB-ZIwYbbS0W</t>
  </si>
  <si>
    <t>packit/packit</t>
  </si>
  <si>
    <t>packit__packit</t>
  </si>
  <si>
    <t>pajlads__DinkPlugin-832</t>
  </si>
  <si>
    <t>https://github.com/pajlads/DinkPlugin/issues/832</t>
  </si>
  <si>
    <t>gs://swe-bench-plus/evaluations/019ad829-b88f-7001-b3b3-caa4c82ba594-pajlads__DinkPlugin-832-swe-agent-claude-sonnet-4-20250514</t>
  </si>
  <si>
    <t>pajlads/DinkPlugin</t>
  </si>
  <si>
    <t>pajlads__DinkPlugin</t>
  </si>
  <si>
    <t>pallets__click-2796</t>
  </si>
  <si>
    <t>https://github.com/pallets/click/issues/2796</t>
  </si>
  <si>
    <t>https://drive.google.com/drive/folders/19e7KQ0Jxic24D2XSMb_nTWAMLjloAMBW</t>
  </si>
  <si>
    <t>https://drive.google.com/drive/folders/1b30bbYDG9GIZvwYr82_jKOxISTeLscNX</t>
  </si>
  <si>
    <t>pallets/click</t>
  </si>
  <si>
    <t>pallets__click</t>
  </si>
  <si>
    <t>panorama-ed__memo_wise-327</t>
  </si>
  <si>
    <t>https://github.com/panorama-ed/memo_wise/issues/327</t>
  </si>
  <si>
    <t>https://drive.google.com/drive/folders/1l_2GqvdsVdYj3Cre0IFJoN6lwlQ8w9HM</t>
  </si>
  <si>
    <t>https://drive.google.com/drive/folders/1Zyftk6YTbfBVK8MsaMpFTi5Ca5HE52_e</t>
  </si>
  <si>
    <t>panorama-ed/memo_wise</t>
  </si>
  <si>
    <t>panorama-ed__memo_wise</t>
  </si>
  <si>
    <t>PaperMC__adventure-842</t>
  </si>
  <si>
    <t>https://github.com/PaperMC/adventure/issues/842</t>
  </si>
  <si>
    <t>gs://swe-bench-plus/evaluations/019bcd77-2925-7748-82f0-eda561be7006-PaperMC__adventure-842-swe-agent-claude-sonnet-4.5</t>
  </si>
  <si>
    <t>https://drive.google.com/drive/folders/1TBkj8kCR7Zhq5sze3U-JkfDDZNgjLX5x</t>
  </si>
  <si>
    <t>PaperMC/adventure</t>
  </si>
  <si>
    <t>PaperMC__adventure</t>
  </si>
  <si>
    <t>papra-hq__papra-540</t>
  </si>
  <si>
    <t>https://github.com/papra-hq/papra/issues/540</t>
  </si>
  <si>
    <t>gs://swe-bench-plus/evaluations/019c24f9-74aa-74ea-9952-2088a9ea13aa-papra-hq__papra-540-swe-agent-claude-sonnet-4-20250514</t>
  </si>
  <si>
    <t>https://drive.google.com/drive/folders/1OOnO284Uw7gaaZMrbf7WOI8UOEdChWbR</t>
  </si>
  <si>
    <t>papra-hq/papra</t>
  </si>
  <si>
    <t>papra-hq__papra</t>
  </si>
  <si>
    <t>papra-hq__papra-601</t>
  </si>
  <si>
    <t>https://github.com/papra-hq/papra/issues/601</t>
  </si>
  <si>
    <t>gs://swe-bench-plus/evaluations/019c24f9-74aa-74ea-9952-2088a9ea13aa-papra-hq__papra-601-swe-agent-claude-sonnet-4-20250514</t>
  </si>
  <si>
    <t>https://drive.google.com/drive/folders/1T2r5QOCK1_HaO8P935KsqX_bOuViNl7V</t>
  </si>
  <si>
    <t>paritytech__polkadot-sdk-8504</t>
  </si>
  <si>
    <t>https://github.com/paritytech/polkadot-sdk/issues/8504</t>
  </si>
  <si>
    <t>https://drive.google.com/drive/folders/18q8AvtyYDOXYNVt8cNABWbrhfIRfj4ii</t>
  </si>
  <si>
    <t>https://drive.google.com/drive/folders/1CUfCyeYbpD8ZtiYOn9GwzUU294WkkiSu</t>
  </si>
  <si>
    <t>paritytech/polkadot-sdk</t>
  </si>
  <si>
    <t>paritytech__polkadot-sdk</t>
  </si>
  <si>
    <t>paritytech__polkadot-sdk-10311</t>
  </si>
  <si>
    <t>https://github.com/paritytech/polkadot-sdk/issues/10311</t>
  </si>
  <si>
    <t>gs://swe-bench-plus/evaluations/019b33b2-92dc-775f-92dd-9f03bf4fe149-paritytech__polkadot-sdk-10311-swe-agent-claude-sonnet-4-20250514</t>
  </si>
  <si>
    <t>https://drive.google.com/drive/folders/1KIUhuwm0C1oJPQQLn_wJhaYWhi3CaBk5</t>
  </si>
  <si>
    <t>parruda__claude-swarm-143</t>
  </si>
  <si>
    <t>https://github.com/parruda/claude-swarm/issues/143</t>
  </si>
  <si>
    <t>gs://swe-bench-plus/evaluations/019b6aaf-1788-707e-b6dd-d4dc12d72279-parruda__claude-swarm-143-swe-agent-claude-sonnet-4.5</t>
  </si>
  <si>
    <t>https://drive.google.com/drive/folders/1Ix_8VwNN2yUQpg1JLd3BubupUIQARd4V</t>
  </si>
  <si>
    <t>parruda/claude-swarm</t>
  </si>
  <si>
    <t>parruda__claude-swarm</t>
  </si>
  <si>
    <t>patman15__BMS_BLE-HA-79</t>
  </si>
  <si>
    <t>https://github.com/patman15/BMS_BLE-HA/issues/79</t>
  </si>
  <si>
    <t>https://drive.google.com/drive/folders/1lHjPd7vxJ4yth_V6txkJ7sj2YoJJn0UK</t>
  </si>
  <si>
    <t>https://drive.google.com/drive/folders/1lzU7XtSGanIef3vFnURn4K2JqInFyzhK</t>
  </si>
  <si>
    <t>patman15/BMS_BLE-HA</t>
  </si>
  <si>
    <t>patman15__BMS_BLE-HA</t>
  </si>
  <si>
    <t>patternfly__patternfly-react-11990</t>
  </si>
  <si>
    <t>https://github.com/patternfly/patternfly-react/issues/11990</t>
  </si>
  <si>
    <t>gs://swe-bench-plus/evaluations/019b6aaf-1788-707e-b6dd-d4dc12d72279-patternfly__patternfly-react-11990-swe-agent-claude-sonnet-4.5</t>
  </si>
  <si>
    <t>https://drive.google.com/drive/folders/1DuDvdKdw3cOfL1ZD9mWFrq6RSVVh8QcM</t>
  </si>
  <si>
    <t>patternfly/patternfly-react</t>
  </si>
  <si>
    <t>patternfly__patternfly-react</t>
  </si>
  <si>
    <t>pdfme__pdfme-659</t>
  </si>
  <si>
    <t>https://github.com/pdfme/pdfme/issues/659</t>
  </si>
  <si>
    <t>https://drive.google.com/drive/folders/1Hs3sgji8f8wMRd6baOkgmHF478PFCaOm</t>
  </si>
  <si>
    <t>https://drive.google.com/drive/folders/1f7xRaPHshytNbDJjIEhobT7wSediTXgu</t>
  </si>
  <si>
    <t>pdfme/pdfme</t>
  </si>
  <si>
    <t>pdfme__pdfme</t>
  </si>
  <si>
    <t>Peternator7__strum-331</t>
  </si>
  <si>
    <t>https://github.com/Peternator7/strum/issues/331</t>
  </si>
  <si>
    <t>https://drive.google.com/drive/folders/11LSkIJZKoYwscXZTPI1NUYMLuXWOZTun</t>
  </si>
  <si>
    <t>Peternator7__strum</t>
  </si>
  <si>
    <t>pgmpy__pgmpy-1852</t>
  </si>
  <si>
    <t>https://github.com/pgmpy/pgmpy/issues/1852</t>
  </si>
  <si>
    <t>gs://swe-bench-plus/evaluations/019a6f31-ddce-766c-944f-e4445d37996d-pgmpy__pgmpy-1852-swe-agent-claude-sonnet-4.5</t>
  </si>
  <si>
    <t>pgmpy/pgmpy</t>
  </si>
  <si>
    <t>pgmpy__pgmpy</t>
  </si>
  <si>
    <t>philippta__flyscrape-81</t>
  </si>
  <si>
    <t>https://github.com/philippta/flyscrape/issues/81</t>
  </si>
  <si>
    <t>gs://swe-bench-plus/evaluations/019b6aa7-0380-771f-9e02-24cda0fe6639-philippta__flyscrape-81-swe-agent-claude-sonnet-4.5</t>
  </si>
  <si>
    <t>https://drive.google.com/drive/folders/1ga-bFMUFgslWO3YjD9Wlwn9x-2arzfoZ</t>
  </si>
  <si>
    <t>philippta/flyscrape</t>
  </si>
  <si>
    <t>philippta__flyscrape</t>
  </si>
  <si>
    <t>philterd__phileas-194</t>
  </si>
  <si>
    <t>https://github.com/philterd/phileas/issues/194</t>
  </si>
  <si>
    <t>security;devtools;data-eng</t>
  </si>
  <si>
    <t>https://drive.google.com/drive/folders/1FYp4a3zdUmaLOJULD_aD2tYQWlfbHd23</t>
  </si>
  <si>
    <t>philterd/phileas</t>
  </si>
  <si>
    <t>philterd__phileas</t>
  </si>
  <si>
    <t>pingcap__tidb-operator-6102</t>
  </si>
  <si>
    <t>https://github.com/pingcap/tidb-operator/issues/6102</t>
  </si>
  <si>
    <t>gs://swe-bench-plus/evaluations/019b6ab1-4e74-7019-9e81-9c96e98a145d-pingcap__tidb-operator-6102-swe-agent-claude-sonnet-4.5</t>
  </si>
  <si>
    <t>https://drive.google.com/drive/folders/1Tib1nVNaVOS-uZ8-a8-sbs6tgh7dhPL4</t>
  </si>
  <si>
    <t>pingcap/tidb-operator</t>
  </si>
  <si>
    <t>pingcap__tidb-operator</t>
  </si>
  <si>
    <t>PlasmaFAIR__fortitude-390</t>
  </si>
  <si>
    <t>https://github.com/PlasmaFAIR/fortitude/issues/390</t>
  </si>
  <si>
    <t>gs://swe-bench-plus/evaluations/019b6aaf-1788-707e-b6dd-d4dc12d72279-PlasmaFAIR__fortitude-390-swe-agent-claude-sonnet-4.5</t>
  </si>
  <si>
    <t>https://drive.google.com/drive/folders/1LzOkwzDMh8N-MF05I_ha3KsEDPmMzxJt</t>
  </si>
  <si>
    <t>PlasmaFAIR/fortitude</t>
  </si>
  <si>
    <t>PlasmaFAIR__fortitude</t>
  </si>
  <si>
    <t>platformatic__platformatic-4306</t>
  </si>
  <si>
    <t>https://github.com/platformatic/platformatic/issues/4306</t>
  </si>
  <si>
    <t>gs://swe-bench-plus/evaluations/019b6aaf-1788-707e-b6dd-d4dc12d72279-platformatic__platformatic-4306-swe-agent-claude-sonnet-4.5</t>
  </si>
  <si>
    <t>https://drive.google.com/drive/folders/1a15z8YKjsKmZqr_iPQdcxbvr4bRESBWD</t>
  </si>
  <si>
    <t>platformatic/platformatic</t>
  </si>
  <si>
    <t>platformatic__platformatic</t>
  </si>
  <si>
    <t>pmndrs__react-ogl-81</t>
  </si>
  <si>
    <t>https://github.com/pmndrs/react-ogl/issues/81</t>
  </si>
  <si>
    <t>gs://swe-bench-plus/evaluations/019b6aaf-1788-707e-b6dd-d4dc12d72279-pmndrs__react-ogl-81-swe-agent-claude-sonnet-4.5</t>
  </si>
  <si>
    <t>https://drive.google.com/drive/folders/19y7uiWOZUCP-1iK66I-jXfYRb2qndxjS</t>
  </si>
  <si>
    <t>pmndrs/react-ogl</t>
  </si>
  <si>
    <t>pmndrs__react-ogl</t>
  </si>
  <si>
    <t>policeman-tools__forbidden-apis-274</t>
  </si>
  <si>
    <t>https://github.com/policeman-tools/forbidden-apis/issues/274</t>
  </si>
  <si>
    <t>https://drive.google.com/drive/folders/1klLj92SD0aEQdCz5vAgKYHQM_V2RfUsp</t>
  </si>
  <si>
    <t>https://drive.google.com/drive/folders/1cIqTEp--aCED1xyXFqYyiJvcmewVUk2V</t>
  </si>
  <si>
    <t>policeman-tools/forbidden-apis</t>
  </si>
  <si>
    <t>policeman-tools__forbidden-apis</t>
  </si>
  <si>
    <t>powsybl__powsybl-core-3476</t>
  </si>
  <si>
    <t>https://github.com/powsybl/powsybl-core/issues/3476</t>
  </si>
  <si>
    <t>sci-comp;infra-devops</t>
  </si>
  <si>
    <t>gs://swe-bench-plus/evaluations/019b6aaf-1788-707e-b6dd-d4dc12d72279-powsybl__powsybl-core-3476-swe-agent-claude-sonnet-4.5</t>
  </si>
  <si>
    <t>https://drive.google.com/drive/folders/1k4kvQTuPS-tjk--0DoA84gLAdYc9cAaz</t>
  </si>
  <si>
    <t>powsybl/powsybl-core</t>
  </si>
  <si>
    <t>powsybl__powsybl-core</t>
  </si>
  <si>
    <t>powsybl__powsybl-core-3401</t>
  </si>
  <si>
    <t>https://github.com/powsybl/powsybl-core/issues/3401</t>
  </si>
  <si>
    <t>sci-comp;applications;devtools</t>
  </si>
  <si>
    <t>gs://swe-bench-plus/evaluations/019b6aaf-1788-707e-b6dd-d4dc12d72279-powsybl__powsybl-core-3401-swe-agent-claude-sonnet-4.5</t>
  </si>
  <si>
    <t>https://drive.google.com/drive/folders/1avvPqhYnl9wcqfYqiOt_2QSygFWmKYpI</t>
  </si>
  <si>
    <t>ppetzold__nestjs-paginate-1097</t>
  </si>
  <si>
    <t>https://github.com/ppetzold/nestjs-paginate/issues/1097</t>
  </si>
  <si>
    <t>gs://swe-bench-plus/evaluations/019c66b0-e4eb-7608-b019-c1c316c79cf8-ppetzold__nestjs-paginate-1097-swe-agent-claude-sonnet-4-20250514</t>
  </si>
  <si>
    <t>https://drive.google.com/drive/folders/17LUwE-u3kbC0qkRY68OcSPKdSpmjOqS8</t>
  </si>
  <si>
    <t>ppetzold/nestjs-paginate</t>
  </si>
  <si>
    <t>ppetzold__nestjs-paginate</t>
  </si>
  <si>
    <t>preactjs__preact-4851</t>
  </si>
  <si>
    <t>https://github.com/preactjs/preact/issues/4851</t>
  </si>
  <si>
    <t>gs://swe-bench-plus/evaluations/019bd734-dc89-745b-8437-c84bd419bc18-preactjs__preact-4851-swe-agent-claude-sonnet-4-20250514</t>
  </si>
  <si>
    <t>https://drive.google.com/drive/folders/1woqAEhBCF421V_mL29-N1p7eo05RqGWN</t>
  </si>
  <si>
    <t>preactjs/preact</t>
  </si>
  <si>
    <t>preactjs__preact</t>
  </si>
  <si>
    <t>PrefectHQ__prefect-18452</t>
  </si>
  <si>
    <t>https://github.com/PrefectHQ/prefect/issues/18452</t>
  </si>
  <si>
    <t>gs://swe-bench-plus/evaluations/019a6f31-ddce-766c-944f-e4445d37996d-PrefectHQ__prefect-18452-swe-agent-claude-sonnet-4.5</t>
  </si>
  <si>
    <t>PrefectHQ/prefect</t>
  </si>
  <si>
    <t>PrefectHQ__prefect</t>
  </si>
  <si>
    <t>prestodb__presto-26764</t>
  </si>
  <si>
    <t>https://github.com/prestodb/presto/issues/26764</t>
  </si>
  <si>
    <t>gs://swe-bench-plus/evaluations/019c2527-4e2e-77ee-bb46-1b5af2881d6d-prestodb__presto-26764-swe-agent-claude-sonnet-4-20250514</t>
  </si>
  <si>
    <t>https://drive.google.com/drive/folders/1Xp3Nn9zkQVUymIy-d9PRkaaLwQvwDBFi</t>
  </si>
  <si>
    <t>prestodb/presto</t>
  </si>
  <si>
    <t>prestodb__presto</t>
  </si>
  <si>
    <t>prestodb__presto-26374</t>
  </si>
  <si>
    <t>https://github.com/prestodb/presto/issues/26374</t>
  </si>
  <si>
    <t>gs://swe-bench-plus/evaluations/019c6646-ea55-7645-a600-58791210a874-prestodb__presto-26374-swe-agent-claude-sonnet-4.5</t>
  </si>
  <si>
    <t>prisma__prisma-26378</t>
  </si>
  <si>
    <t>https://github.com/prisma/prisma/issues/26378</t>
  </si>
  <si>
    <t>webdev;data-eng;devtools</t>
  </si>
  <si>
    <t>https://drive.google.com/drive/folders/1wupBj0Ye1HpLlwyK9bUp7sgyEEAhx8Fj</t>
  </si>
  <si>
    <t>https://drive.google.com/drive/folders/1spsugQ3b7fbmPnFaR06E2_uIla0WrPm1</t>
  </si>
  <si>
    <t>prisma/prisma</t>
  </si>
  <si>
    <t>prisma__prisma</t>
  </si>
  <si>
    <t>privacy-tech-lab__gpc-optmeowt-514</t>
  </si>
  <si>
    <t>https://github.com/privacy-tech-lab/gpc-optmeowt/issues/514</t>
  </si>
  <si>
    <t>gs://swe-bench-plus/evaluations/019b6ab1-4e74-7019-9e81-9c96e98a145d-privacy-tech-lab__gpc-optmeowt-514-swe-agent-claude-sonnet-4.5</t>
  </si>
  <si>
    <t>https://drive.google.com/drive/folders/13qijLo7H5YpMUUVxCosK26mMhoUNYRjJ</t>
  </si>
  <si>
    <t>privacy-tech-lab/gpc-optmeowt</t>
  </si>
  <si>
    <t>privacy-tech-lab__gpc-optmeowt</t>
  </si>
  <si>
    <t>privacyidea__privacyidea-4481</t>
  </si>
  <si>
    <t>https://github.com/privacyidea/privacyidea/issues/4481</t>
  </si>
  <si>
    <t>gs://swe-bench-plus/evaluations/019a8f6e-6e49-72e1-8adc-7d67083c10ad-privacyidea__privacyidea-4481-open-hands-claude-sonnet-4-20250514</t>
  </si>
  <si>
    <t>https://drive.google.com/drive/folders/1U4oU0scxa7BOL4VItCFN-v1p8KQmqlZE</t>
  </si>
  <si>
    <t>privacyidea/privacyidea</t>
  </si>
  <si>
    <t>privacyidea__privacyidea</t>
  </si>
  <si>
    <t>privacyidea__privacyidea-4514</t>
  </si>
  <si>
    <t>https://github.com/privacyidea/privacyidea/issues/4514</t>
  </si>
  <si>
    <t>gs://swe-bench-plus/evaluations/019a8f6e-6e49-72e1-8adc-7d67083c10ad-privacyidea__privacyidea-4514-open-hands-claude-sonnet-4-20250514</t>
  </si>
  <si>
    <t>https://drive.google.com/drive/folders/1uEHvolO8IBFMgc7RsH7shZEZeVy41zaW</t>
  </si>
  <si>
    <t>probabl-ai__skore-744</t>
  </si>
  <si>
    <t>https://github.com/probabl-ai/skore/issues/744</t>
  </si>
  <si>
    <t>https://drive.google.com/drive/folders/18lX_lDtTJNXo627dp62GnqY0hqgBmwAV</t>
  </si>
  <si>
    <t>https://drive.google.com/drive/folders/1Ev3Q8ChEmlJG_jzqf_w7rlTS6NpkMrgL</t>
  </si>
  <si>
    <t>probabl-ai/skore</t>
  </si>
  <si>
    <t>probabl-ai__skore</t>
  </si>
  <si>
    <t>Project-MONAI__MONAI-8138</t>
  </si>
  <si>
    <t>https://github.com/Project-MONAI/MONAI/issues/8138</t>
  </si>
  <si>
    <t>https://drive.google.com/drive/folders/171YC0B8BZdpX5mElhxpEBt3soQ_mWoyp</t>
  </si>
  <si>
    <t>Project-MONAI/MONAI</t>
  </si>
  <si>
    <t>Project-MONAI__MONAI</t>
  </si>
  <si>
    <t>ProjectEvergreen__wcc-171</t>
  </si>
  <si>
    <t>https://github.com/ProjectEvergreen/wcc/issues/171</t>
  </si>
  <si>
    <t>https://drive.google.com/drive/folders/1rjtfXmgxjhNZFwmnY0XKKoFZ09S5qSED</t>
  </si>
  <si>
    <t>https://drive.google.com/drive/folders/1D_gDQzjKk4wPOdIEYrg7QpzkxIFjopFu</t>
  </si>
  <si>
    <t>ProjectEvergreen/wcc</t>
  </si>
  <si>
    <t>ProjectEvergreen__wcc</t>
  </si>
  <si>
    <t>prom3theu5__aspirational-manifests-273</t>
  </si>
  <si>
    <t>https://github.com/prom3theu5/aspirational-manifests/issues/273</t>
  </si>
  <si>
    <t>gs://swe-bench-plus/evaluations/019b6ab1-4e74-7019-9e81-9c96e98a145d-prom3theu5__aspirational-manifests-273-swe-agent-claude-sonnet-4.5</t>
  </si>
  <si>
    <t>https://drive.google.com/drive/folders/1Ivt3u5bUn6jRVwllwl5-xEQuzHL2kwwl</t>
  </si>
  <si>
    <t>prom3theu5/aspirational-manifests</t>
  </si>
  <si>
    <t>prom3theu5__aspirational-manifests</t>
  </si>
  <si>
    <t>prometheus__client_java-1800</t>
  </si>
  <si>
    <t>https://github.com/prometheus/client_java/issues/1800</t>
  </si>
  <si>
    <t>gs://swe-bench-plus/evaluations/019c63b1-66c6-774c-878d-697f9f0978b6-prometheus__client_java-1800-swe-agent-claude-sonnet-4-20250514</t>
  </si>
  <si>
    <t>https://drive.google.com/drive/folders/1ohc-YvL8mTrIa0liYR45WKNG6o4M6m4U</t>
  </si>
  <si>
    <t>prometheus/client_java</t>
  </si>
  <si>
    <t>prometheus__client_java</t>
  </si>
  <si>
    <t>prometheus__client_java-1292</t>
  </si>
  <si>
    <t>https://github.com/prometheus/client_java/issues/1292</t>
  </si>
  <si>
    <t>https://drive.google.com/drive/folders/146Nc6D9PInkDU90y26D0QRJhMADN620c</t>
  </si>
  <si>
    <t>https://drive.google.com/drive/folders/1foGInWhjtPnXemrnRGknJf2kYjkWIRy2</t>
  </si>
  <si>
    <t>prometheus__jmx_exporter-1042</t>
  </si>
  <si>
    <t>https://github.com/prometheus/jmx_exporter/issues/1042</t>
  </si>
  <si>
    <t>https://drive.google.com/drive/folders/1UYZfo0dn7fiUCTQklt1l4Szqwz5eADVh</t>
  </si>
  <si>
    <t>https://drive.google.com/drive/folders/1YIs1ZBtnO4MdQif382JcD8tvJPLg9-Jb</t>
  </si>
  <si>
    <t>prometheus/jmx_exporter</t>
  </si>
  <si>
    <t>prometheus__jmx_exporter</t>
  </si>
  <si>
    <t>prometheus__prometheus-16695</t>
  </si>
  <si>
    <t>https://github.com/prometheus/prometheus/issues/16695</t>
  </si>
  <si>
    <t>https://drive.google.com/drive/folders/134Epw7O47m5qqlzMZHw5uvAZkHk5BFeK</t>
  </si>
  <si>
    <t>https://drive.google.com/drive/folders/1YIgIdGoYCWpJMo0lXjXZ0-3eo6LzueFe</t>
  </si>
  <si>
    <t>prometheus/prometheus</t>
  </si>
  <si>
    <t>prometheus__prometheus</t>
  </si>
  <si>
    <t>prometheus__prometheus-17021</t>
  </si>
  <si>
    <t>https://github.com/prometheus/prometheus/issues/17021</t>
  </si>
  <si>
    <t>https://drive.google.com/drive/folders/1yaJOZzWidTWu1VpSS5bTGkNYmvaxOcO9</t>
  </si>
  <si>
    <t>https://drive.google.com/drive/folders/1hAsWaFs0seZyLLxGPFwFXTdDdJMSUxB5</t>
  </si>
  <si>
    <t>prometheus__prometheus-16452</t>
  </si>
  <si>
    <t>https://github.com/prometheus/prometheus/issues/16452</t>
  </si>
  <si>
    <t>https://drive.google.com/drive/folders/1cRw-2i6WJ2J_Wa1UG2O9zZE_U5Gqey0r</t>
  </si>
  <si>
    <t>https://drive.google.com/drive/folders/186SdY1wbOgKc0tV7web_9ytpVm-wPmPw</t>
  </si>
  <si>
    <t>prometheus__prometheus-16066</t>
  </si>
  <si>
    <t>https://github.com/prometheus/prometheus/issues/16066</t>
  </si>
  <si>
    <t>https://drive.google.com/drive/folders/1_eZBkYuzofZc6kCxA5uzI3meanHKV4FQ</t>
  </si>
  <si>
    <t>https://drive.google.com/drive/folders/1ptK0igfJdo3IPyibVWx6jQU-_o8qL1QU</t>
  </si>
  <si>
    <t>prometheus__prometheus-16226</t>
  </si>
  <si>
    <t>https://github.com/prometheus/prometheus/issues/16226</t>
  </si>
  <si>
    <t>https://drive.google.com/drive/folders/1Je8Qw9WtiudAV8JWKbu_GxK3hSntOsCL</t>
  </si>
  <si>
    <t>https://drive.google.com/drive/folders/1PnrapZa8u6rPnkAxH3RHlVGF38RIGoIG</t>
  </si>
  <si>
    <t>promptfoo__promptfoo-4835</t>
  </si>
  <si>
    <t>https://github.com/promptfoo/promptfoo/issues/4835</t>
  </si>
  <si>
    <t>https://drive.google.com/drive/folders/1SGRUF2YYZ7D41Qk_9_dMlTe7VQbL0T-z</t>
  </si>
  <si>
    <t>promptfoo/promptfoo</t>
  </si>
  <si>
    <t>promptfoo__promptfoo</t>
  </si>
  <si>
    <t>promptfoo__promptfoo-5977</t>
  </si>
  <si>
    <t>https://github.com/promptfoo/promptfoo/issues/5977</t>
  </si>
  <si>
    <t>gs://swe-bench-plus/evaluations/019c66b0-e4eb-7608-b019-c1c316c79cf8-promptfoo__promptfoo-5977-swe-agent-claude-sonnet-4-20250514</t>
  </si>
  <si>
    <t>https://drive.google.com/drive/folders/14KzybZrZAHPyi2c_S8GJ_k1nKucz6I8Y</t>
  </si>
  <si>
    <t>promptfoo__promptfoo-5994</t>
  </si>
  <si>
    <t>https://github.com/promptfoo/promptfoo/issues/5994</t>
  </si>
  <si>
    <t>gs://swe-bench-plus/evaluations/019c66b0-e4eb-7608-b019-c1c316c79cf8-promptfoo__promptfoo-5994-swe-agent-claude-sonnet-4-20250514</t>
  </si>
  <si>
    <t>https://drive.google.com/drive/folders/1ELW_sTCKcO4R12FDw9dLs7h-mjisFeRh</t>
  </si>
  <si>
    <t>protofire__solhint-680</t>
  </si>
  <si>
    <t>https://github.com/protofire/solhint/issues/680</t>
  </si>
  <si>
    <t>devtools;blockchain</t>
  </si>
  <si>
    <t>gs://swe-bench-plus/evaluations/019b6ab1-4e74-7019-9e81-9c96e98a145d-protofire__solhint-680-swe-agent-claude-sonnet-4.5</t>
  </si>
  <si>
    <t>https://drive.google.com/drive/folders/1UAL6RU268sNAg01-PBgt1mSkeLW-3yYY</t>
  </si>
  <si>
    <t>protofire/solhint</t>
  </si>
  <si>
    <t>protofire__solhint</t>
  </si>
  <si>
    <t>provenance-io__provenance-2379</t>
  </si>
  <si>
    <t>https://github.com/provenance-io/provenance/issues/2379</t>
  </si>
  <si>
    <t>gs://swe-bench-plus/evaluations/019b6ab1-4e74-7019-9e81-9c96e98a145d-provenance-io__provenance-2379-swe-agent-claude-sonnet-4.5</t>
  </si>
  <si>
    <t>https://drive.google.com/drive/folders/1QOQn2HHKHnXR6t-JVq3gTsfa4Y4cIT4M</t>
  </si>
  <si>
    <t>provenance-io/provenance</t>
  </si>
  <si>
    <t>provenance-io__provenance</t>
  </si>
  <si>
    <t>publint__publint-201</t>
  </si>
  <si>
    <t>https://github.com/publint/publint/issues/201</t>
  </si>
  <si>
    <t>https://drive.google.com/drive/folders/1oUUUQZgYuaHkwDQeSF8Pnrsb4UtoN6tH</t>
  </si>
  <si>
    <t>https://drive.google.com/drive/folders/1p_OuC5P0oIbrP0X39VDIYiBG1BtTi5Gg</t>
  </si>
  <si>
    <t>publint/publint</t>
  </si>
  <si>
    <t>publint__publint</t>
  </si>
  <si>
    <t>pulumi__pulumi-cdk-215</t>
  </si>
  <si>
    <t>https://github.com/pulumi/pulumi-cdk/issues/215</t>
  </si>
  <si>
    <t>https://drive.google.com/drive/folders/12G4OuIGqic4GT587FbS97w1f4-PRFfV0</t>
  </si>
  <si>
    <t>https://drive.google.com/drive/folders/1ITXZ3Y8zHlOO7F7zirH0R827MbZPTrKH</t>
  </si>
  <si>
    <t>pulumi/pulumi-cdk</t>
  </si>
  <si>
    <t>pulumi__pulumi-cdk</t>
  </si>
  <si>
    <t>puzzle__skills-1001</t>
  </si>
  <si>
    <t>https://github.com/puzzle/skills/issues/1001</t>
  </si>
  <si>
    <t>gs://swe-bench-plus/evaluations/019a0e86-7f0e-770f-9e4a-12adf1aee67f-puzzle__skills-1001-swe-agent-claude-sonnet-4-20250514</t>
  </si>
  <si>
    <t>https://drive.google.com/drive/folders/1Hk6zq6RCL7A6xhM_1lTz0mBZaqBUmVo-</t>
  </si>
  <si>
    <t>puzzle/skills</t>
  </si>
  <si>
    <t>puzzle__skills</t>
  </si>
  <si>
    <t>puzzle__skills-886</t>
  </si>
  <si>
    <t>https://github.com/puzzle/skills/issues/886</t>
  </si>
  <si>
    <t>gs://swe-bench-plus/evaluations/019b6aaf-1788-707e-b6dd-d4dc12d72279-puzzle__skills-886-swe-agent-claude-sonnet-4.5</t>
  </si>
  <si>
    <t>https://drive.google.com/drive/folders/1ie1j8LL681x6RM-4R1LmQYlLeqkRzev3</t>
  </si>
  <si>
    <t>puzzle__skills-917</t>
  </si>
  <si>
    <t>https://github.com/puzzle/skills/issues/917</t>
  </si>
  <si>
    <t>https://drive.google.com/drive/folders/1t6-ZNvC1X_qN3VROgRDLAQRrOG3cqWe5</t>
  </si>
  <si>
    <t>https://drive.google.com/drive/folders/12oznSK4TnNX__RR61dIHddi1RJ3PjXe6</t>
  </si>
  <si>
    <t>puzzle__skills-972</t>
  </si>
  <si>
    <t>https://github.com/puzzle/skills/issues/972</t>
  </si>
  <si>
    <t>gs://swe-bench-plus/evaluations/019b6aaf-1788-707e-b6dd-d4dc12d72279-puzzle__skills-972-swe-agent-claude-sonnet-4.5</t>
  </si>
  <si>
    <t>https://drive.google.com/drive/folders/1sCTYnxZK8CbHgtMuBYHO90oCi-xf0yhn</t>
  </si>
  <si>
    <t>puzzmo-com__xd-crossword-tools-42</t>
  </si>
  <si>
    <t>https://github.com/puzzmo-com/xd-crossword-tools/issues/42</t>
  </si>
  <si>
    <t>gs://swe-bench-plus/evaluations/019c8ad6-76ed-73ab-9477-f0f4b60f83f2-puzzmo-com__xd-crossword-tools-42-swe-agent-claude-sonnet-4.5</t>
  </si>
  <si>
    <t>https://drive.google.com/drive/folders/1rzr0L50xVvBDiPivMOBtYkabYgyZCyaL</t>
  </si>
  <si>
    <t>puzzmo-com/xd-crossword-tools</t>
  </si>
  <si>
    <t>puzzmo-com__xd-crossword-tools</t>
  </si>
  <si>
    <t>pybamm-team__PyBaMM-5044</t>
  </si>
  <si>
    <t>https://github.com/pybamm-team/PyBaMM/issues/5044</t>
  </si>
  <si>
    <t>gs://swe-bench-plus/evaluations/019a8f6e-6e49-72e1-8adc-7d67083c10ad-pybamm-team__PyBaMM-5044-open-hands-claude-sonnet-4-20250514</t>
  </si>
  <si>
    <t>https://drive.google.com/drive/folders/1owyMVq_G-T04hl-6EgHH72-WqJX1nuMP</t>
  </si>
  <si>
    <t>pybamm-team/PyBaMM</t>
  </si>
  <si>
    <t>pybamm-team__PyBaMM</t>
  </si>
  <si>
    <t>pybamm-team__PyBaMM-4825</t>
  </si>
  <si>
    <t>https://github.com/pybamm-team/PyBaMM/issues/4825</t>
  </si>
  <si>
    <t>https://drive.google.com/drive/folders/1BGYc4O3AzjJ2EjXkzS0T9VasWNnewjK4</t>
  </si>
  <si>
    <t>https://drive.google.com/drive/folders/1fMKmZ-cJKZ3TSvmdskxxNNfRwx7kqRKV</t>
  </si>
  <si>
    <t>pybamm-team__PyBaMM-5071</t>
  </si>
  <si>
    <t>https://github.com/pybamm-team/PyBaMM/issues/5071</t>
  </si>
  <si>
    <t>https://drive.google.com/drive/folders/1zBL4MM907tYpsX-pBUBw9Ddaosgo1eJp</t>
  </si>
  <si>
    <t>https://drive.google.com/drive/folders/1c2tfrO_YWTZP7oHBOOtOGCDSOYcKwd8O</t>
  </si>
  <si>
    <t>pybind__pybind11-5624</t>
  </si>
  <si>
    <t>https://github.com/pybind/pybind11/issues/5624</t>
  </si>
  <si>
    <t>https://drive.google.com/drive/folders/18IYLTkqsYlTfOcwxgA06zoprfoYprKi4</t>
  </si>
  <si>
    <t>https://drive.google.com/drive/folders/1fxGI3q4d9hmE1A0FH5wdTBW_hOBnLX0s</t>
  </si>
  <si>
    <t>pybind/pybind11</t>
  </si>
  <si>
    <t>pybind__pybind11</t>
  </si>
  <si>
    <t>pybind__pybind11-5540</t>
  </si>
  <si>
    <t>https://github.com/pybind/pybind11/issues/5540</t>
  </si>
  <si>
    <t>devtools;sci-comp;ai-ml</t>
  </si>
  <si>
    <t>https://drive.google.com/drive/folders/1ILCISZvGo8TIVTzBXxJmm2gKu38eUVYs</t>
  </si>
  <si>
    <t>https://drive.google.com/drive/folders/1KoEqhi7ItLteI6LpWdCF3D-hslFWQQVm</t>
  </si>
  <si>
    <t>pyccel__pyccel-2082</t>
  </si>
  <si>
    <t>https://github.com/pyccel/pyccel/issues/2082</t>
  </si>
  <si>
    <t>gs://swe-bench-plus/evaluations/019a6f31-ddce-766c-944f-e4445d37996d-pyccel__pyccel-2082-swe-agent-claude-sonnet-4.5</t>
  </si>
  <si>
    <t>https://drive.google.com/drive/folders/1fpkuawsg-vkgeia9xElYI5loELv-sXuZ</t>
  </si>
  <si>
    <t>pyccel/pyccel</t>
  </si>
  <si>
    <t>pyccel__pyccel</t>
  </si>
  <si>
    <t>pyccel__pyccel-2117</t>
  </si>
  <si>
    <t>https://github.com/pyccel/pyccel/issues/2117</t>
  </si>
  <si>
    <t>gs://swe-bench-plus/evaluations/019a6f31-ddce-766c-944f-e4445d37996d-pyccel__pyccel-2117-swe-agent-claude-sonnet-4.5</t>
  </si>
  <si>
    <t>https://drive.google.com/drive/folders/1vEKDPfy9nzuhsKKqdHvGWyyLvPZmFMfh</t>
  </si>
  <si>
    <t>pyccel__pyccel-2392</t>
  </si>
  <si>
    <t>https://github.com/pyccel/pyccel/issues/2392</t>
  </si>
  <si>
    <t>https://drive.google.com/drive/folders/18ihM9-KvALpJVLv0H9iMrw4sgaFJivNM</t>
  </si>
  <si>
    <t>https://drive.google.com/drive/folders/1de5fUnBJz-k0c6zQVVfAGbQbC90bIOax</t>
  </si>
  <si>
    <t>pyccel__pyccel-2348</t>
  </si>
  <si>
    <t>https://github.com/pyccel/pyccel/issues/2348</t>
  </si>
  <si>
    <t>https://drive.google.com/drive/folders/1xqqvwFUappj_S5hlQ1In71QT5KjcMoLs</t>
  </si>
  <si>
    <t>https://drive.google.com/drive/folders/1CaWRH8x5aSo4XXbyCxFKySZF-V143ub2</t>
  </si>
  <si>
    <t>pyccel__pyccel-2200</t>
  </si>
  <si>
    <t>https://github.com/pyccel/pyccel/issues/2200</t>
  </si>
  <si>
    <t>https://drive.google.com/drive/folders/1jlpBVzJu4hOPmPBBIBvef8NOy5wgO_2m</t>
  </si>
  <si>
    <t>https://drive.google.com/drive/folders/17Gvhnvvs2FkxgvUcMRGsME1matLealiK</t>
  </si>
  <si>
    <t>pyccel__pyccel-2184</t>
  </si>
  <si>
    <t>https://github.com/pyccel/pyccel/issues/2184</t>
  </si>
  <si>
    <t>https://drive.google.com/drive/folders/1449aJNpKA_I-ruJFAharcKLX82OAbmgJ</t>
  </si>
  <si>
    <t>https://drive.google.com/drive/folders/1Y_bdKbijIBwxWIgjOBb7q4o2RBoYZKKY</t>
  </si>
  <si>
    <t>pyccel__pyccel-2031</t>
  </si>
  <si>
    <t>https://github.com/pyccel/pyccel/issues/2031</t>
  </si>
  <si>
    <t>https://drive.google.com/drive/folders/1z8faMsnPkPDCl8FnTc_a2JPe8T2ASTMK</t>
  </si>
  <si>
    <t>https://drive.google.com/drive/folders/1kPUd_VL0lSyqdZ0aBfNqLTOK0kAJ6TcC</t>
  </si>
  <si>
    <t>pyccel__pyccel-2072</t>
  </si>
  <si>
    <t>https://github.com/pyccel/pyccel/issues/2072</t>
  </si>
  <si>
    <t>https://drive.google.com/drive/folders/19db42Vf3RqVZi688oS1Xu62iNsP84jFh</t>
  </si>
  <si>
    <t>https://drive.google.com/drive/folders/1Gug8tA5k2vQRkF2Pmu1w5tXllYoaIq5A</t>
  </si>
  <si>
    <t>pyccel__pyccel-2185</t>
  </si>
  <si>
    <t>https://github.com/pyccel/pyccel/issues/2185</t>
  </si>
  <si>
    <t>https://drive.google.com/drive/folders/1q4fQSX_oockyMFcK_hKr_CaYzVXp8YNE</t>
  </si>
  <si>
    <t>https://drive.google.com/drive/folders/1w_S9y0L_lvub8YfKa1hQgRC6EPtxfNi5</t>
  </si>
  <si>
    <t>pydantic__logfire-829</t>
  </si>
  <si>
    <t>https://github.com/pydantic/logfire/issues/829</t>
  </si>
  <si>
    <t>gs://swe-bench-plus/evaluations/019a84f3-b445-729d-88f6-de2c0814baff-pydantic__logfire-829-swe-agent-claude-sonnet-4-20250514</t>
  </si>
  <si>
    <t>https://drive.google.com/drive/folders/1ZphCWJH8eydqhUNwpx4hysbqlmqvMJPK</t>
  </si>
  <si>
    <t>pydantic/logfire</t>
  </si>
  <si>
    <t>pydantic__logfire</t>
  </si>
  <si>
    <t>pydantic__pydantic-11479</t>
  </si>
  <si>
    <t>https://github.com/pydantic/pydantic/issues/11479</t>
  </si>
  <si>
    <t>https://drive.google.com/drive/folders/1KN7NOa6eg5ethuurd22NHuOZfLyOI1Z1</t>
  </si>
  <si>
    <t>https://drive.google.com/drive/folders/1PpYd5rQOj72oAwvdL7e-c_7uezaibs_T</t>
  </si>
  <si>
    <t>pydantic/pydantic</t>
  </si>
  <si>
    <t>pydantic__pydantic</t>
  </si>
  <si>
    <t>pydantic__pydantic-12068</t>
  </si>
  <si>
    <t>https://github.com/pydantic/pydantic/issues/12068</t>
  </si>
  <si>
    <t>https://drive.google.com/drive/folders/1MQQow5QBePU1H19t1yvyZvbAj-fjPMrS</t>
  </si>
  <si>
    <t>pydantic__pydantic-ai-2366</t>
  </si>
  <si>
    <t>https://github.com/pydantic/pydantic-ai/issues/2366</t>
  </si>
  <si>
    <t>https://drive.google.com/drive/folders/13yAJQJMCuJ32AMgQKPQdkaJOQO-MnY-G</t>
  </si>
  <si>
    <t>https://drive.google.com/drive/folders/1FY2UlV_YQuP2l54ZMdyPxFj-3Hv4bxKo</t>
  </si>
  <si>
    <t>pydantic/pydantic-ai</t>
  </si>
  <si>
    <t>pydantic__pydantic-ai</t>
  </si>
  <si>
    <t>pydata__xarray-10519</t>
  </si>
  <si>
    <t>https://github.com/pydata/xarray/issues/10519</t>
  </si>
  <si>
    <t>gs://swe-bench-plus/evaluations/019a6f31-ddce-766c-944f-e4445d37996d-pydata__xarray-10519-swe-agent-claude-sonnet-4.5</t>
  </si>
  <si>
    <t>pydata/xarray</t>
  </si>
  <si>
    <t>pydata__xarray</t>
  </si>
  <si>
    <t>pydata__xarray-10293</t>
  </si>
  <si>
    <t>https://github.com/pydata/xarray/issues/10293</t>
  </si>
  <si>
    <t>https://drive.google.com/drive/folders/1Idn_Ua2bPTzCJQqKq7IGs3jWCpNTNNNA</t>
  </si>
  <si>
    <t>pydata__xarray-9776</t>
  </si>
  <si>
    <t>https://github.com/pydata/xarray/issues/9776</t>
  </si>
  <si>
    <t>https://drive.google.com/drive/folders/1tVfuhmqqZWLhViB04dr4Hd6fqHm5Jo87</t>
  </si>
  <si>
    <t>pydicom__pydicom-2198</t>
  </si>
  <si>
    <t>https://github.com/pydicom/pydicom/issues/2198</t>
  </si>
  <si>
    <t>sci-comp;graphics-media;security</t>
  </si>
  <si>
    <t>https://drive.google.com/drive/folders/1I_prtDK_nPh5iaSch3taGdfWZQOWnB8_</t>
  </si>
  <si>
    <t>https://drive.google.com/drive/folders/1_s0ZstqBwWneK8KNlrkDPUmKS4xbw9kU</t>
  </si>
  <si>
    <t>pydicom/pydicom</t>
  </si>
  <si>
    <t>pydicom__pydicom</t>
  </si>
  <si>
    <t>pydicom__pydicom-2212</t>
  </si>
  <si>
    <t>https://github.com/pydicom/pydicom/issues/2212</t>
  </si>
  <si>
    <t>https://drive.google.com/drive/folders/1i1uxNiCzXJ2FaYYoeFuWfvBYra4-O4IS</t>
  </si>
  <si>
    <t>https://drive.google.com/drive/folders/1ZQCpmgDq0ftG594tQtBithRo28uDqxTh</t>
  </si>
  <si>
    <t>pydicom__pydicom-2188</t>
  </si>
  <si>
    <t>https://github.com/pydicom/pydicom/issues/2188</t>
  </si>
  <si>
    <t>https://drive.google.com/drive/folders/1R31SrNY6sPEv2ruAz7bjIkHr64PwVgBU</t>
  </si>
  <si>
    <t>https://drive.google.com/drive/folders/1tQqPR7u2YWEaN1TeYQ2t3OuUTw955nVI</t>
  </si>
  <si>
    <t>pymc-devs__pytensor-1231</t>
  </si>
  <si>
    <t>https://github.com/pymc-devs/pytensor/issues/1231</t>
  </si>
  <si>
    <t>https://drive.google.com/drive/folders/1M1nwJoCxMj2BvLtwaSjf-kpGbzO9h_n6</t>
  </si>
  <si>
    <t>https://drive.google.com/drive/folders/1QgYfM-PBQRMUdzbXVxgVZZsy0iNagMn4</t>
  </si>
  <si>
    <t>pymc-devs/pytensor</t>
  </si>
  <si>
    <t>pymc-devs__pytensor</t>
  </si>
  <si>
    <t>pymc-labs__pymc-marketing-1498</t>
  </si>
  <si>
    <t>https://github.com/pymc-labs/pymc-marketing/issues/1498</t>
  </si>
  <si>
    <t>gs://swe-bench-plus/evaluations/019a6f31-ddce-766c-944f-e4445d37996d-pymc-labs__pymc-marketing-1498-swe-agent-claude-sonnet-4.5</t>
  </si>
  <si>
    <t>pymc-labs/pymc-marketing</t>
  </si>
  <si>
    <t>pymc-labs__pymc-marketing</t>
  </si>
  <si>
    <t>pypa__flit-705</t>
  </si>
  <si>
    <t>https://github.com/pypa/flit/issues/705</t>
  </si>
  <si>
    <t>https://drive.google.com/drive/folders/1Rd9hbvMpcPfZGA_G9BZ0Ct_Zmg8Qu40T</t>
  </si>
  <si>
    <t>https://drive.google.com/drive/folders/1alkatvDRGBefVmu1nJnQEmtPdTLgmYYD</t>
  </si>
  <si>
    <t>pypa/flit</t>
  </si>
  <si>
    <t>pypa__flit</t>
  </si>
  <si>
    <t>pypa__pip-12991</t>
  </si>
  <si>
    <t>https://github.com/pypa/pip/issues/12991</t>
  </si>
  <si>
    <t>https://drive.google.com/drive/folders/1GUEWcLFFLtwDQ0lZJZqcJ9ca73GZB1dv</t>
  </si>
  <si>
    <t>https://drive.google.com/drive/folders/1j0n-5QjzaSfgIs_CO4zFx-gPROGI6n-s</t>
  </si>
  <si>
    <t>pypa/pip</t>
  </si>
  <si>
    <t>pypa__pip</t>
  </si>
  <si>
    <t>pypa__setuptools-4698</t>
  </si>
  <si>
    <t>https://github.com/pypa/setuptools/issues/4698</t>
  </si>
  <si>
    <t>https://drive.google.com/drive/folders/137ED26FdAHECqUL4CLan-Z-SCkF2-6IN</t>
  </si>
  <si>
    <t>pypa/setuptools</t>
  </si>
  <si>
    <t>pypa__setuptools</t>
  </si>
  <si>
    <t>python-attrs__attrs-1457</t>
  </si>
  <si>
    <t>https://github.com/python-attrs/attrs/issues/1457</t>
  </si>
  <si>
    <t>gs://swe-bench-plus/evaluations/019a6f31-ddce-766c-944f-e4445d37996d-python-attrs__attrs-1457-swe-agent-claude-sonnet-4.5</t>
  </si>
  <si>
    <t>python-attrs/attrs</t>
  </si>
  <si>
    <t>python-attrs__attrs</t>
  </si>
  <si>
    <t>python-attrs__cattrs-588</t>
  </si>
  <si>
    <t>https://github.com/python-attrs/cattrs/issues/588</t>
  </si>
  <si>
    <t>gs://swe-bench-plus/evaluations/019a8f6e-f527-7515-a718-906fa514558f-python-attrs__cattrs-588-open-hands-claude-sonnet-4-20250514</t>
  </si>
  <si>
    <t>https://drive.google.com/drive/folders/10_MHng3WpcgzLxvrn_jv9A81NJkoeAbQ</t>
  </si>
  <si>
    <t>python-attrs/cattrs</t>
  </si>
  <si>
    <t>python-attrs__cattrs</t>
  </si>
  <si>
    <t>python-attrs__cattrs-618</t>
  </si>
  <si>
    <t>https://github.com/python-attrs/cattrs/issues/618</t>
  </si>
  <si>
    <t>https://drive.google.com/drive/folders/1dIsNvsodzHqFhYL9MkgREn2p7MuJ_CVh</t>
  </si>
  <si>
    <t>https://drive.google.com/drive/folders/1PqhlslSPDkYIu--LT4xl4aP90G9nE4Pq</t>
  </si>
  <si>
    <t>python-cmd2__cmd2-1475</t>
  </si>
  <si>
    <t>https://github.com/python-cmd2/cmd2/issues/1475</t>
  </si>
  <si>
    <t>gs://swe-bench-plus/evaluations/019a6f31-ddce-766c-944f-e4445d37996d-python-cmd2__cmd2-1475-swe-agent-claude-sonnet-4.5</t>
  </si>
  <si>
    <t>python-cmd2/cmd2</t>
  </si>
  <si>
    <t>python-cmd2__cmd2</t>
  </si>
  <si>
    <t>python-cmd2__cmd2-1433</t>
  </si>
  <si>
    <t>https://github.com/python-cmd2/cmd2/issues/1433</t>
  </si>
  <si>
    <t>gs://swe-bench-plus/evaluations/019a6f31-ddce-766c-944f-e4445d37996d-python-cmd2__cmd2-1433-swe-agent-claude-sonnet-4.5</t>
  </si>
  <si>
    <t>https://drive.google.com/drive/folders/1mnPBvPsUWe-pLj_0vSfMeTNvPXNTqnMY</t>
  </si>
  <si>
    <t>python-kasa__python-kasa-1413</t>
  </si>
  <si>
    <t>https://github.com/python-kasa/python-kasa/issues/1413</t>
  </si>
  <si>
    <t>gs://swe-bench-plus/evaluations/019a6f31-ddce-766c-944f-e4445d37996d-python-kasa__python-kasa-1413-swe-agent-claude-sonnet-4.5</t>
  </si>
  <si>
    <t>https://drive.google.com/drive/folders/1djJufwn4csvPhQmObAvV8TIBdVB8vwuq</t>
  </si>
  <si>
    <t>python-kasa/python-kasa</t>
  </si>
  <si>
    <t>python-kasa__python-kasa</t>
  </si>
  <si>
    <t>python-poetry__poetry-10129</t>
  </si>
  <si>
    <t>https://github.com/python-poetry/poetry/issues/10129</t>
  </si>
  <si>
    <t>https://drive.google.com/drive/folders/1trBFuV8Hf2ko-GVCIHkCWUwqpWhHU8kq</t>
  </si>
  <si>
    <t>https://drive.google.com/drive/folders/1ubnc5eS1-ZaAFNZ74OM7rcBT-hHUnVW6</t>
  </si>
  <si>
    <t>python-poetry/poetry</t>
  </si>
  <si>
    <t>python-poetry__poetry</t>
  </si>
  <si>
    <t>python-poetry__poetry-9831</t>
  </si>
  <si>
    <t>https://github.com/python-poetry/poetry/issues/9831</t>
  </si>
  <si>
    <t>https://drive.google.com/drive/folders/1q1q_DRhyY0jfqKrfjjiB8M-qM3NrIWNt</t>
  </si>
  <si>
    <t>https://drive.google.com/drive/folders/1nPrLQ6fZzUOenTlJHBTBs-J1-7_TGOpr</t>
  </si>
  <si>
    <t>python-semantic-release__python-semantic-release-1289</t>
  </si>
  <si>
    <t>https://github.com/python-semantic-release/python-semantic-release/issues/1289</t>
  </si>
  <si>
    <t>gs://swe-bench-plus/evaluations/019a6f31-ddce-766c-944f-e4445d37996d-python-semantic-release__python-semantic-release-1289-swe-agent-claude-sonnet-4.5</t>
  </si>
  <si>
    <t>https://drive.google.com/drive/folders/1yoKXl899D42E_i_a_QVDIvD6qjE2_hvO</t>
  </si>
  <si>
    <t>python-semantic-release/python-semantic-release</t>
  </si>
  <si>
    <t>python-semantic-release__python-semantic-release</t>
  </si>
  <si>
    <t>python-telegram-bot__python-telegram-bot-4594</t>
  </si>
  <si>
    <t>https://github.com/python-telegram-bot/python-telegram-bot/issues/4594</t>
  </si>
  <si>
    <t>https://drive.google.com/drive/folders/1X6A5wMOyroOxJzjItSF8Tz8E345ItfFo</t>
  </si>
  <si>
    <t>https://drive.google.com/drive/folders/1Gl5jqhqX88LVsEWpsbnwJaPCbONz-rK3</t>
  </si>
  <si>
    <t>python-telegram-bot/python-telegram-bot</t>
  </si>
  <si>
    <t>python-telegram-bot__python-telegram-bot</t>
  </si>
  <si>
    <t>quantumlib__Cirq-7048</t>
  </si>
  <si>
    <t>https://github.com/quantumlib/Cirq/issues/7048</t>
  </si>
  <si>
    <t>gs://swe-bench-plus/evaluations/019a11d0-17d3-730b-bffc-06f187eef661-quantumlib__Cirq-7048-swe-agent-claude-sonnet-4-20250514</t>
  </si>
  <si>
    <t>https://drive.google.com/drive/folders/1EmOlZcxYFjvJdeDix-IlIdAMNftkJnGY</t>
  </si>
  <si>
    <t>quantumlib/Cirq</t>
  </si>
  <si>
    <t>quantumlib__Cirq</t>
  </si>
  <si>
    <t>quantumlib__Stim-711</t>
  </si>
  <si>
    <t>https://github.com/quantumlib/Stim/issues/711</t>
  </si>
  <si>
    <t>gs://swe-bench-plus/evaluations/019b6aa7-0380-771f-9e02-24cda0fe6639-quantumlib__Stim-711-swe-agent-claude-sonnet-4.5</t>
  </si>
  <si>
    <t>https://drive.google.com/drive/folders/1URUy3LW-bO0fRb8sVmMth-PUXDcVPXJm</t>
  </si>
  <si>
    <t>quantumlib/Stim</t>
  </si>
  <si>
    <t>quantumlib__Stim</t>
  </si>
  <si>
    <t>quantumlib__Stim-949</t>
  </si>
  <si>
    <t>https://github.com/quantumlib/Stim/issues/949</t>
  </si>
  <si>
    <t>sci-comp;devtools;ai-ml</t>
  </si>
  <si>
    <t>bug-fix;documentation;maintenance;feature</t>
  </si>
  <si>
    <t>https://drive.google.com/drive/folders/1XpaHMxzZ6-qqZoSoAVVQLikOhzPU3xOI</t>
  </si>
  <si>
    <t>https://drive.google.com/drive/folders/1shN9C56u2837u-RHQiWyeYmElUnwFkpD</t>
  </si>
  <si>
    <t>quantumlib__Stim-907</t>
  </si>
  <si>
    <t>https://github.com/quantumlib/Stim/issues/907</t>
  </si>
  <si>
    <t>gs://swe-bench-plus/evaluations/019b6aa7-0380-771f-9e02-24cda0fe6639-quantumlib__Stim-907-swe-agent-claude-sonnet-4.5</t>
  </si>
  <si>
    <t>https://drive.google.com/drive/folders/1CaRdsOQJ74TSb0aNAq633DFFpkzDjEny</t>
  </si>
  <si>
    <t>quarkiverse__quarkus-langchain4j-1472</t>
  </si>
  <si>
    <t>https://github.com/quarkiverse/quarkus-langchain4j/issues/1472</t>
  </si>
  <si>
    <t>gs://swe-bench-plus/evaluations/019b6ab1-4e74-7019-9e81-9c96e98a145d-quarkiverse__quarkus-langchain4j-1472-swe-agent-claude-sonnet-4.5</t>
  </si>
  <si>
    <t>https://drive.google.com/drive/folders/1dtrhRblzh3f9BZT_H07nQZpR4bWc1Mom</t>
  </si>
  <si>
    <t>quarkiverse/quarkus-langchain4j</t>
  </si>
  <si>
    <t>quarkiverse__quarkus-langchain4j</t>
  </si>
  <si>
    <t>quarkiverse__quarkus-langchain4j-1021</t>
  </si>
  <si>
    <t>https://github.com/quarkiverse/quarkus-langchain4j/issues/1021</t>
  </si>
  <si>
    <t>gs://swe-bench-plus/evaluations/019b6ab1-4e74-7019-9e81-9c96e98a145d-quarkiverse__quarkus-langchain4j-1021-swe-agent-claude-sonnet-4.5</t>
  </si>
  <si>
    <t>https://drive.google.com/drive/folders/12uerXiCg51wdznQiE71bxTpZrU65s_Fz</t>
  </si>
  <si>
    <t>quarkiverse__quarkus-langchain4j-2014</t>
  </si>
  <si>
    <t>https://github.com/quarkiverse/quarkus-langchain4j/issues/2014</t>
  </si>
  <si>
    <t>gs://swe-bench-plus/evaluations/019bd2bf-00de-723c-8b2d-1d9d8c821830-quarkiverse__quarkus-langchain4j-2014-swe-agent-claude-sonnet-4-20250514</t>
  </si>
  <si>
    <t>https://drive.google.com/drive/folders/1am1kzsI1BOINGOrlzZz3vTF1DwtwSUV0</t>
  </si>
  <si>
    <t>quarkiverse__quarkus-langchain4j-1434</t>
  </si>
  <si>
    <t>https://github.com/quarkiverse/quarkus-langchain4j/issues/1434</t>
  </si>
  <si>
    <t>gs://swe-bench-plus/evaluations/019c6646-ea55-7645-a600-58791210a874-quarkiverse__quarkus-langchain4j-1434-swe-agent-claude-sonnet-4-20250514</t>
  </si>
  <si>
    <t>https://drive.google.com/drive/folders/1KuSRmAMkb2R43_a_JOLHk37K715fmFzB</t>
  </si>
  <si>
    <t>quarkiverse__quarkus-mcp-server-366</t>
  </si>
  <si>
    <t>https://github.com/quarkiverse/quarkus-mcp-server/issues/366</t>
  </si>
  <si>
    <t>gs://swe-bench-plus/evaluations/019b6ab1-4e74-7019-9e81-9c96e98a145d-quarkiverse__quarkus-mcp-server-366-swe-agent-claude-sonnet-4.5</t>
  </si>
  <si>
    <t>https://drive.google.com/drive/folders/1J3eyvu28iAHBNJhaPSl9I0ee_W6KZAxL</t>
  </si>
  <si>
    <t>quarkiverse/quarkus-mcp-server</t>
  </si>
  <si>
    <t>quarkiverse__quarkus-mcp-server</t>
  </si>
  <si>
    <t>quarkiverse__quarkus-mcp-server-88</t>
  </si>
  <si>
    <t>https://github.com/quarkiverse/quarkus-mcp-server/issues/88</t>
  </si>
  <si>
    <t>gs://swe-bench-plus/evaluations/019b6aaf-1788-707e-b6dd-d4dc12d72279-quarkiverse__quarkus-mcp-server-88-swe-agent-claude-sonnet-4.5</t>
  </si>
  <si>
    <t>https://drive.google.com/drive/folders/1aDRmlvMJK945bVrum9YEHnCnSaZG0wFW</t>
  </si>
  <si>
    <t>quarkiverse__quarkus-mcp-server-195</t>
  </si>
  <si>
    <t>https://github.com/quarkiverse/quarkus-mcp-server/issues/195</t>
  </si>
  <si>
    <t>https://drive.google.com/drive/folders/19KK8sT_AOKHz8oecOYU_glSCTON_BEt2</t>
  </si>
  <si>
    <t>https://drive.google.com/drive/folders/11RfUlK_Fpb6Gj4Wrd4pdo_yf-DeJTKLS</t>
  </si>
  <si>
    <t>quarkusio__gizmo-297</t>
  </si>
  <si>
    <t>https://github.com/quarkusio/gizmo/issues/297</t>
  </si>
  <si>
    <t>gs://swe-bench-plus/evaluations/019b6aaf-1788-707e-b6dd-d4dc12d72279-quarkusio__gizmo-297-swe-agent-claude-sonnet-4.5</t>
  </si>
  <si>
    <t>https://drive.google.com/drive/folders/1-HelMj1GOVile8p1pblJ3mOrz_Z1hed6</t>
  </si>
  <si>
    <t>quarkusio/gizmo</t>
  </si>
  <si>
    <t>quarkusio__gizmo</t>
  </si>
  <si>
    <t>quarkusio__gizmo-390</t>
  </si>
  <si>
    <t>https://github.com/quarkusio/gizmo/issues/390</t>
  </si>
  <si>
    <t>gs://swe-bench-plus/evaluations/019b6aaf-1788-707e-b6dd-d4dc12d72279-quarkusio__gizmo-390-swe-agent-claude-sonnet-4.5</t>
  </si>
  <si>
    <t>https://drive.google.com/drive/folders/1AvMzxTRIGqKW6uq1N8uFelWW7sjKGM9H</t>
  </si>
  <si>
    <t>quarkusio__quarkus-51883</t>
  </si>
  <si>
    <t>https://github.com/quarkusio/quarkus/issues/51883</t>
  </si>
  <si>
    <t>webdev;infra-devops;security</t>
  </si>
  <si>
    <t>gs://swe-bench-plus/evaluations/019c2528-578b-73cc-ad42-8f1328ded528-quarkusio__quarkus-51883-swe-agent-claude-sonnet-4-20250514</t>
  </si>
  <si>
    <t>https://drive.google.com/drive/folders/1Q2kvwGygOJcTBGZbF2JSTpBNvrveDC3-</t>
  </si>
  <si>
    <t>quarkusio/quarkus</t>
  </si>
  <si>
    <t>quarkusio__quarkus</t>
  </si>
  <si>
    <t>quarkusio__quarkus-52173</t>
  </si>
  <si>
    <t>https://github.com/quarkusio/quarkus/issues/52173</t>
  </si>
  <si>
    <t>gs://swe-bench-plus/evaluations/019c63b0-5201-7257-9916-f49303cabd22-quarkusio__quarkus-52173-swe-agent-claude-sonnet-4-20250514</t>
  </si>
  <si>
    <t>https://drive.google.com/drive/folders/1FG4yvHrYoLCBnOfsfFqEt9QLlHQN2ccb</t>
  </si>
  <si>
    <t>quarkusio__quarkus-52147</t>
  </si>
  <si>
    <t>https://github.com/quarkusio/quarkus/issues/52147</t>
  </si>
  <si>
    <t>gs://swe-bench-plus/evaluations/019c63b0-5201-7257-9916-f49303cabd22-quarkusio__quarkus-52147-swe-agent-claude-sonnet-4-20250514</t>
  </si>
  <si>
    <t>https://drive.google.com/drive/folders/1n_jgqYt76Kb7bOgtkSsz4qWkOumwUU4T</t>
  </si>
  <si>
    <t>queritylib__querity-26</t>
  </si>
  <si>
    <t>https://github.com/queritylib/querity/issues/26</t>
  </si>
  <si>
    <t>feature;build-ci;refactor;documentation</t>
  </si>
  <si>
    <t>gs://swe-bench-plus/evaluations/019b6aaf-1788-707e-b6dd-d4dc12d72279-queritylib__querity-26-swe-agent-claude-sonnet-4.5</t>
  </si>
  <si>
    <t>https://drive.google.com/drive/folders/1Jf_vS_ds03ej8DrmSox8c_mhjzp1BiYi</t>
  </si>
  <si>
    <t>queritylib/querity</t>
  </si>
  <si>
    <t>queritylib__querity</t>
  </si>
  <si>
    <t>radis__radis-689</t>
  </si>
  <si>
    <t>https://github.com/radis/radis/issues/689</t>
  </si>
  <si>
    <t>https://drive.google.com/drive/folders/1X5UgM5vm5ACFy9lCdK6fo_Cr1JIEfCj_</t>
  </si>
  <si>
    <t>radis/radis</t>
  </si>
  <si>
    <t>radis__radis</t>
  </si>
  <si>
    <t>railmapgen__rmg-667</t>
  </si>
  <si>
    <t>https://github.com/railmapgen/rmg/issues/667</t>
  </si>
  <si>
    <t>gs://swe-bench-plus/evaluations/019b6aaf-1788-707e-b6dd-d4dc12d72279-railmapgen__rmg-667-swe-agent-claude-sonnet-4.5</t>
  </si>
  <si>
    <t>https://drive.google.com/drive/folders/11DYOrDNnU1mN_xigGeNBNM4ij4oGvlA4</t>
  </si>
  <si>
    <t>railmapgen/rmg</t>
  </si>
  <si>
    <t>railmapgen__rmg</t>
  </si>
  <si>
    <t>Rails-Designer__rails_icons-54</t>
  </si>
  <si>
    <t>https://github.com/Rails-Designer/rails_icons/issues/54</t>
  </si>
  <si>
    <t>gs://swe-bench-plus/evaluations/019b6aaf-1788-707e-b6dd-d4dc12d72279-Rails-Designer__rails_icons-54-swe-agent-claude-sonnet-4.5</t>
  </si>
  <si>
    <t>https://drive.google.com/drive/folders/1qdC27RGClbJZkwWsmWjwv1huJu1nnZKQ</t>
  </si>
  <si>
    <t>Rails-Designer/rails_icons</t>
  </si>
  <si>
    <t>Rails-Designer__rails_icons</t>
  </si>
  <si>
    <t>rails__solid_queue-516</t>
  </si>
  <si>
    <t>https://github.com/rails/solid_queue/issues/516</t>
  </si>
  <si>
    <t>https://drive.google.com/drive/folders/1mXPHkLjGxo4OF_l6vZiWf4GecGbV6uhU</t>
  </si>
  <si>
    <t>https://drive.google.com/drive/folders/1Tw7saWNx_WKrij7hYkLpVsR_xGLwq0pb</t>
  </si>
  <si>
    <t>rails/solid_queue</t>
  </si>
  <si>
    <t>rails__solid_queue</t>
  </si>
  <si>
    <t>RailsEventStore__ecommerce-418</t>
  </si>
  <si>
    <t>https://github.com/RailsEventStore/ecommerce/issues/418</t>
  </si>
  <si>
    <t>gs://swe-bench-plus/evaluations/019b6aaf-1788-707e-b6dd-d4dc12d72279-RailsEventStore__ecommerce-418-swe-agent-claude-sonnet-4.5</t>
  </si>
  <si>
    <t>https://drive.google.com/drive/folders/1LS4_XFcdRku5g8GCetA1OSAMKEBcvCuC</t>
  </si>
  <si>
    <t>RailsEventStore/ecommerce</t>
  </si>
  <si>
    <t>RailsEventStore__ecommerce</t>
  </si>
  <si>
    <t>railslove__epics-166</t>
  </si>
  <si>
    <t>https://github.com/railslove/epics/issues/166</t>
  </si>
  <si>
    <t>gs://swe-bench-plus/evaluations/019b6aaf-1788-707e-b6dd-d4dc12d72279-railslove__epics-166-swe-agent-claude-sonnet-4.5</t>
  </si>
  <si>
    <t>https://drive.google.com/drive/folders/1xKhh3bL3M6jwlYnX7wqF_Tl-AwLojl47</t>
  </si>
  <si>
    <t>railslove/epics</t>
  </si>
  <si>
    <t>railslove__epics</t>
  </si>
  <si>
    <t>rancher__fleet-3964</t>
  </si>
  <si>
    <t>https://github.com/rancher/fleet/issues/3964</t>
  </si>
  <si>
    <t>gs://swe-bench-plus/evaluations/019a9e4b-9519-731b-a75d-8cd6bc13b0c0-rancher__fleet-3964-swe-agent-claude-sonnet-4-20250514</t>
  </si>
  <si>
    <t>https://drive.google.com/drive/folders/1Gm0mAGisFq7h-f1PzAmfi66HkC_puC4p</t>
  </si>
  <si>
    <t>rancher/fleet</t>
  </si>
  <si>
    <t>rancher__fleet</t>
  </si>
  <si>
    <t>randovania__randovania-8180</t>
  </si>
  <si>
    <t>https://github.com/randovania/randovania/issues/8180</t>
  </si>
  <si>
    <t>https://drive.google.com/drive/folders/1d6Wp-1VIOLYrr9N-xEbtEXj8h9CGdMF1</t>
  </si>
  <si>
    <t>randovania/randovania</t>
  </si>
  <si>
    <t>randovania__randovania</t>
  </si>
  <si>
    <t>raydak-labs__configarr-110</t>
  </si>
  <si>
    <t>https://github.com/raydak-labs/configarr/issues/110</t>
  </si>
  <si>
    <t>gs://swe-bench-plus/evaluations/019b6aaf-1788-707e-b6dd-d4dc12d72279-raydak-labs__configarr-110-swe-agent-claude-sonnet-4.5</t>
  </si>
  <si>
    <t>https://drive.google.com/drive/folders/131GFVWMZp6L41-w_s9qHo_mRvAM1MhsV</t>
  </si>
  <si>
    <t>raydak-labs/configarr</t>
  </si>
  <si>
    <t>raydak-labs__configarr</t>
  </si>
  <si>
    <t>raydak-labs__configarr-187</t>
  </si>
  <si>
    <t>https://github.com/raydak-labs/configarr/issues/187</t>
  </si>
  <si>
    <t>https://drive.google.com/drive/folders/1v0iuj183dNIGiXxhEGX64SPkDXghIvuF</t>
  </si>
  <si>
    <t>https://drive.google.com/drive/folders/163HjyPTCVTCXU-61lNaCkvTfaW-eTkdd</t>
  </si>
  <si>
    <t>rbardini__resumed-20</t>
  </si>
  <si>
    <t>https://github.com/rbardini/resumed/issues/20</t>
  </si>
  <si>
    <t>feature;refactor;build-ci;dependency-update</t>
  </si>
  <si>
    <t>gs://swe-bench-plus/evaluations/019b6aaf-1788-707e-b6dd-d4dc12d72279-rbardini__resumed-20-swe-agent-claude-sonnet-4.5</t>
  </si>
  <si>
    <t>https://drive.google.com/drive/folders/1lPk2kA2geUG8ZQuoLxfyQWuZTMyq7tN2</t>
  </si>
  <si>
    <t>rbardini/resumed</t>
  </si>
  <si>
    <t>rbardini__resumed</t>
  </si>
  <si>
    <t>reaviz__reablocks-312</t>
  </si>
  <si>
    <t>https://github.com/reaviz/reablocks/issues/312</t>
  </si>
  <si>
    <t>https://drive.google.com/drive/folders/1zfilzwncKezCIs6DVz5lTiRrTJGnxhOB</t>
  </si>
  <si>
    <t>https://drive.google.com/drive/folders/1IciwBXgdy9ozd-8dwxqMS74uKed7pc76</t>
  </si>
  <si>
    <t>reaviz/reablocks</t>
  </si>
  <si>
    <t>reaviz__reablocks</t>
  </si>
  <si>
    <t>recharts__recharts-6483</t>
  </si>
  <si>
    <t>https://github.com/recharts/recharts/issues/6483</t>
  </si>
  <si>
    <t>gs://swe-bench-plus/evaluations/019c66b0-e4eb-7608-b019-c1c316c79cf8-recharts__recharts-6483-swe-agent-claude-sonnet-4.5</t>
  </si>
  <si>
    <t>recharts/recharts</t>
  </si>
  <si>
    <t>recharts__recharts</t>
  </si>
  <si>
    <t>recharts__recharts-6582</t>
  </si>
  <si>
    <t>https://github.com/recharts/recharts/issues/6582</t>
  </si>
  <si>
    <t>graphics-media;webdev;devtools</t>
  </si>
  <si>
    <t>gs://swe-bench-plus/evaluations/019c66b2-8d12-718e-a308-6ab44b696b4d-recharts__recharts-6582-swe-agent-claude-sonnet-4-20250514</t>
  </si>
  <si>
    <t>https://drive.google.com/drive/folders/1nL3RfBFB80hrWRVH1Bi24hV4z-C0hClx</t>
  </si>
  <si>
    <t>recharts__recharts-6749</t>
  </si>
  <si>
    <t>https://github.com/recharts/recharts/issues/6749</t>
  </si>
  <si>
    <t>gs://swe-bench-plus/evaluations/019c66b2-8d12-718e-a308-6ab44b696b4d-recharts__recharts-6749-swe-agent-claude-sonnet-4-20250514</t>
  </si>
  <si>
    <t>https://drive.google.com/drive/folders/1vKpYz4I_82BdlvNq5KmYn7fqHcErAwl6</t>
  </si>
  <si>
    <t>recharts__recharts-5584</t>
  </si>
  <si>
    <t>https://github.com/recharts/recharts/issues/5584</t>
  </si>
  <si>
    <t>gs://swe-bench-plus/evaluations/019c66b0-e4eb-7608-b019-c1c316c79cf8-recharts__recharts-5584-swe-agent-claude-sonnet-4-20250514</t>
  </si>
  <si>
    <t>https://drive.google.com/drive/folders/1NnX9SsQm_1syOOfKMaiAdc-RKnu9KjrA</t>
  </si>
  <si>
    <t>redis-rb__redis-client-255</t>
  </si>
  <si>
    <t>https://github.com/redis-rb/redis-client/issues/255</t>
  </si>
  <si>
    <t>gs://swe-bench-plus/evaluations/019b6aaf-1788-707e-b6dd-d4dc12d72279-redis-rb__redis-client-255-swe-agent-claude-sonnet-4.5</t>
  </si>
  <si>
    <t>https://drive.google.com/drive/folders/1mqkpCRZWQp_9HNt6-8VsTzvAr3YIoLQS</t>
  </si>
  <si>
    <t>redis-rb/redis-client</t>
  </si>
  <si>
    <t>redis-rb__redis-client</t>
  </si>
  <si>
    <t>redis__lettuce-3512</t>
  </si>
  <si>
    <t>https://github.com/redis/lettuce/issues/3512</t>
  </si>
  <si>
    <t>gs://swe-bench-plus/evaluations/019c6646-ea55-7645-a600-58791210a874-redis__lettuce-3512-swe-agent-claude-sonnet-4-20250514</t>
  </si>
  <si>
    <t>https://drive.google.com/drive/folders/1zlutZ3nSWaUxHQGHFMa976HSYSeIO-hy</t>
  </si>
  <si>
    <t>redis/lettuce</t>
  </si>
  <si>
    <t>redis__lettuce</t>
  </si>
  <si>
    <t>Redocly__redocly-cli-2266</t>
  </si>
  <si>
    <t>https://github.com/Redocly/redocly-cli/issues/2266</t>
  </si>
  <si>
    <t>gs://swe-bench-plus/evaluations/019bd0bc-ca69-75d8-90e1-0b11e2a6213c-Redocly__redocly-cli-2266-swe-agent-claude-sonnet-4.5</t>
  </si>
  <si>
    <t>https://drive.google.com/drive/folders/1s3AIPEAWqa2_b1gYODFvTQsoR4teLEih</t>
  </si>
  <si>
    <t>Redocly/redocly-cli</t>
  </si>
  <si>
    <t>Redocly__redocly-cli</t>
  </si>
  <si>
    <t>rehanvdm__cdk-express-pipeline-19</t>
  </si>
  <si>
    <t>https://github.com/rehanvdm/cdk-express-pipeline/issues/19</t>
  </si>
  <si>
    <t>gs://swe-bench-plus/evaluations/019b6aaf-1788-707e-b6dd-d4dc12d72279-rehanvdm__cdk-express-pipeline-19-swe-agent-claude-sonnet-4.5</t>
  </si>
  <si>
    <t>https://drive.google.com/drive/folders/1vY_5Xc7N6VVQRZSrBMEq2JRKgpc73oHj</t>
  </si>
  <si>
    <t>rehanvdm/cdk-express-pipeline</t>
  </si>
  <si>
    <t>rehanvdm__cdk-express-pipeline</t>
  </si>
  <si>
    <t>relab__hotstuff-155</t>
  </si>
  <si>
    <t>https://github.com/relab/hotstuff/issues/155</t>
  </si>
  <si>
    <t>blockchain;sci-comp;devtools</t>
  </si>
  <si>
    <t>gs://swe-bench-plus/evaluations/019b6ab1-4e74-7019-9e81-9c96e98a145d-relab__hotstuff-155-swe-agent-claude-sonnet-4.5</t>
  </si>
  <si>
    <t>https://drive.google.com/drive/folders/1HRMKqGxJcRXPROcNfMJGGpwDoZy7YecQ</t>
  </si>
  <si>
    <t>relab/hotstuff</t>
  </si>
  <si>
    <t>relab__hotstuff</t>
  </si>
  <si>
    <t>release-it__release-it-1189</t>
  </si>
  <si>
    <t>https://github.com/release-it/release-it/issues/1189</t>
  </si>
  <si>
    <t>gs://swe-bench-plus/evaluations/019c24fa-2999-746b-a6fd-aa256611b73a-release-it__release-it-1189-swe-agent-claude-sonnet-4-20250514</t>
  </si>
  <si>
    <t>https://drive.google.com/drive/folders/1ylM3oLg6veTr8NnEWh3eMjs664FAK8Gh</t>
  </si>
  <si>
    <t>release-it/release-it</t>
  </si>
  <si>
    <t>release-it__release-it</t>
  </si>
  <si>
    <t>renatoGarcia__icecream-cpp-50</t>
  </si>
  <si>
    <t>https://github.com/renatoGarcia/icecream-cpp/issues/50</t>
  </si>
  <si>
    <t>gs://swe-bench-plus/evaluations/019a0e7c-dc48-765e-bedc-59d8f5b98a7c-renatoGarcia__icecream-cpp-50-open-hands-claude-sonnet-4-20250514</t>
  </si>
  <si>
    <t>https://drive.google.com/drive/folders/1gY6XX7bW1Rnoh5urs5zwCjwRoAkD9RJ-</t>
  </si>
  <si>
    <t>renatoGarcia/icecream-cpp</t>
  </si>
  <si>
    <t>renatoGarcia__icecream-cpp</t>
  </si>
  <si>
    <t>restatedev__sdk-typescript-598</t>
  </si>
  <si>
    <t>https://github.com/restatedev/sdk-typescript/issues/598</t>
  </si>
  <si>
    <t>bug-fix;dependency-update;feature</t>
  </si>
  <si>
    <t>https://drive.google.com/drive/folders/1-zInjXnyeh-pSshFN2WV9NkTixBkvDij</t>
  </si>
  <si>
    <t>https://drive.google.com/drive/folders/1BSYUq0iOugrnDYcNrSbNiDEstaOlsmPa</t>
  </si>
  <si>
    <t>restatedev/sdk-typescript</t>
  </si>
  <si>
    <t>restatedev__sdk-typescript</t>
  </si>
  <si>
    <t>rmurphey__claude-setup-9</t>
  </si>
  <si>
    <t>https://github.com/rmurphey/claude-setup/issues/9</t>
  </si>
  <si>
    <t>gs://swe-bench-plus/evaluations/019b6aaf-1788-707e-b6dd-d4dc12d72279-rmurphey__claude-setup-9-swe-agent-claude-sonnet-4.5</t>
  </si>
  <si>
    <t>https://drive.google.com/drive/folders/1P7D6mrRhe-leU_5f6CK72F1moPS9XAqi</t>
  </si>
  <si>
    <t>rmurphey/claude-setup</t>
  </si>
  <si>
    <t>rmurphey__claude-setup</t>
  </si>
  <si>
    <t>rnpgp__rnp-2266</t>
  </si>
  <si>
    <t>https://github.com/rnpgp/rnp/issues/2266</t>
  </si>
  <si>
    <t>gs://swe-bench-plus/evaluations/019ac7d9-d823-71ed-b728-de4931ce938c-rnpgp__rnp-2266-open-hands-claude-sonnet-4-20250514</t>
  </si>
  <si>
    <t>https://drive.google.com/drive/folders/1Z9a1nVx6Njnrtx8yG_tFd2uVgGrSub79</t>
  </si>
  <si>
    <t>rnpgp/rnp</t>
  </si>
  <si>
    <t>rnpgp__rnp</t>
  </si>
  <si>
    <t>rnwood__smtp4dev-1764</t>
  </si>
  <si>
    <t>https://github.com/rnwood/smtp4dev/issues/1764</t>
  </si>
  <si>
    <t>gs://swe-bench-plus/evaluations/019b6aa7-0380-771f-9e02-24cda0fe6639-rnwood__smtp4dev-1764-swe-agent-claude-sonnet-4.5</t>
  </si>
  <si>
    <t>https://drive.google.com/drive/folders/1xC1kn4E3inaUD7ZCEFUu76WXZpUmfjo0</t>
  </si>
  <si>
    <t>rnwood/smtp4dev</t>
  </si>
  <si>
    <t>rnwood__smtp4dev</t>
  </si>
  <si>
    <t>RoadieHQ__roadie-backstage-plugins-1744</t>
  </si>
  <si>
    <t>https://github.com/RoadieHQ/roadie-backstage-plugins/issues/1744</t>
  </si>
  <si>
    <t>bug-fix;feature;dependency-update;documentation</t>
  </si>
  <si>
    <t>gs://swe-bench-plus/evaluations/019bcea3-81e8-754a-a3b1-8821a9f9ac9b-RoadieHQ__roadie-backstage-plugins-1744-swe-agent-claude-sonnet-4.5</t>
  </si>
  <si>
    <t>https://drive.google.com/drive/folders/1pH6lrZjJXznSO-6AaqpfTWYWXGLjuemD</t>
  </si>
  <si>
    <t>RoadieHQ/roadie-backstage-plugins</t>
  </si>
  <si>
    <t>RoadieHQ__roadie-backstage-plugins</t>
  </si>
  <si>
    <t>RobotLocomotion__drake-23083</t>
  </si>
  <si>
    <t>https://github.com/RobotLocomotion/drake/issues/23083</t>
  </si>
  <si>
    <t>gs://swe-bench-plus/evaluations/019aa43f-155b-7788-8163-de539d9661dc-RobotLocomotion__drake-23083-swe-agent-claude-sonnet-4-20250514</t>
  </si>
  <si>
    <t>https://drive.google.com/drive/folders/1hnqv2V_0YaxtuACseEd_7EE-X2oFLbG0</t>
  </si>
  <si>
    <t>RobotLocomotion/drake</t>
  </si>
  <si>
    <t>RobotLocomotion__drake</t>
  </si>
  <si>
    <t>robusta-dev__holmesgpt-547</t>
  </si>
  <si>
    <t>https://github.com/robusta-dev/holmesgpt/issues/547</t>
  </si>
  <si>
    <t>https://drive.google.com/drive/folders/1xUFXfpwH67yA3ek_3N8imWV2unBgKpkr</t>
  </si>
  <si>
    <t>https://drive.google.com/drive/folders/1_S6-_ms7g6HHaCIpqoLubHaOvQ0KcDXg</t>
  </si>
  <si>
    <t>robusta-dev/holmesgpt</t>
  </si>
  <si>
    <t>robusta-dev__holmesgpt</t>
  </si>
  <si>
    <t>roc-streaming__roc-toolkit-662</t>
  </si>
  <si>
    <t>https://github.com/roc-streaming/roc-toolkit/issues/662</t>
  </si>
  <si>
    <t>gs://swe-bench-plus/evaluations/019b6aa7-0380-771f-9e02-24cda0fe6639-roc-streaming__roc-toolkit-662-swe-agent-claude-sonnet-4.5</t>
  </si>
  <si>
    <t>https://drive.google.com/drive/folders/1-9ASbdm2fLxq5YBZ8wLM36x9rmmwmVKO</t>
  </si>
  <si>
    <t>roc-streaming/roc-toolkit</t>
  </si>
  <si>
    <t>roc-streaming__roc-toolkit</t>
  </si>
  <si>
    <t>RocketPy-Team__RocketPy-597</t>
  </si>
  <si>
    <t>https://github.com/RocketPy-Team/RocketPy/issues/597</t>
  </si>
  <si>
    <t>https://drive.google.com/drive/folders/1Tj8lNBPZZ2DoL3v1ju-zW3rUyOY7fKId</t>
  </si>
  <si>
    <t>https://drive.google.com/drive/folders/1cNrdqRB66lCOMDJ0iCcbxqdzL1pybq-s</t>
  </si>
  <si>
    <t>RocketPy-Team/RocketPy</t>
  </si>
  <si>
    <t>RocketPy-Team__RocketPy</t>
  </si>
  <si>
    <t>rottytooth__Rivulet-14</t>
  </si>
  <si>
    <t>https://github.com/rottytooth/Rivulet/issues/14</t>
  </si>
  <si>
    <t>gs://swe-bench-plus/evaluations/019b0df7-ade4-70bc-89dc-2dc1c6248f76-rottytooth__Rivulet-14-swe-agent-claude-opus-4.5</t>
  </si>
  <si>
    <t>https://drive.google.com/drive/folders/1tLPOMNbLb0k0ckAuNOwsHlD-9KmaL7Ke</t>
  </si>
  <si>
    <t>rottytooth/Rivulet</t>
  </si>
  <si>
    <t>rottytooth__Rivulet</t>
  </si>
  <si>
    <t>rpoleski__MulensModel-184</t>
  </si>
  <si>
    <t>https://github.com/rpoleski/MulensModel/issues/184</t>
  </si>
  <si>
    <t>refactor;bug-fix;maintenance</t>
  </si>
  <si>
    <t>https://drive.google.com/drive/folders/1Df_hCzhfclmyOQSc5FcISqu5OHDjlazg</t>
  </si>
  <si>
    <t>https://drive.google.com/drive/folders/1ILkt5t617k9seGw-EXwPENvwLNu2PHLr</t>
  </si>
  <si>
    <t>rpoleski/MulensModel</t>
  </si>
  <si>
    <t>rpoleski__MulensModel</t>
  </si>
  <si>
    <t>rqlite__rqlite-2156</t>
  </si>
  <si>
    <t>https://github.com/rqlite/rqlite/issues/2156</t>
  </si>
  <si>
    <t>https://drive.google.com/drive/folders/1YQrGsWsEkqVY7jibsZHlgC7QcsdzBAct</t>
  </si>
  <si>
    <t>https://drive.google.com/drive/folders/1em-N7RrrGTWa-bn5NzHydYcvtHJ6ktSx</t>
  </si>
  <si>
    <t>rqlite/rqlite</t>
  </si>
  <si>
    <t>rqlite__rqlite</t>
  </si>
  <si>
    <t>rubocop__rubocop-13813</t>
  </si>
  <si>
    <t>https://github.com/rubocop/rubocop/issues/13813</t>
  </si>
  <si>
    <t>https://drive.google.com/drive/folders/18TaxwbYmU5Ux27bgj-BBry8KcNwyeaIi</t>
  </si>
  <si>
    <t>https://drive.google.com/drive/folders/1XkdKs-m-S28RpAF3IhrfkSqpkfX1SDBB</t>
  </si>
  <si>
    <t>rubocop/rubocop</t>
  </si>
  <si>
    <t>rubocop__rubocop</t>
  </si>
  <si>
    <t>rubocop__rubocop-13922</t>
  </si>
  <si>
    <t>https://github.com/rubocop/rubocop/issues/13922</t>
  </si>
  <si>
    <t>https://drive.google.com/drive/folders/19zVqxvFbyEXeB73NlcD_Yn2TXEbdlQ-Z</t>
  </si>
  <si>
    <t>https://drive.google.com/drive/folders/1pqHsu-oZPCgtd-bbuS6aKPsIBv1-IN9a</t>
  </si>
  <si>
    <t>rubocop__rubocop-14294</t>
  </si>
  <si>
    <t>https://github.com/rubocop/rubocop/issues/14294</t>
  </si>
  <si>
    <t>https://drive.google.com/drive/folders/1cNCj9rU9HpWckJ4GTiOStziYiYHU6hnH</t>
  </si>
  <si>
    <t>https://drive.google.com/drive/folders/1Re6qpcr7E7nGKAiMYsivnAQ_IEtEDOhS</t>
  </si>
  <si>
    <t>rubocop__rubocop-14305</t>
  </si>
  <si>
    <t>https://github.com/rubocop/rubocop/issues/14305</t>
  </si>
  <si>
    <t>https://drive.google.com/drive/folders/1FDP2e_xAyk5rWcVP2ABgGAyxr1ROQYIT</t>
  </si>
  <si>
    <t>https://drive.google.com/drive/folders/1C43w6JnwfTSTSQNj9CgnZSsK1JW0WbYb</t>
  </si>
  <si>
    <t>ruby__lrama-576</t>
  </si>
  <si>
    <t>https://github.com/ruby/lrama/issues/576</t>
  </si>
  <si>
    <t>gs://swe-bench-plus/evaluations/019b6aaf-1788-707e-b6dd-d4dc12d72279-ruby__lrama-576-swe-agent-claude-sonnet-4.5</t>
  </si>
  <si>
    <t>https://drive.google.com/drive/folders/1tmxcxqrv-cuiCruv0crNlqIfmnujcBhD</t>
  </si>
  <si>
    <t>ruby/lrama</t>
  </si>
  <si>
    <t>ruby__lrama</t>
  </si>
  <si>
    <t>rubyatscale__packs-165</t>
  </si>
  <si>
    <t>https://github.com/rubyatscale/packs/issues/165</t>
  </si>
  <si>
    <t>gs://swe-bench-plus/evaluations/019b6aaf-1788-707e-b6dd-d4dc12d72279-rubyatscale__packs-165-swe-agent-claude-sonnet-4.5</t>
  </si>
  <si>
    <t>https://drive.google.com/drive/folders/1C3837R0Ovak3OJ6Mn425EyueKjqWsvgW</t>
  </si>
  <si>
    <t>rubyatscale/packs</t>
  </si>
  <si>
    <t>rubyatscale__packs</t>
  </si>
  <si>
    <t>rubyforgood__human-essentials-5034</t>
  </si>
  <si>
    <t>https://github.com/rubyforgood/human-essentials/issues/5034</t>
  </si>
  <si>
    <t>gs://swe-bench-plus/evaluations/019b6aaf-1788-707e-b6dd-d4dc12d72279-rubyforgood__human-essentials-5034-swe-agent-claude-sonnet-4.5</t>
  </si>
  <si>
    <t>https://drive.google.com/drive/folders/1QcyXbrbQeK-KWqYcbZLlNm82aksMsthK</t>
  </si>
  <si>
    <t>rubyforgood/human-essentials</t>
  </si>
  <si>
    <t>rubyforgood__human-essentials</t>
  </si>
  <si>
    <t>rubyforgood__human-essentials-5122</t>
  </si>
  <si>
    <t>https://github.com/rubyforgood/human-essentials/issues/5122</t>
  </si>
  <si>
    <t>gs://swe-bench-plus/evaluations/019b6aaf-1788-707e-b6dd-d4dc12d72279-rubyforgood__human-essentials-5122-swe-agent-claude-sonnet-4.5</t>
  </si>
  <si>
    <t>https://drive.google.com/drive/folders/1AVCq06VH3CLJG9wiHRUHA98kXNoVPKhr</t>
  </si>
  <si>
    <t>rubyforgood__human-essentials-5142</t>
  </si>
  <si>
    <t>https://github.com/rubyforgood/human-essentials/issues/5142</t>
  </si>
  <si>
    <t>gs://swe-bench-plus/evaluations/019b6aaf-1788-707e-b6dd-d4dc12d72279-rubyforgood__human-essentials-5142-swe-agent-claude-sonnet-4.5</t>
  </si>
  <si>
    <t>https://drive.google.com/drive/folders/1ATyydRo9jguyTt3_7SmNtMXFSzWPFq0f</t>
  </si>
  <si>
    <t>rubyforgood__human-essentials-5209</t>
  </si>
  <si>
    <t>https://github.com/rubyforgood/human-essentials/issues/5209</t>
  </si>
  <si>
    <t>gs://swe-bench-plus/evaluations/019b6aaf-1788-707e-b6dd-d4dc12d72279-rubyforgood__human-essentials-5209-swe-agent-claude-sonnet-4.5</t>
  </si>
  <si>
    <t>https://drive.google.com/drive/folders/1U5K49R1vZ7njiv1EoCgpNAytch9N7S3h</t>
  </si>
  <si>
    <t>rubyforgood__human-essentials-5322</t>
  </si>
  <si>
    <t>https://github.com/rubyforgood/human-essentials/issues/5322</t>
  </si>
  <si>
    <t>gs://swe-bench-plus/evaluations/019b6aaf-1788-707e-b6dd-d4dc12d72279-rubyforgood__human-essentials-5322-swe-agent-claude-sonnet-4.5</t>
  </si>
  <si>
    <t>https://drive.google.com/drive/folders/17pufcYgLt7-rTvxf4wWjAmjhfbnBryBy</t>
  </si>
  <si>
    <t>run-llama__llama_index-19398</t>
  </si>
  <si>
    <t>https://github.com/run-llama/llama_index/issues/19398</t>
  </si>
  <si>
    <t>https://drive.google.com/drive/folders/11MTJlVlBiUkzhYCaSOgGj3TmEY_iCCaz</t>
  </si>
  <si>
    <t>https://drive.google.com/drive/folders/1h4WeIFdcUJYwkxhBL85gKD2emHzqQ-1T</t>
  </si>
  <si>
    <t>run-llama/llama_index</t>
  </si>
  <si>
    <t>run-llama__llama_index</t>
  </si>
  <si>
    <t>runarberg__mathup-130</t>
  </si>
  <si>
    <t>https://github.com/runarberg/mathup/issues/130</t>
  </si>
  <si>
    <t>https://drive.google.com/drive/folders/1OpAsjsR6qa6ghvanGD7TApix2QVZ2TTI</t>
  </si>
  <si>
    <t>https://drive.google.com/drive/folders/1-84C3idooxbAi6cQgpvqxe3Otevl9BVW</t>
  </si>
  <si>
    <t>runarberg/mathup</t>
  </si>
  <si>
    <t>runarberg__mathup</t>
  </si>
  <si>
    <t>rust-lang__mdBook-2626</t>
  </si>
  <si>
    <t>https://github.com/rust-lang/mdBook/issues/2626</t>
  </si>
  <si>
    <t>https://drive.google.com/drive/folders/1m05Zmh_zg8g7_Lcn1k75Wyk1sU06qu2B</t>
  </si>
  <si>
    <t>https://drive.google.com/drive/folders/1UxZ65iCelXcPwicOgaXczymE7o09tJ1j</t>
  </si>
  <si>
    <t>rust-lang/mdBook</t>
  </si>
  <si>
    <t>rust-lang__mdBook</t>
  </si>
  <si>
    <t>rust-lang__rust-analyzer-18821</t>
  </si>
  <si>
    <t>https://github.com/rust-lang/rust-analyzer/issues/18821</t>
  </si>
  <si>
    <t>https://drive.google.com/drive/folders/15HEnPIgZeNwpsxFhpJ5sZXNeOvjRnTLT</t>
  </si>
  <si>
    <t>https://drive.google.com/drive/folders/1Y0WrsIDZLj-ZOyM0SIWqzMrZz-wvMkhV</t>
  </si>
  <si>
    <t>rust-lang/rust-analyzer</t>
  </si>
  <si>
    <t>rust-lang__rust-analyzer</t>
  </si>
  <si>
    <t>rust-lang__rust-bindgen-2880</t>
  </si>
  <si>
    <t>https://github.com/rust-lang/rust-bindgen/issues/2880</t>
  </si>
  <si>
    <t>gs://swe-bench-plus/evaluations/019aeed8-5654-736c-85f3-1d2b6f133793-rust-lang__rust-bindgen-2880-swe-agent-claude-sonnet-4-20250514</t>
  </si>
  <si>
    <t>https://drive.google.com/drive/folders/1pMWz7hRum7XQz3DAOOAuvUehxrJ37ox7</t>
  </si>
  <si>
    <t>rust-lang/rust-bindgen</t>
  </si>
  <si>
    <t>rust-lang__rust-bindgen</t>
  </si>
  <si>
    <t>rwth-i6__returnn-1696</t>
  </si>
  <si>
    <t>https://github.com/rwth-i6/returnn/issues/1696</t>
  </si>
  <si>
    <t>gs://swe-bench-plus/evaluations/019a6f31-5865-7528-b3d7-dd9431bd3aac-rwth-i6__returnn-1696-swe-agent-claude-sonnet-4.5</t>
  </si>
  <si>
    <t>https://drive.google.com/drive/folders/1MffD8Ko7OUWw-_v2s540C-LoTmcXJ8hw</t>
  </si>
  <si>
    <t>rwth-i6/returnn</t>
  </si>
  <si>
    <t>rwth-i6__returnn</t>
  </si>
  <si>
    <t>sabjorn__BandcampEnhancementSuite-221</t>
  </si>
  <si>
    <t>https://github.com/sabjorn/BandcampEnhancementSuite/issues/221</t>
  </si>
  <si>
    <t>gs://swe-bench-plus/evaluations/019c66b0-e4eb-7608-b019-c1c316c79cf8-sabjorn__BandcampEnhancementSuite-221-swe-agent-claude-sonnet-4-20250514</t>
  </si>
  <si>
    <t>https://drive.google.com/drive/folders/1bg6_-W1W0mg6yUXKJjjBi8ZZmioHGOdo</t>
  </si>
  <si>
    <t>sabjorn/BandcampEnhancementSuite</t>
  </si>
  <si>
    <t>sabjorn__BandcampEnhancementSuite</t>
  </si>
  <si>
    <t>sabjorn__BandcampEnhancementSuite-219</t>
  </si>
  <si>
    <t>https://github.com/sabjorn/BandcampEnhancementSuite/issues/219</t>
  </si>
  <si>
    <t>gs://swe-bench-plus/evaluations/019c66b0-e4eb-7608-b019-c1c316c79cf8-sabjorn__BandcampEnhancementSuite-219-swe-agent-claude-sonnet-4-20250514</t>
  </si>
  <si>
    <t>https://drive.google.com/drive/folders/1cxud9qAvWIDuihnO51LW620eKu97vkeG</t>
  </si>
  <si>
    <t>sabjorn__BandcampEnhancementSuite-220</t>
  </si>
  <si>
    <t>https://github.com/sabjorn/BandcampEnhancementSuite/issues/220</t>
  </si>
  <si>
    <t>gs://swe-bench-plus/evaluations/019c66b0-e4eb-7608-b019-c1c316c79cf8-sabjorn__BandcampEnhancementSuite-220-swe-agent-claude-sonnet-4.5</t>
  </si>
  <si>
    <t>https://drive.google.com/drive/folders/1dPpgYRb96bAG1SxlKoTNtj_gOwI7GKxL</t>
  </si>
  <si>
    <t>Sage__carbon-7044</t>
  </si>
  <si>
    <t>https://github.com/Sage/carbon/issues/7044</t>
  </si>
  <si>
    <t>gs://swe-bench-plus/evaluations/019c66b2-2d90-7260-9966-4e0d0d7a99cf-Sage__carbon-7044-swe-agent-claude-sonnet-4-20250514</t>
  </si>
  <si>
    <t>https://drive.google.com/drive/folders/1diNj_9g6iMJoz9Kjo6sJGILoGBgJOtjk</t>
  </si>
  <si>
    <t>Sage/carbon</t>
  </si>
  <si>
    <t>Sage__carbon</t>
  </si>
  <si>
    <t>sahat__hackathon-starter-1461</t>
  </si>
  <si>
    <t>https://github.com/sahat/hackathon-starter/issues/1461</t>
  </si>
  <si>
    <t>dependency-update;refactor;maintenance;documentation</t>
  </si>
  <si>
    <t>gs://swe-bench-plus/evaluations/019c66b1-bd4e-7643-afea-a37a8233f456-sahat__hackathon-starter-1461-swe-agent-claude-sonnet-4-20250514</t>
  </si>
  <si>
    <t>sahat/hackathon-starter</t>
  </si>
  <si>
    <t>sahat__hackathon-starter</t>
  </si>
  <si>
    <t>saiv43__task-queue-rs-4</t>
  </si>
  <si>
    <t>https://github.com/saiv43/task-queue-rs/issues/4</t>
  </si>
  <si>
    <t>gs://swe-bench-plus/evaluations/019b6aaf-1788-707e-b6dd-d4dc12d72279-saiv43__task-queue-rs-4-swe-agent-claude-sonnet-4.5</t>
  </si>
  <si>
    <t>https://drive.google.com/drive/folders/1gjssI7IJaNe1Y1MsBWGytEFdRwCP7mV0</t>
  </si>
  <si>
    <t>saiv43/task-queue-rs</t>
  </si>
  <si>
    <t>saiv43__task-queue-rs</t>
  </si>
  <si>
    <t>saiv43__task-queue-rs-2</t>
  </si>
  <si>
    <t>https://github.com/saiv43/task-queue-rs/issues/2</t>
  </si>
  <si>
    <t>gs://swe-bench-plus/evaluations/019b6aaf-1788-707e-b6dd-d4dc12d72279-saiv43__task-queue-rs-2-swe-agent-claude-sonnet-4.5</t>
  </si>
  <si>
    <t>https://drive.google.com/drive/folders/1SpSZjguiSCDqFQFlaZUE0sMKyYV9pDsQ</t>
  </si>
  <si>
    <t>saiv43__task-queue-rs-8</t>
  </si>
  <si>
    <t>https://github.com/saiv43/task-queue-rs/issues/8</t>
  </si>
  <si>
    <t>gs://swe-bench-plus/evaluations/019b6ab1-4e74-7019-9e81-9c96e98a145d-saiv43__task-queue-rs-8-swe-agent-claude-sonnet-4.5</t>
  </si>
  <si>
    <t>https://drive.google.com/drive/folders/1wA7V6WYGctCpbdcqZb68hXeAC3KG93_9</t>
  </si>
  <si>
    <t>sakhnevych__calendar-view-39</t>
  </si>
  <si>
    <t>https://github.com/sakhnevych/calendar-view/issues/39</t>
  </si>
  <si>
    <t>https://drive.google.com/drive/folders/1QwVJQ3FU0XPufX8RKZ1-IR8hps_iffoQ</t>
  </si>
  <si>
    <t>https://drive.google.com/drive/folders/1ZICZuEm_GO4rvl3F2z8mYyfrSzsm5B3G</t>
  </si>
  <si>
    <t>sakhnevych/calendar-view</t>
  </si>
  <si>
    <t>sakhnevych__calendar-view</t>
  </si>
  <si>
    <t>salihcantekin__Space-31</t>
  </si>
  <si>
    <t>https://github.com/salihcantekin/Space/issues/31</t>
  </si>
  <si>
    <t>gs://swe-bench-plus/evaluations/019b6aa7-0380-771f-9e02-24cda0fe6639-salihcantekin__Space-31-swe-agent-claude-sonnet-4.5</t>
  </si>
  <si>
    <t>https://drive.google.com/drive/folders/1gx409JRNyoz1-9vzNQnT1P8TZ7VhZP43</t>
  </si>
  <si>
    <t>salihcantekin/Space</t>
  </si>
  <si>
    <t>salihcantekin__Space</t>
  </si>
  <si>
    <t>salihcantekin__Space-49</t>
  </si>
  <si>
    <t>https://github.com/salihcantekin/Space/issues/49</t>
  </si>
  <si>
    <t>gs://swe-bench-plus/evaluations/019b6aa7-0380-771f-9e02-24cda0fe6639-salihcantekin__Space-49-swe-agent-claude-sonnet-4.5</t>
  </si>
  <si>
    <t>https://drive.google.com/drive/folders/1tanN4DThzU4kyP82xRIzirtvv_DQyRzo</t>
  </si>
  <si>
    <t>samanhappy__mcphub-295</t>
  </si>
  <si>
    <t>https://github.com/samanhappy/mcphub/issues/295</t>
  </si>
  <si>
    <t>https://drive.google.com/drive/folders/1LefFPzvetBYF_HeCGIYeWlF0E60inGvT</t>
  </si>
  <si>
    <t>https://drive.google.com/drive/folders/1hKaXlF4p1mlhFInG8zNi9ItiOvBGYNCi</t>
  </si>
  <si>
    <t>samanhappy/mcphub</t>
  </si>
  <si>
    <t>samanhappy__mcphub</t>
  </si>
  <si>
    <t>sandwichfarm__hyprlax-7</t>
  </si>
  <si>
    <t>https://github.com/sandwichfarm/hyprlax/issues/7</t>
  </si>
  <si>
    <t>feature;build-ci;documentation;maintenance</t>
  </si>
  <si>
    <t>gs://swe-bench-plus/evaluations/019b6aa7-0380-771f-9e02-24cda0fe6639-sandwichfarm__hyprlax-7-swe-agent-claude-sonnet-4.5</t>
  </si>
  <si>
    <t>https://drive.google.com/drive/folders/1unrQmXEudiBl-A0hLvN3I7B-9-7B79g3</t>
  </si>
  <si>
    <t>sandwichfarm/hyprlax</t>
  </si>
  <si>
    <t>sandwichfarm__hyprlax</t>
  </si>
  <si>
    <t>sanger__sequencescape-4676</t>
  </si>
  <si>
    <t>https://github.com/sanger/sequencescape/issues/4676</t>
  </si>
  <si>
    <t>applications;sci-comp</t>
  </si>
  <si>
    <t>gs://swe-bench-plus/evaluations/019b6aaf-1788-707e-b6dd-d4dc12d72279-sanger__sequencescape-4676-swe-agent-claude-sonnet-4.5</t>
  </si>
  <si>
    <t>https://drive.google.com/drive/folders/1urWGhd9_uQNoJP0LTLfbp_LaDP4HOoAA</t>
  </si>
  <si>
    <t>sanger/sequencescape</t>
  </si>
  <si>
    <t>sanger__sequencescape</t>
  </si>
  <si>
    <t>sanity-io__visual-editing-2479</t>
  </si>
  <si>
    <t>https://github.com/sanity-io/visual-editing/issues/2479</t>
  </si>
  <si>
    <t>gs://swe-bench-plus/evaluations/019b6aaf-1788-707e-b6dd-d4dc12d72279-sanity-io__visual-editing-2479-swe-agent-claude-sonnet-4.5</t>
  </si>
  <si>
    <t>https://drive.google.com/drive/folders/1VpJrgcEEO9Ag7cB5YWJLu9W0juYDxu2q</t>
  </si>
  <si>
    <t>sanity-io/visual-editing</t>
  </si>
  <si>
    <t>sanity-io__visual-editing</t>
  </si>
  <si>
    <t>SAP__open-ux-tools-2764</t>
  </si>
  <si>
    <t>https://github.com/SAP/open-ux-tools/issues/2764</t>
  </si>
  <si>
    <t>gs://swe-bench-plus/evaluations/019c66b0-e4eb-7608-b019-c1c316c79cf8-SAP__open-ux-tools-2764-swe-agent-claude-sonnet-4-20250514</t>
  </si>
  <si>
    <t>https://drive.google.com/drive/folders/1mPbnry5yddn9kE_TKPsKeNPaRsClXRiP</t>
  </si>
  <si>
    <t>SAP/open-ux-tools</t>
  </si>
  <si>
    <t>SAP__open-ux-tools</t>
  </si>
  <si>
    <t>SAP__open-ux-tools-3018</t>
  </si>
  <si>
    <t>https://github.com/SAP/open-ux-tools/issues/3018</t>
  </si>
  <si>
    <t>gs://swe-bench-plus/evaluations/019c66b0-e4eb-7608-b019-c1c316c79cf8-SAP__open-ux-tools-3018-swe-agent-claude-sonnet-4-20250514</t>
  </si>
  <si>
    <t>https://drive.google.com/drive/folders/16YSbZtgy5oUaKsgxMstjwQo1AC8W74aG</t>
  </si>
  <si>
    <t>saphyr-rs__saphyr-47</t>
  </si>
  <si>
    <t>https://github.com/saphyr-rs/saphyr/issues/47</t>
  </si>
  <si>
    <t>gs://swe-bench-plus/evaluations/019b06be-e158-75e3-bc3e-1e0574eebf73-saphyr-rs__saphyr-47-swe-agent-claude-sonnet-4.5</t>
  </si>
  <si>
    <t>https://drive.google.com/drive/folders/1V7lx5Enx61s5miExUewSzO_i_eZHeH7q</t>
  </si>
  <si>
    <t>saphyr-rs/saphyr</t>
  </si>
  <si>
    <t>saphyr-rs__saphyr</t>
  </si>
  <si>
    <t>sapientpants__sonarqube-mcp-server-139</t>
  </si>
  <si>
    <t>https://github.com/sapientpants/sonarqube-mcp-server/issues/139</t>
  </si>
  <si>
    <t>https://drive.google.com/drive/folders/1kTMgHgu0DwoIk0WAHL-NjJsCYRFZxxKM</t>
  </si>
  <si>
    <t>sapientpants/sonarqube-mcp-server</t>
  </si>
  <si>
    <t>sapientpants__sonarqube-mcp-server</t>
  </si>
  <si>
    <t>sblibs__pySwitchbot-397</t>
  </si>
  <si>
    <t>https://github.com/sblibs/pySwitchbot/issues/397</t>
  </si>
  <si>
    <t>gs://swe-bench-plus/evaluations/019a11d0-17d3-730b-bffc-06f187eef661-sblibs__pySwitchbot-397-swe-agent-claude-sonnet-4-20250514</t>
  </si>
  <si>
    <t>https://drive.google.com/drive/folders/1iiHktZCKESV22EJpRGeYnp1ZtcICAB5S</t>
  </si>
  <si>
    <t>sblibs/pySwitchbot</t>
  </si>
  <si>
    <t>sblibs__pySwitchbot</t>
  </si>
  <si>
    <t>scalecube__scalecube-services-947</t>
  </si>
  <si>
    <t>https://github.com/scalecube/scalecube-services/issues/947</t>
  </si>
  <si>
    <t>gs://swe-bench-plus/evaluations/019b3c26-16fe-7517-9031-f89dfd2f980c-scalecube__scalecube-services-947-swe-agent-claude-sonnet-4-20250514</t>
  </si>
  <si>
    <t>scalecube/scalecube-services</t>
  </si>
  <si>
    <t>scalecube__scalecube-services</t>
  </si>
  <si>
    <t>SciCompMod__memilio-1198</t>
  </si>
  <si>
    <t>https://github.com/SciCompMod/memilio/issues/1198</t>
  </si>
  <si>
    <t>gs://swe-bench-plus/evaluations/019b6aa7-0380-771f-9e02-24cda0fe6639-SciCompMod__memilio-1198-swe-agent-claude-sonnet-4.5</t>
  </si>
  <si>
    <t>https://drive.google.com/drive/folders/1qsqTvYomrRwh7Txz48fGK0pftuBwbGpU</t>
  </si>
  <si>
    <t>SciCompMod/memilio</t>
  </si>
  <si>
    <t>SciCompMod__memilio</t>
  </si>
  <si>
    <t>SciCompMod__memilio-954</t>
  </si>
  <si>
    <t>https://github.com/SciCompMod/memilio/issues/954</t>
  </si>
  <si>
    <t>gs://swe-bench-plus/evaluations/019b6aa7-0380-771f-9e02-24cda0fe6639-SciCompMod__memilio-954-swe-agent-claude-sonnet-4.5</t>
  </si>
  <si>
    <t>https://drive.google.com/drive/folders/1tQpK-3riLd9ZNBRsGdWg8vVlwpGnV01s</t>
  </si>
  <si>
    <t>SciCompMod__memilio-1179</t>
  </si>
  <si>
    <t>https://github.com/SciCompMod/memilio/issues/1179</t>
  </si>
  <si>
    <t>gs://swe-bench-plus/evaluations/019b06b8-5347-7669-9f51-4e4681f5c848-SciCompMod__memilio-1179-swe-agent-claude-sonnet-4.5</t>
  </si>
  <si>
    <t>https://drive.google.com/drive/folders/1AirGkj0yfcjZ-5JVwwqydbO_uFb53cni</t>
  </si>
  <si>
    <t>SciCompMod__memilio-952</t>
  </si>
  <si>
    <t>https://github.com/SciCompMod/memilio/issues/952</t>
  </si>
  <si>
    <t>gs://swe-bench-plus/evaluations/019b6aa7-0380-771f-9e02-24cda0fe6639-SciCompMod__memilio-952-swe-agent-claude-sonnet-4.5</t>
  </si>
  <si>
    <t>https://drive.google.com/drive/folders/16kjuEssO5Hx6lHTsvMYTle7iQ4C4_yaa</t>
  </si>
  <si>
    <t>scikit-learn__scikit-learn-29319</t>
  </si>
  <si>
    <t>https://github.com/scikit-learn/scikit-learn/issues/29319</t>
  </si>
  <si>
    <t>https://drive.google.com/drive/folders/15bmQ7pvgtPFtguHcp67XL25hfIeSz_va</t>
  </si>
  <si>
    <t>https://drive.google.com/drive/folders/15IsxKy3iI7mBLTf8QWxGZoE5Nur_hu5e</t>
  </si>
  <si>
    <t>scikit-learn/scikit-learn</t>
  </si>
  <si>
    <t>scikit-learn__scikit-learn</t>
  </si>
  <si>
    <t>scionproto__scion-4782</t>
  </si>
  <si>
    <t>https://github.com/scionproto/scion/issues/4782</t>
  </si>
  <si>
    <t>gs://swe-bench-plus/evaluations/019b6ab1-4e74-7019-9e81-9c96e98a145d-scionproto__scion-4782-swe-agent-claude-sonnet-4.5</t>
  </si>
  <si>
    <t>https://drive.google.com/drive/folders/1EVzAsjc7fH4Oaq1iy4JhT80bLp4PXkRO</t>
  </si>
  <si>
    <t>scionproto/scion</t>
  </si>
  <si>
    <t>scionproto__scion</t>
  </si>
  <si>
    <t>SciTools__iris-6195</t>
  </si>
  <si>
    <t>https://github.com/SciTools/iris/issues/6195</t>
  </si>
  <si>
    <t>dependency-update;build-ci;bug-fix;maintenance</t>
  </si>
  <si>
    <t>https://drive.google.com/drive/folders/1B6Hje82HJYKJsurNXemOU5gH_6spikNt</t>
  </si>
  <si>
    <t>https://drive.google.com/drive/folders/1HBBQXJn7toe3d3V13UeGELtv22frrWFp</t>
  </si>
  <si>
    <t>SciTools/iris</t>
  </si>
  <si>
    <t>SciTools__iris</t>
  </si>
  <si>
    <t>Scony__godot-gdscript-toolkit-388</t>
  </si>
  <si>
    <t>https://github.com/Scony/godot-gdscript-toolkit/issues/388</t>
  </si>
  <si>
    <t>gs://swe-bench-plus/evaluations/019a6f31-5865-7528-b3d7-dd9431bd3aac-Scony__godot-gdscript-toolkit-388-swe-agent-claude-sonnet-4.5</t>
  </si>
  <si>
    <t>https://drive.google.com/drive/folders/1WMAYZFv7gCPrRRMIQE8Z3F9GgBoMW5uh</t>
  </si>
  <si>
    <t>Scony/godot-gdscript-toolkit</t>
  </si>
  <si>
    <t>Scony__godot-gdscript-toolkit</t>
  </si>
  <si>
    <t>scylladb__scylla-manager-4213</t>
  </si>
  <si>
    <t>https://github.com/scylladb/scylla-manager/issues/4213</t>
  </si>
  <si>
    <t>gs://swe-bench-plus/evaluations/019b6aa7-0380-771f-9e02-24cda0fe6639-scylladb__scylla-manager-4213-swe-agent-claude-sonnet-4.5</t>
  </si>
  <si>
    <t>https://drive.google.com/drive/folders/1Q-SXtbX2HySzFDe3oFtTdrhIofciGdon</t>
  </si>
  <si>
    <t>scylladb/scylla-manager</t>
  </si>
  <si>
    <t>scylladb__scylla-manager</t>
  </si>
  <si>
    <t>sdatkinson__neural-amp-modeler-547</t>
  </si>
  <si>
    <t>https://github.com/sdatkinson/neural-amp-modeler/issues/547</t>
  </si>
  <si>
    <t>ai-ml;graphics-media;sci-comp</t>
  </si>
  <si>
    <t>https://drive.google.com/drive/folders/1fQVBI12LfNJXTYMlE4SMjPQP1h_9F-nJ</t>
  </si>
  <si>
    <t>https://drive.google.com/drive/folders/1RnMvs2L_KvKl3J1qM8woTh8Y9asGlg4u</t>
  </si>
  <si>
    <t>sdatkinson/neural-amp-modeler</t>
  </si>
  <si>
    <t>sdatkinson__neural-amp-modeler</t>
  </si>
  <si>
    <t>sdatkinson__neural-amp-modeler-533</t>
  </si>
  <si>
    <t>https://github.com/sdatkinson/neural-amp-modeler/issues/533</t>
  </si>
  <si>
    <t>ai-ml;applications;graphics-media</t>
  </si>
  <si>
    <t>bug-report;chore;documentation</t>
  </si>
  <si>
    <t>https://drive.google.com/drive/folders/14mZRTdKKvB5TOTQ87BzWPczSVfhfmkmA</t>
  </si>
  <si>
    <t>sdv-dev__RDT-933</t>
  </si>
  <si>
    <t>https://github.com/sdv-dev/RDT/issues/933</t>
  </si>
  <si>
    <t>https://drive.google.com/drive/folders/1qgrHIaiDlg09H6kEesKiVvbSLXrj4nzP</t>
  </si>
  <si>
    <t>https://drive.google.com/drive/folders/1DPRAjMQbm425JFa8l_FbMwiuEFFCs7Lw</t>
  </si>
  <si>
    <t>sdv-dev/RDT</t>
  </si>
  <si>
    <t>sdv-dev__RDT</t>
  </si>
  <si>
    <t>sdv-dev__SDGym-360</t>
  </si>
  <si>
    <t>https://github.com/sdv-dev/SDGym/issues/360</t>
  </si>
  <si>
    <t>https://drive.google.com/drive/folders/1xqrAfk4GSKEXDLjopU4wlKIVg6zAQV4S</t>
  </si>
  <si>
    <t>sdv-dev/SDGym</t>
  </si>
  <si>
    <t>sdv-dev__SDGym</t>
  </si>
  <si>
    <t>sdv-dev__SDMetrics-702</t>
  </si>
  <si>
    <t>https://github.com/sdv-dev/SDMetrics/issues/702</t>
  </si>
  <si>
    <t>gs://swe-bench-plus/evaluations/019a6f31-ddce-766c-944f-e4445d37996d-sdv-dev__SDMetrics-702-swe-agent-claude-sonnet-4.5</t>
  </si>
  <si>
    <t>https://drive.google.com/drive/folders/1VbLV1rVoOQz0kkQQSTTXApDISYebfCE4</t>
  </si>
  <si>
    <t>sdv-dev/SDMetrics</t>
  </si>
  <si>
    <t>sdv-dev__SDMetrics</t>
  </si>
  <si>
    <t>SeaQL__sea-query-859</t>
  </si>
  <si>
    <t>https://github.com/SeaQL/sea-query/issues/859</t>
  </si>
  <si>
    <t>gs://swe-bench-plus/evaluations/019a6ebd-83c1-77e0-8232-17c9935d310f-SeaQL__sea-query-859-swe-agent-claude-sonnet-4.5</t>
  </si>
  <si>
    <t>SeaQL/sea-query</t>
  </si>
  <si>
    <t>SeaQL__sea-query</t>
  </si>
  <si>
    <t>seladb__PcapPlusPlus-1747</t>
  </si>
  <si>
    <t>https://github.com/seladb/PcapPlusPlus/issues/1747</t>
  </si>
  <si>
    <t>gs://swe-bench-plus/evaluations/019a8f51-4621-711a-ad6b-50abcd4c4d65-seladb__PcapPlusPlus-1747-open-hands-claude-sonnet-4-20250514</t>
  </si>
  <si>
    <t>https://drive.google.com/drive/folders/1lGu0MRTCpGC8ZC0OoyEQgb3hnwbGtyj5</t>
  </si>
  <si>
    <t>seladb/PcapPlusPlus</t>
  </si>
  <si>
    <t>seladb__PcapPlusPlus</t>
  </si>
  <si>
    <t>semantic-release__semantic-release-3980</t>
  </si>
  <si>
    <t>https://github.com/semantic-release/semantic-release/issues/3980</t>
  </si>
  <si>
    <t>gs://swe-bench-plus/evaluations/019c39f2-7076-752c-a206-124dcece347d-semantic-release__semantic-release-3980-swe-agent-claude-sonnet-4.5</t>
  </si>
  <si>
    <t>https://drive.google.com/drive/folders/1v6VPFC6qjF1iKsQGScpj3uYH_8UZG1I9</t>
  </si>
  <si>
    <t>semantic-release/semantic-release</t>
  </si>
  <si>
    <t>semantic-release__semantic-release</t>
  </si>
  <si>
    <t>sendou-ink__sendou.ink-2527</t>
  </si>
  <si>
    <t>https://github.com/sendou-ink/sendou.ink/issues/2527</t>
  </si>
  <si>
    <t>gs://swe-bench-plus/evaluations/019b6aaf-1788-707e-b6dd-d4dc12d72279-sendou-ink__sendou.ink-2527-swe-agent-claude-sonnet-4.5</t>
  </si>
  <si>
    <t>https://drive.google.com/drive/folders/1JixQzc9BMJSOi23NXerKA8o8NnQdVJLL</t>
  </si>
  <si>
    <t>sendou-ink/sendou.ink</t>
  </si>
  <si>
    <t>sendou-ink__sendou.ink</t>
  </si>
  <si>
    <t>seqan__seqan3-3254</t>
  </si>
  <si>
    <t>https://github.com/seqan/seqan3/issues/3254</t>
  </si>
  <si>
    <t>gs://swe-bench-plus/evaluations/019b6ab1-4e74-7019-9e81-9c96e98a145d-seqan__seqan3-3254-swe-agent-claude-sonnet-4.5</t>
  </si>
  <si>
    <t>https://drive.google.com/drive/folders/15kd-ze-HOnqPb6_yyT5q5-VIll7iJayy</t>
  </si>
  <si>
    <t>seqan/seqan3</t>
  </si>
  <si>
    <t>seqan__seqan3</t>
  </si>
  <si>
    <t>sergiobayona__easy_talk-51</t>
  </si>
  <si>
    <t>https://github.com/sergiobayona/easy_talk/issues/51</t>
  </si>
  <si>
    <t>gs://swe-bench-plus/evaluations/019b6aaf-1788-707e-b6dd-d4dc12d72279-sergiobayona__easy_talk-51-swe-agent-claude-sonnet-4.5</t>
  </si>
  <si>
    <t>https://drive.google.com/drive/folders/1uPxEFNcohPOYtdmpCZVt3_IEVQNdElIh</t>
  </si>
  <si>
    <t>sergiobayona/easy_talk</t>
  </si>
  <si>
    <t>sergiobayona__easy_talk</t>
  </si>
  <si>
    <t>ServiceNow__Fast-LLM-223</t>
  </si>
  <si>
    <t>https://github.com/ServiceNow/Fast-LLM/issues/223</t>
  </si>
  <si>
    <t>https://drive.google.com/drive/folders/1TxHe0pxyNY8Uqcc6NKG0ejtHkyNkp8X9</t>
  </si>
  <si>
    <t>https://drive.google.com/drive/folders/18T9gfdpDgcXTdfbrckzMvnDCMRKBZ6a0</t>
  </si>
  <si>
    <t>ServiceNow/Fast-LLM</t>
  </si>
  <si>
    <t>ServiceNow__Fast-LLM</t>
  </si>
  <si>
    <t>SFML__SFML-2885</t>
  </si>
  <si>
    <t>https://github.com/SFML/SFML/issues/2885</t>
  </si>
  <si>
    <t>https://drive.google.com/drive/folders/1L6S4I3dN9z4BGIYiGFuk2sPx9TlyM7Fg</t>
  </si>
  <si>
    <t>https://drive.google.com/drive/folders/1z22i_lPdtCTHjFSqNr-hQ70eyWqS-g1E</t>
  </si>
  <si>
    <t>SFML/SFML</t>
  </si>
  <si>
    <t>SFML__SFML</t>
  </si>
  <si>
    <t>shaka-project__shaka-packager-1384</t>
  </si>
  <si>
    <t>https://github.com/shaka-project/shaka-packager/issues/1384</t>
  </si>
  <si>
    <t>graphics-media;security;devtools</t>
  </si>
  <si>
    <t>https://drive.google.com/drive/folders/1AfFTiqHkh8d_Q-_nyk-WdgJMwnaH7sP0</t>
  </si>
  <si>
    <t>https://drive.google.com/drive/folders/1KncTV0HIPkbR0ZgFfFU4M8YRN0J-FcSQ</t>
  </si>
  <si>
    <t>shaka-project/shaka-packager</t>
  </si>
  <si>
    <t>shaka-project__shaka-packager</t>
  </si>
  <si>
    <t>shaka-project__shaka-player-9198</t>
  </si>
  <si>
    <t>https://github.com/shaka-project/shaka-player/issues/9198</t>
  </si>
  <si>
    <t>gs://swe-bench-plus/evaluations/019c63b1-15ab-7760-bf2b-eb9de4f790e3-shaka-project__shaka-player-9198-swe-agent-claude-sonnet-4-20250514</t>
  </si>
  <si>
    <t>shaka-project/shaka-player</t>
  </si>
  <si>
    <t>shaka-project__shaka-player</t>
  </si>
  <si>
    <t>shaka-project__shaka-player-8945</t>
  </si>
  <si>
    <t>https://github.com/shaka-project/shaka-player/issues/8945</t>
  </si>
  <si>
    <t>gs://swe-bench-plus/evaluations/019c63b1-15ab-7760-bf2b-eb9de4f790e3-shaka-project__shaka-player-8945-swe-agent-claude-sonnet-4-20250514</t>
  </si>
  <si>
    <t>shapely__shapely-1690</t>
  </si>
  <si>
    <t>https://github.com/shapely/shapely/issues/1690</t>
  </si>
  <si>
    <t>https://drive.google.com/drive/folders/1CTEPYVN9Ki0Y0hSBpivs9K0FBDdHeBj0</t>
  </si>
  <si>
    <t>https://drive.google.com/drive/folders/1UTIfwcpLhTZZHa56FQbOXf6ZR7Vx6Fdc</t>
  </si>
  <si>
    <t>shapely/shapely</t>
  </si>
  <si>
    <t>shapely__shapely</t>
  </si>
  <si>
    <t>SharedType__sharedtype-96</t>
  </si>
  <si>
    <t>https://github.com/SharedType/sharedtype/issues/96</t>
  </si>
  <si>
    <t>gs://swe-bench-plus/evaluations/019b6ab1-4e74-7019-9e81-9c96e98a145d-SharedType__sharedtype-96-swe-agent-claude-sonnet-4.5</t>
  </si>
  <si>
    <t>https://drive.google.com/drive/folders/1ZqdApH0VzBtzfRfulAl5uYhvdgKRadRJ</t>
  </si>
  <si>
    <t>SharedType/sharedtype</t>
  </si>
  <si>
    <t>SharedType__sharedtype</t>
  </si>
  <si>
    <t>SharedType__sharedtype-101</t>
  </si>
  <si>
    <t>https://github.com/SharedType/sharedtype/issues/101</t>
  </si>
  <si>
    <t>gs://swe-bench-plus/evaluations/019b6aaf-1788-707e-b6dd-d4dc12d72279-SharedType__sharedtype-101-swe-agent-claude-sonnet-4.5</t>
  </si>
  <si>
    <t>https://drive.google.com/drive/folders/1TvShMTv6hal7dBGgbl8pBqg2BjEi-Au0</t>
  </si>
  <si>
    <t>SharedType__sharedtype-79</t>
  </si>
  <si>
    <t>https://github.com/SharedType/sharedtype/issues/79</t>
  </si>
  <si>
    <t>gs://swe-bench-plus/evaluations/019b6aaf-1788-707e-b6dd-d4dc12d72279-SharedType__sharedtype-79-swe-agent-claude-sonnet-4.5</t>
  </si>
  <si>
    <t>https://drive.google.com/drive/folders/19fLGVdmcb_PJVsp8t6GvCdgmzs-SMZwt</t>
  </si>
  <si>
    <t>Shelf-nu__shelf.nu-1961</t>
  </si>
  <si>
    <t>https://github.com/Shelf-nu/shelf.nu/issues/1961</t>
  </si>
  <si>
    <t>gs://swe-bench-plus/evaluations/019b6aaf-1788-707e-b6dd-d4dc12d72279-Shelf-nu__shelf.nu-1961-swe-agent-claude-sonnet-4.5</t>
  </si>
  <si>
    <t>https://drive.google.com/drive/folders/1mFlnk9bTDwgem5RR5i28lEtiTC1W8gJF</t>
  </si>
  <si>
    <t>Shelf-nu/shelf.nu</t>
  </si>
  <si>
    <t>Shelf-nu__shelf.nu</t>
  </si>
  <si>
    <t>shepmaster__snafu-489</t>
  </si>
  <si>
    <t>https://github.com/shepmaster/snafu/issues/489</t>
  </si>
  <si>
    <t>gs://swe-bench-plus/evaluations/019a8f58-c516-722e-bb34-fa7546d3155d-shepmaster__snafu-489-open-hands-claude-sonnet-4-20250514</t>
  </si>
  <si>
    <t>https://drive.google.com/drive/folders/1zWkN8btNtxDXD2BdIJMRux9tAVbrDoVR</t>
  </si>
  <si>
    <t>shepmaster/snafu</t>
  </si>
  <si>
    <t>shepmaster__snafu</t>
  </si>
  <si>
    <t>Shopify__roast-322</t>
  </si>
  <si>
    <t>https://github.com/Shopify/roast/issues/322</t>
  </si>
  <si>
    <t>gs://swe-bench-plus/evaluations/019b6aaf-1788-707e-b6dd-d4dc12d72279-Shopify__roast-322-swe-agent-claude-sonnet-4.5</t>
  </si>
  <si>
    <t>https://drive.google.com/drive/folders/1zHbSTWkrmgcu4gS18NI2aMqAONsWDV_Q</t>
  </si>
  <si>
    <t>Shopify/roast</t>
  </si>
  <si>
    <t>Shopify__roast</t>
  </si>
  <si>
    <t>Shopify__rubocop-sorbet-312</t>
  </si>
  <si>
    <t>https://github.com/Shopify/rubocop-sorbet/issues/312</t>
  </si>
  <si>
    <t>gs://swe-bench-plus/evaluations/019b6aaf-1788-707e-b6dd-d4dc12d72279-Shopify__rubocop-sorbet-312-swe-agent-claude-sonnet-4.5</t>
  </si>
  <si>
    <t>https://drive.google.com/drive/folders/1uA4PmwVJlDEsNnLRPJS1BamSezLf9zZ4</t>
  </si>
  <si>
    <t>Shopify/rubocop-sorbet</t>
  </si>
  <si>
    <t>Shopify__rubocop-sorbet</t>
  </si>
  <si>
    <t>siderolabs__image-factory-210</t>
  </si>
  <si>
    <t>https://github.com/siderolabs/image-factory/issues/210</t>
  </si>
  <si>
    <t>gs://swe-bench-plus/evaluations/019b6aa7-0380-771f-9e02-24cda0fe6639-siderolabs__image-factory-210-swe-agent-claude-sonnet-4.5</t>
  </si>
  <si>
    <t>https://drive.google.com/drive/folders/1avdco3TuPqv6bCI4SmXtQdORIXQm5HlR</t>
  </si>
  <si>
    <t>siderolabs/image-factory</t>
  </si>
  <si>
    <t>siderolabs__image-factory</t>
  </si>
  <si>
    <t>siderolabs__talos-11137</t>
  </si>
  <si>
    <t>https://github.com/siderolabs/talos/issues/11137</t>
  </si>
  <si>
    <t>performance;maintenance;refactor</t>
  </si>
  <si>
    <t>https://drive.google.com/drive/folders/1_HoxhiODA0bM03ISAnslagR2PwA9eWdF</t>
  </si>
  <si>
    <t>https://drive.google.com/drive/folders/1rd2ldSZY-3HN-gDNRovGnK3XYLl8RWcC</t>
  </si>
  <si>
    <t>siderolabs/talos</t>
  </si>
  <si>
    <t>siderolabs__talos</t>
  </si>
  <si>
    <t>siderolabs__talos-11965</t>
  </si>
  <si>
    <t>https://github.com/siderolabs/talos/issues/11965</t>
  </si>
  <si>
    <t>gs://swe-bench-plus/evaluations/019a9e4c-57cf-7264-8894-a01af778362d-siderolabs__talos-11965-swe-agent-claude-sonnet-4-20250514</t>
  </si>
  <si>
    <t>https://drive.google.com/drive/folders/16V8p5Zh6FcSw683_R5hUl-ZikqizJg6f</t>
  </si>
  <si>
    <t>siderolabs__talos-11485</t>
  </si>
  <si>
    <t>https://github.com/siderolabs/talos/issues/11485</t>
  </si>
  <si>
    <t>https://drive.google.com/drive/folders/11EgqqO_okA5XKJaXHidDsSV0w2dEM_cS</t>
  </si>
  <si>
    <t>https://drive.google.com/drive/folders/1dWGdvZua9VV3cNceUEyNPeIkhBgsSsZR</t>
  </si>
  <si>
    <t>siderolabs__talos-11382</t>
  </si>
  <si>
    <t>https://github.com/siderolabs/talos/issues/11382</t>
  </si>
  <si>
    <t>refactor;dependency-update;maintenance</t>
  </si>
  <si>
    <t>https://drive.google.com/drive/folders/1QRF-BoayfrPSm67-ClVq-i4tUXboBK0r</t>
  </si>
  <si>
    <t>https://drive.google.com/drive/folders/1S1j6sKGbHeOPjwu20QUU7oUIu2xL5Nuk</t>
  </si>
  <si>
    <t>siderolabs__talos-11656</t>
  </si>
  <si>
    <t>https://github.com/siderolabs/talos/issues/11656</t>
  </si>
  <si>
    <t>https://drive.google.com/drive/folders/1wD7aiDeWn-ep8FvMNJl8Fuu98_AMuUXG</t>
  </si>
  <si>
    <t>https://drive.google.com/drive/folders/16N_XvQ_f_KJi8rhNRZpHsTNRpYP7fDPR</t>
  </si>
  <si>
    <t>SigNoz__signoz-otel-collector-662</t>
  </si>
  <si>
    <t>https://github.com/SigNoz/signoz-otel-collector/issues/662</t>
  </si>
  <si>
    <t>bug-report;feature-request;performance-issue</t>
  </si>
  <si>
    <t>bug-fix;feature;performance;refactor</t>
  </si>
  <si>
    <t>gs://swe-bench-plus/evaluations/019a9c4e-0063-727d-8204-48136c489e61-SigNoz__signoz-otel-collector-662-swe-agent-claude-sonnet-4-20250514</t>
  </si>
  <si>
    <t>https://drive.google.com/drive/folders/1xuq_nwyvmXiu1O8YKte3E4uY0jcHDHNO</t>
  </si>
  <si>
    <t>SigNoz/signoz-otel-collector</t>
  </si>
  <si>
    <t>SigNoz__signoz-otel-collector</t>
  </si>
  <si>
    <t>sigstore__cosign-3953</t>
  </si>
  <si>
    <t>https://github.com/sigstore/cosign/issues/3953</t>
  </si>
  <si>
    <t>https://drive.google.com/drive/folders/17ld719w3IEPe158sQLLTq-q1gF0mvmje</t>
  </si>
  <si>
    <t>https://drive.google.com/drive/folders/1edjhiT0rbMEp3tmnuoRNS5yAmk9_WotJ</t>
  </si>
  <si>
    <t>sigstore/cosign</t>
  </si>
  <si>
    <t>sigstore__cosign</t>
  </si>
  <si>
    <t>silx-kit__silx-4414</t>
  </si>
  <si>
    <t>https://github.com/silx-kit/silx/issues/4414</t>
  </si>
  <si>
    <t>https://drive.google.com/drive/folders/1h4SufPHWQ2WS558bn_FOJmLm5zexokMI</t>
  </si>
  <si>
    <t>https://drive.google.com/drive/folders/1XPZ4TIz8N4Ba0nCnCDZmxykZWV4IbyS3</t>
  </si>
  <si>
    <t>silx-kit/silx</t>
  </si>
  <si>
    <t>silx-kit__silx</t>
  </si>
  <si>
    <t>simdutf__simdutf-802</t>
  </si>
  <si>
    <t>https://github.com/simdutf/simdutf/issues/802</t>
  </si>
  <si>
    <t>gs://swe-bench-plus/evaluations/019a8f51-4621-711a-ad6b-50abcd4c4d65-simdutf__simdutf-802-open-hands-claude-sonnet-4-20250514</t>
  </si>
  <si>
    <t>https://drive.google.com/drive/folders/1-GAWA7_jFVn6RtBE_cRTojoaN359EaRB</t>
  </si>
  <si>
    <t>simdutf/simdutf</t>
  </si>
  <si>
    <t>simdutf__simdutf</t>
  </si>
  <si>
    <t>SimeonGriggs__tints.dev-113</t>
  </si>
  <si>
    <t>https://github.com/SimeonGriggs/tints.dev/issues/113</t>
  </si>
  <si>
    <t>https://drive.google.com/drive/folders/12XT1rtcBAc8Sz4BtukKm83xM-Xid_bpA</t>
  </si>
  <si>
    <t>https://drive.google.com/drive/folders/1uS5R6fEPn4FACVmnY0AtrGcq_B-6PEJr</t>
  </si>
  <si>
    <t>SimeonGriggs/tints.dev</t>
  </si>
  <si>
    <t>SimeonGriggs__tints.dev</t>
  </si>
  <si>
    <t>simstudioai__sim-178</t>
  </si>
  <si>
    <t>https://github.com/simstudioai/sim/issues/178</t>
  </si>
  <si>
    <t>https://drive.google.com/drive/folders/1NRPT2dfd-z2o7ryS5P0OhHSlwT_e4qwR</t>
  </si>
  <si>
    <t>https://drive.google.com/drive/folders/1U17UBXHmF10DQvW7BzShaXPLL6gE57zo</t>
  </si>
  <si>
    <t>simstudioai/sim</t>
  </si>
  <si>
    <t>simstudioai__sim</t>
  </si>
  <si>
    <t>SinTan1729__chhoto-url-59</t>
  </si>
  <si>
    <t>https://github.com/SinTan1729/chhoto-url/issues/59</t>
  </si>
  <si>
    <t>https://drive.google.com/drive/folders/1PsRHH17cdbaVoETAFXK92e5GGK1Xq35I</t>
  </si>
  <si>
    <t>https://drive.google.com/drive/folders/1glqGvTAwU4tavRwbqCt_1AgV0NtcuFuy</t>
  </si>
  <si>
    <t>SinTan1729/chhoto-url</t>
  </si>
  <si>
    <t>SinTan1729__chhoto-url</t>
  </si>
  <si>
    <t>sissbruecker__linkding-999</t>
  </si>
  <si>
    <t>https://github.com/sissbruecker/linkding/issues/999</t>
  </si>
  <si>
    <t>https://drive.google.com/drive/folders/1LB6V9z7GhRaInmXbb-9PhwDeC16lU0qT</t>
  </si>
  <si>
    <t>https://drive.google.com/drive/folders/1u38wMrhqsY6cgNo7KNI5-mnRJtbHeMIQ</t>
  </si>
  <si>
    <t>sissbruecker/linkding</t>
  </si>
  <si>
    <t>sissbruecker__linkding</t>
  </si>
  <si>
    <t>skrub-data__skrub-1325</t>
  </si>
  <si>
    <t>https://github.com/skrub-data/skrub/issues/1325</t>
  </si>
  <si>
    <t>gs://swe-bench-plus/evaluations/019a6f31-ddce-766c-944f-e4445d37996d-skrub-data__skrub-1325-swe-agent-claude-sonnet-4.5</t>
  </si>
  <si>
    <t>https://drive.google.com/drive/folders/1VYapU_YXbTmUUDuIHfVgejVuPM-uEdi0</t>
  </si>
  <si>
    <t>skrub-data/skrub</t>
  </si>
  <si>
    <t>skrub-data__skrub</t>
  </si>
  <si>
    <t>skrub-data__skrub-1266</t>
  </si>
  <si>
    <t>https://github.com/skrub-data/skrub/issues/1266</t>
  </si>
  <si>
    <t>https://drive.google.com/drive/folders/1TL2OuCgZWxv78UV37kHzfrR5ekVqubhN</t>
  </si>
  <si>
    <t>https://drive.google.com/drive/folders/1skPzxbKp6FO_Ai4za37uFqfSK17PnFjA</t>
  </si>
  <si>
    <t>skrub-data__skrub-1334</t>
  </si>
  <si>
    <t>https://github.com/skrub-data/skrub/issues/1334</t>
  </si>
  <si>
    <t>https://drive.google.com/drive/folders/1jkHU9i-85k71Flf_63lsW28MVijA1jLo</t>
  </si>
  <si>
    <t>https://drive.google.com/drive/folders/1eVHhOU5pF29se2m9W5xw2WFI8gsWK9B3</t>
  </si>
  <si>
    <t>skypilot-org__skypilot-5375</t>
  </si>
  <si>
    <t>https://github.com/skypilot-org/skypilot/issues/5375</t>
  </si>
  <si>
    <t>https://drive.google.com/drive/folders/1P15sVEZdIPxzppJHXaSvbik9eIxOw5ao</t>
  </si>
  <si>
    <t>skypilot-org/skypilot</t>
  </si>
  <si>
    <t>skypilot-org__skypilot</t>
  </si>
  <si>
    <t>slint-ui__slint-8940</t>
  </si>
  <si>
    <t>https://github.com/slint-ui/slint/issues/8940</t>
  </si>
  <si>
    <t>https://drive.google.com/drive/folders/1gqxI1ofO3YJfPw-0P5Nj7-xISkD6XoQ8</t>
  </si>
  <si>
    <t>https://drive.google.com/drive/folders/16TcbPRKyaF9S2e9h0FcyvjdWpCdIisnB</t>
  </si>
  <si>
    <t>slint-ui/slint</t>
  </si>
  <si>
    <t>slint-ui__slint</t>
  </si>
  <si>
    <t>smalaca__training-center-microservices-39</t>
  </si>
  <si>
    <t>https://github.com/smalaca/training-center-microservices/issues/39</t>
  </si>
  <si>
    <t>gs://swe-bench-plus/evaluations/019b6aaf-1788-707e-b6dd-d4dc12d72279-smalaca__training-center-microservices-39-swe-agent-claude-sonnet-4.5</t>
  </si>
  <si>
    <t>https://drive.google.com/drive/folders/1V5YVDsRm9bD9eCdzNNwvOjl6Ep6mSJwK</t>
  </si>
  <si>
    <t>smalaca/training-center-microservices</t>
  </si>
  <si>
    <t>smalaca__training-center-microservices</t>
  </si>
  <si>
    <t>smalaca__training-center-microservices-140</t>
  </si>
  <si>
    <t>https://github.com/smalaca/training-center-microservices/issues/140</t>
  </si>
  <si>
    <t>gs://swe-bench-plus/evaluations/019b6aaf-1788-707e-b6dd-d4dc12d72279-smalaca__training-center-microservices-140-swe-agent-claude-sonnet-4.5</t>
  </si>
  <si>
    <t>https://drive.google.com/drive/folders/1z6T3L810NjK5y1Y6cse0H4DYG9Ki01Kw</t>
  </si>
  <si>
    <t>smalaca__training-center-microservices-172</t>
  </si>
  <si>
    <t>https://github.com/smalaca/training-center-microservices/issues/172</t>
  </si>
  <si>
    <t>gs://swe-bench-plus/evaluations/019b6ab1-4e74-7019-9e81-9c96e98a145d-smalaca__training-center-microservices-172-swe-agent-claude-sonnet-4.5</t>
  </si>
  <si>
    <t>https://drive.google.com/drive/folders/1c44AiVf9NRbA7IZvZQIf4WK_JmoNnHHa</t>
  </si>
  <si>
    <t>sofastack__sofa-jraft-198</t>
  </si>
  <si>
    <t>https://github.com/sofastack/sofa-jraft/issues/198</t>
  </si>
  <si>
    <t>gs://swe-bench-plus/evaluations/019c2528-578b-73cc-ad42-8f1328ded528-sofastack__sofa-jraft-198-swe-agent-claude-sonnet-4-20250514</t>
  </si>
  <si>
    <t>https://drive.google.com/drive/folders/1HqG9qvnM4j8dy1A6YXaS0z6FuvTEtrQB</t>
  </si>
  <si>
    <t>sofastack/sofa-jraft</t>
  </si>
  <si>
    <t>sofastack__sofa-jraft</t>
  </si>
  <si>
    <t>software-mansion__smelter-1163</t>
  </si>
  <si>
    <t>https://github.com/software-mansion/smelter/issues/1163</t>
  </si>
  <si>
    <t>gs://swe-bench-plus/evaluations/019b6aa7-0380-771f-9e02-24cda0fe6639-software-mansion__smelter-1163-swe-agent-claude-sonnet-4.5</t>
  </si>
  <si>
    <t>https://drive.google.com/drive/folders/1atRv0NfwsMNq5KBvSqUH1_mGt0Sbs63i</t>
  </si>
  <si>
    <t>software-mansion/smelter</t>
  </si>
  <si>
    <t>software-mansion__smelter</t>
  </si>
  <si>
    <t>software-mansion__TypeGPU-781</t>
  </si>
  <si>
    <t>https://github.com/software-mansion/TypeGPU/issues/781</t>
  </si>
  <si>
    <t>gs://swe-bench-plus/evaluations/019b6ab1-4e74-7019-9e81-9c96e98a145d-software-mansion__TypeGPU-781-swe-agent-claude-sonnet-4.5</t>
  </si>
  <si>
    <t>https://drive.google.com/drive/folders/1-VyXpe4Ycv2rZO3XVPzbZz4PDPoToaQT</t>
  </si>
  <si>
    <t>software-mansion/TypeGPU</t>
  </si>
  <si>
    <t>software-mansion__TypeGPU</t>
  </si>
  <si>
    <t>software-mansion__TypeGPU-1311</t>
  </si>
  <si>
    <t>https://github.com/software-mansion/TypeGPU/issues/1311</t>
  </si>
  <si>
    <t>gs://swe-bench-plus/evaluations/019bcea3-81e8-754a-a3b1-8821a9f9ac9b-software-mansion__TypeGPU-1311-swe-agent-claude-sonnet-4.5</t>
  </si>
  <si>
    <t>https://drive.google.com/drive/folders/1kxfwpCBDHzvmgomi4TQTINrJhKaPMXM-</t>
  </si>
  <si>
    <t>software-mansion__TypeGPU-1628</t>
  </si>
  <si>
    <t>https://github.com/software-mansion/TypeGPU/issues/1628</t>
  </si>
  <si>
    <t>gs://swe-bench-plus/evaluations/019b6aaf-1788-707e-b6dd-d4dc12d72279-software-mansion__TypeGPU-1628-swe-agent-claude-sonnet-4.5</t>
  </si>
  <si>
    <t>https://drive.google.com/drive/folders/1eU2n-EpwCPADlB7Nc0QqZbVnneeKKjEO</t>
  </si>
  <si>
    <t>software-mansion__TypeGPU-931</t>
  </si>
  <si>
    <t>https://github.com/software-mansion/TypeGPU/issues/931</t>
  </si>
  <si>
    <t>sci-comp;devtools;graphics-media</t>
  </si>
  <si>
    <t>gs://swe-bench-plus/evaluations/019b6aaf-1788-707e-b6dd-d4dc12d72279-software-mansion__TypeGPU-931-swe-agent-claude-sonnet-4.5</t>
  </si>
  <si>
    <t>https://drive.google.com/drive/folders/1Pxvw0ZQRVa_Cgcubgt0umplzadeBwnAC</t>
  </si>
  <si>
    <t>Songmu__ecschedule-117</t>
  </si>
  <si>
    <t>https://github.com/Songmu/ecschedule/issues/117</t>
  </si>
  <si>
    <t>gs://swe-bench-plus/evaluations/019b6ab1-4e74-7019-9e81-9c96e98a145d-Songmu__ecschedule-117-swe-agent-claude-sonnet-4.5</t>
  </si>
  <si>
    <t>https://drive.google.com/drive/folders/1Ys2mQNJQxC-WsQTc3eIYunFnxsA8z1JY</t>
  </si>
  <si>
    <t>Songmu/ecschedule</t>
  </si>
  <si>
    <t>Songmu__ecschedule</t>
  </si>
  <si>
    <t>soot-oss__soot-2255</t>
  </si>
  <si>
    <t>https://github.com/soot-oss/soot/issues/2255</t>
  </si>
  <si>
    <t>gs://swe-bench-plus/evaluations/019c8593-288e-768a-aabd-9e1d168a9a7f-soot-oss__soot-2255-swe-agent-claude-sonnet-4-20250514</t>
  </si>
  <si>
    <t>https://drive.google.com/drive/folders/1msrSDNQyfGYoDiOf68niYvl30YNHrKEU</t>
  </si>
  <si>
    <t>soot-oss/soot</t>
  </si>
  <si>
    <t>soot-oss__soot</t>
  </si>
  <si>
    <t>sourcefrog__cargo-mutants-425</t>
  </si>
  <si>
    <t>https://github.com/sourcefrog/cargo-mutants/issues/425</t>
  </si>
  <si>
    <t>gs://swe-bench-plus/evaluations/019a8f58-c516-722e-bb34-fa7546d3155d-sourcefrog__cargo-mutants-425-open-hands-claude-sonnet-4-20250514</t>
  </si>
  <si>
    <t>https://drive.google.com/drive/folders/1innJ8Ei8CCbIuD_GlPBI86nHAX6YO3Qm</t>
  </si>
  <si>
    <t>sourcefrog/cargo-mutants</t>
  </si>
  <si>
    <t>sourcefrog__cargo-mutants</t>
  </si>
  <si>
    <t>sourcenetwork__defradb-3254</t>
  </si>
  <si>
    <t>https://github.com/sourcenetwork/defradb/issues/3254</t>
  </si>
  <si>
    <t>infra-devops;data-eng;webdev</t>
  </si>
  <si>
    <t>gs://swe-bench-plus/evaluations/019b6aa7-0380-771f-9e02-24cda0fe6639-sourcenetwork__defradb-3254-swe-agent-claude-sonnet-4.5</t>
  </si>
  <si>
    <t>https://drive.google.com/drive/folders/194Hq2clm5t3ci4ihqlh6o-ajl7KUPNSF</t>
  </si>
  <si>
    <t>sourcenetwork/defradb</t>
  </si>
  <si>
    <t>sourcenetwork__defradb</t>
  </si>
  <si>
    <t>sourcenetwork__defradb-3217</t>
  </si>
  <si>
    <t>https://github.com/sourcenetwork/defradb/issues/3217</t>
  </si>
  <si>
    <t>infra-devops;data-eng;blockchain</t>
  </si>
  <si>
    <t>gs://swe-bench-plus/evaluations/019b6ab1-4e74-7019-9e81-9c96e98a145d-sourcenetwork__defradb-3217-swe-agent-claude-sonnet-4.5</t>
  </si>
  <si>
    <t>https://drive.google.com/drive/folders/1E0QoHRPkqpNfva9BIByCRCtZqr0NSCJx</t>
  </si>
  <si>
    <t>Sovereign-Labs__sovereign-sdk-1830</t>
  </si>
  <si>
    <t>https://github.com/Sovereign-Labs/sovereign-sdk/issues/1830</t>
  </si>
  <si>
    <t>gs://swe-bench-plus/evaluations/019b06be-e158-75e3-bc3e-1e0574eebf73-Sovereign-Labs__sovereign-sdk-1830-swe-agent-claude-sonnet-4.5</t>
  </si>
  <si>
    <t>https://drive.google.com/drive/folders/1xa3RdUIa_VrViq7KzZCQK_5YkXeJL146</t>
  </si>
  <si>
    <t>Sovereign-Labs/sovereign-sdk</t>
  </si>
  <si>
    <t>Sovereign-Labs__sovereign-sdk</t>
  </si>
  <si>
    <t>SPARQL-Anything__sparql.anything-605</t>
  </si>
  <si>
    <t>https://github.com/SPARQL-Anything/sparql.anything/issues/605</t>
  </si>
  <si>
    <t>gs://swe-bench-plus/evaluations/019c63b0-5201-7257-9916-f49303cabd22-SPARQL-Anything__sparql.anything-605-swe-agent-claude-sonnet-4.5</t>
  </si>
  <si>
    <t>https://drive.google.com/drive/folders/1Xru9rSW-JvZW6PAbUJzza-PqUlI4NF75</t>
  </si>
  <si>
    <t>SPARQL-Anything/sparql.anything</t>
  </si>
  <si>
    <t>SPARQL-Anything__sparql.anything</t>
  </si>
  <si>
    <t>spiffe__spiffe-helper-242</t>
  </si>
  <si>
    <t>https://github.com/spiffe/spiffe-helper/issues/242</t>
  </si>
  <si>
    <t>gs://swe-bench-plus/evaluations/019b6aa7-0380-771f-9e02-24cda0fe6639-spiffe__spiffe-helper-242-swe-agent-claude-sonnet-4.5</t>
  </si>
  <si>
    <t>https://drive.google.com/drive/folders/1xSkQvmdITXywq7ewPe201jTHq2km2TiH</t>
  </si>
  <si>
    <t>spiffe/spiffe-helper</t>
  </si>
  <si>
    <t>spiffe__spiffe-helper</t>
  </si>
  <si>
    <t>spotbugs__spotbugs-3709</t>
  </si>
  <si>
    <t>https://github.com/spotbugs/spotbugs/issues/3709</t>
  </si>
  <si>
    <t>https://drive.google.com/drive/folders/1Fj-9c1VCvg5sHY-3W-Qdu0DWEZbR8x24</t>
  </si>
  <si>
    <t>https://drive.google.com/drive/folders/1ganwdOFDY5Rt3v45kAqFb_cK57xwMt1N</t>
  </si>
  <si>
    <t>spotbugs/spotbugs</t>
  </si>
  <si>
    <t>spotbugs__spotbugs</t>
  </si>
  <si>
    <t>spotbugs__spotbugs-3307</t>
  </si>
  <si>
    <t>https://github.com/spotbugs/spotbugs/issues/3307</t>
  </si>
  <si>
    <t>gs://swe-bench-plus/evaluations/019bc796-66b6-7744-99a6-9ba9969a7e01-spotbugs__spotbugs-3307-swe-agent-claude-sonnet-4-20250514</t>
  </si>
  <si>
    <t>https://drive.google.com/drive/folders/1ss3B812WFi5YE3dU1xEvsNzDDQjFGiOO</t>
  </si>
  <si>
    <t>Spottarr__Spottarr-90</t>
  </si>
  <si>
    <t>https://github.com/Spottarr/Spottarr/issues/90</t>
  </si>
  <si>
    <t>applications;data-eng;infra-devops</t>
  </si>
  <si>
    <t>https://drive.google.com/drive/folders/1jqvJCctSFETFZVS451VShkjb5P_ER5fh</t>
  </si>
  <si>
    <t>Spottarr/Spottarr</t>
  </si>
  <si>
    <t>Spottarr__Spottarr</t>
  </si>
  <si>
    <t>spring-cloud__spring-cloud-gateway-3782</t>
  </si>
  <si>
    <t>https://github.com/spring-cloud/spring-cloud-gateway/issues/3782</t>
  </si>
  <si>
    <t>refactor;maintenance;feature</t>
  </si>
  <si>
    <t>https://drive.google.com/drive/folders/1ppYrB_dupSc1A2HKgqFyhQk_ZLmV0T_V</t>
  </si>
  <si>
    <t>https://drive.google.com/drive/folders/123dkwEYQl_GDz6tTXhSyPjctaZ-Co8x4</t>
  </si>
  <si>
    <t>spring-cloud/spring-cloud-gateway</t>
  </si>
  <si>
    <t>spring-cloud__spring-cloud-gateway</t>
  </si>
  <si>
    <t>spring-projects-experimental__spring-ai-mcp-40</t>
  </si>
  <si>
    <t>https://github.com/spring-projects-experimental/spring-ai-mcp/issues/40</t>
  </si>
  <si>
    <t>gs://swe-bench-plus/evaluations/019b6ab1-4e74-7019-9e81-9c96e98a145d-spring-projects-experimental__spring-ai-mcp-40-swe-agent-claude-sonnet-4.5</t>
  </si>
  <si>
    <t>https://drive.google.com/drive/folders/1avU-Q9sWpeo_pEw0h8-Ckp4Hy32qWwJN</t>
  </si>
  <si>
    <t>spring-projects-experimental/spring-ai-mcp</t>
  </si>
  <si>
    <t>spring-projects-experimental__spring-ai-mcp</t>
  </si>
  <si>
    <t>spring-projects__spring-integration-10668</t>
  </si>
  <si>
    <t>https://github.com/spring-projects/spring-integration/issues/10668</t>
  </si>
  <si>
    <t>gs://swe-bench-plus/evaluations/019c2527-069d-76b8-a805-96d478bdb559-spring-projects__spring-integration-10668-swe-agent-claude-sonnet-4-20250514</t>
  </si>
  <si>
    <t>https://drive.google.com/drive/folders/1T22LVkC6tJf_vtgLrG3vmwTrCp47AeH1</t>
  </si>
  <si>
    <t>spring-projects/spring-integration</t>
  </si>
  <si>
    <t>spring-projects__spring-integration</t>
  </si>
  <si>
    <t>spring-projects__spring-integration-10019</t>
  </si>
  <si>
    <t>https://github.com/spring-projects/spring-integration/issues/10019</t>
  </si>
  <si>
    <t>feature;bug-fix;documentation</t>
  </si>
  <si>
    <t>gs://swe-bench-plus/evaluations/019b6aaf-1788-707e-b6dd-d4dc12d72279-spring-projects__spring-integration-10019-swe-agent-claude-sonnet-4.5</t>
  </si>
  <si>
    <t>https://drive.google.com/drive/folders/1EQJJ0t8XV947IE7NjvqwDNn4JM8B3VNB</t>
  </si>
  <si>
    <t>spring-projects__spring-integration-9229</t>
  </si>
  <si>
    <t>https://github.com/spring-projects/spring-integration/issues/9229</t>
  </si>
  <si>
    <t>gs://swe-bench-plus/evaluations/019b6aaf-1788-707e-b6dd-d4dc12d72279-spring-projects__spring-integration-9229-swe-agent-claude-sonnet-4.5</t>
  </si>
  <si>
    <t>https://drive.google.com/drive/folders/1s26ra4u2sfjQtpj83ro8wKueQmq7ZXD4</t>
  </si>
  <si>
    <t>spring-projects__spring-integration-9435</t>
  </si>
  <si>
    <t>https://github.com/spring-projects/spring-integration/issues/9435</t>
  </si>
  <si>
    <t>gs://swe-bench-plus/evaluations/019bcd77-2925-7748-82f0-eda561be7006-spring-projects__spring-integration-9435-swe-agent-claude-sonnet-4.5</t>
  </si>
  <si>
    <t>https://drive.google.com/drive/folders/1N0arGn0ZR68PxC-6-6wEH1v1SYT2q-CD</t>
  </si>
  <si>
    <t>spring-projects__spring-security-16635</t>
  </si>
  <si>
    <t>https://github.com/spring-projects/spring-security/issues/16635</t>
  </si>
  <si>
    <t>gs://swe-bench-plus/evaluations/019c63b0-5201-7257-9916-f49303cabd22-spring-projects__spring-security-16635-swe-agent-claude-sonnet-4-20250514</t>
  </si>
  <si>
    <t>https://drive.google.com/drive/folders/1rNu4T5xAeR2ZV4p90TAz65JFaFqiI54n</t>
  </si>
  <si>
    <t>spring-projects/spring-security</t>
  </si>
  <si>
    <t>spring-projects__spring-security</t>
  </si>
  <si>
    <t>spring-projects__spring-security-16218</t>
  </si>
  <si>
    <t>https://github.com/spring-projects/spring-security/issues/16218</t>
  </si>
  <si>
    <t>gs://swe-bench-plus/evaluations/019bc796-66b6-7744-99a6-9ba9969a7e01-spring-projects__spring-security-16218-swe-agent-claude-sonnet-4-20250514</t>
  </si>
  <si>
    <t>https://drive.google.com/drive/folders/1VKPD_jQje-0hdZm3y8pjRddPXK6psr0S</t>
  </si>
  <si>
    <t>sqlc-dev__sqlc-3620</t>
  </si>
  <si>
    <t>https://github.com/sqlc-dev/sqlc/issues/3620</t>
  </si>
  <si>
    <t>devtools;data-eng;webdev</t>
  </si>
  <si>
    <t>https://drive.google.com/drive/folders/1ivH8fQ_KfwQiOvnhJIBDH_l70HxdsSbD</t>
  </si>
  <si>
    <t>https://drive.google.com/drive/folders/1wQ1xEHg_D4plLnKzytHxQl3im_PDW7Qv</t>
  </si>
  <si>
    <t>sqlc-dev/sqlc</t>
  </si>
  <si>
    <t>sqlc-dev__sqlc</t>
  </si>
  <si>
    <t>sshnet__SSH.NET-1611</t>
  </si>
  <si>
    <t>https://github.com/sshnet/SSH.NET/issues/1611</t>
  </si>
  <si>
    <t>https://drive.google.com/drive/folders/1J3weNX-3nrxHC1sBFAA-S2PXdMs0vSF9</t>
  </si>
  <si>
    <t>https://drive.google.com/drive/folders/1cZs7PAO1jCt7-H80R85ir17JCuXUTmVF</t>
  </si>
  <si>
    <t>sshnet/SSH.NET</t>
  </si>
  <si>
    <t>sshnet__SSH.NET</t>
  </si>
  <si>
    <t>sshnet__SSH.NET-1543</t>
  </si>
  <si>
    <t>https://github.com/sshnet/SSH.NET/issues/1543</t>
  </si>
  <si>
    <t>gs://swe-bench-plus/evaluations/019b6ab1-4e74-7019-9e81-9c96e98a145d-sshnet__SSH.NET-1543-swe-agent-claude-sonnet-4.5</t>
  </si>
  <si>
    <t>https://drive.google.com/drive/folders/12etjFLMaYtnX9btwGPh5-AOUlN_fVEQI</t>
  </si>
  <si>
    <t>sstsimulator__sst-core-1108</t>
  </si>
  <si>
    <t>https://github.com/sstsimulator/sst-core/issues/1108</t>
  </si>
  <si>
    <t>gs://swe-bench-plus/evaluations/019b6aa7-0380-771f-9e02-24cda0fe6639-sstsimulator__sst-core-1108-swe-agent-claude-sonnet-4.5</t>
  </si>
  <si>
    <t>https://drive.google.com/drive/folders/1uAKM96x5SX0OzIMFNfim9q4_KFwdJjgg</t>
  </si>
  <si>
    <t>sstsimulator/sst-core</t>
  </si>
  <si>
    <t>sstsimulator__sst-core</t>
  </si>
  <si>
    <t>stacklok__toolhive-697</t>
  </si>
  <si>
    <t>https://github.com/stacklok/toolhive/issues/697</t>
  </si>
  <si>
    <t>infra-devops;ai-ml;security;applications</t>
  </si>
  <si>
    <t>gs://swe-bench-plus/evaluations/019b6ab1-4e74-7019-9e81-9c96e98a145d-stacklok__toolhive-697-swe-agent-claude-sonnet-4.5</t>
  </si>
  <si>
    <t>https://drive.google.com/drive/folders/1fFpIhjkEIVG7MZzc3j0VN_KkK-mupV5J</t>
  </si>
  <si>
    <t>stacklok/toolhive</t>
  </si>
  <si>
    <t>stacklok__toolhive</t>
  </si>
  <si>
    <t>stacklok__toolhive-483</t>
  </si>
  <si>
    <t>https://github.com/stacklok/toolhive/issues/483</t>
  </si>
  <si>
    <t>infra-devops;security;ai-ml</t>
  </si>
  <si>
    <t>gs://swe-bench-plus/evaluations/019b6aa7-0380-771f-9e02-24cda0fe6639-stacklok__toolhive-483-swe-agent-claude-sonnet-4.5</t>
  </si>
  <si>
    <t>https://drive.google.com/drive/folders/1sCr4tdEiBlw8RKQxAMPO8xWvpfdWSU55</t>
  </si>
  <si>
    <t>stacklok__toolhive-632</t>
  </si>
  <si>
    <t>https://github.com/stacklok/toolhive/issues/632</t>
  </si>
  <si>
    <t>infra-devops;ai-ml;security</t>
  </si>
  <si>
    <t>gs://swe-bench-plus/evaluations/019b6ab1-4e74-7019-9e81-9c96e98a145d-stacklok__toolhive-632-swe-agent-claude-sonnet-4.5</t>
  </si>
  <si>
    <t>https://drive.google.com/drive/folders/1oAw5y23gNQ1zc4LIqVgiBycU2_eLsUH6</t>
  </si>
  <si>
    <t>stacklok__toolhive-811</t>
  </si>
  <si>
    <t>https://github.com/stacklok/toolhive/issues/811</t>
  </si>
  <si>
    <t>gs://swe-bench-plus/evaluations/019b6ab1-4e74-7019-9e81-9c96e98a145d-stacklok__toolhive-811-swe-agent-claude-sonnet-4.5</t>
  </si>
  <si>
    <t>https://drive.google.com/drive/folders/1nxip8suEwWz3BX4vs1D7DcR_gIMMVu1P</t>
  </si>
  <si>
    <t>stacklok__toolhive-1266</t>
  </si>
  <si>
    <t>https://github.com/stacklok/toolhive/issues/1266</t>
  </si>
  <si>
    <t>gs://swe-bench-plus/evaluations/019b6ab1-4e74-7019-9e81-9c96e98a145d-stacklok__toolhive-1266-swe-agent-claude-sonnet-4.5</t>
  </si>
  <si>
    <t>https://drive.google.com/drive/folders/13MdEo7G6pVUbJOFQ74xMTrrxsgY1Z-S6</t>
  </si>
  <si>
    <t>StarRocks__starrocks-59024</t>
  </si>
  <si>
    <t>https://github.com/StarRocks/starrocks/issues/59024</t>
  </si>
  <si>
    <t>gs://swe-bench-plus/evaluations/019c63b0-5201-7257-9916-f49303cabd22-StarRocks__starrocks-59024-swe-agent-claude-sonnet-4-20250514</t>
  </si>
  <si>
    <t>https://drive.google.com/drive/folders/1ILq6kgNQx28EvmpRB6RcuudFaXMYqLyV</t>
  </si>
  <si>
    <t>StarRocks/starrocks</t>
  </si>
  <si>
    <t>StarRocks__starrocks</t>
  </si>
  <si>
    <t>StarRocks__starrocks-53819</t>
  </si>
  <si>
    <t>https://github.com/StarRocks/starrocks/issues/53819</t>
  </si>
  <si>
    <t>gs://swe-bench-plus/evaluations/019c6646-ea55-7645-a600-58791210a874-StarRocks__starrocks-53819-swe-agent-claude-sonnet-4-20250514</t>
  </si>
  <si>
    <t>https://drive.google.com/drive/folders/1yG2zYmlQ3mHI1YUjVb8LV3Ap87QeFQey</t>
  </si>
  <si>
    <t>state-machines__state_machines-132</t>
  </si>
  <si>
    <t>https://github.com/state-machines/state_machines/issues/132</t>
  </si>
  <si>
    <t>gs://swe-bench-plus/evaluations/019b6aaf-1788-707e-b6dd-d4dc12d72279-state-machines__state_machines-132-swe-agent-claude-sonnet-4.5</t>
  </si>
  <si>
    <t>https://drive.google.com/drive/folders/15GDs32WdJhGEPpG1VZxNRwrA40CZeb2V</t>
  </si>
  <si>
    <t>state-machines/state_machines</t>
  </si>
  <si>
    <t>state-machines__state_machines</t>
  </si>
  <si>
    <t>stdlib-js__stdlib-5998</t>
  </si>
  <si>
    <t>https://github.com/stdlib-js/stdlib/issues/5998</t>
  </si>
  <si>
    <t>https://drive.google.com/drive/folders/1D-RT2FYWqqQioG6Bpx1eZ_pNWOLYAEOF</t>
  </si>
  <si>
    <t>stdlib-js/stdlib</t>
  </si>
  <si>
    <t>stdlib-js__stdlib</t>
  </si>
  <si>
    <t>Stebalien__tempfile-355</t>
  </si>
  <si>
    <t>https://github.com/Stebalien/tempfile/issues/355</t>
  </si>
  <si>
    <t>gs://swe-bench-plus/evaluations/019b6aaf-1788-707e-b6dd-d4dc12d72279-Stebalien__tempfile-355-swe-agent-claude-sonnet-4.5</t>
  </si>
  <si>
    <t>https://drive.google.com/drive/folders/1-E34k4zq8_NvqMIPfPmHmNdt0VTRY5Ki</t>
  </si>
  <si>
    <t>Stebalien/tempfile</t>
  </si>
  <si>
    <t>Stebalien__tempfile</t>
  </si>
  <si>
    <t>stellar__laboratory-1101</t>
  </si>
  <si>
    <t>https://github.com/stellar/laboratory/issues/1101</t>
  </si>
  <si>
    <t>blockchain;applications;webdev</t>
  </si>
  <si>
    <t>gs://swe-bench-plus/evaluations/019b6aaf-1788-707e-b6dd-d4dc12d72279-stellar__laboratory-1101-swe-agent-claude-sonnet-4.5</t>
  </si>
  <si>
    <t>https://drive.google.com/drive/folders/1hZ6IVmcru5qsxaZvVqdcXSTIFnPOvzMh</t>
  </si>
  <si>
    <t>stellar/laboratory</t>
  </si>
  <si>
    <t>stellar__laboratory</t>
  </si>
  <si>
    <t>stellar__laboratory-1178</t>
  </si>
  <si>
    <t>https://github.com/stellar/laboratory/issues/1178</t>
  </si>
  <si>
    <t>blockchain;applications;devtools</t>
  </si>
  <si>
    <t>https://drive.google.com/drive/folders/1ZHkwjk1DGe48Uai2Ai3xeogz6UdOgxiI</t>
  </si>
  <si>
    <t>https://drive.google.com/drive/folders/1yMO00VOKbkmR-OjRwixQJxuOMND3vdOx</t>
  </si>
  <si>
    <t>stephenberry__glaze-1729</t>
  </si>
  <si>
    <t>https://github.com/stephenberry/glaze/issues/1729</t>
  </si>
  <si>
    <t>gs://swe-bench-plus/evaluations/019b6aa7-0380-771f-9e02-24cda0fe6639-stephenberry__glaze-1729-swe-agent-claude-sonnet-4.5</t>
  </si>
  <si>
    <t>https://drive.google.com/drive/folders/1HStSc5TSdG32shjuUcpJ3nkdoe8Jppf2</t>
  </si>
  <si>
    <t>stephenberry/glaze</t>
  </si>
  <si>
    <t>stephenberry__glaze</t>
  </si>
  <si>
    <t>stephenh__ts-proto-1085</t>
  </si>
  <si>
    <t>https://github.com/stephenh/ts-proto/issues/1085</t>
  </si>
  <si>
    <t>feature;test;documentation;refactor</t>
  </si>
  <si>
    <t>https://drive.google.com/drive/folders/1tPnca94nezDOcKw8jzJz8KNoiwfrhGBD</t>
  </si>
  <si>
    <t>https://drive.google.com/drive/folders/1yYHKkBRvCBagxqc4N61xfvfDOxqFvqA7</t>
  </si>
  <si>
    <t>stephenh/ts-proto</t>
  </si>
  <si>
    <t>stephenh__ts-proto</t>
  </si>
  <si>
    <t>Stirling-Tools__Stirling-PDF-3781</t>
  </si>
  <si>
    <t>https://github.com/Stirling-Tools/Stirling-PDF/issues/3781</t>
  </si>
  <si>
    <t>gs://swe-bench-plus/evaluations/019c2529-331d-7507-bab8-1920ff40c9f7-Stirling-Tools__Stirling-PDF-3781-swe-agent-claude-sonnet-4-20250514</t>
  </si>
  <si>
    <t>https://drive.google.com/drive/folders/1lJ1m-osMiwuTphvjMCa3yoow0_pw4wVc</t>
  </si>
  <si>
    <t>Stirling-Tools/Stirling-PDF</t>
  </si>
  <si>
    <t>Stirling-Tools__Stirling-PDF</t>
  </si>
  <si>
    <t>strands-agents__sdk-python-819</t>
  </si>
  <si>
    <t>https://github.com/strands-agents/sdk-python/issues/819</t>
  </si>
  <si>
    <t>gs://swe-bench-plus/evaluations/019a9c33-6d74-70ca-a36d-b17dba075c66-strands-agents__sdk-python-819-swe-agent-claude-sonnet-4-20250514</t>
  </si>
  <si>
    <t>https://drive.google.com/drive/folders/1X2ky5eR7VObxT_S_oVOICQupP6W_xuNV</t>
  </si>
  <si>
    <t>strands-agents/sdk-python</t>
  </si>
  <si>
    <t>strands-agents__sdk-python</t>
  </si>
  <si>
    <t>strapi__client-104</t>
  </si>
  <si>
    <t>https://github.com/strapi/client/issues/104</t>
  </si>
  <si>
    <t>gs://swe-bench-plus/evaluations/019c66b0-e4eb-7608-b019-c1c316c79cf8-strapi__client-104-swe-agent-claude-sonnet-4-20250514</t>
  </si>
  <si>
    <t>https://drive.google.com/drive/folders/1KGO2rffdT-i0Z3o-VB4F-nlOKYMP1gJw</t>
  </si>
  <si>
    <t>strapi/client</t>
  </si>
  <si>
    <t>strapi__client</t>
  </si>
  <si>
    <t>strapi__strapi-22617</t>
  </si>
  <si>
    <t>https://github.com/strapi/strapi/issues/22617</t>
  </si>
  <si>
    <t>gs://swe-bench-plus/evaluations/019c8ad6-76ed-73ab-9477-f0f4b60f83f2-strapi__strapi-22617-swe-agent-claude-sonnet-4-20250514</t>
  </si>
  <si>
    <t>https://drive.google.com/drive/folders/1fWPzW1AGnoG2kFTwyFfe479rKfwlk7b_</t>
  </si>
  <si>
    <t>strapi/strapi</t>
  </si>
  <si>
    <t>strapi__strapi</t>
  </si>
  <si>
    <t>streamich__json-joy-832</t>
  </si>
  <si>
    <t>https://github.com/streamich/json-joy/issues/832</t>
  </si>
  <si>
    <t>gs://swe-bench-plus/evaluations/019b6aaf-1788-707e-b6dd-d4dc12d72279-streamich__json-joy-832-swe-agent-claude-sonnet-4.5</t>
  </si>
  <si>
    <t>https://drive.google.com/drive/folders/16iobyGph2GkM_jzeSGE2Qmpc6SSaQzSX</t>
  </si>
  <si>
    <t>streamich/json-joy</t>
  </si>
  <si>
    <t>streamich__json-joy</t>
  </si>
  <si>
    <t>streamlit__streamlit-12313</t>
  </si>
  <si>
    <t>https://github.com/streamlit/streamlit/issues/12313</t>
  </si>
  <si>
    <t>https://drive.google.com/drive/folders/1QmG1CvklkMFuMFpsEG-Q5uDrbWa6bPgg</t>
  </si>
  <si>
    <t>https://drive.google.com/drive/folders/1Q2wAOBmDjv5Hzf0TFaCREkzNhzogN3OQ</t>
  </si>
  <si>
    <t>streamlit/streamlit</t>
  </si>
  <si>
    <t>streamlit__streamlit</t>
  </si>
  <si>
    <t>strimzi__strimzi-kafka-operator-11693</t>
  </si>
  <si>
    <t>https://github.com/strimzi/strimzi-kafka-operator/issues/11693</t>
  </si>
  <si>
    <t>gs://swe-bench-plus/evaluations/019c75f5-6b8c-7228-9f9c-93aa98fd3824-strimzi__strimzi-kafka-operator-11693-swe-agent-claude-sonnet-4-20250514</t>
  </si>
  <si>
    <t>https://drive.google.com/drive/folders/1fme6JvpXgkIGZIr4zDUaB_UJqEPizAw3</t>
  </si>
  <si>
    <t>strimzi/strimzi-kafka-operator</t>
  </si>
  <si>
    <t>strimzi__strimzi-kafka-operator</t>
  </si>
  <si>
    <t>stumpy-dev__stumpy-1078</t>
  </si>
  <si>
    <t>https://github.com/stumpy-dev/stumpy/issues/1078</t>
  </si>
  <si>
    <t>gs://swe-bench-plus/evaluations/019a6f31-5865-7528-b3d7-dd9431bd3aac-stumpy-dev__stumpy-1078-swe-agent-claude-sonnet-4.5</t>
  </si>
  <si>
    <t>stumpy-dev/stumpy</t>
  </si>
  <si>
    <t>stumpy-dev__stumpy</t>
  </si>
  <si>
    <t>stylelint__stylelint-8668</t>
  </si>
  <si>
    <t>https://github.com/stylelint/stylelint/issues/8668</t>
  </si>
  <si>
    <t>https://drive.google.com/drive/folders/1iq-QE_Uz-IBe_eKrWDEJtw2izk7Nu4d1</t>
  </si>
  <si>
    <t>https://drive.google.com/drive/folders/1FzXQoP-7vadTIfYzw5SGAFYEDrrv34G3</t>
  </si>
  <si>
    <t>stylelint/stylelint</t>
  </si>
  <si>
    <t>stylelint__stylelint</t>
  </si>
  <si>
    <t>subquery__subql-2622</t>
  </si>
  <si>
    <t>https://github.com/subquery/subql/issues/2622</t>
  </si>
  <si>
    <t>blockchain;data-eng;infra-devops</t>
  </si>
  <si>
    <t>gs://swe-bench-plus/evaluations/019b6aaf-1788-707e-b6dd-d4dc12d72279-subquery__subql-2622-swe-agent-claude-sonnet-4.5</t>
  </si>
  <si>
    <t>https://drive.google.com/drive/folders/1FMBlbPrjRF6Qh-0ukZoqNx8J2TN9JTwl</t>
  </si>
  <si>
    <t>subquery/subql</t>
  </si>
  <si>
    <t>subquery__subql</t>
  </si>
  <si>
    <t>sugyan__claude-code-webui-39</t>
  </si>
  <si>
    <t>https://github.com/sugyan/claude-code-webui/issues/39</t>
  </si>
  <si>
    <t>gs://swe-bench-plus/evaluations/019b6aaf-1788-707e-b6dd-d4dc12d72279-sugyan__claude-code-webui-39-swe-agent-claude-sonnet-4.5</t>
  </si>
  <si>
    <t>https://drive.google.com/drive/folders/1MpuQXBD1Iw-3Qwoh01OaNbPDMMlx2c_U</t>
  </si>
  <si>
    <t>sugyan/claude-code-webui</t>
  </si>
  <si>
    <t>sugyan__claude-code-webui</t>
  </si>
  <si>
    <t>sul-dlss__SearchWorks-5765</t>
  </si>
  <si>
    <t>https://github.com/sul-dlss/SearchWorks/issues/5765</t>
  </si>
  <si>
    <t>gs://swe-bench-plus/evaluations/019b6aaf-1788-707e-b6dd-d4dc12d72279-sul-dlss__SearchWorks-5765-swe-agent-claude-sonnet-4.5</t>
  </si>
  <si>
    <t>https://drive.google.com/drive/folders/1xnJ47yLCp-ngmpB_NrVvi53_2PzHV0Jf</t>
  </si>
  <si>
    <t>sul-dlss/SearchWorks</t>
  </si>
  <si>
    <t>sul-dlss__SearchWorks</t>
  </si>
  <si>
    <t>sul-dlss__SearchWorks-4840</t>
  </si>
  <si>
    <t>https://github.com/sul-dlss/SearchWorks/issues/4840</t>
  </si>
  <si>
    <t>gs://swe-bench-plus/evaluations/019b6aaf-1788-707e-b6dd-d4dc12d72279-sul-dlss__SearchWorks-4840-swe-agent-claude-sonnet-4.5</t>
  </si>
  <si>
    <t>https://drive.google.com/drive/folders/186Mz_O628f7G1uF22_PeGWwjI33HgCJc</t>
  </si>
  <si>
    <t>sul-dlss__SearchWorks-5160</t>
  </si>
  <si>
    <t>https://github.com/sul-dlss/SearchWorks/issues/5160</t>
  </si>
  <si>
    <t>gs://swe-bench-plus/evaluations/019b6ab1-4e74-7019-9e81-9c96e98a145d-sul-dlss__SearchWorks-5160-swe-agent-claude-sonnet-4.5</t>
  </si>
  <si>
    <t>https://drive.google.com/drive/folders/1LtaXBQ0k_WromLlxpKUrPq5mnzdtKtdS</t>
  </si>
  <si>
    <t>sunpy__sunpy-8040</t>
  </si>
  <si>
    <t>https://github.com/sunpy/sunpy/issues/8040</t>
  </si>
  <si>
    <t>https://drive.google.com/drive/folders/1b1Ugf4IVtQ8Q9dCz39HYGzObNZcarFAl</t>
  </si>
  <si>
    <t>https://drive.google.com/drive/folders/1U8mJGQqh2XZA_WQCqAcAybLtdL1alse1</t>
  </si>
  <si>
    <t>sunpy/sunpy</t>
  </si>
  <si>
    <t>sunpy__sunpy</t>
  </si>
  <si>
    <t>supabase__cli-3720</t>
  </si>
  <si>
    <t>https://github.com/supabase/cli/issues/3720</t>
  </si>
  <si>
    <t>devtools;infra-devops;data-eng</t>
  </si>
  <si>
    <t>https://drive.google.com/drive/folders/1Bxxd58dmMLeEGhZSHJ_7K9-vtSIyTH04</t>
  </si>
  <si>
    <t>https://drive.google.com/drive/folders/1775_wFwaL5szujJtyTt95vvecN5fal0E</t>
  </si>
  <si>
    <t>supabase/cli</t>
  </si>
  <si>
    <t>supabase__cli</t>
  </si>
  <si>
    <t>supabase__supabase-js-1424</t>
  </si>
  <si>
    <t>https://github.com/supabase/supabase-js/issues/1424</t>
  </si>
  <si>
    <t>https://drive.google.com/drive/folders/12LTGOghPKzU3VpM3dTkhAEDo099KRUJE</t>
  </si>
  <si>
    <t>https://drive.google.com/drive/folders/1DmsNdLCpJybryzSqSyHwci0_AGx_3XHQ</t>
  </si>
  <si>
    <t>supabase/supabase-js</t>
  </si>
  <si>
    <t>supabase__supabase-js</t>
  </si>
  <si>
    <t>superagent-ai__vibekit-70</t>
  </si>
  <si>
    <t>https://github.com/superagent-ai/vibekit/issues/70</t>
  </si>
  <si>
    <t>gs://swe-bench-plus/evaluations/019b6ab1-4e74-7019-9e81-9c96e98a145d-superagent-ai__vibekit-70-swe-agent-claude-sonnet-4.5</t>
  </si>
  <si>
    <t>https://drive.google.com/drive/folders/17oGyC3jMKXj9iJMMgkMgrcuRVGKZOxu3</t>
  </si>
  <si>
    <t>superagent-ai/vibekit</t>
  </si>
  <si>
    <t>superagent-ai__vibekit</t>
  </si>
  <si>
    <t>surrealdb__surrealdb.js-470</t>
  </si>
  <si>
    <t>https://github.com/surrealdb/surrealdb.js/issues/470</t>
  </si>
  <si>
    <t>gs://swe-bench-plus/evaluations/019c7387-ddc4-764c-86c6-05e1d00ceaaa-surrealdb__surrealdb.js-470-swe-agent-claude-sonnet-4-20250514</t>
  </si>
  <si>
    <t>https://drive.google.com/drive/folders/1rhWQAjjCEbRkClMli3aZM9vLPETN1hL-</t>
  </si>
  <si>
    <t>surrealdb/surrealdb.js</t>
  </si>
  <si>
    <t>surrealdb__surrealdb.js</t>
  </si>
  <si>
    <t>surveyjs__survey-creator-6863</t>
  </si>
  <si>
    <t>https://github.com/surveyjs/survey-creator/issues/6863</t>
  </si>
  <si>
    <t>gs://swe-bench-plus/evaluations/019b6aaf-1788-707e-b6dd-d4dc12d72279-surveyjs__survey-creator-6863-swe-agent-claude-sonnet-4.5</t>
  </si>
  <si>
    <t>https://drive.google.com/drive/folders/1AOw0jot1UsFHrACERGJ8V5Vs-og8l1i3</t>
  </si>
  <si>
    <t>surveyjs/survey-creator</t>
  </si>
  <si>
    <t>surveyjs__survey-creator</t>
  </si>
  <si>
    <t>sveneisenschmidt__n8n-openai-bridge-36</t>
  </si>
  <si>
    <t>https://github.com/sveneisenschmidt/n8n-openai-bridge/issues/36</t>
  </si>
  <si>
    <t>devtools;ai-ml;data-eng</t>
  </si>
  <si>
    <t>gs://swe-bench-plus/evaluations/019b6ab1-4e74-7019-9e81-9c96e98a145d-sveneisenschmidt__n8n-openai-bridge-36-swe-agent-claude-sonnet-4.5</t>
  </si>
  <si>
    <t>https://drive.google.com/drive/folders/1zp3o815VNeKtzE8-LM6cLpgF0y5pkHbB</t>
  </si>
  <si>
    <t>sveneisenschmidt/n8n-openai-bridge</t>
  </si>
  <si>
    <t>sveneisenschmidt__n8n-openai-bridge</t>
  </si>
  <si>
    <t>sverweij__dependency-cruiser-975</t>
  </si>
  <si>
    <t>https://github.com/sverweij/dependency-cruiser/issues/975</t>
  </si>
  <si>
    <t>gs://swe-bench-plus/evaluations/019bb790-00c3-731f-bfe7-c55413fd6291-sverweij__dependency-cruiser-975-swe-agent-claude-sonnet-4-20250514</t>
  </si>
  <si>
    <t>https://drive.google.com/drive/folders/18nQWZJAgSyq8hNtAdgnqNq5cvbMHnaN4</t>
  </si>
  <si>
    <t>sverweij/dependency-cruiser</t>
  </si>
  <si>
    <t>sverweij__dependency-cruiser</t>
  </si>
  <si>
    <t>sverweij__dependency-cruiser-999</t>
  </si>
  <si>
    <t>https://github.com/sverweij/dependency-cruiser/issues/999</t>
  </si>
  <si>
    <t>gs://swe-bench-plus/evaluations/019bb790-00c3-731f-bfe7-c55413fd6291-sverweij__dependency-cruiser-999-swe-agent-claude-sonnet-4-20250514</t>
  </si>
  <si>
    <t>https://drive.google.com/drive/folders/1c1yGa3V_vKZHu1IwovAgPhtIY9dZ8qVa</t>
  </si>
  <si>
    <t>swingerman__ha-dual-smart-thermostat-352</t>
  </si>
  <si>
    <t>https://github.com/swingerman/ha-dual-smart-thermostat/issues/352</t>
  </si>
  <si>
    <t>https://drive.google.com/drive/folders/1oppnhmZ81yXAtHSwZhcdf5bz2SZ1uM1q</t>
  </si>
  <si>
    <t>https://drive.google.com/drive/folders/1tA1UuUo4Mij9Q40QPaULt5y4pqd5pUIj</t>
  </si>
  <si>
    <t>swingerman/ha-dual-smart-thermostat</t>
  </si>
  <si>
    <t>swingerman__ha-dual-smart-thermostat</t>
  </si>
  <si>
    <t>symfony__symfony-60681</t>
  </si>
  <si>
    <t>https://github.com/symfony/symfony/issues/60681</t>
  </si>
  <si>
    <t>gs://swe-bench-plus/evaluations/019b21b9-a658-708c-a609-c6e31ffb4e14-symfony__symfony-60681-swe-agent-claude-sonnet-4-20250514</t>
  </si>
  <si>
    <t>symfony/symfony</t>
  </si>
  <si>
    <t>symfony__symfony</t>
  </si>
  <si>
    <t>Synoptiq__go-fluxus-5</t>
  </si>
  <si>
    <t>https://github.com/Synoptiq/go-fluxus/issues/5</t>
  </si>
  <si>
    <t>gs://swe-bench-plus/evaluations/019b6ab1-4e74-7019-9e81-9c96e98a145d-Synoptiq__go-fluxus-5-swe-agent-claude-sonnet-4.5</t>
  </si>
  <si>
    <t>https://drive.google.com/drive/folders/1tU5byvl_5NHfHNo2j3JapfRJI3NmtAyX</t>
  </si>
  <si>
    <t>Synoptiq/go-fluxus</t>
  </si>
  <si>
    <t>Synoptiq__go-fluxus</t>
  </si>
  <si>
    <t>Synoptiq__go-fluxus-24</t>
  </si>
  <si>
    <t>https://github.com/Synoptiq/go-fluxus/issues/24</t>
  </si>
  <si>
    <t>gs://swe-bench-plus/evaluations/019b6ab1-4e74-7019-9e81-9c96e98a145d-Synoptiq__go-fluxus-24-swe-agent-claude-sonnet-4.5</t>
  </si>
  <si>
    <t>https://drive.google.com/drive/folders/18CG-dAKHewAXzf16glaMxTETzVpqZvrC</t>
  </si>
  <si>
    <t>ta4j__ta4j-1439</t>
  </si>
  <si>
    <t>https://github.com/ta4j/ta4j/issues/1439</t>
  </si>
  <si>
    <t>gs://swe-bench-plus/evaluations/019c6646-ea55-7645-a600-58791210a874-ta4j__ta4j-1439-swe-agent-claude-sonnet-4-20250514</t>
  </si>
  <si>
    <t>https://drive.google.com/drive/folders/1jllruBBtuNfXGTRnmheUTsYoiF9zacxR</t>
  </si>
  <si>
    <t>ta4j/ta4j</t>
  </si>
  <si>
    <t>ta4j__ta4j</t>
  </si>
  <si>
    <t>tailwindlabs__tailwindcss-15228</t>
  </si>
  <si>
    <t>https://github.com/tailwindlabs/tailwindcss/issues/15228</t>
  </si>
  <si>
    <t>https://drive.google.com/drive/folders/1MJe-1IE7R7Kh1Mwq2qvpipKCDX-NWKTl</t>
  </si>
  <si>
    <t>https://drive.google.com/drive/folders/1-eIwoYm6buIYKrA2sQ2RMJJgRcchp3xb</t>
  </si>
  <si>
    <t>tailwindlabs/tailwindcss</t>
  </si>
  <si>
    <t>tailwindlabs__tailwindcss</t>
  </si>
  <si>
    <t>tamatebako__tebako-239</t>
  </si>
  <si>
    <t>https://github.com/tamatebako/tebako/issues/239</t>
  </si>
  <si>
    <t>gs://swe-bench-plus/evaluations/019b6aaf-1788-707e-b6dd-d4dc12d72279-tamatebako__tebako-239-swe-agent-claude-sonnet-4.5</t>
  </si>
  <si>
    <t>https://drive.google.com/drive/folders/1vWId7X56OXJ5_2qiBu0X-y1Fy3nACr5N</t>
  </si>
  <si>
    <t>tamatebako/tebako</t>
  </si>
  <si>
    <t>tamatebako__tebako</t>
  </si>
  <si>
    <t>tamatebako__tebako-256</t>
  </si>
  <si>
    <t>https://github.com/tamatebako/tebako/issues/256</t>
  </si>
  <si>
    <t>dependency-update;build-ci;refactor</t>
  </si>
  <si>
    <t>gs://swe-bench-plus/evaluations/019b6aaf-1788-707e-b6dd-d4dc12d72279-tamatebako__tebako-256-swe-agent-claude-sonnet-4.5</t>
  </si>
  <si>
    <t>https://drive.google.com/drive/folders/1iG3QPYnyAaE6DBmePRExX-VqX5cEn46m</t>
  </si>
  <si>
    <t>TanStack__db-270</t>
  </si>
  <si>
    <t>https://github.com/TanStack/db/issues/270</t>
  </si>
  <si>
    <t>https://drive.google.com/drive/folders/1Hnxyqj6u53HyXZOp_b5aDTJXW5Y1UvFx</t>
  </si>
  <si>
    <t>https://drive.google.com/drive/folders/1l4mdMujU8aFPkHjxLzo-sn1rwxH95-fG</t>
  </si>
  <si>
    <t>TanStack/db</t>
  </si>
  <si>
    <t>TanStack__db</t>
  </si>
  <si>
    <t>TanStack__db-12</t>
  </si>
  <si>
    <t>https://github.com/TanStack/db/issues/12</t>
  </si>
  <si>
    <t>https://drive.google.com/drive/folders/1F4Ev1Ijc3HlsvG1SmOCc4ZHWwO3vFKTR</t>
  </si>
  <si>
    <t>https://drive.google.com/drive/folders/1nPkmCEvc-k0Sw5CkXpeb3SO8_7jGosjv</t>
  </si>
  <si>
    <t>TanStack__db-210</t>
  </si>
  <si>
    <t>https://github.com/TanStack/db/issues/210</t>
  </si>
  <si>
    <t>https://drive.google.com/drive/folders/1DyagarWybBoTaW5tnhC5MCZi8Ia9zqd7</t>
  </si>
  <si>
    <t>https://drive.google.com/drive/folders/1Ii3iBAin7nTkpOtfjPqboQHS2yZfaaFR</t>
  </si>
  <si>
    <t>TanStack__db-186</t>
  </si>
  <si>
    <t>https://github.com/TanStack/db/issues/186</t>
  </si>
  <si>
    <t>https://drive.google.com/drive/folders/1B-d-Yr6-DDdV5bzoxWlJNCln6GWsoWIt</t>
  </si>
  <si>
    <t>https://drive.google.com/drive/folders/1KqCT3BDKRTO-DlOCg7eHNbGdDtUC_lMW</t>
  </si>
  <si>
    <t>TanStack__db-62</t>
  </si>
  <si>
    <t>https://github.com/TanStack/db/issues/62</t>
  </si>
  <si>
    <t>https://drive.google.com/drive/folders/113DWpDq-mv83VHoCxHCuJ_R1eLWVGLOD</t>
  </si>
  <si>
    <t>https://drive.google.com/drive/folders/1TWeieQ0tcUOJGZfMK5nM-D4Yhi-GPQje</t>
  </si>
  <si>
    <t>taskflow__taskflow-505</t>
  </si>
  <si>
    <t>https://github.com/taskflow/taskflow/issues/505</t>
  </si>
  <si>
    <t>gs://swe-bench-plus/evaluations/019b6aa7-0380-771f-9e02-24cda0fe6639-taskflow__taskflow-505-swe-agent-claude-sonnet-4.5</t>
  </si>
  <si>
    <t>https://drive.google.com/drive/folders/1sw-IyrfdGGCTs9gi9lRXFvWRFH6uGTSR</t>
  </si>
  <si>
    <t>taskflow/taskflow</t>
  </si>
  <si>
    <t>taskflow__taskflow</t>
  </si>
  <si>
    <t>TecharoHQ__anubis-120</t>
  </si>
  <si>
    <t>https://github.com/TecharoHQ/anubis/issues/120</t>
  </si>
  <si>
    <t>https://drive.google.com/drive/folders/1maTSklMTwUecyVMSpQqW-TdEDE7gmh-x</t>
  </si>
  <si>
    <t>https://drive.google.com/drive/folders/1SdSypPUZhByPU0rUmyePMERsM1O6CQGz</t>
  </si>
  <si>
    <t>TecharoHQ/anubis</t>
  </si>
  <si>
    <t>TecharoHQ__anubis</t>
  </si>
  <si>
    <t>TecharoHQ__anubis-393</t>
  </si>
  <si>
    <t>https://github.com/TecharoHQ/anubis/issues/393</t>
  </si>
  <si>
    <t>https://drive.google.com/drive/folders/122xESqy_d8RZS1hop6I2Su_cZQoMuNMX</t>
  </si>
  <si>
    <t>https://drive.google.com/drive/folders/1jcYI0KYtZbCU1xo5pMiZJPmO_-KXMzDK</t>
  </si>
  <si>
    <t>TedDriggs__darling-350</t>
  </si>
  <si>
    <t>https://github.com/TedDriggs/darling/issues/350</t>
  </si>
  <si>
    <t>gs://swe-bench-plus/evaluations/019b06be-e158-75e3-bc3e-1e0574eebf73-TedDriggs__darling-350-swe-agent-claude-sonnet-4.5</t>
  </si>
  <si>
    <t>https://drive.google.com/drive/folders/1LpvBQJdTOcyzUkmI8dr7dLYNtWk7i-q5</t>
  </si>
  <si>
    <t>TedDriggs__darling</t>
  </si>
  <si>
    <t>temporalio__samples-dotnet-91</t>
  </si>
  <si>
    <t>https://github.com/temporalio/samples-dotnet/issues/91</t>
  </si>
  <si>
    <t>gs://swe-bench-plus/evaluations/019b6ab1-4e74-7019-9e81-9c96e98a145d-temporalio__samples-dotnet-91-swe-agent-claude-sonnet-4.5</t>
  </si>
  <si>
    <t>https://drive.google.com/drive/folders/1f5QELKFpfRm5wXiPLJlRN-RMFXD0hGsG</t>
  </si>
  <si>
    <t>temporalio/samples-dotnet</t>
  </si>
  <si>
    <t>temporalio__samples-dotnet</t>
  </si>
  <si>
    <t>temporalio__sdk-go-1727</t>
  </si>
  <si>
    <t>https://github.com/temporalio/sdk-go/issues/1727</t>
  </si>
  <si>
    <t>gs://swe-bench-plus/evaluations/019b6aa7-0380-771f-9e02-24cda0fe6639-temporalio__sdk-go-1727-swe-agent-claude-sonnet-4.5</t>
  </si>
  <si>
    <t>https://drive.google.com/drive/folders/1XmsHqz2bt0l7v27FucYozEADWurmuYYe</t>
  </si>
  <si>
    <t>temporalio/sdk-go</t>
  </si>
  <si>
    <t>temporalio__sdk-go</t>
  </si>
  <si>
    <t>temporalio__sdk-go-1682</t>
  </si>
  <si>
    <t>https://github.com/temporalio/sdk-go/issues/1682</t>
  </si>
  <si>
    <t>gs://swe-bench-plus/evaluations/019a8f63-9719-76e6-95d0-86201157cd29-temporalio__sdk-go-1682-open-hands-claude-sonnet-4-20250514</t>
  </si>
  <si>
    <t>https://drive.google.com/drive/folders/1p4SoaRQMwXoMW9iY052dACRRUJ305rBY</t>
  </si>
  <si>
    <t>temporalio__sdk-go-1722</t>
  </si>
  <si>
    <t>https://github.com/temporalio/sdk-go/issues/1722</t>
  </si>
  <si>
    <t>gs://swe-bench-plus/evaluations/019b6aa7-0380-771f-9e02-24cda0fe6639-temporalio__sdk-go-1722-swe-agent-claude-sonnet-4.5</t>
  </si>
  <si>
    <t>https://drive.google.com/drive/folders/1M8Fhd9-DunjEs3DIqtuHHrz_hZI-Tcgs</t>
  </si>
  <si>
    <t>temporalio__temporal-worker-controller-130</t>
  </si>
  <si>
    <t>https://github.com/temporalio/temporal-worker-controller/issues/130</t>
  </si>
  <si>
    <t>gs://swe-bench-plus/evaluations/019b6aa7-0380-771f-9e02-24cda0fe6639-temporalio__temporal-worker-controller-130-swe-agent-claude-sonnet-4.5</t>
  </si>
  <si>
    <t>https://drive.google.com/drive/folders/13Bip1riuLgjw95hD1BbXAqwkFuFAVsGj</t>
  </si>
  <si>
    <t>temporalio/temporal-worker-controller</t>
  </si>
  <si>
    <t>temporalio__temporal-worker-controller</t>
  </si>
  <si>
    <t>temporalio__temporal-worker-controller-149</t>
  </si>
  <si>
    <t>https://github.com/temporalio/temporal-worker-controller/issues/149</t>
  </si>
  <si>
    <t>gs://swe-bench-plus/evaluations/019b6aa7-0380-771f-9e02-24cda0fe6639-temporalio__temporal-worker-controller-149-swe-agent-claude-sonnet-4.5</t>
  </si>
  <si>
    <t>https://drive.google.com/drive/folders/1Xs9cpITOFlx1NUxPufoHYg1FG-y8QHuT</t>
  </si>
  <si>
    <t>temporalio__temporal-worker-controller-127</t>
  </si>
  <si>
    <t>https://github.com/temporalio/temporal-worker-controller/issues/127</t>
  </si>
  <si>
    <t>gs://swe-bench-plus/evaluations/019a9c4e-0063-727d-8204-48136c489e61-temporalio__temporal-worker-controller-127-swe-agent-claude-sonnet-4-20250514</t>
  </si>
  <si>
    <t>https://drive.google.com/drive/folders/1NN77LnjFlMfLo3lUMWZO43gUZQGhJTm7</t>
  </si>
  <si>
    <t>tensorflow__tflite-micro-3113</t>
  </si>
  <si>
    <t>https://github.com/tensorflow/tflite-micro/issues/3113</t>
  </si>
  <si>
    <t>gs://swe-bench-plus/evaluations/019aeed8-5654-736c-85f3-1d2b6f133793-tensorflow__tflite-micro-3113-swe-agent-claude-sonnet-4-20250514</t>
  </si>
  <si>
    <t>https://drive.google.com/drive/folders/10GIQPOiXZcsVTT5pWElxgF5pEjkoI3EI</t>
  </si>
  <si>
    <t>tensorflow/tflite-micro</t>
  </si>
  <si>
    <t>tensorflow__tflite-micro</t>
  </si>
  <si>
    <t>tenstorrent__tt-metal-26173</t>
  </si>
  <si>
    <t>https://github.com/tenstorrent/tt-metal/issues/26173</t>
  </si>
  <si>
    <t>gs://swe-bench-plus/evaluations/019b6aa7-0380-771f-9e02-24cda0fe6639-tenstorrent__tt-metal-26173-swe-agent-claude-sonnet-4.5</t>
  </si>
  <si>
    <t>https://drive.google.com/drive/folders/19LUYEtsWcJ0ENJpyzyITeWYGlBNun8WG</t>
  </si>
  <si>
    <t>tenstorrent/tt-metal</t>
  </si>
  <si>
    <t>tenstorrent__tt-metal</t>
  </si>
  <si>
    <t>terraform-linters__tflint-ruleset-aws-786</t>
  </si>
  <si>
    <t>https://github.com/terraform-linters/tflint-ruleset-aws/issues/786</t>
  </si>
  <si>
    <t>gs://swe-bench-plus/evaluations/019b6ab1-4e74-7019-9e81-9c96e98a145d-terraform-linters__tflint-ruleset-aws-786-swe-agent-claude-sonnet-4.5</t>
  </si>
  <si>
    <t>https://drive.google.com/drive/folders/15Z2Hks2rVK3YBaanFVv9mMkQIHPiqGLx</t>
  </si>
  <si>
    <t>terraform-linters/tflint-ruleset-aws</t>
  </si>
  <si>
    <t>terraform-linters__tflint-ruleset-aws</t>
  </si>
  <si>
    <t>terrakube-io__terrakube-2450</t>
  </si>
  <si>
    <t>https://github.com/terrakube-io/terrakube/issues/2450</t>
  </si>
  <si>
    <t>gs://swe-bench-plus/evaluations/019b6aaf-1788-707e-b6dd-d4dc12d72279-terrakube-io__terrakube-2450-swe-agent-claude-sonnet-4.5</t>
  </si>
  <si>
    <t>https://drive.google.com/drive/folders/17uxd_-otgcov18-M4tyeCJsZjd39nDiC</t>
  </si>
  <si>
    <t>terrakube-io/terrakube</t>
  </si>
  <si>
    <t>terrakube-io__terrakube</t>
  </si>
  <si>
    <t>terrazzoapp__terrazzo-485</t>
  </si>
  <si>
    <t>https://github.com/terrazzoapp/terrazzo/issues/485</t>
  </si>
  <si>
    <t>gs://swe-bench-plus/evaluations/019b6aa7-0380-771f-9e02-24cda0fe6639-terrazzoapp__terrazzo-485-swe-agent-claude-sonnet-4.5</t>
  </si>
  <si>
    <t>https://drive.google.com/drive/folders/1v6odV6YzloXsaRPsEhDTwgQ7hU3KQXlP</t>
  </si>
  <si>
    <t>terrazzoapp/terrazzo</t>
  </si>
  <si>
    <t>terrazzoapp__terrazzo</t>
  </si>
  <si>
    <t>thaitype__kubricate-117</t>
  </si>
  <si>
    <t>https://github.com/thaitype/kubricate/issues/117</t>
  </si>
  <si>
    <t>gs://swe-bench-plus/evaluations/019b6aaf-1788-707e-b6dd-d4dc12d72279-thaitype__kubricate-117-swe-agent-claude-sonnet-4.5</t>
  </si>
  <si>
    <t>https://drive.google.com/drive/folders/11HV5tIZWDnh4j-cdHgfq9Mzw_H9SpSfE</t>
  </si>
  <si>
    <t>thaitype/kubricate</t>
  </si>
  <si>
    <t>thaitype__kubricate</t>
  </si>
  <si>
    <t>Thalhammer__jwt-cpp-307</t>
  </si>
  <si>
    <t>https://github.com/Thalhammer/jwt-cpp/issues/307</t>
  </si>
  <si>
    <t>https://drive.google.com/drive/folders/1ZBSQ2XkQV1hC5MN77HZh72bpKAMhmsfj</t>
  </si>
  <si>
    <t>https://drive.google.com/drive/folders/1Wid9J0tFv1ik5X1rkoWsZnrZ3ocrZDtn</t>
  </si>
  <si>
    <t>Thalhammer/jwt-cpp</t>
  </si>
  <si>
    <t>Thalhammer__jwt-cpp</t>
  </si>
  <si>
    <t>the-bugging__react-use-downloader-31</t>
  </si>
  <si>
    <t>https://github.com/the-bugging/react-use-downloader/issues/31</t>
  </si>
  <si>
    <t>gs://swe-bench-plus/evaluations/019c7387-ddc4-764c-86c6-05e1d00ceaaa-the-bugging__react-use-downloader-31-swe-agent-claude-sonnet-4-20250514</t>
  </si>
  <si>
    <t>https://drive.google.com/drive/folders/1QbFol89-zAk_3piFwVfg-lRFKJsApwwE</t>
  </si>
  <si>
    <t>the-bugging/react-use-downloader</t>
  </si>
  <si>
    <t>the-bugging__react-use-downloader</t>
  </si>
  <si>
    <t>the-strategy-unit__nhp_model-275</t>
  </si>
  <si>
    <t>https://github.com/the-strategy-unit/nhp_model/issues/275</t>
  </si>
  <si>
    <t>https://drive.google.com/drive/folders/1614M0B-xf8kpVcQJiOpqM1EUxF0CKrOI</t>
  </si>
  <si>
    <t>https://drive.google.com/drive/folders/1sl3m4vMNBUnwcRF8SbDWI9Zihujg_J3Y</t>
  </si>
  <si>
    <t>the-strategy-unit/nhp_model</t>
  </si>
  <si>
    <t>the-strategy-unit__nhp_model</t>
  </si>
  <si>
    <t>thelfer__tfel-774</t>
  </si>
  <si>
    <t>https://github.com/thelfer/tfel/issues/774</t>
  </si>
  <si>
    <t>gs://swe-bench-plus/evaluations/019b6aa7-0380-771f-9e02-24cda0fe6639-thelfer__tfel-774-swe-agent-claude-sonnet-4.5</t>
  </si>
  <si>
    <t>https://drive.google.com/drive/folders/1zfPKye_zIKUdtfTR8hm2CZeR2--sbyuU</t>
  </si>
  <si>
    <t>thelfer/tfel</t>
  </si>
  <si>
    <t>thelfer__tfel</t>
  </si>
  <si>
    <t>theredfish__grillon-88</t>
  </si>
  <si>
    <t>https://github.com/theredfish/grillon/issues/88</t>
  </si>
  <si>
    <t>gs://swe-bench-plus/evaluations/019b6aaf-1788-707e-b6dd-d4dc12d72279-theredfish__grillon-88-swe-agent-claude-sonnet-4.5</t>
  </si>
  <si>
    <t>https://drive.google.com/drive/folders/1KXXHSb4qbaClb5Zc4gbZzwQKLlI20vPc</t>
  </si>
  <si>
    <t>theredfish/grillon</t>
  </si>
  <si>
    <t>theredfish__grillon</t>
  </si>
  <si>
    <t>thomasschafer__scooter-214</t>
  </si>
  <si>
    <t>https://github.com/thomasschafer/scooter/issues/214</t>
  </si>
  <si>
    <t>gs://swe-bench-plus/evaluations/019b06be-e158-75e3-bc3e-1e0574eebf73-thomasschafer__scooter-214-swe-agent-claude-sonnet-4.5</t>
  </si>
  <si>
    <t>https://drive.google.com/drive/folders/1zpgTPkic9UwjTnp0PgAcmwZn5_2wmkbQ</t>
  </si>
  <si>
    <t>thomasschafer/scooter</t>
  </si>
  <si>
    <t>thomasschafer__scooter</t>
  </si>
  <si>
    <t>thorvg__thorvg-2643</t>
  </si>
  <si>
    <t>https://github.com/thorvg/thorvg/issues/2643</t>
  </si>
  <si>
    <t>gs://swe-bench-plus/evaluations/019b6aa7-0380-771f-9e02-24cda0fe6639-thorvg__thorvg-2643-swe-agent-claude-sonnet-4.5</t>
  </si>
  <si>
    <t>https://drive.google.com/drive/folders/1YeJCyM20geLyFsLgWHzdlDuwyvZ7xGhE</t>
  </si>
  <si>
    <t>thorvg/thorvg</t>
  </si>
  <si>
    <t>thorvg__thorvg</t>
  </si>
  <si>
    <t>Tiberriver256__mcp-server-azure-devops-246</t>
  </si>
  <si>
    <t>https://github.com/Tiberriver256/mcp-server-azure-devops/issues/246</t>
  </si>
  <si>
    <t>gs://swe-bench-plus/evaluations/019b6aaf-1788-707e-b6dd-d4dc12d72279-Tiberriver256__mcp-server-azure-devops-246-swe-agent-claude-sonnet-4.5</t>
  </si>
  <si>
    <t>https://drive.google.com/drive/folders/1l5qKrINrkV8WaXqaK0WJGpO8GE_hw0jp</t>
  </si>
  <si>
    <t>Tiberriver256/mcp-server-azure-devops</t>
  </si>
  <si>
    <t>Tiberriver256__mcp-server-azure-devops</t>
  </si>
  <si>
    <t>Tiberriver256__mcp-server-azure-devops-106</t>
  </si>
  <si>
    <t>https://github.com/Tiberriver256/mcp-server-azure-devops/issues/106</t>
  </si>
  <si>
    <t>gs://swe-bench-plus/evaluations/019b6aaf-1788-707e-b6dd-d4dc12d72279-Tiberriver256__mcp-server-azure-devops-106-swe-agent-claude-sonnet-4.5</t>
  </si>
  <si>
    <t>https://drive.google.com/drive/folders/17bXOFy0hB_d8dkLRyFUhbaIkV49mJxVz</t>
  </si>
  <si>
    <t>tidewave-ai__tidewave_rails-42</t>
  </si>
  <si>
    <t>https://github.com/tidewave-ai/tidewave_rails/issues/42</t>
  </si>
  <si>
    <t>https://drive.google.com/drive/folders/1h4R9bD7dcY7UaSmJnF76lNCuHB5Fd76n</t>
  </si>
  <si>
    <t>https://drive.google.com/drive/folders/1w9i990RnX_kzBEp80S7iGHc_lj-fFQ__</t>
  </si>
  <si>
    <t>tidewave-ai/tidewave_rails</t>
  </si>
  <si>
    <t>tidewave-ai__tidewave_rails</t>
  </si>
  <si>
    <t>TigerVNC__tigervnc-1375</t>
  </si>
  <si>
    <t>https://github.com/TigerVNC/tigervnc/issues/1375</t>
  </si>
  <si>
    <t>applications;graphics-media;infra-devops</t>
  </si>
  <si>
    <t>gs://swe-bench-plus/evaluations/019b6aa7-0380-771f-9e02-24cda0fe6639-TigerVNC__tigervnc-1375-swe-agent-claude-sonnet-4.5</t>
  </si>
  <si>
    <t>https://drive.google.com/drive/folders/1yCDiZBlyb4t538M5stj5qmvi4ic6ZA2G</t>
  </si>
  <si>
    <t>TigerVNC/tigervnc</t>
  </si>
  <si>
    <t>TigerVNC__tigervnc</t>
  </si>
  <si>
    <t>Tim-Maes__Facet-39</t>
  </si>
  <si>
    <t>https://github.com/Tim-Maes/Facet/issues/39</t>
  </si>
  <si>
    <t>gs://swe-bench-plus/evaluations/019b6ab1-4e74-7019-9e81-9c96e98a145d-Tim-Maes__Facet-39-swe-agent-claude-sonnet-4.5</t>
  </si>
  <si>
    <t>https://drive.google.com/drive/folders/1g3k3Hxu1nc4pQBQy8eNogzfB3yDD70xE</t>
  </si>
  <si>
    <t>Tim-Maes/Facet</t>
  </si>
  <si>
    <t>Tim-Maes__Facet</t>
  </si>
  <si>
    <t>TimefoldAI__timefold-solver-1571</t>
  </si>
  <si>
    <t>https://github.com/TimefoldAI/timefold-solver/issues/1571</t>
  </si>
  <si>
    <t>gs://swe-bench-plus/evaluations/019b3c26-16fe-7517-9031-f89dfd2f980c-TimefoldAI__timefold-solver-1571-swe-agent-claude-sonnet-4-20250514</t>
  </si>
  <si>
    <t>TimefoldAI/timefold-solver</t>
  </si>
  <si>
    <t>TimefoldAI__timefold-solver</t>
  </si>
  <si>
    <t>tlaplus__tlaplus-1014</t>
  </si>
  <si>
    <t>https://github.com/tlaplus/tlaplus/issues/1014</t>
  </si>
  <si>
    <t>gs://swe-bench-plus/evaluations/019c2528-578b-73cc-ad42-8f1328ded528-tlaplus__tlaplus-1014-swe-agent-claude-sonnet-4-20250514</t>
  </si>
  <si>
    <t>https://drive.google.com/drive/folders/1bgUgVPXd5r6TfpBvZuen7vGfZzTZG1HV</t>
  </si>
  <si>
    <t>tlaplus/tlaplus</t>
  </si>
  <si>
    <t>tlaplus__tlaplus</t>
  </si>
  <si>
    <t>TobikoData__sqlmesh-4615</t>
  </si>
  <si>
    <t>https://github.com/TobikoData/sqlmesh/issues/4615</t>
  </si>
  <si>
    <t>https://drive.google.com/drive/folders/1q8dXEMM_3ietAm1lKiflAukhEGqnq8uQ</t>
  </si>
  <si>
    <t>TobikoData/sqlmesh</t>
  </si>
  <si>
    <t>TobikoData__sqlmesh</t>
  </si>
  <si>
    <t>tobymao__18xx-11949</t>
  </si>
  <si>
    <t>https://github.com/tobymao/18xx/issues/11949</t>
  </si>
  <si>
    <t>https://drive.google.com/drive/folders/1t5BojMOKC0tlEdddE-Rsnowfzuv43Wd6</t>
  </si>
  <si>
    <t>https://drive.google.com/drive/folders/1iJjwddPswhh3FxeSOu6kTvQsd5qoahWN</t>
  </si>
  <si>
    <t>tobymao/18xx</t>
  </si>
  <si>
    <t>tobymao__18xx</t>
  </si>
  <si>
    <t>tofuutils__tenv-401</t>
  </si>
  <si>
    <t>https://github.com/tofuutils/tenv/issues/401</t>
  </si>
  <si>
    <t>gs://swe-bench-plus/evaluations/019b6ab1-4e74-7019-9e81-9c96e98a145d-tofuutils__tenv-401-swe-agent-claude-sonnet-4.5</t>
  </si>
  <si>
    <t>https://drive.google.com/drive/folders/1U6wOEugiEKjZlBP0mH14KoX2JmtuqJJZ</t>
  </si>
  <si>
    <t>tofuutils/tenv</t>
  </si>
  <si>
    <t>tofuutils__tenv</t>
  </si>
  <si>
    <t>tokuhirom__dcv-18</t>
  </si>
  <si>
    <t>https://github.com/tokuhirom/dcv/issues/18</t>
  </si>
  <si>
    <t>gs://swe-bench-plus/evaluations/019b6ab1-4e74-7019-9e81-9c96e98a145d-tokuhirom__dcv-18-swe-agent-claude-sonnet-4.5</t>
  </si>
  <si>
    <t>https://drive.google.com/drive/folders/1RrPusGjBezzDkRYQYVsmInLTSUgJ9zE5</t>
  </si>
  <si>
    <t>tokuhirom/dcv</t>
  </si>
  <si>
    <t>tokuhirom__dcv</t>
  </si>
  <si>
    <t>tomkp__react-split-pane-859</t>
  </si>
  <si>
    <t>https://github.com/tomkp/react-split-pane/issues/859</t>
  </si>
  <si>
    <t>bug-fix;refactor;documentation;maintenance</t>
  </si>
  <si>
    <t>gs://swe-bench-plus/evaluations/019c66b2-8d12-718e-a308-6ab44b696b4d-tomkp__react-split-pane-859-swe-agent-claude-sonnet-4.5</t>
  </si>
  <si>
    <t>https://drive.google.com/drive/folders/15BWtRC3nWNIKWQ9pZWuOVe2_9IDPluU_</t>
  </si>
  <si>
    <t>tomkp/react-split-pane</t>
  </si>
  <si>
    <t>tomkp__react-split-pane</t>
  </si>
  <si>
    <t>ton-org__sandbox-112</t>
  </si>
  <si>
    <t>https://github.com/ton-org/sandbox/issues/112</t>
  </si>
  <si>
    <t>gs://swe-bench-plus/evaluations/019b6ab1-4e74-7019-9e81-9c96e98a145d-ton-org__sandbox-112-swe-agent-claude-sonnet-4.5</t>
  </si>
  <si>
    <t>https://drive.google.com/drive/folders/11OiMf4Gc6gen7z7lkdSQPyU1ctPpgsqc</t>
  </si>
  <si>
    <t>ton-org/sandbox</t>
  </si>
  <si>
    <t>ton-org__sandbox</t>
  </si>
  <si>
    <t>TorchDR__TorchDR-137</t>
  </si>
  <si>
    <t>https://github.com/TorchDR/TorchDR/issues/137</t>
  </si>
  <si>
    <t>https://drive.google.com/drive/folders/1mhkDhjzdBREApek95sDfk_fkU9Yyx2oB</t>
  </si>
  <si>
    <t>https://drive.google.com/drive/folders/18gExpR_uvJ98BlsfSfN0qj6uElgH_pXJ</t>
  </si>
  <si>
    <t>TorchDR/TorchDR</t>
  </si>
  <si>
    <t>TorchDR__TorchDR</t>
  </si>
  <si>
    <t>TorchIO-project__torchio-1073</t>
  </si>
  <si>
    <t>https://github.com/TorchIO-project/torchio/issues/1073</t>
  </si>
  <si>
    <t>https://drive.google.com/drive/folders/15gtcTMP1m3y_lya1XTuxTiFMVfADztZF</t>
  </si>
  <si>
    <t>https://drive.google.com/drive/folders/1OcV8TfQAHbXNZBmWCDXRuZSKZU9Qmmus</t>
  </si>
  <si>
    <t>TorchIO-project/torchio</t>
  </si>
  <si>
    <t>TorchIO-project__torchio</t>
  </si>
  <si>
    <t>torrust__torrust-tracker-1500</t>
  </si>
  <si>
    <t>https://github.com/torrust/torrust-tracker/issues/1500</t>
  </si>
  <si>
    <t>gs://swe-bench-plus/evaluations/019b6aa7-0380-771f-9e02-24cda0fe6639-torrust__torrust-tracker-1500-swe-agent-claude-sonnet-4.5</t>
  </si>
  <si>
    <t>https://drive.google.com/drive/folders/1LBVWOuXi1ZbZeaOcbLm2Ht9iNxGN3xRV</t>
  </si>
  <si>
    <t>torrust/torrust-tracker</t>
  </si>
  <si>
    <t>torrust__torrust-tracker</t>
  </si>
  <si>
    <t>toss__es-toolkit-1068</t>
  </si>
  <si>
    <t>https://github.com/toss/es-toolkit/issues/1068</t>
  </si>
  <si>
    <t>https://drive.google.com/drive/folders/13b3xd8Amm3C4p-7hEcIltw3ZqaonDH43</t>
  </si>
  <si>
    <t>toss/es-toolkit</t>
  </si>
  <si>
    <t>toss__es-toolkit</t>
  </si>
  <si>
    <t>toss__es-toolkit-911</t>
  </si>
  <si>
    <t>https://github.com/toss/es-toolkit/issues/911</t>
  </si>
  <si>
    <t>https://drive.google.com/drive/folders/1VDYiWTD9qzmx0qFnq3emU9rJoM6e1oJK</t>
  </si>
  <si>
    <t>toss__es-toolkit-1180</t>
  </si>
  <si>
    <t>https://github.com/toss/es-toolkit/issues/1180</t>
  </si>
  <si>
    <t>feature;documentation;performance</t>
  </si>
  <si>
    <t>https://drive.google.com/drive/folders/1rf4C14ggDrUbpmTR4DH-KH0WckJvApxW</t>
  </si>
  <si>
    <t>toss__es-toolkit-1148</t>
  </si>
  <si>
    <t>https://github.com/toss/es-toolkit/issues/1148</t>
  </si>
  <si>
    <t>https://drive.google.com/drive/folders/1PmI4H5SiESMpUi1CAWJLWYxWAu3Hwstc</t>
  </si>
  <si>
    <t>toss__es-toolkit-1146</t>
  </si>
  <si>
    <t>https://github.com/toss/es-toolkit/issues/1146</t>
  </si>
  <si>
    <t>https://drive.google.com/drive/folders/1LnVDJubvI3gyZTTTnGwG3MN1YQBcIHXo</t>
  </si>
  <si>
    <t>tox-dev__pipdeptree-429</t>
  </si>
  <si>
    <t>https://github.com/tox-dev/pipdeptree/issues/429</t>
  </si>
  <si>
    <t>https://drive.google.com/drive/folders/1NM_Vaf2YBxHBq0e8x7oyc50zQGODbqmS</t>
  </si>
  <si>
    <t>https://drive.google.com/drive/folders/16ZHoEK7rRxqGvYThj-rjeay3dHIOy4Hz</t>
  </si>
  <si>
    <t>tox-dev/pipdeptree</t>
  </si>
  <si>
    <t>tox-dev__pipdeptree</t>
  </si>
  <si>
    <t>tracel-ai__burn-3341</t>
  </si>
  <si>
    <t>https://github.com/tracel-ai/burn/issues/3341</t>
  </si>
  <si>
    <t>https://drive.google.com/drive/folders/1sUD0L_ZGinIHGvtkeh8uhubd9l5dBrBx</t>
  </si>
  <si>
    <t>https://drive.google.com/drive/folders/1kh6m4D6QWByIDmt_wRf3Uo7rgvizRyTs</t>
  </si>
  <si>
    <t>tracel-ai/burn</t>
  </si>
  <si>
    <t>tracel-ai__burn</t>
  </si>
  <si>
    <t>tracel-ai__cubecl-278</t>
  </si>
  <si>
    <t>https://github.com/tracel-ai/cubecl/issues/278</t>
  </si>
  <si>
    <t>gs://swe-bench-plus/evaluations/019b06be-e158-75e3-bc3e-1e0574eebf73-tracel-ai__cubecl-278-swe-agent-claude-sonnet-4.5</t>
  </si>
  <si>
    <t>https://drive.google.com/drive/folders/15ocZrRTHTgvfwXKc7eZVwjuXssGkzu7z</t>
  </si>
  <si>
    <t>tracel-ai/cubecl</t>
  </si>
  <si>
    <t>tracel-ai__cubecl</t>
  </si>
  <si>
    <t>TraceMachina__nativelink-1646</t>
  </si>
  <si>
    <t>https://github.com/TraceMachina/nativelink/issues/1646</t>
  </si>
  <si>
    <t>gs://swe-bench-plus/evaluations/019a8f58-c516-722e-bb34-fa7546d3155d-TraceMachina__nativelink-1646-open-hands-claude-sonnet-4-20250514</t>
  </si>
  <si>
    <t>https://drive.google.com/drive/folders/10yC_QJ_MhJAe36R-5x30RnSstziUTfGf</t>
  </si>
  <si>
    <t>TraceMachina/nativelink</t>
  </si>
  <si>
    <t>TraceMachina__nativelink</t>
  </si>
  <si>
    <t>traefik__traefik-12033</t>
  </si>
  <si>
    <t>https://github.com/traefik/traefik/issues/12033</t>
  </si>
  <si>
    <t>https://drive.google.com/drive/folders/1qKv17KO9CPBYPP3OuzGSITObQ_ujrRoX</t>
  </si>
  <si>
    <t>https://drive.google.com/drive/folders/1WtvezU41y2ZCLl7D4G7oSay0PZOquKpO</t>
  </si>
  <si>
    <t>traefik/traefik</t>
  </si>
  <si>
    <t>traefik__traefik</t>
  </si>
  <si>
    <t>traefik__traefik-11318</t>
  </si>
  <si>
    <t>https://github.com/traefik/traefik/issues/11318</t>
  </si>
  <si>
    <t>infra-devops;security;webdev</t>
  </si>
  <si>
    <t>https://drive.google.com/drive/folders/1X57Lo40h_zwkZoPT2ycW0iKWzT4MqPX3</t>
  </si>
  <si>
    <t>https://drive.google.com/drive/folders/1AER12K9xkEvJS8319rJHgILSuvfi4qt_</t>
  </si>
  <si>
    <t>traefik__traefik-10610</t>
  </si>
  <si>
    <t>https://github.com/traefik/traefik/issues/10610</t>
  </si>
  <si>
    <t>https://drive.google.com/drive/folders/1zupr7NY7X8ZOt15QHR53YqWrJBsnTVOn</t>
  </si>
  <si>
    <t>https://drive.google.com/drive/folders/168a_SBewZp6zBy9QFVBdt9mrmJk2T2HM</t>
  </si>
  <si>
    <t>trailofbits__buttercup-207</t>
  </si>
  <si>
    <t>https://github.com/trailofbits/buttercup/issues/207</t>
  </si>
  <si>
    <t>gs://swe-bench-plus/evaluations/019a8508-78a8-712a-b970-052ae053c3bc-trailofbits__buttercup-207-swe-agent-claude-sonnet-4-20250514</t>
  </si>
  <si>
    <t>https://drive.google.com/drive/folders/1avC6OaVRIYGPRUgIOc9mP9Y8OaWzb3SP</t>
  </si>
  <si>
    <t>trailofbits/buttercup</t>
  </si>
  <si>
    <t>trailofbits__buttercup</t>
  </si>
  <si>
    <t>transmission__transmission-7047</t>
  </si>
  <si>
    <t>https://github.com/transmission/transmission/issues/7047</t>
  </si>
  <si>
    <t>https://drive.google.com/drive/folders/1crhxPSIghVIHRKfYbvb0bAELl9sRniMP</t>
  </si>
  <si>
    <t>https://drive.google.com/drive/folders/1oIlOTykzfOWS-8TxKZzdkz8ZG-pkFsqd</t>
  </si>
  <si>
    <t>transmission/transmission</t>
  </si>
  <si>
    <t>transmission__transmission</t>
  </si>
  <si>
    <t>trentm__python-markdown2-617</t>
  </si>
  <si>
    <t>https://github.com/trentm/python-markdown2/issues/617</t>
  </si>
  <si>
    <t>https://drive.google.com/drive/folders/1btv8U0uHnRr0zbokOrc5OoV0k3u3Q8AG</t>
  </si>
  <si>
    <t>trentm/python-markdown2</t>
  </si>
  <si>
    <t>trentm__python-markdown2</t>
  </si>
  <si>
    <t>trezor__trezor-suite-20698</t>
  </si>
  <si>
    <t>https://github.com/trezor/trezor-suite/issues/20698</t>
  </si>
  <si>
    <t>gs://swe-bench-plus/evaluations/019b6aaf-1788-707e-b6dd-d4dc12d72279-trezor__trezor-suite-20698-swe-agent-claude-sonnet-4.5</t>
  </si>
  <si>
    <t>https://drive.google.com/drive/folders/12ibh80m8knGROrO2B0OTHUk9JEKWkvuy</t>
  </si>
  <si>
    <t>trezor/trezor-suite</t>
  </si>
  <si>
    <t>trezor__trezor-suite</t>
  </si>
  <si>
    <t>tronprotocol__java-tron-6399</t>
  </si>
  <si>
    <t>https://github.com/tronprotocol/java-tron/issues/6399</t>
  </si>
  <si>
    <t>https://drive.google.com/drive/folders/1j55gIIjY2GeIjMKjcwRBBidvq5u4Q8Rd</t>
  </si>
  <si>
    <t>https://drive.google.com/drive/folders/17BS2xVvhGciCu7laJ3ns7-qNdGhynGym</t>
  </si>
  <si>
    <t>tronprotocol/java-tron</t>
  </si>
  <si>
    <t>tronprotocol__java-tron</t>
  </si>
  <si>
    <t>trpc-group__trpc-a2a-go-37</t>
  </si>
  <si>
    <t>https://github.com/trpc-group/trpc-a2a-go/issues/37</t>
  </si>
  <si>
    <t>gs://swe-bench-plus/evaluations/019b6ab1-4e74-7019-9e81-9c96e98a145d-trpc-group__trpc-a2a-go-37-swe-agent-claude-sonnet-4.5</t>
  </si>
  <si>
    <t>https://drive.google.com/drive/folders/185HmM3X_qmmy3HAAo2RUU45P_wQKMKJE</t>
  </si>
  <si>
    <t>trpc-group/trpc-a2a-go</t>
  </si>
  <si>
    <t>trpc-group__trpc-a2a-go</t>
  </si>
  <si>
    <t>trpc__trpc-6463</t>
  </si>
  <si>
    <t>https://github.com/trpc/trpc/issues/6463</t>
  </si>
  <si>
    <t>https://drive.google.com/drive/folders/1fGNj57HQRfzsjCEm-YOOSlUOj5nemrpj</t>
  </si>
  <si>
    <t>https://drive.google.com/drive/folders/15HwMRf2pI6lNe-fZXZoyqiKxINEUGGOW</t>
  </si>
  <si>
    <t>trpc/trpc</t>
  </si>
  <si>
    <t>trpc__trpc</t>
  </si>
  <si>
    <t>trueadm__ripple-345</t>
  </si>
  <si>
    <t>https://github.com/trueadm/ripple/issues/345</t>
  </si>
  <si>
    <t>gs://swe-bench-plus/evaluations/019bb790-00c3-731f-bfe7-c55413fd6291-trueadm__ripple-345-swe-agent-claude-sonnet-4-20250514</t>
  </si>
  <si>
    <t>https://drive.google.com/drive/folders/1KRKI667jkWeK_b_w85N89EnCidRacGck</t>
  </si>
  <si>
    <t>trueadm/ripple</t>
  </si>
  <si>
    <t>trueadm__ripple</t>
  </si>
  <si>
    <t>TrueBlocks__trueblocks-core-4006</t>
  </si>
  <si>
    <t>https://github.com/TrueBlocks/trueblocks-core/issues/4006</t>
  </si>
  <si>
    <t>blockchain;devtools;data-eng</t>
  </si>
  <si>
    <t>gs://swe-bench-plus/evaluations/019b6aa7-0380-771f-9e02-24cda0fe6639-TrueBlocks__trueblocks-core-4006-swe-agent-claude-sonnet-4.5</t>
  </si>
  <si>
    <t>https://drive.google.com/drive/folders/1L14cnoBFcmx-FaSpXujsiEvNbWmrbbL7</t>
  </si>
  <si>
    <t>TrueBlocks/trueblocks-core</t>
  </si>
  <si>
    <t>TrueBlocks__trueblocks-core</t>
  </si>
  <si>
    <t>truffle-ai__dexto-101</t>
  </si>
  <si>
    <t>https://github.com/truffle-ai/dexto/issues/101</t>
  </si>
  <si>
    <t>gs://swe-bench-plus/evaluations/019b6aaf-1788-707e-b6dd-d4dc12d72279-truffle-ai__dexto-101-swe-agent-claude-sonnet-4.5</t>
  </si>
  <si>
    <t>https://drive.google.com/drive/folders/1ALJhTpz9GvGvA2msD3GFBggTI1hu3h1H</t>
  </si>
  <si>
    <t>truffle-ai/dexto</t>
  </si>
  <si>
    <t>truffle-ai__dexto</t>
  </si>
  <si>
    <t>truffle-ai__dexto-235</t>
  </si>
  <si>
    <t>https://github.com/truffle-ai/dexto/issues/235</t>
  </si>
  <si>
    <t>applications;webdev;ai-ml</t>
  </si>
  <si>
    <t>gs://swe-bench-plus/evaluations/019b6aaf-1788-707e-b6dd-d4dc12d72279-truffle-ai__dexto-235-swe-agent-claude-sonnet-4.5</t>
  </si>
  <si>
    <t>https://drive.google.com/drive/folders/147Py9AxZy6jAaLXiEramL5RSyiq-3d9E</t>
  </si>
  <si>
    <t>tud-zih-energy__FIRESTARTER-114</t>
  </si>
  <si>
    <t>https://github.com/tud-zih-energy/FIRESTARTER/issues/114</t>
  </si>
  <si>
    <t>gs://swe-bench-plus/evaluations/019b6aa7-0380-771f-9e02-24cda0fe6639-tud-zih-energy__FIRESTARTER-114-swe-agent-claude-sonnet-4.5</t>
  </si>
  <si>
    <t>https://drive.google.com/drive/folders/1pN1h2N-hFxIxnunJypNr-C0_fC6Kmgxa</t>
  </si>
  <si>
    <t>tud-zih-energy/FIRESTARTER</t>
  </si>
  <si>
    <t>tud-zih-energy__FIRESTARTER</t>
  </si>
  <si>
    <t>TUM-Dev__gocast-1380</t>
  </si>
  <si>
    <t>https://github.com/TUM-Dev/gocast/issues/1380</t>
  </si>
  <si>
    <t>gs://swe-bench-plus/evaluations/019b6aa7-0380-771f-9e02-24cda0fe6639-TUM-Dev__gocast-1380-swe-agent-claude-sonnet-4.5</t>
  </si>
  <si>
    <t>https://drive.google.com/drive/folders/1VXtdog3lofnIlwYofuq_Cy8tpEnMUmqR</t>
  </si>
  <si>
    <t>TUM-Dev/gocast</t>
  </si>
  <si>
    <t>TUM-Dev__gocast</t>
  </si>
  <si>
    <t>turbolytics__sql-flow-116</t>
  </si>
  <si>
    <t>https://github.com/turbolytics/sql-flow/issues/116</t>
  </si>
  <si>
    <t>https://drive.google.com/drive/folders/1Hg0_AXsmUNdPDxWIXBy952bYC5TKnL6X</t>
  </si>
  <si>
    <t>turbolytics/sql-flow</t>
  </si>
  <si>
    <t>turbolytics__sql-flow</t>
  </si>
  <si>
    <t>turbolytics__sql-flow-113</t>
  </si>
  <si>
    <t>https://github.com/turbolytics/sql-flow/issues/113</t>
  </si>
  <si>
    <t>https://drive.google.com/drive/folders/1rDNux_WJ0nMMgp8t1wNUB99BJeGITQpp</t>
  </si>
  <si>
    <t>uber__NullAway-614</t>
  </si>
  <si>
    <t>https://github.com/uber/NullAway/issues/614</t>
  </si>
  <si>
    <t>https://drive.google.com/drive/folders/1bJ_M6XET7rBNgxN2uHQabgzsxCSyU4n4</t>
  </si>
  <si>
    <t>https://drive.google.com/drive/folders/1-RRekt2MKzX7AekDlZXm0S3khwhbB3At</t>
  </si>
  <si>
    <t>uber/NullAway</t>
  </si>
  <si>
    <t>uber__NullAway</t>
  </si>
  <si>
    <t>uber__NullAway-1456</t>
  </si>
  <si>
    <t>https://github.com/uber/NullAway/issues/1456</t>
  </si>
  <si>
    <t>gs://swe-bench-plus/evaluations/019c6646-ea55-7645-a600-58791210a874-uber__NullAway-1456-swe-agent-claude-sonnet-4-20250514</t>
  </si>
  <si>
    <t>https://drive.google.com/drive/folders/1sNtIGgQhgr00Se_pRcW52arWQ8gGejnO</t>
  </si>
  <si>
    <t>UKPLab__sentence-transformers-3162</t>
  </si>
  <si>
    <t>https://github.com/UKPLab/sentence-transformers/issues/3162</t>
  </si>
  <si>
    <t>https://drive.google.com/drive/folders/1qjxxcfdrf5WgLEqr0elGBfmxDweYYgA4</t>
  </si>
  <si>
    <t>https://drive.google.com/drive/folders/18-ub18G2Br8jesVV6045kZSCTYjK0wI1</t>
  </si>
  <si>
    <t>UKPLab/sentence-transformers</t>
  </si>
  <si>
    <t>UKPLab__sentence-transformers</t>
  </si>
  <si>
    <t>umputun__tg-spam-262</t>
  </si>
  <si>
    <t>https://github.com/umputun/tg-spam/issues/262</t>
  </si>
  <si>
    <t>applications;ai-ml;security</t>
  </si>
  <si>
    <t>gs://swe-bench-plus/evaluations/019b6ab1-4e74-7019-9e81-9c96e98a145d-umputun__tg-spam-262-swe-agent-claude-sonnet-4.5</t>
  </si>
  <si>
    <t>https://drive.google.com/drive/folders/1V8pXuqfoMrBWqJYwNuEdLz4yUwXz6J2W</t>
  </si>
  <si>
    <t>umputun/tg-spam</t>
  </si>
  <si>
    <t>umputun__tg-spam</t>
  </si>
  <si>
    <t>unhappychoice__gittype-137</t>
  </si>
  <si>
    <t>https://github.com/unhappychoice/gittype/issues/137</t>
  </si>
  <si>
    <t>gs://swe-bench-plus/evaluations/019b06be-e158-75e3-bc3e-1e0574eebf73-unhappychoice__gittype-137-swe-agent-claude-sonnet-4.5</t>
  </si>
  <si>
    <t>https://drive.google.com/drive/folders/1i6IMWgRX6En1giqZODDNKlLzkMyJji1C</t>
  </si>
  <si>
    <t>unhappychoice/gittype</t>
  </si>
  <si>
    <t>unhappychoice__gittype</t>
  </si>
  <si>
    <t>unhappychoice__gittype-138</t>
  </si>
  <si>
    <t>https://github.com/unhappychoice/gittype/issues/138</t>
  </si>
  <si>
    <t>gs://swe-bench-plus/evaluations/019b06be-e158-75e3-bc3e-1e0574eebf73-unhappychoice__gittype-138-swe-agent-claude-sonnet-4.5</t>
  </si>
  <si>
    <t>https://drive.google.com/drive/folders/1apDYq4ndRhuFbpEKXA715SqV4cCAPcDQ</t>
  </si>
  <si>
    <t>unit8co__darts-2624</t>
  </si>
  <si>
    <t>https://github.com/unit8co/darts/issues/2624</t>
  </si>
  <si>
    <t>https://drive.google.com/drive/folders/1dpdTjBnIGoqp_XdmmM2wIx8NxUM5-fX3</t>
  </si>
  <si>
    <t>https://drive.google.com/drive/folders/1YjsZzW4xl0A7S7BbXVZaeb4cu-aBbiPn</t>
  </si>
  <si>
    <t>unit8co/darts</t>
  </si>
  <si>
    <t>unit8co__darts</t>
  </si>
  <si>
    <t>unit8co__darts-2747</t>
  </si>
  <si>
    <t>https://github.com/unit8co/darts/issues/2747</t>
  </si>
  <si>
    <t>https://drive.google.com/drive/folders/1QCNTR1e1UbIO1rZFJSNySFAlYJlnuOlJ</t>
  </si>
  <si>
    <t>https://drive.google.com/drive/folders/1oAUoHLuyk5MbnVVAd-JEP4TCvurc-qSN</t>
  </si>
  <si>
    <t>unit8co__darts-2656</t>
  </si>
  <si>
    <t>https://github.com/unit8co/darts/issues/2656</t>
  </si>
  <si>
    <t>https://drive.google.com/drive/folders/1Xk4b2qWTczBfkcGcMGqnzo7ODHyW8Vtx</t>
  </si>
  <si>
    <t>https://drive.google.com/drive/folders/1U9QZvUxGiytrsV_fXQmOQymAxXsoxb9O</t>
  </si>
  <si>
    <t>unnoq__orpc-710</t>
  </si>
  <si>
    <t>https://github.com/unnoq/orpc/issues/710</t>
  </si>
  <si>
    <t>https://drive.google.com/drive/folders/1ncGOZxMlfNQdmPLPabshtynKx7-X57lZ</t>
  </si>
  <si>
    <t>https://drive.google.com/drive/folders/1yTfz8M_ESIddsWEwMpNbzhCBS26wJRR9</t>
  </si>
  <si>
    <t>unnoq/orpc</t>
  </si>
  <si>
    <t>unnoq__orpc</t>
  </si>
  <si>
    <t>unocss__unocss-4950</t>
  </si>
  <si>
    <t>https://github.com/unocss/unocss/issues/4950</t>
  </si>
  <si>
    <t>gs://swe-bench-plus/evaluations/019a9e53-469b-76fd-888b-c6e73b9ef66a-unocss__unocss-4950-swe-agent-claude-sonnet-4-20250514</t>
  </si>
  <si>
    <t>https://drive.google.com/drive/folders/1BFfNJ6tXNRwWLNwQrdBcZ96bDCZ8qCCd</t>
  </si>
  <si>
    <t>unocss/unocss</t>
  </si>
  <si>
    <t>unocss__unocss</t>
  </si>
  <si>
    <t>unvalley__ephe-72</t>
  </si>
  <si>
    <t>https://github.com/unvalley/ephe/issues/72</t>
  </si>
  <si>
    <t>gs://swe-bench-plus/evaluations/019b6aaf-1788-707e-b6dd-d4dc12d72279-unvalley__ephe-72-swe-agent-claude-sonnet-4.5</t>
  </si>
  <si>
    <t>https://drive.google.com/drive/folders/1To3wgFG5vk9At_MxH94qINGKSWlrQ1c9</t>
  </si>
  <si>
    <t>unvalley/ephe</t>
  </si>
  <si>
    <t>unvalley__ephe</t>
  </si>
  <si>
    <t>UoB-HPC__SimEng-429</t>
  </si>
  <si>
    <t>https://github.com/UoB-HPC/SimEng/issues/429</t>
  </si>
  <si>
    <t>dependency-update;feature;refactor;build-ci</t>
  </si>
  <si>
    <t>gs://swe-bench-plus/evaluations/019b06b8-5347-7669-9f51-4e4681f5c848-UoB-HPC__SimEng-429-swe-agent-claude-sonnet-4.5</t>
  </si>
  <si>
    <t>https://drive.google.com/drive/folders/1IijuzqoNhijk34jOIZ9Ye4sP2t6DEv3J</t>
  </si>
  <si>
    <t>UoB-HPC/SimEng</t>
  </si>
  <si>
    <t>UoB-HPC__SimEng</t>
  </si>
  <si>
    <t>UpCloudLtd__terraform-provider-upcloud-797</t>
  </si>
  <si>
    <t>https://github.com/UpCloudLtd/terraform-provider-upcloud/issues/797</t>
  </si>
  <si>
    <t>https://drive.google.com/drive/folders/1NFCYSvr9TmGJzIXA-hxp4Hq4SKrRX-ac</t>
  </si>
  <si>
    <t>https://drive.google.com/drive/folders/1hAag1AjkZU8VKczroBswmyhjqlgB80hu</t>
  </si>
  <si>
    <t>UpCloudLtd/terraform-provider-upcloud</t>
  </si>
  <si>
    <t>UpCloudLtd__terraform-provider-upcloud</t>
  </si>
  <si>
    <t>uppnrise__distributed-rate-limiter-83</t>
  </si>
  <si>
    <t>https://github.com/uppnrise/distributed-rate-limiter/issues/83</t>
  </si>
  <si>
    <t>infra-devops;webdev;security</t>
  </si>
  <si>
    <t>gs://swe-bench-plus/evaluations/019c9aad-36b7-7363-979b-09f446c180bc-uppnrise__distributed-rate-limiter-83-swe-agent-claude-sonnet-4-20250514</t>
  </si>
  <si>
    <t>https://drive.google.com/drive/folders/1G9d1x3UBZZhXIhZJXyTCrjptKq03_VQn</t>
  </si>
  <si>
    <t>uppnrise/distributed-rate-limiter</t>
  </si>
  <si>
    <t>uppnrise__distributed-rate-limiter</t>
  </si>
  <si>
    <t>urlaubsverwaltung__urlaubsverwaltung-5376</t>
  </si>
  <si>
    <t>https://github.com/urlaubsverwaltung/urlaubsverwaltung/issues/5376</t>
  </si>
  <si>
    <t>gs://swe-bench-plus/evaluations/019b6ab1-4e74-7019-9e81-9c96e98a145d-urlaubsverwaltung__urlaubsverwaltung-5376-swe-agent-claude-sonnet-4.5</t>
  </si>
  <si>
    <t>https://drive.google.com/drive/folders/1X1shR-pOLgBN4dqtBoiysJhvNrPltquT</t>
  </si>
  <si>
    <t>urlaubsverwaltung/urlaubsverwaltung</t>
  </si>
  <si>
    <t>urlaubsverwaltung__urlaubsverwaltung</t>
  </si>
  <si>
    <t>usebruno__bruno-4959</t>
  </si>
  <si>
    <t>https://github.com/usebruno/bruno/issues/4959</t>
  </si>
  <si>
    <t>gs://swe-bench-plus/evaluations/019b5a96-f00e-777b-8c8f-ab93b4a16b9d-usebruno__bruno-4959-swe-agent-claude-sonnet-4-20250514</t>
  </si>
  <si>
    <t>https://drive.google.com/drive/folders/11fbz2NRzm6mAQHk37d9I4vLSX6-0W1bc</t>
  </si>
  <si>
    <t>usebruno/bruno</t>
  </si>
  <si>
    <t>usebruno__bruno</t>
  </si>
  <si>
    <t>usethesource__rascal-2326</t>
  </si>
  <si>
    <t>https://github.com/usethesource/rascal/issues/2326</t>
  </si>
  <si>
    <t>gs://swe-bench-plus/evaluations/019c8593-288e-768a-aabd-9e1d168a9a7f-usethesource__rascal-2326-swe-agent-claude-sonnet-4-20250514</t>
  </si>
  <si>
    <t>https://drive.google.com/drive/folders/1cGzNSCqrLE3fpXa_5O59UCDOvrOVErZm</t>
  </si>
  <si>
    <t>usethesource/rascal</t>
  </si>
  <si>
    <t>usethesource__rascal</t>
  </si>
  <si>
    <t>ustaxcourt__ef-cms-9075</t>
  </si>
  <si>
    <t>https://github.com/ustaxcourt/ef-cms/issues/9075</t>
  </si>
  <si>
    <t>gs://swe-bench-plus/evaluations/019c7387-ddc4-764c-86c6-05e1d00ceaaa-ustaxcourt__ef-cms-9075-swe-agent-claude-sonnet-4-20250514</t>
  </si>
  <si>
    <t>https://drive.google.com/drive/folders/1PSK16LkHNgH2WAKfs6HUwUI5UDSr97tq</t>
  </si>
  <si>
    <t>ustaxcourt/ef-cms</t>
  </si>
  <si>
    <t>ustaxcourt__ef-cms</t>
  </si>
  <si>
    <t>vaadin__flow-21400</t>
  </si>
  <si>
    <t>https://github.com/vaadin/flow/issues/21400</t>
  </si>
  <si>
    <t>gs://swe-bench-plus/evaluations/019b6aaf-1788-707e-b6dd-d4dc12d72279-vaadin__flow-21400-swe-agent-claude-sonnet-4.5</t>
  </si>
  <si>
    <t>https://drive.google.com/drive/folders/1IbFT2iAyR_HBRZlsWyu07AHjdMwTxnBj</t>
  </si>
  <si>
    <t>vaadin/flow</t>
  </si>
  <si>
    <t>vaadin__flow</t>
  </si>
  <si>
    <t>vaadin__flow-22215</t>
  </si>
  <si>
    <t>https://github.com/vaadin/flow/issues/22215</t>
  </si>
  <si>
    <t>https://drive.google.com/drive/folders/1K2lBDp-aDH29PCFdFipClEE9HZI0wnhv</t>
  </si>
  <si>
    <t>https://drive.google.com/drive/folders/1GBMwC3Sy5mSJs7CwbUzSF4EDL03v-gZl</t>
  </si>
  <si>
    <t>vaadin__flow-22027</t>
  </si>
  <si>
    <t>https://github.com/vaadin/flow/issues/22027</t>
  </si>
  <si>
    <t>gs://swe-bench-plus/evaluations/019b6ab1-4e74-7019-9e81-9c96e98a145d-vaadin__flow-22027-swe-agent-claude-sonnet-4.5</t>
  </si>
  <si>
    <t>https://drive.google.com/drive/folders/1xqFF7KGbyTkqRomdFmy2We4Tv8kkj-3R</t>
  </si>
  <si>
    <t>vaadin__flow-23360</t>
  </si>
  <si>
    <t>https://github.com/vaadin/flow/issues/23360</t>
  </si>
  <si>
    <t>gs://swe-bench-plus/evaluations/019c6646-ea55-7645-a600-58791210a874-vaadin__flow-23360-swe-agent-claude-sonnet-4-20250514</t>
  </si>
  <si>
    <t>https://drive.google.com/drive/folders/1jyLiZZlwELaxzsBY8v4hclJMm0bqi_rY</t>
  </si>
  <si>
    <t>vaadin__hilla-3165</t>
  </si>
  <si>
    <t>https://github.com/vaadin/hilla/issues/3165</t>
  </si>
  <si>
    <t>gs://swe-bench-plus/evaluations/019c75f5-6b8c-7228-9f9c-93aa98fd3824-vaadin__hilla-3165-swe-agent-claude-sonnet-4-20250514</t>
  </si>
  <si>
    <t>https://drive.google.com/drive/folders/14FTJKTfrBfz-44kbhJNvnYSNgUi34w_h</t>
  </si>
  <si>
    <t>vaadin/hilla</t>
  </si>
  <si>
    <t>vaadin__hilla</t>
  </si>
  <si>
    <t>vaadin__web-components-8097</t>
  </si>
  <si>
    <t>https://github.com/vaadin/web-components/issues/8097</t>
  </si>
  <si>
    <t>gs://swe-bench-plus/evaluations/019c66b4-eabc-7558-9200-0cb1aa23d63b-vaadin__web-components-8097-swe-agent-claude-sonnet-4-20250514</t>
  </si>
  <si>
    <t>https://drive.google.com/drive/folders/1aYpc5rGD1Y57ONWEN1qWjngScRTKekgk</t>
  </si>
  <si>
    <t>vaadin/web-components</t>
  </si>
  <si>
    <t>vaadin__web-components</t>
  </si>
  <si>
    <t>vaadin__web-components-8691</t>
  </si>
  <si>
    <t>https://github.com/vaadin/web-components/issues/8691</t>
  </si>
  <si>
    <t>gs://swe-bench-plus/evaluations/019c66b4-eabc-7558-9200-0cb1aa23d63b-vaadin__web-components-8691-swe-agent-claude-sonnet-4-20250514</t>
  </si>
  <si>
    <t>https://drive.google.com/drive/folders/1ZwNOZpgMPHTl_JRggy9gJ4-iygY1gaUH</t>
  </si>
  <si>
    <t>vacanza__holidays-2398</t>
  </si>
  <si>
    <t>https://github.com/vacanza/holidays/issues/2398</t>
  </si>
  <si>
    <t>https://drive.google.com/drive/folders/1Qn_s4npWOF0JBAVWWM9Q3vKk6dVDdR4B</t>
  </si>
  <si>
    <t>https://drive.google.com/drive/folders/10QT-DZ2aSogpOSNfHa9onlNhCUV8Ov3K</t>
  </si>
  <si>
    <t>vacanza/holidays</t>
  </si>
  <si>
    <t>vacanza__holidays</t>
  </si>
  <si>
    <t>vacanza__holidays-2409</t>
  </si>
  <si>
    <t>https://github.com/vacanza/holidays/issues/2409</t>
  </si>
  <si>
    <t>https://drive.google.com/drive/folders/1dYnfZ3NaEqrv8wLkWSAgJKO6O8-GBR3Z</t>
  </si>
  <si>
    <t>https://drive.google.com/drive/folders/1dBvj8DXdRAYZJd7xwUHL4tv6M0oGIvad</t>
  </si>
  <si>
    <t>vacanza__holidays-2593</t>
  </si>
  <si>
    <t>https://github.com/vacanza/holidays/issues/2593</t>
  </si>
  <si>
    <t>https://drive.google.com/drive/folders/1geD-LHQvfNzOQh-i77jqlJTby_AxbFIo</t>
  </si>
  <si>
    <t>https://drive.google.com/drive/folders/1HOZn8omo1MXSvWkLDG6nWuhY9wN5nlgG</t>
  </si>
  <si>
    <t>vacanza__holidays-2757</t>
  </si>
  <si>
    <t>https://github.com/vacanza/holidays/issues/2757</t>
  </si>
  <si>
    <t>https://drive.google.com/drive/folders/16kT39X5-YBQe3eeXMvBgVDFlVM_8p3Nf</t>
  </si>
  <si>
    <t>https://drive.google.com/drive/folders/1lVJIR8_OZAdJBcqG7y4g7HZHwhDXO1mU</t>
  </si>
  <si>
    <t>vacanza__holidays-2601</t>
  </si>
  <si>
    <t>https://github.com/vacanza/holidays/issues/2601</t>
  </si>
  <si>
    <t>https://drive.google.com/drive/folders/1VgpvQfXFSwU0-K-JOF7y5-MGGPDkcRfh</t>
  </si>
  <si>
    <t>https://drive.google.com/drive/folders/1JUcQLFbq3stqgG-r6cPrR23a2WUyHTwS</t>
  </si>
  <si>
    <t>vacanza__holidays-2632</t>
  </si>
  <si>
    <t>https://github.com/vacanza/holidays/issues/2632</t>
  </si>
  <si>
    <t>https://drive.google.com/drive/folders/1nyRyrf44ZGc4vRt-zKu8livtbJK3ibKx</t>
  </si>
  <si>
    <t>https://drive.google.com/drive/folders/1HnNhw6Q-odjyAzzc_5BbFI7BT-Atz0tP</t>
  </si>
  <si>
    <t>vacanza__holidays-2386</t>
  </si>
  <si>
    <t>https://github.com/vacanza/holidays/issues/2386</t>
  </si>
  <si>
    <t>https://drive.google.com/drive/folders/1fOXMkUo6639u74fsW3NtZ0uhrFjOkRDx</t>
  </si>
  <si>
    <t>https://drive.google.com/drive/folders/1HjLKRvochLdTNAhHWh-yJs4SArLLc0nj</t>
  </si>
  <si>
    <t>vandmo__dependency-lock-maven-plugin-95</t>
  </si>
  <si>
    <t>https://github.com/vandmo/dependency-lock-maven-plugin/issues/95</t>
  </si>
  <si>
    <t>gs://swe-bench-plus/evaluations/019b6ab1-4e74-7019-9e81-9c96e98a145d-vandmo__dependency-lock-maven-plugin-95-swe-agent-claude-sonnet-4.5</t>
  </si>
  <si>
    <t>https://drive.google.com/drive/folders/1uQ_Ti5HNbOBxXFsVRSMy9stf4HyqUWFb</t>
  </si>
  <si>
    <t>vandmo/dependency-lock-maven-plugin</t>
  </si>
  <si>
    <t>vandmo__dependency-lock-maven-plugin</t>
  </si>
  <si>
    <t>vchelaru__Gum-992</t>
  </si>
  <si>
    <t>https://github.com/vchelaru/Gum/issues/992</t>
  </si>
  <si>
    <t>gs://swe-bench-plus/evaluations/019b6aa7-0380-771f-9e02-24cda0fe6639-vchelaru__Gum-992-swe-agent-claude-sonnet-4.5</t>
  </si>
  <si>
    <t>https://drive.google.com/drive/folders/19usS0UKQ68quXgYB8hVezkEJXKf_7vPv</t>
  </si>
  <si>
    <t>vchelaru/Gum</t>
  </si>
  <si>
    <t>vchelaru__Gum</t>
  </si>
  <si>
    <t>VectorInstitute__fed-rag-431</t>
  </si>
  <si>
    <t>https://github.com/VectorInstitute/fed-rag/issues/431</t>
  </si>
  <si>
    <t>https://drive.google.com/drive/folders/1Xh-m61XLGfdYaPeaL-B15F1b9KDLtEGg</t>
  </si>
  <si>
    <t>https://drive.google.com/drive/folders/1PTd0wAmhQEP__R8L23bjxEkTamXczr2P</t>
  </si>
  <si>
    <t>VectorInstitute/fed-rag</t>
  </si>
  <si>
    <t>VectorInstitute__fed-rag</t>
  </si>
  <si>
    <t>vega__altair-3668</t>
  </si>
  <si>
    <t>https://github.com/vega/altair/issues/3668</t>
  </si>
  <si>
    <t>https://drive.google.com/drive/folders/1IhvuTmiHxSgSMRMULyNGe-mugqrzng6M</t>
  </si>
  <si>
    <t>vega/altair</t>
  </si>
  <si>
    <t>vega__altair</t>
  </si>
  <si>
    <t>vektah__gqlparser-362</t>
  </si>
  <si>
    <t>https://github.com/vektah/gqlparser/issues/362</t>
  </si>
  <si>
    <t>gs://swe-bench-plus/evaluations/019b6aaf-1788-707e-b6dd-d4dc12d72279-vektah__gqlparser-362-swe-agent-claude-sonnet-4.5</t>
  </si>
  <si>
    <t>https://drive.google.com/drive/folders/1smEm2eJiTCd86uTWXgZeG7ssj6BmNVlk</t>
  </si>
  <si>
    <t>vektah/gqlparser</t>
  </si>
  <si>
    <t>vektah__gqlparser</t>
  </si>
  <si>
    <t>vektra__mockery-898</t>
  </si>
  <si>
    <t>https://github.com/vektra/mockery/issues/898</t>
  </si>
  <si>
    <t>https://drive.google.com/drive/folders/1rLZ9weDpE1h9x3YL1-bugdbnKmkCMsXB</t>
  </si>
  <si>
    <t>https://drive.google.com/drive/folders/1JMg0Wgjjp7i98Y9ykdSk06aZlDdKLkQ-</t>
  </si>
  <si>
    <t>vektra/mockery</t>
  </si>
  <si>
    <t>vektra__mockery</t>
  </si>
  <si>
    <t>vercel__ai-3774</t>
  </si>
  <si>
    <t>https://github.com/vercel/ai/issues/3774</t>
  </si>
  <si>
    <t>https://drive.google.com/drive/folders/1xgXoZF-9faqX3TGxwhMHMM6bM1TwRWc8</t>
  </si>
  <si>
    <t>https://drive.google.com/drive/folders/13qhfizxXVM--LK5JWTkB3LwPuGIvzBf-</t>
  </si>
  <si>
    <t>vercel/ai</t>
  </si>
  <si>
    <t>vercel__ai</t>
  </si>
  <si>
    <t>vercel__ai-9720</t>
  </si>
  <si>
    <t>https://github.com/vercel/ai/issues/9720</t>
  </si>
  <si>
    <t>https://drive.google.com/drive/folders/1m2VY56MkOTgFQcDEHfQL54tCGzc-AaJN</t>
  </si>
  <si>
    <t>https://drive.google.com/drive/folders/1hrcX4ZTABhX4vdXw7eOV_6Smiyd0Kb7p</t>
  </si>
  <si>
    <t>vercel__ai-4415</t>
  </si>
  <si>
    <t>https://github.com/vercel/ai/issues/4415</t>
  </si>
  <si>
    <t>https://drive.google.com/drive/folders/1e11OujoqsbqM4T6bWngg_Y-DCoy5GoAw</t>
  </si>
  <si>
    <t>https://drive.google.com/drive/folders/1NmTErLcOc8q4-1EetcK5vYOT0huwEHdt</t>
  </si>
  <si>
    <t>vercel__ai-9662</t>
  </si>
  <si>
    <t>https://github.com/vercel/ai/issues/9662</t>
  </si>
  <si>
    <t>gs://swe-bench-plus/evaluations/019c24f7-afab-7068-b861-f1c63b2e7ce2-vercel__ai-9662-swe-agent-claude-sonnet-4-20250514</t>
  </si>
  <si>
    <t>https://drive.google.com/drive/folders/1txNX0PX3PB5te8GA_aJu_-vfLebqDofK</t>
  </si>
  <si>
    <t>vfarcic__dot-ai-63</t>
  </si>
  <si>
    <t>https://github.com/vfarcic/dot-ai/issues/63</t>
  </si>
  <si>
    <t>feature;refactor;test;documentation</t>
  </si>
  <si>
    <t>gs://swe-bench-plus/evaluations/019b6aaf-1788-707e-b6dd-d4dc12d72279-vfarcic__dot-ai-63-swe-agent-claude-sonnet-4.5</t>
  </si>
  <si>
    <t>https://drive.google.com/drive/folders/14bxEpYKUiophwCFUgXThyUjJy_DZBE3B</t>
  </si>
  <si>
    <t>vfarcic/dot-ai</t>
  </si>
  <si>
    <t>vfarcic__dot-ai</t>
  </si>
  <si>
    <t>vfarcic__dot-ai-86</t>
  </si>
  <si>
    <t>https://github.com/vfarcic/dot-ai/issues/86</t>
  </si>
  <si>
    <t>gs://swe-bench-plus/evaluations/019b6aaf-1788-707e-b6dd-d4dc12d72279-vfarcic__dot-ai-86-swe-agent-claude-sonnet-4.5</t>
  </si>
  <si>
    <t>https://drive.google.com/drive/folders/1QhIMwAYLYQMPvlsXXa-tZAHqLgI5rDyC</t>
  </si>
  <si>
    <t>vgvassilev__clad-1018</t>
  </si>
  <si>
    <t>https://github.com/vgvassilev/clad/issues/1018</t>
  </si>
  <si>
    <t>gs://swe-bench-plus/evaluations/019b6aa7-0380-771f-9e02-24cda0fe6639-vgvassilev__clad-1018-swe-agent-claude-sonnet-4.5</t>
  </si>
  <si>
    <t>https://drive.google.com/drive/folders/1BYKM1TWJjmGFnhmpvjQ56MAB2Z-M_mD1</t>
  </si>
  <si>
    <t>vgvassilev/clad</t>
  </si>
  <si>
    <t>vgvassilev__clad</t>
  </si>
  <si>
    <t>vgvassilev__clad-749</t>
  </si>
  <si>
    <t>https://github.com/vgvassilev/clad/issues/749</t>
  </si>
  <si>
    <t>https://drive.google.com/drive/folders/1pYRvQNHJtGqrLN-v2ExZQrLZ3M4hSRyA</t>
  </si>
  <si>
    <t>https://drive.google.com/drive/folders/1_L-woWa0FLXcgi0xeyWHa2uzgUyb6GKo</t>
  </si>
  <si>
    <t>vicentereig__dspy.rb-158</t>
  </si>
  <si>
    <t>https://github.com/vicentereig/dspy.rb/issues/158</t>
  </si>
  <si>
    <t>https://drive.google.com/drive/folders/16whNh4AVgKnZZHIALOlAmXJM5DUpG-MA</t>
  </si>
  <si>
    <t>https://drive.google.com/drive/folders/1C6oeW5Awr9g8m0mfhDneOpPX_dE_fvpt</t>
  </si>
  <si>
    <t>vicentereig/dspy.rb</t>
  </si>
  <si>
    <t>vicentereig__dspy.rb</t>
  </si>
  <si>
    <t>vicentereig__dspy.rb-85</t>
  </si>
  <si>
    <t>https://github.com/vicentereig/dspy.rb/issues/85</t>
  </si>
  <si>
    <t>gs://swe-bench-plus/evaluations/019b6ab1-4e74-7019-9e81-9c96e98a145d-vicentereig__dspy.rb-85-swe-agent-claude-sonnet-4.5</t>
  </si>
  <si>
    <t>https://drive.google.com/drive/folders/1ahmEFp6Fvw0-cy9HdzoYUc-MjjbANTmh</t>
  </si>
  <si>
    <t>VictoriaMetrics__VictoriaMetrics-5536</t>
  </si>
  <si>
    <t>https://github.com/VictoriaMetrics/VictoriaMetrics/issues/5536</t>
  </si>
  <si>
    <t>https://drive.google.com/drive/folders/1-Sy-vgMKX_Cd5oTR6vsSN8eiIDQfuvbw</t>
  </si>
  <si>
    <t>https://drive.google.com/drive/folders/1tUs31bhvxOszMdRxLovN44jWxmD1MnrT</t>
  </si>
  <si>
    <t>VictoriaMetrics/VictoriaMetrics</t>
  </si>
  <si>
    <t>VictoriaMetrics__VictoriaMetrics</t>
  </si>
  <si>
    <t>VineLang__vine-383</t>
  </si>
  <si>
    <t>https://github.com/VineLang/vine/issues/383</t>
  </si>
  <si>
    <t>gs://swe-bench-plus/evaluations/019b33b2-92dc-775f-92dd-9f03bf4fe149-VineLang__vine-383-swe-agent-claude-sonnet-4-20250514</t>
  </si>
  <si>
    <t>https://drive.google.com/drive/folders/1B0njUUTV-lPx7URuAUnZBxwazxhosN-U</t>
  </si>
  <si>
    <t>VineLang/vine</t>
  </si>
  <si>
    <t>VineLang__vine</t>
  </si>
  <si>
    <t>vitejs__vite-18488</t>
  </si>
  <si>
    <t>https://github.com/vitejs/vite/issues/18488</t>
  </si>
  <si>
    <t>https://drive.google.com/drive/folders/1BnOHY_VLf3bhy-5ZVyt9GcMG0K9kYcmi</t>
  </si>
  <si>
    <t>https://drive.google.com/drive/folders/160jA3UAz1QXJqmbKkC_TP5Wx37zyXCst</t>
  </si>
  <si>
    <t>vitejs/vite</t>
  </si>
  <si>
    <t>vitejs__vite</t>
  </si>
  <si>
    <t>vitejs__vite-18546</t>
  </si>
  <si>
    <t>https://github.com/vitejs/vite/issues/18546</t>
  </si>
  <si>
    <t>gs://swe-bench-plus/evaluations/019c24f7-afab-7068-b861-f1c63b2e7ce2-vitejs__vite-18546-swe-agent-claude-sonnet-4.5</t>
  </si>
  <si>
    <t>vitest-dev__vitest-7937</t>
  </si>
  <si>
    <t>https://github.com/vitest-dev/vitest/issues/7937</t>
  </si>
  <si>
    <t>gs://swe-bench-plus/evaluations/019c24f7-afab-7068-b861-f1c63b2e7ce2-vitest-dev__vitest-7937-swe-agent-claude-sonnet-4.5</t>
  </si>
  <si>
    <t>vitest-dev/vitest</t>
  </si>
  <si>
    <t>vitest-dev__vitest</t>
  </si>
  <si>
    <t>volcano-sh__volcano-4454</t>
  </si>
  <si>
    <t>https://github.com/volcano-sh/volcano/issues/4454</t>
  </si>
  <si>
    <t>infra-devops;ai-ml;sci-comp</t>
  </si>
  <si>
    <t>https://drive.google.com/drive/folders/1Of_13OuInRxKyheHZwDHfMkmv7p-nN54</t>
  </si>
  <si>
    <t>https://drive.google.com/drive/folders/1GWksQRcf-B7MESXuo5g8U7Ex6pdixBh9</t>
  </si>
  <si>
    <t>volcano-sh/volcano</t>
  </si>
  <si>
    <t>volcano-sh__volcano</t>
  </si>
  <si>
    <t>volcano-sh__volcano-3874</t>
  </si>
  <si>
    <t>https://github.com/volcano-sh/volcano/issues/3874</t>
  </si>
  <si>
    <t>infra-devops;ai-ml;data-eng;sci-comp</t>
  </si>
  <si>
    <t>https://drive.google.com/drive/folders/1PVtriLii5DjEqGG405JQOA4zQGg99Ywb</t>
  </si>
  <si>
    <t>https://drive.google.com/drive/folders/1Fu0sXmgKqvDDDCGbt9k-jDWOKC0mKCM7</t>
  </si>
  <si>
    <t>volfpeter__htmy-33</t>
  </si>
  <si>
    <t>https://github.com/volfpeter/htmy/issues/33</t>
  </si>
  <si>
    <t>gs://swe-bench-plus/evaluations/019a8508-78a8-712a-b970-052ae053c3bc-volfpeter__htmy-33-swe-agent-claude-sonnet-4-20250514</t>
  </si>
  <si>
    <t>https://drive.google.com/drive/folders/1e0d3aOxtDU2M_ig2hbIiIW3jURdcg1ha</t>
  </si>
  <si>
    <t>volfpeter/htmy</t>
  </si>
  <si>
    <t>volfpeter__htmy</t>
  </si>
  <si>
    <t>VoltAgent__voltagent-693</t>
  </si>
  <si>
    <t>https://github.com/VoltAgent/voltagent/issues/693</t>
  </si>
  <si>
    <t>gs://swe-bench-plus/evaluations/019b2143-6667-7740-abe4-83b7ea23e5a3-VoltAgent__voltagent-693-swe-agent-claude-sonnet-4-20250514</t>
  </si>
  <si>
    <t>https://drive.google.com/drive/folders/1BnNHsVGHI5xQywPDF40uDOjoECPJ_75I</t>
  </si>
  <si>
    <t>VoltAgent/voltagent</t>
  </si>
  <si>
    <t>VoltAgent__voltagent</t>
  </si>
  <si>
    <t>vybestack__llxprt-code-392</t>
  </si>
  <si>
    <t>https://github.com/vybestack/llxprt-code/issues/392</t>
  </si>
  <si>
    <t>maintenance;refactor;documentation</t>
  </si>
  <si>
    <t>gs://swe-bench-plus/evaluations/019c8ad6-76ed-73ab-9477-f0f4b60f83f2-vybestack__llxprt-code-392-swe-agent-claude-sonnet-4.5</t>
  </si>
  <si>
    <t>https://drive.google.com/drive/folders/1YW2DkfzmzE9U9IGpDiiFQRUJZf4Tvyjt</t>
  </si>
  <si>
    <t>vybestack/llxprt-code</t>
  </si>
  <si>
    <t>vybestack__llxprt-code</t>
  </si>
  <si>
    <t>vybestack__llxprt-code-347</t>
  </si>
  <si>
    <t>https://github.com/vybestack/llxprt-code/issues/347</t>
  </si>
  <si>
    <t>gs://swe-bench-plus/evaluations/019c7387-ddc4-764c-86c6-05e1d00ceaaa-vybestack__llxprt-code-347-swe-agent-claude-sonnet-4-20250514</t>
  </si>
  <si>
    <t>https://drive.google.com/drive/folders/1szUNy2s2dft0KZR4BZXOLJT9GaotbR7V</t>
  </si>
  <si>
    <t>vybestack__llxprt-code-351</t>
  </si>
  <si>
    <t>https://github.com/vybestack/llxprt-code/issues/351</t>
  </si>
  <si>
    <t>gs://swe-bench-plus/evaluations/019c7387-ddc4-764c-86c6-05e1d00ceaaa-vybestack__llxprt-code-351-swe-agent-claude-sonnet-4-20250514</t>
  </si>
  <si>
    <t>https://drive.google.com/drive/folders/17x64HKPRBQWEAUYcNYiPCpmj8ieHFKkD</t>
  </si>
  <si>
    <t>vyperlang__vyper-4290</t>
  </si>
  <si>
    <t>https://github.com/vyperlang/vyper/issues/4290</t>
  </si>
  <si>
    <t>https://drive.google.com/drive/folders/1lLikhU5Gci7WASYX_6N0kclrvOyYND4u</t>
  </si>
  <si>
    <t>https://drive.google.com/drive/folders/1Z_jpki7hZbKCmPOe-0HArmuHBcCxleE7</t>
  </si>
  <si>
    <t>vyperlang/vyper</t>
  </si>
  <si>
    <t>vyperlang__vyper</t>
  </si>
  <si>
    <t>Wakoma__nimble-101</t>
  </si>
  <si>
    <t>https://github.com/Wakoma/nimble/issues/101</t>
  </si>
  <si>
    <t>https://drive.google.com/drive/folders/1oYmnGug_hZgeAiy4wXz47HFEQr0IJa8P</t>
  </si>
  <si>
    <t>https://drive.google.com/drive/folders/1HK5Dbx57n5szC8GBhww8q94NOA723FKL</t>
  </si>
  <si>
    <t>Wakoma/nimble</t>
  </si>
  <si>
    <t>Wakoma__nimble</t>
  </si>
  <si>
    <t>waku-org__js-waku-2251</t>
  </si>
  <si>
    <t>https://github.com/waku-org/js-waku/issues/2251</t>
  </si>
  <si>
    <t>gs://swe-bench-plus/evaluations/019b6ab1-4e74-7019-9e81-9c96e98a145d-waku-org__js-waku-2251-swe-agent-claude-sonnet-4.5</t>
  </si>
  <si>
    <t>https://drive.google.com/drive/folders/1TEUsCSGJ6uXgPfu6-J4qEuOg0pfItR5r</t>
  </si>
  <si>
    <t>waku-org/js-waku</t>
  </si>
  <si>
    <t>waku-org__js-waku</t>
  </si>
  <si>
    <t>wanaku-ai__wanaku-565</t>
  </si>
  <si>
    <t>https://github.com/wanaku-ai/wanaku/issues/565</t>
  </si>
  <si>
    <t>gs://swe-bench-plus/evaluations/019b6ab1-4e74-7019-9e81-9c96e98a145d-wanaku-ai__wanaku-565-swe-agent-claude-sonnet-4.5</t>
  </si>
  <si>
    <t>https://drive.google.com/drive/folders/1jHRGISOCmyaO6bSLL0UGDkUfgo74gziK</t>
  </si>
  <si>
    <t>wanaku-ai/wanaku</t>
  </si>
  <si>
    <t>wanaku-ai__wanaku</t>
  </si>
  <si>
    <t>WasmEdge__WasmEdge-4207</t>
  </si>
  <si>
    <t>https://github.com/WasmEdge/WasmEdge/issues/4207</t>
  </si>
  <si>
    <t>gs://swe-bench-plus/evaluations/019a8f51-4621-711a-ad6b-50abcd4c4d65-WasmEdge__WasmEdge-4207-open-hands-claude-sonnet-4-20250514</t>
  </si>
  <si>
    <t>https://drive.google.com/drive/folders/1Viu62zlCitgiZ7Zy2PRuGmmrQ5ufBWtn</t>
  </si>
  <si>
    <t>WasmEdge/WasmEdge</t>
  </si>
  <si>
    <t>WasmEdge__WasmEdge</t>
  </si>
  <si>
    <t>wboayue__rust-ibapi-261</t>
  </si>
  <si>
    <t>https://github.com/wboayue/rust-ibapi/issues/261</t>
  </si>
  <si>
    <t>https://drive.google.com/drive/folders/1rqlE7tWcEsW-HnnJRJfKSwYqPxHvc2lq</t>
  </si>
  <si>
    <t>https://drive.google.com/drive/folders/1rtoeL2PtKL_3w6b3sv7utCk4jMUL4gGj</t>
  </si>
  <si>
    <t>wboayue/rust-ibapi</t>
  </si>
  <si>
    <t>wboayue__rust-ibapi</t>
  </si>
  <si>
    <t>wichmann-lab__python-psignifit-214</t>
  </si>
  <si>
    <t>https://github.com/wichmann-lab/python-psignifit/issues/214</t>
  </si>
  <si>
    <t>https://drive.google.com/drive/folders/1tECTo970-hCRlEnuq_N6cgLO8CFV87vT</t>
  </si>
  <si>
    <t>https://drive.google.com/drive/folders/1_wEJA27q0PPTe87PXzTMOl-xzZMuz-9x</t>
  </si>
  <si>
    <t>wichmann-lab/python-psignifit</t>
  </si>
  <si>
    <t>wichmann-lab__python-psignifit</t>
  </si>
  <si>
    <t>widefix__actual_db_schema-129</t>
  </si>
  <si>
    <t>https://github.com/widefix/actual_db_schema/issues/129</t>
  </si>
  <si>
    <t>gs://swe-bench-plus/evaluations/019b6aaf-1788-707e-b6dd-d4dc12d72279-widefix__actual_db_schema-129-swe-agent-claude-sonnet-4.5</t>
  </si>
  <si>
    <t>https://drive.google.com/drive/folders/1uyMpDOsNnkwwRRXyJbbs66jd9IxvA_9o</t>
  </si>
  <si>
    <t>widefix/actual_db_schema</t>
  </si>
  <si>
    <t>widefix__actual_db_schema</t>
  </si>
  <si>
    <t>wildmeshing__wildmeshing-toolkit-579</t>
  </si>
  <si>
    <t>https://github.com/wildmeshing/wildmeshing-toolkit/issues/579</t>
  </si>
  <si>
    <t>https://drive.google.com/drive/folders/1rP40XoJtZ6LhGQP2Gvh1UPCU_Kk4_oRA</t>
  </si>
  <si>
    <t>wildmeshing/wildmeshing-toolkit</t>
  </si>
  <si>
    <t>wildmeshing__wildmeshing-toolkit</t>
  </si>
  <si>
    <t>wildmeshing__wildmeshing-toolkit-576</t>
  </si>
  <si>
    <t>https://github.com/wildmeshing/wildmeshing-toolkit/issues/576</t>
  </si>
  <si>
    <t>https://drive.google.com/drive/folders/1J4BsyAOYVuFIcsUpWMDkGOYn6Wh-5fci</t>
  </si>
  <si>
    <t>https://drive.google.com/drive/folders/1aMsvwKZ-PT6KEHL5v7VUYBMuip99XXxB</t>
  </si>
  <si>
    <t>wimdeblauwe__error-handling-spring-boot-starter-113</t>
  </si>
  <si>
    <t>https://github.com/wimdeblauwe/error-handling-spring-boot-starter/issues/113</t>
  </si>
  <si>
    <t>gs://swe-bench-plus/evaluations/019b6aaf-1788-707e-b6dd-d4dc12d72279-wimdeblauwe__error-handling-spring-boot-starter-113-swe-agent-claude-sonnet-4.5</t>
  </si>
  <si>
    <t>https://drive.google.com/drive/folders/1FVVqTp5bSXLPAdygXTtKVn9ceMS-qbET</t>
  </si>
  <si>
    <t>wimdeblauwe/error-handling-spring-boot-starter</t>
  </si>
  <si>
    <t>wimdeblauwe__error-handling-spring-boot-starter</t>
  </si>
  <si>
    <t>wizardsardine__liana-1692</t>
  </si>
  <si>
    <t>https://github.com/wizardsardine/liana/issues/1692</t>
  </si>
  <si>
    <t>gs://swe-bench-plus/evaluations/019b6aa7-0380-771f-9e02-24cda0fe6639-wizardsardine__liana-1692-swe-agent-claude-sonnet-4.5</t>
  </si>
  <si>
    <t>https://drive.google.com/drive/folders/1xtjcsaPGDdjeDSzBiRv1DCiQQh68DpK9</t>
  </si>
  <si>
    <t>wizardsardine/liana</t>
  </si>
  <si>
    <t>wizardsardine__liana</t>
  </si>
  <si>
    <t>wKovacs64__hibp-538</t>
  </si>
  <si>
    <t>https://github.com/wKovacs64/hibp/issues/538</t>
  </si>
  <si>
    <t>gs://swe-bench-plus/evaluations/019b6aaf-1788-707e-b6dd-d4dc12d72279-wKovacs64__hibp-538-swe-agent-claude-sonnet-4.5</t>
  </si>
  <si>
    <t>https://drive.google.com/drive/folders/1Pb3-5Idy6nDyFx7WB7ixe-aViJdAqUev</t>
  </si>
  <si>
    <t>wKovacs64/hibp</t>
  </si>
  <si>
    <t>wKovacs64__hibp</t>
  </si>
  <si>
    <t>wrenfold__wrenfold-319</t>
  </si>
  <si>
    <t>https://github.com/wrenfold/wrenfold/issues/319</t>
  </si>
  <si>
    <t>devtools;sci-comp;autonomy;graphics-media</t>
  </si>
  <si>
    <t>gs://swe-bench-plus/evaluations/019b06b8-5347-7669-9f51-4e4681f5c848-wrenfold__wrenfold-319-swe-agent-claude-sonnet-4.5</t>
  </si>
  <si>
    <t>https://drive.google.com/drive/folders/1sRZY2-dbpwHCBrc6C6_3cgl-b0qXrK8S</t>
  </si>
  <si>
    <t>wrenfold/wrenfold</t>
  </si>
  <si>
    <t>wrenfold__wrenfold</t>
  </si>
  <si>
    <t>wultra__powerauth-crypto-743</t>
  </si>
  <si>
    <t>https://github.com/wultra/powerauth-crypto/issues/743</t>
  </si>
  <si>
    <t>gs://swe-bench-plus/evaluations/019b6aaf-1788-707e-b6dd-d4dc12d72279-wultra__powerauth-crypto-743-swe-agent-claude-sonnet-4.5</t>
  </si>
  <si>
    <t>https://drive.google.com/drive/folders/1mQwMo2PTq_m_OHKYJ6O1_UH9FwM9IZpb</t>
  </si>
  <si>
    <t>wultra/powerauth-crypto</t>
  </si>
  <si>
    <t>wultra__powerauth-crypto</t>
  </si>
  <si>
    <t>wultra__powerauth-crypto-693</t>
  </si>
  <si>
    <t>https://github.com/wultra/powerauth-crypto/issues/693</t>
  </si>
  <si>
    <t>gs://swe-bench-plus/evaluations/019b6aaf-1788-707e-b6dd-d4dc12d72279-wultra__powerauth-crypto-693-swe-agent-claude-sonnet-4.5</t>
  </si>
  <si>
    <t>https://drive.google.com/drive/folders/1W1Xu60qsxk6YOeas38EhObRyBEifx850</t>
  </si>
  <si>
    <t>xataio__pgstream-473</t>
  </si>
  <si>
    <t>https://github.com/xataio/pgstream/issues/473</t>
  </si>
  <si>
    <t>gs://swe-bench-plus/evaluations/019a8f63-9719-76e6-95d0-86201157cd29-xataio__pgstream-473-open-hands-claude-sonnet-4-20250514</t>
  </si>
  <si>
    <t>https://drive.google.com/drive/folders/1l08H6ckXqlNFjTltiVvLr2bXVC9FQ_Gq</t>
  </si>
  <si>
    <t>xataio/pgstream</t>
  </si>
  <si>
    <t>xataio__pgstream</t>
  </si>
  <si>
    <t>Xceptance__XLT-597</t>
  </si>
  <si>
    <t>https://github.com/Xceptance/XLT/issues/597</t>
  </si>
  <si>
    <t>gs://swe-bench-plus/evaluations/019b6ab1-4e74-7019-9e81-9c96e98a145d-Xceptance__XLT-597-swe-agent-claude-sonnet-4.5</t>
  </si>
  <si>
    <t>https://drive.google.com/drive/folders/1_VRrVcFZSVfAX-Q1m1SEP7v1v7Y8RHkw</t>
  </si>
  <si>
    <t>Xceptance/XLT</t>
  </si>
  <si>
    <t>Xceptance__XLT</t>
  </si>
  <si>
    <t>XLSForm__pyxform-776</t>
  </si>
  <si>
    <t>https://github.com/XLSForm/pyxform/issues/776</t>
  </si>
  <si>
    <t>devtools;data-eng;applications</t>
  </si>
  <si>
    <t>https://drive.google.com/drive/folders/17Cb5BHtMhgNGYtnKMLL-SU0cOqK29sIZ</t>
  </si>
  <si>
    <t>https://drive.google.com/drive/folders/1DkmleWmXJDl5B_FxuejlXD4iDaUY8_qp</t>
  </si>
  <si>
    <t>XLSForm/pyxform</t>
  </si>
  <si>
    <t>XLSForm__pyxform</t>
  </si>
  <si>
    <t>XRPLF__xrpl-py-708</t>
  </si>
  <si>
    <t>https://github.com/XRPLF/xrpl-py/issues/708</t>
  </si>
  <si>
    <t>https://drive.google.com/drive/folders/1v7JBHfyeQSYIylUmAryK9YpCVkTrkcV3</t>
  </si>
  <si>
    <t>https://drive.google.com/drive/folders/1hQdg21emCug9t_Q_akzMnjwDqpPSpz8L</t>
  </si>
  <si>
    <t>XRPLF/xrpl-py</t>
  </si>
  <si>
    <t>XRPLF__xrpl-py</t>
  </si>
  <si>
    <t>yamada-ui__yamada-ui-3320</t>
  </si>
  <si>
    <t>https://github.com/yamada-ui/yamada-ui/issues/3320</t>
  </si>
  <si>
    <t>gs://swe-bench-plus/evaluations/019b6aaf-1788-707e-b6dd-d4dc12d72279-yamada-ui__yamada-ui-3320-swe-agent-claude-sonnet-4.5</t>
  </si>
  <si>
    <t>https://drive.google.com/drive/folders/1SlHQR5JdmlTWdmxYAuG5AA4cbC1u0A-w</t>
  </si>
  <si>
    <t>yamada-ui/yamada-ui</t>
  </si>
  <si>
    <t>yamada-ui__yamada-ui</t>
  </si>
  <si>
    <t>yamadashy__repomix-716</t>
  </si>
  <si>
    <t>https://github.com/yamadashy/repomix/issues/716</t>
  </si>
  <si>
    <t>gs://swe-bench-plus/evaluations/019c7387-ddc4-764c-86c6-05e1d00ceaaa-yamadashy__repomix-716-swe-agent-claude-sonnet-4-20250514</t>
  </si>
  <si>
    <t>https://drive.google.com/drive/folders/17BpafArLVaxcdH27LVZ4oFqJ_DBJ73hf</t>
  </si>
  <si>
    <t>yamadashy/repomix</t>
  </si>
  <si>
    <t>yamadashy__repomix</t>
  </si>
  <si>
    <t>Yamashou__gqlgenc-269</t>
  </si>
  <si>
    <t>https://github.com/Yamashou/gqlgenc/issues/269</t>
  </si>
  <si>
    <t>gs://swe-bench-plus/evaluations/019b6aa7-0380-771f-9e02-24cda0fe6639-Yamashou__gqlgenc-269-swe-agent-claude-sonnet-4.5</t>
  </si>
  <si>
    <t>https://drive.google.com/drive/folders/11GJOKhCx9dHf_u4NEmU2VY6kdnIBHN_2</t>
  </si>
  <si>
    <t>Yamashou/gqlgenc</t>
  </si>
  <si>
    <t>Yamashou__gqlgenc</t>
  </si>
  <si>
    <t>Yeraze__meshmonitor-237</t>
  </si>
  <si>
    <t>https://github.com/Yeraze/meshmonitor/issues/237</t>
  </si>
  <si>
    <t>gs://swe-bench-plus/evaluations/019b6ab1-4e74-7019-9e81-9c96e98a145d-Yeraze__meshmonitor-237-swe-agent-claude-sonnet-4.5</t>
  </si>
  <si>
    <t>https://drive.google.com/drive/folders/1i6DoTcrS6u7mHHRmMUHphe5BgvS8en5r</t>
  </si>
  <si>
    <t>Yeraze/meshmonitor</t>
  </si>
  <si>
    <t>Yeraze__meshmonitor</t>
  </si>
  <si>
    <t>yjacquin__fast-mcp-96</t>
  </si>
  <si>
    <t>https://github.com/yjacquin/fast-mcp/issues/96</t>
  </si>
  <si>
    <t>gs://swe-bench-plus/evaluations/019b6aaf-1788-707e-b6dd-d4dc12d72279-yjacquin__fast-mcp-96-swe-agent-claude-sonnet-4.5</t>
  </si>
  <si>
    <t>https://drive.google.com/drive/folders/1kteLXVIqmy7YxPDneRniI63Wif2oiHiz</t>
  </si>
  <si>
    <t>yjacquin/fast-mcp</t>
  </si>
  <si>
    <t>yjacquin__fast-mcp</t>
  </si>
  <si>
    <t>yolk__valvat-138</t>
  </si>
  <si>
    <t>https://github.com/yolk/valvat/issues/138</t>
  </si>
  <si>
    <t>gs://swe-bench-plus/evaluations/019b6aaf-1788-707e-b6dd-d4dc12d72279-yolk__valvat-138-swe-agent-claude-sonnet-4.5</t>
  </si>
  <si>
    <t>https://drive.google.com/drive/folders/1Eew9QvyX9CT9Wyxno74zKyEymGR8Y4gM</t>
  </si>
  <si>
    <t>yolk/valvat</t>
  </si>
  <si>
    <t>yolk__valvat</t>
  </si>
  <si>
    <t>yonahd__kor-473</t>
  </si>
  <si>
    <t>https://github.com/yonahd/kor/issues/473</t>
  </si>
  <si>
    <t>gs://swe-bench-plus/evaluations/019b6ab1-4e74-7019-9e81-9c96e98a145d-yonahd__kor-473-swe-agent-claude-sonnet-4.5</t>
  </si>
  <si>
    <t>https://drive.google.com/drive/folders/1ti5qV7KXer2zWKoaWm0cYSA6igFuUg6H</t>
  </si>
  <si>
    <t>yonahd/kor</t>
  </si>
  <si>
    <t>yonahd__kor</t>
  </si>
  <si>
    <t>ysugimoto__falco-405</t>
  </si>
  <si>
    <t>https://github.com/ysugimoto/falco/issues/405</t>
  </si>
  <si>
    <t>gs://swe-bench-plus/evaluations/019b6aa7-0380-771f-9e02-24cda0fe6639-ysugimoto__falco-405-swe-agent-claude-sonnet-4.5</t>
  </si>
  <si>
    <t>https://drive.google.com/drive/folders/10jBQyUg0MA7dcMJPFtCcIkxRmw2bPzYi</t>
  </si>
  <si>
    <t>ysugimoto/falco</t>
  </si>
  <si>
    <t>ysugimoto__falco</t>
  </si>
  <si>
    <t>ytti__oxidized-3550</t>
  </si>
  <si>
    <t>https://github.com/ytti/oxidized/issues/3550</t>
  </si>
  <si>
    <t>https://drive.google.com/drive/folders/10uHDMENXKF7B7SKBOAoShAqxihUGk-nY</t>
  </si>
  <si>
    <t>https://drive.google.com/drive/folders/1-mMaPD0guyi0O5ifIoGUhDbTaZYDXcEG</t>
  </si>
  <si>
    <t>ytti/oxidized</t>
  </si>
  <si>
    <t>ytti__oxidized</t>
  </si>
  <si>
    <t>YuminosukeSato__pyproc-15</t>
  </si>
  <si>
    <t>https://github.com/YuminosukeSato/pyproc/issues/15</t>
  </si>
  <si>
    <t>gs://swe-bench-plus/evaluations/019b6ab1-4e74-7019-9e81-9c96e98a145d-YuminosukeSato__pyproc-15-swe-agent-claude-sonnet-4.5</t>
  </si>
  <si>
    <t>https://drive.google.com/drive/folders/1sr4gxfYS13b2EV26mCbHfqKUgwoN3TxK</t>
  </si>
  <si>
    <t>YuminosukeSato/pyproc</t>
  </si>
  <si>
    <t>YuminosukeSato__pyproc</t>
  </si>
  <si>
    <t>zalando-incubator__kube-ingress-aws-controller-742</t>
  </si>
  <si>
    <t>https://github.com/zalando-incubator/kube-ingress-aws-controller/issues/742</t>
  </si>
  <si>
    <t>gs://swe-bench-plus/evaluations/019b6ab1-4e74-7019-9e81-9c96e98a145d-zalando-incubator__kube-ingress-aws-controller-742-swe-agent-claude-sonnet-4.5</t>
  </si>
  <si>
    <t>https://drive.google.com/drive/folders/1KmcklJ9qVYuNuGReyK0klxHplJEb9dxs</t>
  </si>
  <si>
    <t>zalando-incubator/kube-ingress-aws-controller</t>
  </si>
  <si>
    <t>zalando-incubator__kube-ingress-aws-controller</t>
  </si>
  <si>
    <t>zalando__logbook-513</t>
  </si>
  <si>
    <t>https://github.com/zalando/logbook/issues/513</t>
  </si>
  <si>
    <t>gs://swe-bench-plus/evaluations/019c2529-331d-7507-bab8-1920ff40c9f7-zalando__logbook-513-swe-agent-claude-sonnet-4.5</t>
  </si>
  <si>
    <t>https://drive.google.com/drive/folders/1mLQzHKxpTbsinVCW64qydM5GFbwENfBc</t>
  </si>
  <si>
    <t>zalando/logbook</t>
  </si>
  <si>
    <t>zalando__logbook</t>
  </si>
  <si>
    <t>zalando__logbook-2188</t>
  </si>
  <si>
    <t>https://github.com/zalando/logbook/issues/2188</t>
  </si>
  <si>
    <t>gs://swe-bench-plus/evaluations/019c6646-ea55-7645-a600-58791210a874-zalando__logbook-2188-swe-agent-claude-sonnet-4-20250514</t>
  </si>
  <si>
    <t>https://drive.google.com/drive/folders/1jSdslpTEDH0HzhzWfjMRpA7MV4UCIcb6</t>
  </si>
  <si>
    <t>zard-ui__zardui-122</t>
  </si>
  <si>
    <t>https://github.com/zard-ui/zardui/issues/122</t>
  </si>
  <si>
    <t>gs://swe-bench-plus/evaluations/019b6ab1-4e74-7019-9e81-9c96e98a145d-zard-ui__zardui-122-swe-agent-claude-sonnet-4.5</t>
  </si>
  <si>
    <t>https://drive.google.com/drive/folders/1BaMqBOx2GHRoexlgGLg4EXr7QXM6a_Vy</t>
  </si>
  <si>
    <t>zard-ui/zardui</t>
  </si>
  <si>
    <t>zard-ui__zardui</t>
  </si>
  <si>
    <t>zarr-developers__VirtualiZarr-677</t>
  </si>
  <si>
    <t>https://github.com/zarr-developers/VirtualiZarr/issues/677</t>
  </si>
  <si>
    <t>gs://swe-bench-plus/evaluations/019a84f8-9514-70b8-abf7-be9101c82944-zarr-developers__VirtualiZarr-677-open-hands-claude-sonnet-4-20250514</t>
  </si>
  <si>
    <t>https://drive.google.com/drive/folders/13vFziMFadaIALIy0lrH9vLsDpwBEPAWU</t>
  </si>
  <si>
    <t>zarr-developers/VirtualiZarr</t>
  </si>
  <si>
    <t>zarr-developers__VirtualiZarr</t>
  </si>
  <si>
    <t>zarr-developers__VirtualiZarr-243</t>
  </si>
  <si>
    <t>https://github.com/zarr-developers/VirtualiZarr/issues/243</t>
  </si>
  <si>
    <t>https://drive.google.com/drive/folders/13O_Y9CgiuY_Y7JcPXP7p3WKGPS4tFe7p</t>
  </si>
  <si>
    <t>https://drive.google.com/drive/folders/1HAjdZUkUG_z8QIJHyWybPIXt00vQ3h6k</t>
  </si>
  <si>
    <t>zeek__broker-395</t>
  </si>
  <si>
    <t>https://github.com/zeek/broker/issues/395</t>
  </si>
  <si>
    <t>gs://swe-bench-plus/evaluations/019b6ab1-4e74-7019-9e81-9c96e98a145d-zeek__broker-395-swe-agent-claude-sonnet-4.5</t>
  </si>
  <si>
    <t>https://drive.google.com/drive/folders/1NUcICOLP7hhPTSD_SQCDfJeaPJaWSFT6</t>
  </si>
  <si>
    <t>zeek/broker</t>
  </si>
  <si>
    <t>zeek__broker</t>
  </si>
  <si>
    <t>ZenPrivacy__zen-desktop-139</t>
  </si>
  <si>
    <t>https://github.com/ZenPrivacy/zen-desktop/issues/139</t>
  </si>
  <si>
    <t>feature;refactor;dependency-update;build-ci</t>
  </si>
  <si>
    <t>https://drive.google.com/drive/folders/1hSor1fWHHNeSxlrpQ5KkFnJQQbtGmid6</t>
  </si>
  <si>
    <t>https://drive.google.com/drive/folders/1h3jE91QZDIb_h0PncKh7vd1TFJ7p3QAt</t>
  </si>
  <si>
    <t>ZenPrivacy/zen-desktop</t>
  </si>
  <si>
    <t>ZenPrivacy__zen-desktop</t>
  </si>
  <si>
    <t>zeroc-ice__ice-4093</t>
  </si>
  <si>
    <t>https://github.com/zeroc-ice/ice/issues/4093</t>
  </si>
  <si>
    <t>https://drive.google.com/drive/folders/1zUVRTpFx0PeyyfvFvphGQHVkKLPdCmoE</t>
  </si>
  <si>
    <t>https://drive.google.com/drive/folders/1NFks-pe5kuNDDbAMXaSHhO8ZRDiEzAvS</t>
  </si>
  <si>
    <t>zeroc-ice/ice</t>
  </si>
  <si>
    <t>zeroc-ice__ice</t>
  </si>
  <si>
    <t>zeta-chain__node-3553</t>
  </si>
  <si>
    <t>https://github.com/zeta-chain/node/issues/3553</t>
  </si>
  <si>
    <t>gs://swe-bench-plus/evaluations/019b6aa7-0380-771f-9e02-24cda0fe6639-zeta-chain__node-3553-swe-agent-claude-sonnet-4.5</t>
  </si>
  <si>
    <t>https://drive.google.com/drive/folders/1Gw-87fKUfsvdmjHIqoRIj3HRH5VHdXIF</t>
  </si>
  <si>
    <t>zeta-chain/node</t>
  </si>
  <si>
    <t>zeta-chain__node</t>
  </si>
  <si>
    <t>zeta-chain__node-3326</t>
  </si>
  <si>
    <t>https://github.com/zeta-chain/node/issues/3326</t>
  </si>
  <si>
    <t>gs://swe-bench-plus/evaluations/019b6aa7-0380-771f-9e02-24cda0fe6639-zeta-chain__node-3326-swe-agent-claude-sonnet-4.5</t>
  </si>
  <si>
    <t>https://drive.google.com/drive/folders/1RFQXiK2GFocHR5_8X3W_moqEvzmV8Lst</t>
  </si>
  <si>
    <t>zeta-chain__node-3278</t>
  </si>
  <si>
    <t>https://github.com/zeta-chain/node/issues/3278</t>
  </si>
  <si>
    <t>gs://swe-bench-plus/evaluations/019a9c4e-0063-727d-8204-48136c489e61-zeta-chain__node-3278-swe-agent-claude-sonnet-4-20250514</t>
  </si>
  <si>
    <t>https://drive.google.com/drive/folders/193tqzTy7uQnErfm16PbYTVvW0zHPMhgh</t>
  </si>
  <si>
    <t>zeta-chain__node-4097</t>
  </si>
  <si>
    <t>https://github.com/zeta-chain/node/issues/4097</t>
  </si>
  <si>
    <t>gs://swe-bench-plus/evaluations/019b6aaf-1788-707e-b6dd-d4dc12d72279-zeta-chain__node-4097-swe-agent-claude-sonnet-4.5</t>
  </si>
  <si>
    <t>https://drive.google.com/drive/folders/1isIWhSKTsbeeyATeP8KBWsZ_JG9hhF4j</t>
  </si>
  <si>
    <t>zeta-chain__node-3765</t>
  </si>
  <si>
    <t>https://github.com/zeta-chain/node/issues/3765</t>
  </si>
  <si>
    <t>gs://swe-bench-plus/evaluations/019b6aaf-1788-707e-b6dd-d4dc12d72279-zeta-chain__node-3765-swe-agent-claude-sonnet-4.5</t>
  </si>
  <si>
    <t>https://drive.google.com/drive/folders/1QmiXyEwJI3MPOfyvew1IQP5w5ZWDB0v5</t>
  </si>
  <si>
    <t>zeta-chain__node-3455</t>
  </si>
  <si>
    <t>https://github.com/zeta-chain/node/issues/3455</t>
  </si>
  <si>
    <t>gs://swe-bench-plus/evaluations/019b6ab1-4e74-7019-9e81-9c96e98a145d-zeta-chain__node-3455-swe-agent-claude-sonnet-4.5</t>
  </si>
  <si>
    <t>https://drive.google.com/drive/folders/1CyvB3UjR0dxGRopsW1jpnlG-M8CyPgso</t>
  </si>
  <si>
    <t>zeta-chain__toolkit-235</t>
  </si>
  <si>
    <t>https://github.com/zeta-chain/toolkit/issues/235</t>
  </si>
  <si>
    <t>refactor;build-ci;feature</t>
  </si>
  <si>
    <t>gs://swe-bench-plus/evaluations/019b6aa7-0380-771f-9e02-24cda0fe6639-zeta-chain__toolkit-235-swe-agent-claude-sonnet-4.5</t>
  </si>
  <si>
    <t>https://drive.google.com/drive/folders/1HOaq7UJJee79XYbqPXnItulEbfuMezI9</t>
  </si>
  <si>
    <t>zeta-chain/toolkit</t>
  </si>
  <si>
    <t>zeta-chain__toolkit</t>
  </si>
  <si>
    <t>zitadel__zitadel-8822</t>
  </si>
  <si>
    <t>https://github.com/zitadel/zitadel/issues/8822</t>
  </si>
  <si>
    <t>feature;performance;refactor;build-ci</t>
  </si>
  <si>
    <t>https://drive.google.com/drive/folders/1eIVK2ZO0k90IaDGgcOWj5hxFuIcbTlhs</t>
  </si>
  <si>
    <t>https://drive.google.com/drive/folders/1tAldCN7bLUG2vpChJbk46euavXPXffGf</t>
  </si>
  <si>
    <t>zitadel/zitadel</t>
  </si>
  <si>
    <t>zitadel__zitadel</t>
  </si>
  <si>
    <t>zizmorcore__zizmor-133</t>
  </si>
  <si>
    <t>https://github.com/zizmorcore/zizmor/issues/133</t>
  </si>
  <si>
    <t>https://drive.google.com/drive/folders/1tI8qXSdTCAvECLPu7cttjMl-XPAoPdKi</t>
  </si>
  <si>
    <t>https://drive.google.com/drive/folders/1JbeMIBxMwblMBfG_7dwyJ-znJTEuFEf3</t>
  </si>
  <si>
    <t>zizmorcore/zizmor</t>
  </si>
  <si>
    <t>zizmorcore__zizmor</t>
  </si>
  <si>
    <t>zizmorcore__zizmor-670</t>
  </si>
  <si>
    <t>https://github.com/zizmorcore/zizmor/issues/670</t>
  </si>
  <si>
    <t>https://drive.google.com/drive/folders/1cvhIpM_xMBrOmKfDYg_y9b00p9eoSAYV</t>
  </si>
  <si>
    <t>https://drive.google.com/drive/folders/1OM0v1LbXl-zrv-567PBvjXmLd_HPxwOJ</t>
  </si>
  <si>
    <t>zizmorcore__zizmor-294</t>
  </si>
  <si>
    <t>https://github.com/zizmorcore/zizmor/issues/294</t>
  </si>
  <si>
    <t>gs://swe-bench-plus/evaluations/019aeed8-5654-736c-85f3-1d2b6f133793-zizmorcore__zizmor-294-swe-agent-claude-sonnet-4-20250514</t>
  </si>
  <si>
    <t>a2aproject__a2a-dotnet-110</t>
  </si>
  <si>
    <t>https://github.com/a2aproject/a2a-dotnet/issues/110</t>
  </si>
  <si>
    <t>gs://swe-bench-plus/evaluations/019b6aa7-0380-771f-9e02-24cda0fe6639-a2aproject__a2a-dotnet-110-swe-agent-claude-sonnet-4.5</t>
  </si>
  <si>
    <t>https://drive.google.com/drive/folders/1I37mr8BpbcumMjC_rkvAuDKnFplE5xPr</t>
  </si>
  <si>
    <t>a2aproject__a2a-python-394</t>
  </si>
  <si>
    <t>https://github.com/a2aproject/a2a-python/issues/394</t>
  </si>
  <si>
    <t>gs://swe-bench-plus/evaluations/019a8f6e-136c-7345-a414-a1ed9c7f4f2d-a2aproject__a2a-python-394-open-hands-claude-sonnet-4-20250514</t>
  </si>
  <si>
    <t>https://drive.google.com/drive/folders/1H6jiry7K81frP9sbS2daNxi0NZjfQ9fy</t>
  </si>
  <si>
    <t>abpframework__abp-23701</t>
  </si>
  <si>
    <t>https://github.com/abpframework/abp/issues/23701</t>
  </si>
  <si>
    <t>https://drive.google.com/drive/folders/1v535Ws1YEJN5OoEZ6QLxkglhGd9Q9pbX</t>
  </si>
  <si>
    <t>https://drive.google.com/drive/folders/12XZY6ECxVEjD1i5Azl1gSb493jd1B7gi</t>
  </si>
  <si>
    <t>abpframework/abp</t>
  </si>
  <si>
    <t>abpframework__abp</t>
  </si>
  <si>
    <t>ABRG-Models__morphologica-251</t>
  </si>
  <si>
    <t>https://github.com/ABRG-Models/morphologica/issues/251</t>
  </si>
  <si>
    <t>gs://swe-bench-plus/evaluations/019b6aa7-0380-771f-9e02-24cda0fe6639-ABRG-Models__morphologica-251-swe-agent-claude-sonnet-4.5</t>
  </si>
  <si>
    <t>https://drive.google.com/drive/folders/1t5f5MhEsh7ZQoGxZdtAI9lz9uPnAGBfd</t>
  </si>
  <si>
    <t>ABRG-Models/morphologica</t>
  </si>
  <si>
    <t>ABRG-Models__morphologica</t>
  </si>
  <si>
    <t>accomplish-ai__accomplish-156</t>
  </si>
  <si>
    <t>https://github.com/accomplish-ai/accomplish/issues/156</t>
  </si>
  <si>
    <t>gs://swe-bench-plus/evaluations/019c8ad6-24d8-74d7-bfdb-849e95e51fa5-accomplish-ai__accomplish-156-swe-agent-claude-sonnet-4-20250514</t>
  </si>
  <si>
    <t>https://drive.google.com/drive/folders/1tOtP3XbtXK9zr4nhPywT_XJO0QQdYrJ4</t>
  </si>
  <si>
    <t>accomplish-ai/accomplish</t>
  </si>
  <si>
    <t>accomplish-ai__accomplish</t>
  </si>
  <si>
    <t>activerecord-hackery__ransack-1611</t>
  </si>
  <si>
    <t>https://github.com/activerecord-hackery/ransack/issues/1611</t>
  </si>
  <si>
    <t>gs://swe-bench-plus/evaluations/019b6ab1-4e74-7019-9e81-9c96e98a145d-activerecord-hackery__ransack-1611-swe-agent-claude-sonnet-4.5</t>
  </si>
  <si>
    <t>https://drive.google.com/drive/folders/1Jhx3p33KzC4crKbjG1LMvugiH0LrDQJO</t>
  </si>
  <si>
    <t>activerecord-hackery/ransack</t>
  </si>
  <si>
    <t>activerecord-hackery__ransack</t>
  </si>
  <si>
    <t>adventuregamestudio__ags-2629</t>
  </si>
  <si>
    <t>https://github.com/adventuregamestudio/ags/issues/2629</t>
  </si>
  <si>
    <t>applications;graphics-media;devtools</t>
  </si>
  <si>
    <t>gs://swe-bench-plus/evaluations/019b6aa7-0380-771f-9e02-24cda0fe6639-adventuregamestudio__ags-2629-swe-agent-claude-sonnet-4.5</t>
  </si>
  <si>
    <t>https://drive.google.com/drive/folders/1i6N7kdjnP76fPNIa0yC7UlHlGsQ43doU</t>
  </si>
  <si>
    <t>adventuregamestudio/ags</t>
  </si>
  <si>
    <t>adventuregamestudio__ags</t>
  </si>
  <si>
    <t>advplyr__audiobookshelf-4319</t>
  </si>
  <si>
    <t>https://github.com/advplyr/audiobookshelf/issues/4319</t>
  </si>
  <si>
    <t>https://drive.google.com/drive/folders/1ZPgopqaa7cTJdQ1_20d4LvYvfiQiv4Jv</t>
  </si>
  <si>
    <t>https://drive.google.com/drive/folders/121JEc2OTMVaVAl1LBFt2KWiM7YxeSTtv</t>
  </si>
  <si>
    <t>advplyr/audiobookshelf</t>
  </si>
  <si>
    <t>advplyr__audiobookshelf</t>
  </si>
  <si>
    <t>aehrc__pathling-2435</t>
  </si>
  <si>
    <t>https://github.com/aehrc/pathling/issues/2435</t>
  </si>
  <si>
    <t>gs://swe-bench-plus/evaluations/019bc31c-2360-7079-b8da-e850535b9cd1-aehrc__pathling-2435-swe-agent-claude-sonnet-4-20250514</t>
  </si>
  <si>
    <t>https://drive.google.com/drive/folders/1JjN5rJfTGvCy4q83vttxYBC1I_Tau5Y4</t>
  </si>
  <si>
    <t>aehrc/pathling</t>
  </si>
  <si>
    <t>aehrc__pathling</t>
  </si>
  <si>
    <t>ag2ai__ag2-1347</t>
  </si>
  <si>
    <t>https://github.com/ag2ai/ag2/issues/1347</t>
  </si>
  <si>
    <t>https://drive.google.com/drive/folders/11qyRKug5TIAu8P4e9FGqLFB_OA85A3LW</t>
  </si>
  <si>
    <t>https://drive.google.com/drive/folders/10gpoorqAqn2Xugz4cwlMab2DbBqAaiEB</t>
  </si>
  <si>
    <t>ag2ai__ag2-358</t>
  </si>
  <si>
    <t>https://github.com/ag2ai/ag2/issues/358</t>
  </si>
  <si>
    <t>https://drive.google.com/drive/folders/1yl4znoVwz6Ux6lKomY36pamndw4KJeCf</t>
  </si>
  <si>
    <t>https://drive.google.com/drive/folders/1T8hJquop6iD0Ps2RB66oz1qufh7Ucoxn</t>
  </si>
  <si>
    <t>aimclub__OSA-126</t>
  </si>
  <si>
    <t>https://github.com/aimclub/OSA/issues/126</t>
  </si>
  <si>
    <t>gs://swe-bench-plus/evaluations/019a9c33-6d74-70ca-a36d-b17dba075c66-aimclub__OSA-126-swe-agent-claude-sonnet-4-20250514</t>
  </si>
  <si>
    <t>https://drive.google.com/drive/folders/1iD5ajQuBcEUYNjKNT59wmXtkAMyYKk0S</t>
  </si>
  <si>
    <t>aimclub/OSA</t>
  </si>
  <si>
    <t>aimclub__OSA</t>
  </si>
  <si>
    <t>akkadotnet__Akka.Hosting-520</t>
  </si>
  <si>
    <t>https://github.com/akkadotnet/Akka.Hosting/issues/520</t>
  </si>
  <si>
    <t>gs://swe-bench-plus/evaluations/019a9c67-c90c-7602-9a7e-58220182c7c3-akkadotnet__Akka.Hosting-520-swe-agent-claude-sonnet-4-20250514</t>
  </si>
  <si>
    <t>https://drive.google.com/drive/folders/1S5ukcGJwXZUWkAMBFb8OUeeD_h9k9NLE</t>
  </si>
  <si>
    <t>akkadotnet/Akka.Hosting</t>
  </si>
  <si>
    <t>akkadotnet__Akka.Hosting</t>
  </si>
  <si>
    <t>akrherz__pyIEM-1112</t>
  </si>
  <si>
    <t>https://github.com/akrherz/pyIEM/issues/1112</t>
  </si>
  <si>
    <t>https://drive.google.com/drive/folders/1iyocNd3hyXnNlAoc9K_PdVTQlIfGUgwW</t>
  </si>
  <si>
    <t>https://drive.google.com/drive/folders/1SaeMaWcG221X0Y2oo8lp8VHsMvAnEXA5</t>
  </si>
  <si>
    <t>akrherz/pyIEM</t>
  </si>
  <si>
    <t>akrherz__pyIEM</t>
  </si>
  <si>
    <t>albumentations-team__albumentations-2129</t>
  </si>
  <si>
    <t>https://github.com/albumentations-team/albumentations/issues/2129</t>
  </si>
  <si>
    <t>gs://swe-bench-plus/evaluations/019a8f6e-136c-7345-a414-a1ed9c7f4f2d-albumentations-team__albumentations-2129-open-hands-claude-sonnet-4-20250514</t>
  </si>
  <si>
    <t>albumentations-team__albumentations-2131</t>
  </si>
  <si>
    <t>https://github.com/albumentations-team/albumentations/issues/2131</t>
  </si>
  <si>
    <t>gs://swe-bench-plus/evaluations/019a11d0-17d3-730b-bffc-06f187eef661-albumentations-team__albumentations-2131-swe-agent-claude-sonnet-4-20250514</t>
  </si>
  <si>
    <t>albumentations-team__albumentations-2123</t>
  </si>
  <si>
    <t>https://github.com/albumentations-team/albumentations/issues/2123</t>
  </si>
  <si>
    <t>gs://swe-bench-plus/evaluations/019a11d0-17d3-730b-bffc-06f187eef661-albumentations-team__albumentations-2123-swe-agent-claude-sonnet-4-20250514</t>
  </si>
  <si>
    <t>albumentations-team__albumentations-2526</t>
  </si>
  <si>
    <t>https://github.com/albumentations-team/albumentations/issues/2526</t>
  </si>
  <si>
    <t>https://drive.google.com/drive/folders/1T2uEBJNVU43Am4xT9Now1AswihIVDGNZ</t>
  </si>
  <si>
    <t>alecthomas__kong-501</t>
  </si>
  <si>
    <t>https://github.com/alecthomas/kong/issues/501</t>
  </si>
  <si>
    <t>https://drive.google.com/drive/folders/1d3laaZXVGhrTOfwoKDeYGGnOj1n7jLAP</t>
  </si>
  <si>
    <t>https://drive.google.com/drive/folders/1S0g_tJnQxphx_CN1oF4qaeiNlDmHqRCp</t>
  </si>
  <si>
    <t>alecthomas/kong</t>
  </si>
  <si>
    <t>alecthomas__kong</t>
  </si>
  <si>
    <t>alexellis__arkade-1131</t>
  </si>
  <si>
    <t>https://github.com/alexellis/arkade/issues/1131</t>
  </si>
  <si>
    <t>https://drive.google.com/drive/folders/1ZO5tUwZSNessnCHNhuMhJUE2k_fFF5bw</t>
  </si>
  <si>
    <t>https://drive.google.com/drive/folders/1oglkbl3DTQOtoNklOFv5L8WakwASvbIr</t>
  </si>
  <si>
    <t>alexellis/arkade</t>
  </si>
  <si>
    <t>alexellis__arkade</t>
  </si>
  <si>
    <t>algolia__shipjs-1029</t>
  </si>
  <si>
    <t>https://github.com/algolia/shipjs/issues/1029</t>
  </si>
  <si>
    <t>gs://swe-bench-plus/evaluations/019c66b4-eabc-7558-9200-0cb1aa23d63b-algolia__shipjs-1029-swe-agent-claude-sonnet-4-20250514</t>
  </si>
  <si>
    <t>https://drive.google.com/drive/folders/1UmuukF0W1q2NfbLZI0LG_kkt52DzmWPA</t>
  </si>
  <si>
    <t>algolia/shipjs</t>
  </si>
  <si>
    <t>algolia__shipjs</t>
  </si>
  <si>
    <t>alibaba__fluss-592</t>
  </si>
  <si>
    <t>https://github.com/alibaba/fluss/issues/592</t>
  </si>
  <si>
    <t>gs://swe-bench-plus/evaluations/019b6ab1-4e74-7019-9e81-9c96e98a145d-alibaba__fluss-592-swe-agent-claude-sonnet-4.5</t>
  </si>
  <si>
    <t>https://drive.google.com/drive/folders/1SiHlzQjdORCbUziYMrJK9wGRlE3dCqs7</t>
  </si>
  <si>
    <t>alibaba/fluss</t>
  </si>
  <si>
    <t>alibaba__fluss</t>
  </si>
  <si>
    <t>alibaba__nacos-11754</t>
  </si>
  <si>
    <t>https://github.com/alibaba/nacos/issues/11754</t>
  </si>
  <si>
    <t>https://drive.google.com/drive/folders/1Qpb2B54Bnb2nVdNQSStSPdhOu0pfQPgg</t>
  </si>
  <si>
    <t>https://drive.google.com/drive/folders/15oEZGw3BEX8zvaSKFWCBLkAFlR1Z8Wwc</t>
  </si>
  <si>
    <t>alibaba/nacos</t>
  </si>
  <si>
    <t>alibaba__nacos</t>
  </si>
  <si>
    <t>alibaba__PhotonLibOS-1062</t>
  </si>
  <si>
    <t>https://github.com/alibaba/PhotonLibOS/issues/1062</t>
  </si>
  <si>
    <t>gs://swe-bench-plus/evaluations/019b323d-4976-7257-b241-47c1f6e33582-alibaba__PhotonLibOS-1062-swe-agent-claude-sonnet-4.5</t>
  </si>
  <si>
    <t>https://drive.google.com/drive/folders/1JnfAsSCyYEtYIJI1XkJfXBnhg1bx8WcK</t>
  </si>
  <si>
    <t>alibaba/PhotonLibOS</t>
  </si>
  <si>
    <t>alibaba__PhotonLibOS</t>
  </si>
  <si>
    <t>All-Hands-AI__OpenHands-7082</t>
  </si>
  <si>
    <t>https://github.com/All-Hands-AI/OpenHands/issues/7082</t>
  </si>
  <si>
    <t>https://drive.google.com/drive/folders/1qR1uWn8MReps6Ddysih8MTR7-UnKUMS3</t>
  </si>
  <si>
    <t>https://drive.google.com/drive/folders/1bV055GZlZag9t6sjDVPWAGJzA7xj3jfb</t>
  </si>
  <si>
    <t>alphagov__govuk-prototype-kit-2437</t>
  </si>
  <si>
    <t>https://github.com/alphagov/govuk-prototype-kit/issues/2437</t>
  </si>
  <si>
    <t>gs://swe-bench-plus/evaluations/019c66b4-4a01-7759-ae8a-33fc48d27674-alphagov__govuk-prototype-kit-2437-swe-agent-claude-sonnet-4.5</t>
  </si>
  <si>
    <t>https://drive.google.com/drive/folders/1uiQoDZEJRo-QGwyRo4lqOmNg4QIk8qLx</t>
  </si>
  <si>
    <t>alphagov/govuk-prototype-kit</t>
  </si>
  <si>
    <t>alphagov__govuk-prototype-kit</t>
  </si>
  <si>
    <t>alpic-ai__skybridge-114</t>
  </si>
  <si>
    <t>https://github.com/alpic-ai/skybridge/issues/114</t>
  </si>
  <si>
    <t>gs://swe-bench-plus/evaluations/019c8ad6-24d8-74d7-bfdb-849e95e51fa5-alpic-ai__skybridge-114-swe-agent-claude-sonnet-4-20250514</t>
  </si>
  <si>
    <t>https://drive.google.com/drive/folders/1IvQXSII-BEWV1UNWunOQLQ587Jfl9moS</t>
  </si>
  <si>
    <t>alpic-ai/skybridge</t>
  </si>
  <si>
    <t>alpic-ai__skybridge</t>
  </si>
  <si>
    <t>amrit110__oli-48</t>
  </si>
  <si>
    <t>https://github.com/amrit110/oli/issues/48</t>
  </si>
  <si>
    <t>gs://swe-bench-plus/evaluations/019b06bd-e8b8-7239-a811-43270291d9ff-amrit110__oli-48-swe-agent-claude-sonnet-4.5</t>
  </si>
  <si>
    <t>https://drive.google.com/drive/folders/1RMm9vE6dI7ulW1B4Faae-oarRFSOWMVW</t>
  </si>
  <si>
    <t>amrit110/oli</t>
  </si>
  <si>
    <t>amrit110__oli</t>
  </si>
  <si>
    <t>andrewbaxter__genemichaels-117</t>
  </si>
  <si>
    <t>https://github.com/andrewbaxter/genemichaels/issues/117</t>
  </si>
  <si>
    <t>gs://swe-bench-plus/evaluations/019b33b2-92dc-775f-92dd-9f03bf4fe149-andrewbaxter__genemichaels-117-swe-agent-claude-sonnet-4-20250514</t>
  </si>
  <si>
    <t>https://drive.google.com/drive/folders/1hBeE8ekFtvlIvzfWMtNRQCoDbuZF5Clt</t>
  </si>
  <si>
    <t>antfu__eslint-plugin-command-36</t>
  </si>
  <si>
    <t>https://github.com/antfu/eslint-plugin-command/issues/36</t>
  </si>
  <si>
    <t>gs://swe-bench-plus/evaluations/019b6aaf-1788-707e-b6dd-d4dc12d72279-antfu__eslint-plugin-command-36-swe-agent-claude-sonnet-4.5</t>
  </si>
  <si>
    <t>https://drive.google.com/drive/folders/1kvLfL9mfscHbKZtV62JBPfNR1CWoTPnT</t>
  </si>
  <si>
    <t>antfu/eslint-plugin-command</t>
  </si>
  <si>
    <t>antfu__eslint-plugin-command</t>
  </si>
  <si>
    <t>anthropics__claude-code-action-96</t>
  </si>
  <si>
    <t>https://github.com/anthropics/claude-code-action/issues/96</t>
  </si>
  <si>
    <t>https://drive.google.com/drive/folders/1bPi2n5eqJ1gv8ZDya5fUS1KnnT6e9qqY</t>
  </si>
  <si>
    <t>https://drive.google.com/drive/folders/1yusLuyCA-rHFNoIBvaOEAGIENSxetdPK</t>
  </si>
  <si>
    <t>anthropics__mcpb-50</t>
  </si>
  <si>
    <t>https://github.com/anthropics/mcpb/issues/50</t>
  </si>
  <si>
    <t>gs://swe-bench-plus/evaluations/019bcea3-81e8-754a-a3b1-8821a9f9ac9b-anthropics__mcpb-50-swe-agent-claude-sonnet-4.5</t>
  </si>
  <si>
    <t>https://drive.google.com/drive/folders/1-x224CZrchIpVvL9JIMvdsYGUgB7r7Lz</t>
  </si>
  <si>
    <t>anthropics/mcpb</t>
  </si>
  <si>
    <t>anthropics__mcpb</t>
  </si>
  <si>
    <t>antrea-io__antrea-7195</t>
  </si>
  <si>
    <t>https://github.com/antrea-io/antrea/issues/7195</t>
  </si>
  <si>
    <t>gs://swe-bench-plus/evaluations/019b0886-0f4d-757e-a2e5-c06041eabbaf-antrea-io__antrea-7195-swe-agent-claude-sonnet-4.5</t>
  </si>
  <si>
    <t>https://drive.google.com/drive/folders/1PynZECU_vyqGN8R8UrRCmb25jYI2PRN7</t>
  </si>
  <si>
    <t>antrea-io/antrea</t>
  </si>
  <si>
    <t>antrea-io__antrea</t>
  </si>
  <si>
    <t>apache__arrow-46035</t>
  </si>
  <si>
    <t>https://github.com/apache/arrow/issues/46035</t>
  </si>
  <si>
    <t>gs://swe-bench-plus/evaluations/019b6aaf-1788-707e-b6dd-d4dc12d72279-apache__arrow-46035-swe-agent-claude-sonnet-4.5</t>
  </si>
  <si>
    <t>https://drive.google.com/drive/folders/1Re3WjGEQP857EhjTBTxuB7x94K93lWiY</t>
  </si>
  <si>
    <t>apache__arrow-47524</t>
  </si>
  <si>
    <t>https://github.com/apache/arrow/issues/47524</t>
  </si>
  <si>
    <t>gs://swe-bench-plus/evaluations/019b6aa7-0380-771f-9e02-24cda0fe6639-apache__arrow-47524-swe-agent-claude-sonnet-4.5</t>
  </si>
  <si>
    <t>https://drive.google.com/drive/folders/1BGruZcnNmUCWB23ir3hVM8s1jlx2ProL</t>
  </si>
  <si>
    <t>apache__arrow-47204</t>
  </si>
  <si>
    <t>https://github.com/apache/arrow/issues/47204</t>
  </si>
  <si>
    <t>gs://swe-bench-plus/evaluations/019a3a6a-dc7a-71e0-ac71-cf2e27fa7b89-apache__arrow-47204-open-hands-claude-sonnet-4-20250514</t>
  </si>
  <si>
    <t>https://drive.google.com/drive/folders/1VJ-SrPgjQ73fRnxN1ImrzuZ4ASX3APMX</t>
  </si>
  <si>
    <t>apache__arrow-47164</t>
  </si>
  <si>
    <t>https://github.com/apache/arrow/issues/47164</t>
  </si>
  <si>
    <t>gs://swe-bench-plus/evaluations/019b6aa7-0380-771f-9e02-24cda0fe6639-apache__arrow-47164-swe-agent-claude-sonnet-4.5</t>
  </si>
  <si>
    <t>https://drive.google.com/drive/folders/1gwfaculLDhMg8bxwVcz6dJ40llsAVIhk</t>
  </si>
  <si>
    <t>apache__arrow-45822</t>
  </si>
  <si>
    <t>https://github.com/apache/arrow/issues/45822</t>
  </si>
  <si>
    <t>gs://swe-bench-plus/evaluations/019b6aa7-0380-771f-9e02-24cda0fe6639-apache__arrow-45822-swe-agent-claude-sonnet-4.5</t>
  </si>
  <si>
    <t>https://drive.google.com/drive/folders/1n5oJKXMN19MnfRBRFPcgi4SYSeZerEar</t>
  </si>
  <si>
    <t>apache__beam-33026</t>
  </si>
  <si>
    <t>https://github.com/apache/beam/issues/33026</t>
  </si>
  <si>
    <t>https://drive.google.com/drive/folders/1wnoPPAQkJTVy9tFRxEQJKfa8Xx6yEq5T</t>
  </si>
  <si>
    <t>https://drive.google.com/drive/folders/1YxI5L5luapnEJTYupMBseTaYf7cCCmru</t>
  </si>
  <si>
    <t>apache/beam</t>
  </si>
  <si>
    <t>apache__beam</t>
  </si>
  <si>
    <t>apache__bookkeeper-3366</t>
  </si>
  <si>
    <t>https://github.com/apache/bookkeeper/issues/3366</t>
  </si>
  <si>
    <t>gs://swe-bench-plus/evaluations/019b6ab1-4e74-7019-9e81-9c96e98a145d-apache__bookkeeper-3366-swe-agent-claude-sonnet-4.5</t>
  </si>
  <si>
    <t>https://drive.google.com/drive/folders/120vJ04z6QvrNo0tEQVnvVsoFiJy-jGOC</t>
  </si>
  <si>
    <t>apache/bookkeeper</t>
  </si>
  <si>
    <t>apache__bookkeeper</t>
  </si>
  <si>
    <t>apache__fluss-592</t>
  </si>
  <si>
    <t>https://github.com/apache/fluss/issues/592</t>
  </si>
  <si>
    <t>gs://swe-bench-plus/evaluations/019b6ab1-4e74-7019-9e81-9c96e98a145d-apache__fluss-592-swe-agent-claude-sonnet-4.5</t>
  </si>
  <si>
    <t>https://drive.google.com/drive/folders/1EsuI-G9BZit9pcrt9lk1VkEzYZTAF_dJ</t>
  </si>
  <si>
    <t>apache__iceberg-python-1498</t>
  </si>
  <si>
    <t>https://github.com/apache/iceberg-python/issues/1498</t>
  </si>
  <si>
    <t>https://drive.google.com/drive/folders/1lpz8e1cS8dpPn3nCItCpJq-HchW2svB3</t>
  </si>
  <si>
    <t>https://drive.google.com/drive/folders/1sK5w4J-5vhvya27Et80B6ZtiRMWNNkJR</t>
  </si>
  <si>
    <t>apache__iceberg-python-1607</t>
  </si>
  <si>
    <t>https://github.com/apache/iceberg-python/issues/1607</t>
  </si>
  <si>
    <t>https://drive.google.com/drive/folders/1BoZ18TZ2G1Wd_HQb6XTx8kAre2_paH7u</t>
  </si>
  <si>
    <t>apache__incubator-kie-kogito-runtimes-3980</t>
  </si>
  <si>
    <t>https://github.com/apache/incubator-kie-kogito-runtimes/issues/3980</t>
  </si>
  <si>
    <t>gs://swe-bench-plus/evaluations/019bcd77-2925-7748-82f0-eda561be7006-apache__incubator-kie-kogito-runtimes-3980-swe-agent-claude-sonnet-4.5</t>
  </si>
  <si>
    <t>https://drive.google.com/drive/folders/1AQ8FTX95L-dVPJ0nbTi7hpPSoJBSY4nC</t>
  </si>
  <si>
    <t>apache/incubator-kie-kogito-runtimes</t>
  </si>
  <si>
    <t>apache__incubator-kie-kogito-runtimes</t>
  </si>
  <si>
    <t>apache__inlong-11171</t>
  </si>
  <si>
    <t>https://github.com/apache/inlong/issues/11171</t>
  </si>
  <si>
    <t>gs://swe-bench-plus/evaluations/019b6ab1-4e74-7019-9e81-9c96e98a145d-apache__inlong-11171-swe-agent-claude-sonnet-4.5</t>
  </si>
  <si>
    <t>https://drive.google.com/drive/folders/1hBd1R_ocOZFP4v745bh7Ivb-58b588Qp</t>
  </si>
  <si>
    <t>apache__jena-3017</t>
  </si>
  <si>
    <t>https://github.com/apache/jena/issues/3017</t>
  </si>
  <si>
    <t>gs://swe-bench-plus/evaluations/019c6646-7363-7129-a755-983bd4a97b5a-apache__jena-3017-swe-agent-claude-sonnet-4.5</t>
  </si>
  <si>
    <t>https://drive.google.com/drive/folders/13vaD--SFHmhZsLXsaMTDPqieoQQD88Vk</t>
  </si>
  <si>
    <t>apache__kvrocks-3084</t>
  </si>
  <si>
    <t>https://github.com/apache/kvrocks/issues/3084</t>
  </si>
  <si>
    <t>https://drive.google.com/drive/folders/1cftHrcfEI2-mdgLf9NEsK8Hu5NjTaaUs</t>
  </si>
  <si>
    <t>https://drive.google.com/drive/folders/1bAVnBPLQf69ZhB0yq4fPQAKxO5lw9hNk</t>
  </si>
  <si>
    <t>apache/kvrocks</t>
  </si>
  <si>
    <t>apache__kvrocks</t>
  </si>
  <si>
    <t>apache__mina-sshd-631</t>
  </si>
  <si>
    <t>https://github.com/apache/mina-sshd/issues/631</t>
  </si>
  <si>
    <t>gs://swe-bench-plus/evaluations/019bd0bc-ca69-75d8-90e1-0b11e2a6213c-apache__mina-sshd-631-swe-agent-claude-sonnet-4.5</t>
  </si>
  <si>
    <t>https://drive.google.com/drive/folders/1gMY0vTNcf7avUkUPVnKRR7CbErJcrv4C</t>
  </si>
  <si>
    <t>apache/mina-sshd</t>
  </si>
  <si>
    <t>apache__mina-sshd</t>
  </si>
  <si>
    <t>apache__skywalking-11782</t>
  </si>
  <si>
    <t>https://github.com/apache/skywalking/issues/11782</t>
  </si>
  <si>
    <t>gs://swe-bench-plus/evaluations/019bc794-8b97-710a-8eb1-715be5148c6c-apache__skywalking-11782-swe-agent-claude-sonnet-4-20250514</t>
  </si>
  <si>
    <t>https://drive.google.com/drive/folders/1OYDIz2iblGmizGvPnzcIddPZql-gNJwT</t>
  </si>
  <si>
    <t>apify__apify-client-python-407</t>
  </si>
  <si>
    <t>https://github.com/apify/apify-client-python/issues/407</t>
  </si>
  <si>
    <t>https://drive.google.com/drive/folders/1LF6n0LbDIJaxdXEHYQkr3lvt1nyOAwSe</t>
  </si>
  <si>
    <t>https://drive.google.com/drive/folders/1D01B_XKr8f4VrO1gAg7KfGPPDxEApQsL</t>
  </si>
  <si>
    <t>apify/apify-client-python</t>
  </si>
  <si>
    <t>apify__apify-client-python</t>
  </si>
  <si>
    <t>apify__crawlee-python-1060</t>
  </si>
  <si>
    <t>https://github.com/apify/crawlee-python/issues/1060</t>
  </si>
  <si>
    <t>https://drive.google.com/drive/folders/1AmC0itGTu-VeWuXE8fABbLlSQufgWMIv</t>
  </si>
  <si>
    <t>https://drive.google.com/drive/folders/1wLQMJHTPxB2CVkWb2gDQfMCBgpbhYuG3</t>
  </si>
  <si>
    <t>apify/crawlee-python</t>
  </si>
  <si>
    <t>apify__crawlee-python</t>
  </si>
  <si>
    <t>apify__crawlee-python-1088</t>
  </si>
  <si>
    <t>https://github.com/apify/crawlee-python/issues/1088</t>
  </si>
  <si>
    <t>gs://swe-bench-plus/evaluations/019a8f6e-136c-7345-a414-a1ed9c7f4f2d-apify__crawlee-python-1088-open-hands-claude-sonnet-4-20250514</t>
  </si>
  <si>
    <t>aquasecurity__trivy-8888</t>
  </si>
  <si>
    <t>https://github.com/aquasecurity/trivy/issues/8888</t>
  </si>
  <si>
    <t>https://drive.google.com/drive/folders/1YPgZpMKv39r0xcO-SDmvSPIDiSNFH19f</t>
  </si>
  <si>
    <t>https://drive.google.com/drive/folders/1nWkobAHC2XA3Q9D2TJEHFRjAnS_opQpE</t>
  </si>
  <si>
    <t>ar-io__ar-io-node-519</t>
  </si>
  <si>
    <t>https://github.com/ar-io/ar-io-node/issues/519</t>
  </si>
  <si>
    <t>gs://swe-bench-plus/evaluations/019bdc10-e47f-75ba-85a4-6ca54e588df4-ar-io__ar-io-node-519-swe-agent-claude-sonnet-4-20250514</t>
  </si>
  <si>
    <t>https://drive.google.com/drive/folders/1yCcZwdG-wnan22HruzU2F1K912qpy1OM</t>
  </si>
  <si>
    <t>ar-io/ar-io-node</t>
  </si>
  <si>
    <t>ar-io__ar-io-node</t>
  </si>
  <si>
    <t>aramis-lab__clinica-1403</t>
  </si>
  <si>
    <t>https://github.com/aramis-lab/clinica/issues/1403</t>
  </si>
  <si>
    <t>sci-comp;applications;ai-ml</t>
  </si>
  <si>
    <t>https://drive.google.com/drive/folders/1jm_kUORWrmChl2VjMD7BO77RRBdk_v1E</t>
  </si>
  <si>
    <t>https://drive.google.com/drive/folders/1TOhx3thtMprLBe59ny4w9mEtQL6mZZy1</t>
  </si>
  <si>
    <t>argoproj-labs__hera</t>
  </si>
  <si>
    <t>argoproj-labs__hera-1332</t>
  </si>
  <si>
    <t>https://github.com/argoproj-labs/hera/issues/1332</t>
  </si>
  <si>
    <t>https://drive.google.com/drive/folders/1ECsCOlFiCq802ewqfWkh66f_TUSX030m</t>
  </si>
  <si>
    <t>https://drive.google.com/drive/folders/1SwHcxlwBFl-iQJghxYE-uTqYh0vBkqML</t>
  </si>
  <si>
    <t>argoproj__argo-rollouts-4208</t>
  </si>
  <si>
    <t>https://github.com/argoproj/argo-rollouts/issues/4208</t>
  </si>
  <si>
    <t>https://drive.google.com/drive/folders/1RBPL5gw34NU80lJ5vbwCv_L8nCuZecPS</t>
  </si>
  <si>
    <t>https://drive.google.com/drive/folders/1FeqKS0RtesZ8as88Vbq9nnHG8LJk8sY-</t>
  </si>
  <si>
    <t>argoproj/argo-rollouts</t>
  </si>
  <si>
    <t>argoproj__argo-rollouts</t>
  </si>
  <si>
    <t>argoproj__argo-workflows-14315</t>
  </si>
  <si>
    <t>https://github.com/argoproj/argo-workflows/issues/14315</t>
  </si>
  <si>
    <t>https://drive.google.com/drive/folders/1Ckah75bg3nVxMGvfcxM7aXkxMSZ28zlY</t>
  </si>
  <si>
    <t>https://drive.google.com/drive/folders/1RT35LLXOylB5U4ujrSVk8xYr5iOyF3L1</t>
  </si>
  <si>
    <t>astropy__astroquery-3076</t>
  </si>
  <si>
    <t>https://github.com/astropy/astroquery/issues/3076</t>
  </si>
  <si>
    <t>https://drive.google.com/drive/folders/1P1wU1jB_rbS51IJWQlqvxXBNAlNquaxO</t>
  </si>
  <si>
    <t>https://drive.google.com/drive/folders/1yr95vlSCmO9u73O8ZsHOMgIx4vaXVHJ0</t>
  </si>
  <si>
    <t>astropy/astroquery</t>
  </si>
  <si>
    <t>astropy__astroquery</t>
  </si>
  <si>
    <t>asyncapi__website-3950</t>
  </si>
  <si>
    <t>https://github.com/asyncapi/website/issues/3950</t>
  </si>
  <si>
    <t>gs://swe-bench-plus/evaluations/019b6aaf-1788-707e-b6dd-d4dc12d72279-asyncapi__website-3950-swe-agent-claude-sonnet-4.5</t>
  </si>
  <si>
    <t>https://drive.google.com/drive/folders/1GROGCJbpf3r5niFM3eYdi17bNXRTosx-</t>
  </si>
  <si>
    <t>asyncapi/website</t>
  </si>
  <si>
    <t>asyncapi__website</t>
  </si>
  <si>
    <t>AsyncTI4__TI4_map_generator_bot-2721</t>
  </si>
  <si>
    <t>https://github.com/AsyncTI4/TI4_map_generator_bot/issues/2721</t>
  </si>
  <si>
    <t>https://drive.google.com/drive/folders/1XdOpfCcRBcMk6Dajgmd7dVoG9-iWE0np</t>
  </si>
  <si>
    <t>https://drive.google.com/drive/folders/1_H9xY2gbilV16HO2rDoI8Xxm57JNPV1T</t>
  </si>
  <si>
    <t>AsyncTI4/TI4_map_generator_bot</t>
  </si>
  <si>
    <t>AsyncTI4__TI4_map_generator_bot</t>
  </si>
  <si>
    <t>aurora-opensource__au-507</t>
  </si>
  <si>
    <t>https://github.com/aurora-opensource/au/issues/507</t>
  </si>
  <si>
    <t>gs://swe-bench-plus/evaluations/019b06b8-5347-7669-9f51-4e4681f5c848-aurora-opensource__au-507-swe-agent-claude-sonnet-4.5</t>
  </si>
  <si>
    <t>https://drive.google.com/drive/folders/13ZtEzpPpc2HzHbQ6H1y6iDLufYP3JPkH</t>
  </si>
  <si>
    <t>aurora-opensource/au</t>
  </si>
  <si>
    <t>aurora-opensource__au</t>
  </si>
  <si>
    <t>auth0__go-jwt-middleware-314</t>
  </si>
  <si>
    <t>https://github.com/auth0/go-jwt-middleware/issues/314</t>
  </si>
  <si>
    <t>https://drive.google.com/drive/folders/1QlQIEswLkatZazTZbHYayKTWFQd3Nmc3</t>
  </si>
  <si>
    <t>https://drive.google.com/drive/folders/1jrQHTwGkei3SKeB9kByCgSSO4qJCVxbe</t>
  </si>
  <si>
    <t>auth0/go-jwt-middleware</t>
  </si>
  <si>
    <t>auth0__go-jwt-middleware</t>
  </si>
  <si>
    <t>autoscrape-labs__pydoll-114</t>
  </si>
  <si>
    <t>https://github.com/autoscrape-labs/pydoll/issues/114</t>
  </si>
  <si>
    <t>gs://swe-bench-plus/evaluations/019a84f8-9514-70b8-abf7-be9101c82944-autoscrape-labs__pydoll-114-swe-agent-claude-sonnet-4-20250514</t>
  </si>
  <si>
    <t>https://drive.google.com/drive/folders/1xcHaTvNa6Z5AfXeruspYPEeE1Fz72m7J</t>
  </si>
  <si>
    <t>autoscrape-labs__pydoll-161</t>
  </si>
  <si>
    <t>https://github.com/autoscrape-labs/pydoll/issues/161</t>
  </si>
  <si>
    <t>dependency-update;refactor;performance</t>
  </si>
  <si>
    <t>https://drive.google.com/drive/folders/1xcKssITetQLNOrRulhc-rKpfuWzR5A8Q</t>
  </si>
  <si>
    <t>https://drive.google.com/drive/folders/1sleuxiRyhaFoDusLMydDTKqZOyZzqj4Y</t>
  </si>
  <si>
    <t>avaje__avaje-jsonb-415</t>
  </si>
  <si>
    <t>https://github.com/avaje/avaje-jsonb/issues/415</t>
  </si>
  <si>
    <t>gs://swe-bench-plus/evaluations/019b6aaf-1788-707e-b6dd-d4dc12d72279-avaje__avaje-jsonb-415-swe-agent-claude-sonnet-4.5</t>
  </si>
  <si>
    <t>https://drive.google.com/drive/folders/1eJmkfU_CReZhTyGcbG8Fk3PqrjOcDZ0Q</t>
  </si>
  <si>
    <t>avaje/avaje-jsonb</t>
  </si>
  <si>
    <t>avaje__avaje-jsonb</t>
  </si>
  <si>
    <t>AvitalTamir__cyphernetes-139</t>
  </si>
  <si>
    <t>https://github.com/AvitalTamir/cyphernetes/issues/139</t>
  </si>
  <si>
    <t>gs://swe-bench-plus/evaluations/019b6aa7-0380-771f-9e02-24cda0fe6639-AvitalTamir__cyphernetes-139-swe-agent-claude-sonnet-4.5</t>
  </si>
  <si>
    <t>https://drive.google.com/drive/folders/1Cn_-YDTyzeVT4ddFfYNvlYMYd2L-M5OS</t>
  </si>
  <si>
    <t>AvitalTamir__cyphernetes-167</t>
  </si>
  <si>
    <t>https://github.com/AvitalTamir/cyphernetes/issues/167</t>
  </si>
  <si>
    <t>gs://swe-bench-plus/evaluations/019b0886-0f4d-757e-a2e5-c06041eabbaf-AvitalTamir__cyphernetes-167-swe-agent-claude-sonnet-4.5</t>
  </si>
  <si>
    <t>https://drive.google.com/drive/folders/1b8wd8QutGat_WbO8liXSSPTx22RR3vyP</t>
  </si>
  <si>
    <t>aws-actions__amazon-ecs-render-task-definition-325</t>
  </si>
  <si>
    <t>https://github.com/aws-actions/amazon-ecs-render-task-definition/issues/325</t>
  </si>
  <si>
    <t>gs://swe-bench-plus/evaluations/019c24f6-17a2-762a-848c-5d6a38d8a915-aws-actions__amazon-ecs-render-task-definition-325-swe-agent-claude-sonnet-4.5</t>
  </si>
  <si>
    <t>https://drive.google.com/drive/folders/1BwoFBWQcqR2hZNw8f5mBYJ0y2qUEA8-H</t>
  </si>
  <si>
    <t>aws-actions/amazon-ecs-render-task-definition</t>
  </si>
  <si>
    <t>aws-actions__amazon-ecs-render-task-definition</t>
  </si>
  <si>
    <t>aws-powertools__powertools-lambda-dotnet-681</t>
  </si>
  <si>
    <t>https://github.com/aws-powertools/powertools-lambda-dotnet/issues/681</t>
  </si>
  <si>
    <t>gs://swe-bench-plus/evaluations/019b6aa7-0380-771f-9e02-24cda0fe6639-aws-powertools__powertools-lambda-dotnet-681-swe-agent-claude-sonnet-4.5</t>
  </si>
  <si>
    <t>https://drive.google.com/drive/folders/1Cq5679trGa2iebxeGs8opc1bnwJfScSA</t>
  </si>
  <si>
    <t>aws-powertools__powertools-lambda-dotnet-741</t>
  </si>
  <si>
    <t>https://github.com/aws-powertools/powertools-lambda-dotnet/issues/741</t>
  </si>
  <si>
    <t>https://drive.google.com/drive/folders/1gi66ehq3xFZQ2HRxSWBGOX9rGRaEkOWN</t>
  </si>
  <si>
    <t>https://drive.google.com/drive/folders/15Rgv1VGo22uoC_GrvfKc1_XX1-1p4z7B</t>
  </si>
  <si>
    <t>aws-powertools__powertools-lambda-python-6510</t>
  </si>
  <si>
    <t>https://github.com/aws-powertools/powertools-lambda-python/issues/6510</t>
  </si>
  <si>
    <t>devtools;infra-devops;ai-ml</t>
  </si>
  <si>
    <t>https://drive.google.com/drive/folders/1Q3Op2OWAOvA4Kp1on-2Pmo4uRWj8r8sp</t>
  </si>
  <si>
    <t>https://drive.google.com/drive/folders/19nHLcMgw6GzVW9gqe9xd6GxPgPyk2ibL</t>
  </si>
  <si>
    <t>aws__aws-advanced-jdbc-wrapper-1361</t>
  </si>
  <si>
    <t>https://github.com/aws/aws-advanced-jdbc-wrapper/issues/1361</t>
  </si>
  <si>
    <t>gs://swe-bench-plus/evaluations/019bc794-8b97-710a-8eb1-715be5148c6c-aws__aws-advanced-jdbc-wrapper-1361-swe-agent-claude-sonnet-4-20250514</t>
  </si>
  <si>
    <t>https://drive.google.com/drive/folders/1hPQ1TsNTIDVBwc4wsHM72FACEBLBT24K</t>
  </si>
  <si>
    <t>aws/aws-advanced-jdbc-wrapper</t>
  </si>
  <si>
    <t>aws__aws-advanced-jdbc-wrapper</t>
  </si>
  <si>
    <t>awslabs__mcp-715</t>
  </si>
  <si>
    <t>https://github.com/awslabs/mcp/issues/715</t>
  </si>
  <si>
    <t>https://drive.google.com/drive/folders/1WOtoN1qC7g4J5qJvEsRzQ9JB2Mwx3HqX</t>
  </si>
  <si>
    <t>https://drive.google.com/drive/folders/12lKGFChW_ecGsoW8iuIdbmO2-bsoM1wx</t>
  </si>
  <si>
    <t>awslabs/mcp</t>
  </si>
  <si>
    <t>awslabs__mcp</t>
  </si>
  <si>
    <t>awslabs__mcp-277</t>
  </si>
  <si>
    <t>https://github.com/awslabs/mcp/issues/277</t>
  </si>
  <si>
    <t>https://drive.google.com/drive/folders/1pIZ3_80wZCbvQmFJDBTDmtgsPZXzd_7v</t>
  </si>
  <si>
    <t>https://drive.google.com/drive/folders/1Mb7F5Szd1pII-k-uTxNprldt5xwJNir_</t>
  </si>
  <si>
    <t>azat-io__eslint-plugin-perfectionist-455</t>
  </si>
  <si>
    <t>https://github.com/azat-io/eslint-plugin-perfectionist/issues/455</t>
  </si>
  <si>
    <t>https://drive.google.com/drive/folders/1bDW8eJHsyfnZ8gsp2XWtx_BVPJz33D6_</t>
  </si>
  <si>
    <t>https://drive.google.com/drive/folders/1s-ujA3dQCWt6n7gi5Q3zRNNjgI8ByOfP</t>
  </si>
  <si>
    <t>azat-io/eslint-plugin-perfectionist</t>
  </si>
  <si>
    <t>azat-io__eslint-plugin-perfectionist</t>
  </si>
  <si>
    <t>Azure__aks-mcp-63</t>
  </si>
  <si>
    <t>https://github.com/Azure/aks-mcp/issues/63</t>
  </si>
  <si>
    <t>gs://swe-bench-plus/evaluations/019b6ab1-4e74-7019-9e81-9c96e98a145d-Azure__aks-mcp-63-swe-agent-claude-sonnet-4.5</t>
  </si>
  <si>
    <t>https://drive.google.com/drive/folders/1z-8Q4oc3gD3yC5_J7NiFQ0zdmgTWtisF</t>
  </si>
  <si>
    <t>Azure/aks-mcp</t>
  </si>
  <si>
    <t>Azure__aks-mcp</t>
  </si>
  <si>
    <t>Azure__azure-dev-5090</t>
  </si>
  <si>
    <t>https://github.com/Azure/azure-dev/issues/5090</t>
  </si>
  <si>
    <t>infra-devops;devtools;ai-ml</t>
  </si>
  <si>
    <t>gs://swe-bench-plus/evaluations/019b6aa7-0380-771f-9e02-24cda0fe6639-Azure__azure-dev-5090-swe-agent-claude-sonnet-4.5</t>
  </si>
  <si>
    <t>https://drive.google.com/drive/folders/1nWBSQPxTLTrWaOvZ8bxQmTkuQihMFgCL</t>
  </si>
  <si>
    <t>Azure/azure-dev</t>
  </si>
  <si>
    <t>Azure__azure-dev</t>
  </si>
  <si>
    <t>Azure__azure-functions-host-11340</t>
  </si>
  <si>
    <t>https://github.com/Azure/azure-functions-host/issues/11340</t>
  </si>
  <si>
    <t>gs://swe-bench-plus/evaluations/019b6aaf-1788-707e-b6dd-d4dc12d72279-Azure__azure-functions-host-11340-swe-agent-claude-sonnet-4.5</t>
  </si>
  <si>
    <t>https://drive.google.com/drive/folders/1fYhrUwQJ_rgnWtxTEG9weLY47I46wtZI</t>
  </si>
  <si>
    <t>Azure__azure-sdk-for-python-41610</t>
  </si>
  <si>
    <t>https://github.com/Azure/azure-sdk-for-python/issues/41610</t>
  </si>
  <si>
    <t>https://drive.google.com/drive/folders/1oxD0JfeL8gj_ay9GLTcbu9NxVpMJndTj</t>
  </si>
  <si>
    <t>Azure__kubelogin-713</t>
  </si>
  <si>
    <t>https://github.com/Azure/kubelogin/issues/713</t>
  </si>
  <si>
    <t>gs://swe-bench-plus/evaluations/019b6aa7-0380-771f-9e02-24cda0fe6639-Azure__kubelogin-713-swe-agent-claude-sonnet-4.5</t>
  </si>
  <si>
    <t>https://drive.google.com/drive/folders/1vQI9Wcex1Un1l6hil11qW1OtzUCiyS-0</t>
  </si>
  <si>
    <t>AzureAD__microsoft-authentication-library-for-go-562</t>
  </si>
  <si>
    <t>https://github.com/AzureAD/microsoft-authentication-library-for-go/issues/562</t>
  </si>
  <si>
    <t>gs://swe-bench-plus/evaluations/019b0886-0f4d-757e-a2e5-c06041eabbaf-AzureAD__microsoft-authentication-library-for-go-562-swe-agent-claude-sonnet-4.5</t>
  </si>
  <si>
    <t>https://drive.google.com/drive/folders/1-FXVVmmlQIIej4wG5N55Z4vOcnUSfOTt</t>
  </si>
  <si>
    <t>AzureAD/microsoft-authentication-library-for-go</t>
  </si>
  <si>
    <t>AzureAD__microsoft-authentication-library-for-go</t>
  </si>
  <si>
    <t>AzureAD__microsoft-authentication-library-for-java-947</t>
  </si>
  <si>
    <t>https://github.com/AzureAD/microsoft-authentication-library-for-java/issues/947</t>
  </si>
  <si>
    <t>gs://swe-bench-plus/evaluations/019bc794-37db-7668-96b7-98997dff752e-AzureAD__microsoft-authentication-library-for-java-947-swe-agent-claude-sonnet-4.5</t>
  </si>
  <si>
    <t>bazel-contrib__bazel-gazelle-1921</t>
  </si>
  <si>
    <t>https://github.com/bazel-contrib/bazel-gazelle/issues/1921</t>
  </si>
  <si>
    <t>gs://swe-bench-plus/evaluations/019b0886-0f4d-757e-a2e5-c06041eabbaf-bazel-contrib__bazel-gazelle-1921-swe-agent-claude-sonnet-4.5</t>
  </si>
  <si>
    <t>https://drive.google.com/drive/folders/1oNUe3ncE3UNoPA6BenTnbmT4ylNfsSOv</t>
  </si>
  <si>
    <t>bazel-contrib/bazel-gazelle</t>
  </si>
  <si>
    <t>bazel-contrib__bazel-gazelle</t>
  </si>
  <si>
    <t>Bekacru__better-call-36</t>
  </si>
  <si>
    <t>https://github.com/Bekacru/better-call/issues/36</t>
  </si>
  <si>
    <t>https://drive.google.com/drive/folders/1Ap9s3jOcdnql7iNJDIDiPHHtwnIw72Ua</t>
  </si>
  <si>
    <t>https://drive.google.com/drive/folders/1XJp-biGYnenxx0HZYlP6qnDEa2lDKgst</t>
  </si>
  <si>
    <t>Bekacru/better-call</t>
  </si>
  <si>
    <t>Bekacru__better-call</t>
  </si>
  <si>
    <t>BerriAI__litellm-15760</t>
  </si>
  <si>
    <t>https://github.com/BerriAI/litellm/issues/15760</t>
  </si>
  <si>
    <t>https://drive.google.com/drive/folders/14stP4aJZSD5-jhORP1Gfv-0dGjjynSks</t>
  </si>
  <si>
    <t>https://drive.google.com/drive/folders/1-65XDiT_e_tEJtJBO4VATWqBpEAhVKQB</t>
  </si>
  <si>
    <t>BerriAI__litellm-7407</t>
  </si>
  <si>
    <t>https://github.com/BerriAI/litellm/issues/7407</t>
  </si>
  <si>
    <t>gs://swe-bench-plus/evaluations/019a6f31-ddce-766c-944f-e4445d37996d-BerriAI__litellm-7407-swe-agent-claude-sonnet-4.5</t>
  </si>
  <si>
    <t>better-auth__better-auth-4120</t>
  </si>
  <si>
    <t>https://github.com/better-auth/better-auth/issues/4120</t>
  </si>
  <si>
    <t>gs://swe-bench-plus/evaluations/019b6aaf-1788-707e-b6dd-d4dc12d72279-better-auth__better-auth-4120-swe-agent-claude-sonnet-4.5</t>
  </si>
  <si>
    <t>https://drive.google.com/drive/folders/15Ya_6YN7IZ47iFAIyIjyYqVKpz73cuYj</t>
  </si>
  <si>
    <t>better-auth__better-auth-4502</t>
  </si>
  <si>
    <t>https://github.com/better-auth/better-auth/issues/4502</t>
  </si>
  <si>
    <t>gs://swe-bench-plus/evaluations/019b6ab1-4e74-7019-9e81-9c96e98a145d-better-auth__better-auth-4502-swe-agent-claude-sonnet-4.5</t>
  </si>
  <si>
    <t>https://drive.google.com/drive/folders/1R4-uYjbMzGu3hDA7dOapRPKlabTHb3Wb</t>
  </si>
  <si>
    <t>better-auth__better-auth-3868</t>
  </si>
  <si>
    <t>https://github.com/better-auth/better-auth/issues/3868</t>
  </si>
  <si>
    <t>gs://swe-bench-plus/evaluations/019b6ab1-4e74-7019-9e81-9c96e98a145d-better-auth__better-auth-3868-swe-agent-claude-sonnet-4.5</t>
  </si>
  <si>
    <t>https://drive.google.com/drive/folders/1qaDxfjbeyEHnTW086h7V5S49I4k4bVYY</t>
  </si>
  <si>
    <t>biopython__biopython-5021</t>
  </si>
  <si>
    <t>https://github.com/biopython/biopython/issues/5021</t>
  </si>
  <si>
    <t>https://drive.google.com/drive/folders/1vxa8bYtJmplOCHVa794tyR9ibBcmJM4L</t>
  </si>
  <si>
    <t>https://drive.google.com/drive/folders/1TVqlYAEPnMYmCmL4H1aN_LQu1V0BeypO</t>
  </si>
  <si>
    <t>biopython/biopython</t>
  </si>
  <si>
    <t>biopython__biopython</t>
  </si>
  <si>
    <t>bitburner-official__bitburner-src-2135</t>
  </si>
  <si>
    <t>https://github.com/bitburner-official/bitburner-src/issues/2135</t>
  </si>
  <si>
    <t>gs://swe-bench-plus/evaluations/019b6aaf-1788-707e-b6dd-d4dc12d72279-bitburner-official__bitburner-src-2135-swe-agent-claude-sonnet-4.5</t>
  </si>
  <si>
    <t>https://drive.google.com/drive/folders/1MFMDsvb7qukqZIeNjmYintB2J8kr5YF_</t>
  </si>
  <si>
    <t>bitburner-official/bitburner-src</t>
  </si>
  <si>
    <t>bitburner-official__bitburner-src</t>
  </si>
  <si>
    <t>bitcoin__bitcoin-31096</t>
  </si>
  <si>
    <t>https://github.com/bitcoin/bitcoin/issues/31096</t>
  </si>
  <si>
    <t>gs://swe-bench-plus/evaluations/019a0e7c-dc48-765e-bedc-59d8f5b98a7c-bitcoin__bitcoin-31096-swe-agent-claude-sonnet-4-20250514</t>
  </si>
  <si>
    <t>https://drive.google.com/drive/folders/1j8FiMhhbh-kE2SSeeMnhXyuo7dz3UD_I</t>
  </si>
  <si>
    <t>bitcoin/bitcoin</t>
  </si>
  <si>
    <t>bitcoin__bitcoin</t>
  </si>
  <si>
    <t>bitwarden__clients-15099</t>
  </si>
  <si>
    <t>https://github.com/bitwarden/clients/issues/15099</t>
  </si>
  <si>
    <t>https://drive.google.com/drive/folders/1m_KjNq9DojBLAvmbjClAlMz2LVOP7-jA</t>
  </si>
  <si>
    <t>https://drive.google.com/drive/folders/1ep7lY8uo41slXZ8sJku_uCzQUGkPv6oi</t>
  </si>
  <si>
    <t>bitwarden/clients</t>
  </si>
  <si>
    <t>bitwarden__clients</t>
  </si>
  <si>
    <t>blakeblackshear__frigate-hass-integration-794</t>
  </si>
  <si>
    <t>https://github.com/blakeblackshear/frigate-hass-integration/issues/794</t>
  </si>
  <si>
    <t>gs://swe-bench-plus/evaluations/019a8f6e-136c-7345-a414-a1ed9c7f4f2d-blakeblackshear__frigate-hass-integration-794-open-hands-claude-sonnet-4-20250514</t>
  </si>
  <si>
    <t>https://drive.google.com/drive/folders/1NXSIsYFDM_CSi51yuu2U9_QrJIY_QfKF</t>
  </si>
  <si>
    <t>blakeblackshear/frigate-hass-integration</t>
  </si>
  <si>
    <t>blakeblackshear__frigate-hass-integration</t>
  </si>
  <si>
    <t>blindsidenetworks__scalelite-1127</t>
  </si>
  <si>
    <t>https://github.com/blindsidenetworks/scalelite/issues/1127</t>
  </si>
  <si>
    <t>gs://swe-bench-plus/evaluations/019b6aaf-1788-707e-b6dd-d4dc12d72279-blindsidenetworks__scalelite-1127-swe-agent-claude-sonnet-4.5</t>
  </si>
  <si>
    <t>https://drive.google.com/drive/folders/10yazWvgyFOoafHaDmux_CVnVwtcxfhPU</t>
  </si>
  <si>
    <t>blindsidenetworks/scalelite</t>
  </si>
  <si>
    <t>blindsidenetworks__scalelite</t>
  </si>
  <si>
    <t>blinklabs-io__gouroboros-1054</t>
  </si>
  <si>
    <t>https://github.com/blinklabs-io/gouroboros/issues/1054</t>
  </si>
  <si>
    <t>gs://swe-bench-plus/evaluations/019b6aa7-0380-771f-9e02-24cda0fe6639-blinklabs-io__gouroboros-1054-swe-agent-claude-sonnet-4.5</t>
  </si>
  <si>
    <t>https://drive.google.com/drive/folders/13IBIPBJaTMZFp1mvxYsNgzmdCAbTjBsI</t>
  </si>
  <si>
    <t>BlueBrain__nmodl-1124</t>
  </si>
  <si>
    <t>https://github.com/BlueBrain/nmodl/issues/1124</t>
  </si>
  <si>
    <t>https://drive.google.com/drive/folders/11wqXRSeiZgxTtjN3GaVmIUZ6TtZgurMU</t>
  </si>
  <si>
    <t>https://drive.google.com/drive/folders/1nHO62G1smDndWwLlCgr8U5-S1D464KXr</t>
  </si>
  <si>
    <t>BlueBrain/nmodl</t>
  </si>
  <si>
    <t>BlueBrain__nmodl</t>
  </si>
  <si>
    <t>bluelibs__runner-41</t>
  </si>
  <si>
    <t>https://github.com/bluelibs/runner/issues/41</t>
  </si>
  <si>
    <t>gs://swe-bench-plus/evaluations/019b6aaf-1788-707e-b6dd-d4dc12d72279-bluelibs__runner-41-swe-agent-claude-sonnet-4.5</t>
  </si>
  <si>
    <t>https://drive.google.com/drive/folders/1cqGemVqlU8917L1Z-I9Lz6xXvDPCpoTz</t>
  </si>
  <si>
    <t>bluelibs/runner</t>
  </si>
  <si>
    <t>bluelibs__runner</t>
  </si>
  <si>
    <t>bluenviron__mediamtx-4809</t>
  </si>
  <si>
    <t>https://github.com/bluenviron/mediamtx/issues/4809</t>
  </si>
  <si>
    <t>gs://swe-bench-plus/evaluations/019b0886-0f4d-757e-a2e5-c06041eabbaf-bluenviron__mediamtx-4809-swe-agent-claude-sonnet-4.5</t>
  </si>
  <si>
    <t>https://drive.google.com/drive/folders/1uXY8rzklZF7KIt_Oo8W1GAPOBLKtmBgu</t>
  </si>
  <si>
    <t>bluenviron/mediamtx</t>
  </si>
  <si>
    <t>bluenviron__mediamtx</t>
  </si>
  <si>
    <t>Blueprints-org__blueprints-487</t>
  </si>
  <si>
    <t>https://github.com/Blueprints-org/blueprints/issues/487</t>
  </si>
  <si>
    <t>https://drive.google.com/drive/folders/1CJIoK6pP6Bvf-4A9ZOHtCAXaGMkfwSI5</t>
  </si>
  <si>
    <t>https://drive.google.com/drive/folders/14-AL8XvbZD_Aaaf2kCAUliIlVkSHPLmK</t>
  </si>
  <si>
    <t>bndtools__bnd-7068</t>
  </si>
  <si>
    <t>https://github.com/bndtools/bnd/issues/7068</t>
  </si>
  <si>
    <t>gs://swe-bench-plus/evaluations/019c39f3-67b5-70d2-af96-ec1f2697604b-bndtools__bnd-7068-swe-agent-claude-sonnet-4-20250514</t>
  </si>
  <si>
    <t>https://drive.google.com/drive/folders/1TCBeTu2N611lFyoYoeCoyANWBTYjWfBd</t>
  </si>
  <si>
    <t>bndtools/bnd</t>
  </si>
  <si>
    <t>bndtools__bnd</t>
  </si>
  <si>
    <t>BoltzExchange__boltz-web-app-1050</t>
  </si>
  <si>
    <t>https://github.com/BoltzExchange/boltz-web-app/issues/1050</t>
  </si>
  <si>
    <t>webdev;blockchain;applications</t>
  </si>
  <si>
    <t>gs://swe-bench-plus/evaluations/019bdc10-e47f-75ba-85a4-6ca54e588df4-BoltzExchange__boltz-web-app-1050-swe-agent-claude-sonnet-4-20250514</t>
  </si>
  <si>
    <t>https://drive.google.com/drive/folders/1uo-Mj4hv3FXxgsXSckERgcoA1MxQJw7N</t>
  </si>
  <si>
    <t>BoltzExchange/boltz-web-app</t>
  </si>
  <si>
    <t>BoltzExchange__boltz-web-app</t>
  </si>
  <si>
    <t>boostorg__unordered-265</t>
  </si>
  <si>
    <t>https://github.com/boostorg/unordered/issues/265</t>
  </si>
  <si>
    <t>gs://swe-bench-plus/evaluations/019b6aa7-0380-771f-9e02-24cda0fe6639-boostorg__unordered-265-swe-agent-claude-sonnet-4.5</t>
  </si>
  <si>
    <t>https://drive.google.com/drive/folders/1IVn38nezMSp_Agc82vVTTumrrQ-qC82T</t>
  </si>
  <si>
    <t>boostorg/unordered</t>
  </si>
  <si>
    <t>boostorg__unordered</t>
  </si>
  <si>
    <t>BrainBlend-AI__atomic-agents-139</t>
  </si>
  <si>
    <t>https://github.com/BrainBlend-AI/atomic-agents/issues/139</t>
  </si>
  <si>
    <t>gs://swe-bench-plus/evaluations/019a84f3-b445-729d-88f6-de2c0814baff-BrainBlend-AI__atomic-agents-139-swe-agent-claude-sonnet-4-20250514</t>
  </si>
  <si>
    <t>https://drive.google.com/drive/folders/1kQqCFbnhK8n-uCG1U_jzocLZ-U8H6FKa</t>
  </si>
  <si>
    <t>budimanjojo__talhelper-890</t>
  </si>
  <si>
    <t>https://github.com/budimanjojo/talhelper/issues/890</t>
  </si>
  <si>
    <t>https://drive.google.com/drive/folders/1ccYMY-QpUPEOYgf5vA48qBR2EaVLDBJj</t>
  </si>
  <si>
    <t>https://drive.google.com/drive/folders/1S8dRKpyxvrtsrQaDDEVAn0lA19f-mVBk</t>
  </si>
  <si>
    <t>bytecodealliance__go-modules-333</t>
  </si>
  <si>
    <t>https://github.com/bytecodealliance/go-modules/issues/333</t>
  </si>
  <si>
    <t>gs://swe-bench-plus/evaluations/019b6aa7-0380-771f-9e02-24cda0fe6639-bytecodealliance__go-modules-333-swe-agent-claude-sonnet-4.5</t>
  </si>
  <si>
    <t>https://drive.google.com/drive/folders/1j32x3m_2-wZ8db5N0g6ZrPIgVE6scASx</t>
  </si>
  <si>
    <t>bytecodealliance/go-modules</t>
  </si>
  <si>
    <t>bytecodealliance__go-modules</t>
  </si>
  <si>
    <t>bytecodealliance__wasm-tools-2160</t>
  </si>
  <si>
    <t>https://github.com/bytecodealliance/wasm-tools/issues/2160</t>
  </si>
  <si>
    <t>gs://swe-bench-plus/evaluations/019b0df7-ade4-70bc-89dc-2dc1c6248f76-bytecodealliance__wasm-tools-2160-swe-agent-claude-opus-4.5</t>
  </si>
  <si>
    <t>https://drive.google.com/drive/folders/1ocwJFLnP95stv6Ysu7tBzUkP69IcROIR</t>
  </si>
  <si>
    <t>bytecodealliance/wasm-tools</t>
  </si>
  <si>
    <t>bytecodealliance__wasm-tools</t>
  </si>
  <si>
    <t>calcom__cal.com-17591</t>
  </si>
  <si>
    <t>https://github.com/calcom/cal.com/issues/17591</t>
  </si>
  <si>
    <t>https://drive.google.com/drive/folders/1oiH7vPNa9dNGhL9AmVqXhLMKKbSVhLH9</t>
  </si>
  <si>
    <t>https://drive.google.com/drive/folders/1oeWowlE_r1MplCYqwlO6NUmOSxv8Fi5U</t>
  </si>
  <si>
    <t>calcom/cal.com</t>
  </si>
  <si>
    <t>calcom__cal.com</t>
  </si>
  <si>
    <t>camel-ai__camel-1099</t>
  </si>
  <si>
    <t>https://github.com/camel-ai/camel/issues/1099</t>
  </si>
  <si>
    <t>gs://swe-bench-plus/evaluations/019a8f6e-136c-7345-a414-a1ed9c7f4f2d-camel-ai__camel-1099-open-hands-claude-sonnet-4-20250514</t>
  </si>
  <si>
    <t>camel-ai/camel</t>
  </si>
  <si>
    <t>camel-ai__camel</t>
  </si>
  <si>
    <t>Cammisuli__monodon-75</t>
  </si>
  <si>
    <t>https://github.com/Cammisuli/monodon/issues/75</t>
  </si>
  <si>
    <t>gs://swe-bench-plus/evaluations/019bdc10-e47f-75ba-85a4-6ca54e588df4-Cammisuli__monodon-75-swe-agent-claude-sonnet-4-20250514</t>
  </si>
  <si>
    <t>https://drive.google.com/drive/folders/1AJBp2sdiKnygloUxCD0pz356w9HVbb4x</t>
  </si>
  <si>
    <t>Cammisuli/monodon</t>
  </si>
  <si>
    <t>Cammisuli__monodon</t>
  </si>
  <si>
    <t>camunda__camunda-25330</t>
  </si>
  <si>
    <t>https://github.com/camunda/camunda/issues/25330</t>
  </si>
  <si>
    <t>https://drive.google.com/drive/folders/1QL4FVF2xG44BkoqTDrzBCN_UKITilTgD</t>
  </si>
  <si>
    <t>camunda__camunda-25955</t>
  </si>
  <si>
    <t>https://github.com/camunda/camunda/issues/25955</t>
  </si>
  <si>
    <t>gs://swe-bench-plus/evaluations/019c6646-7363-7129-a755-983bd4a97b5a-camunda__camunda-25955-swe-agent-claude-sonnet-4-20250514</t>
  </si>
  <si>
    <t>canonical__cloud-init-6063</t>
  </si>
  <si>
    <t>https://github.com/canonical/cloud-init/issues/6063</t>
  </si>
  <si>
    <t>https://drive.google.com/drive/folders/1ttmRCOZ2IBk1Kxb5vmbCREm-Sul-di36</t>
  </si>
  <si>
    <t>https://drive.google.com/drive/folders/1RNMINpvd_UZj51uscxoPX0myRB2D1RJL</t>
  </si>
  <si>
    <t>canonical/cloud-init</t>
  </si>
  <si>
    <t>canonical__cloud-init</t>
  </si>
  <si>
    <t>canonical__cloud-init-6144</t>
  </si>
  <si>
    <t>https://github.com/canonical/cloud-init/issues/6144</t>
  </si>
  <si>
    <t>https://drive.google.com/drive/folders/1FFhnOCCRaFLmQUAv5r8GP4BPLeKt6LrS</t>
  </si>
  <si>
    <t>https://drive.google.com/drive/folders/14t_ObJOqV2ABwS5KIuyduKPEvJQY84vz</t>
  </si>
  <si>
    <t>CAREamics__careamics-267</t>
  </si>
  <si>
    <t>https://github.com/CAREamics/careamics/issues/267</t>
  </si>
  <si>
    <t>https://drive.google.com/drive/folders/1gbVY5NeBOjVXVuxqciGOPgR0Odk2RB3R</t>
  </si>
  <si>
    <t>https://drive.google.com/drive/folders/1MBRWqwVIrH8nnIAsQ-QSwQwli2w18wdH</t>
  </si>
  <si>
    <t>CAREamics/careamics</t>
  </si>
  <si>
    <t>CAREamics__careamics</t>
  </si>
  <si>
    <t>CAREamics__careamics-417</t>
  </si>
  <si>
    <t>https://github.com/CAREamics/careamics/issues/417</t>
  </si>
  <si>
    <t>https://drive.google.com/drive/folders/1Glw4UdD_Z1Ivnjho7ev16xH6eK8XdpTl</t>
  </si>
  <si>
    <t>https://drive.google.com/drive/folders/1V1LkjCzicEFlHfQoPtWSn5Y9M4JaDg0Y</t>
  </si>
  <si>
    <t>casbin__jcasbin-402</t>
  </si>
  <si>
    <t>https://github.com/casbin/jcasbin/issues/402</t>
  </si>
  <si>
    <t>https://drive.google.com/drive/folders/1a0iCA_rD7lcreMP9i_ZbF5PV21eudqai</t>
  </si>
  <si>
    <t>https://drive.google.com/drive/folders/1mu27yAAGFO3P8MqWeC60H4APuJrUg9z7</t>
  </si>
  <si>
    <t>casbin__jcasbin-488</t>
  </si>
  <si>
    <t>https://github.com/casbin/jcasbin/issues/488</t>
  </si>
  <si>
    <t>gs://swe-bench-plus/evaluations/019c8593-288e-768a-aabd-9e1d168a9a7f-casbin__jcasbin-488-swe-agent-claude-sonnet-4-20250514</t>
  </si>
  <si>
    <t>https://drive.google.com/drive/folders/18kwI7h0yMu0H9GbWQctSBfGiYFfKL3to</t>
  </si>
  <si>
    <t>casey__just-2794</t>
  </si>
  <si>
    <t>https://github.com/casey/just/issues/2794</t>
  </si>
  <si>
    <t>gs://swe-bench-plus/evaluations/019a850a-f25b-779a-b3d5-48edf0cdebff-casey__just-2794-swe-agent-claude-sonnet-4-20250514</t>
  </si>
  <si>
    <t>https://drive.google.com/drive/folders/1wYkF63MXsX2Vtd6jNdrRmuqO4BawgQQh</t>
  </si>
  <si>
    <t>cdpdriver__zendriver-141</t>
  </si>
  <si>
    <t>https://github.com/cdpdriver/zendriver/issues/141</t>
  </si>
  <si>
    <t>gs://swe-bench-plus/evaluations/019b0b12-7023-7079-8b05-c3ee2c117847-cdpdriver__zendriver-141-swe-agent-claude-sonnet-4.5</t>
  </si>
  <si>
    <t>https://drive.google.com/drive/folders/1pu0IovlhupxnkE5chkS1vO2Y2mt0fEvl</t>
  </si>
  <si>
    <t>cdpdriver/zendriver</t>
  </si>
  <si>
    <t>cdpdriver__zendriver</t>
  </si>
  <si>
    <t>celery__celery-9879</t>
  </si>
  <si>
    <t>https://github.com/celery/celery/issues/9879</t>
  </si>
  <si>
    <t>gs://swe-bench-plus/evaluations/019a9c33-6d74-70ca-a36d-b17dba075c66-celery__celery-9879-swe-agent-claude-sonnet-4-20250514</t>
  </si>
  <si>
    <t>https://drive.google.com/drive/folders/1T4Y9c8iB_89HADdKqB277JB8xu9dLV56</t>
  </si>
  <si>
    <t>celery/celery</t>
  </si>
  <si>
    <t>celery__celery</t>
  </si>
  <si>
    <t>certbot__certbot-10207</t>
  </si>
  <si>
    <t>https://github.com/certbot/certbot/issues/10207</t>
  </si>
  <si>
    <t>https://drive.google.com/drive/folders/1H5VTTlgkXCHAwQdbYIz37AwkOogg5mjZ</t>
  </si>
  <si>
    <t>chainguard-dev__dfc-35</t>
  </si>
  <si>
    <t>https://github.com/chainguard-dev/dfc/issues/35</t>
  </si>
  <si>
    <t>gs://swe-bench-plus/evaluations/019b6ab1-4e74-7019-9e81-9c96e98a145d-chainguard-dev__dfc-35-swe-agent-claude-sonnet-4.5</t>
  </si>
  <si>
    <t>https://drive.google.com/drive/folders/1TPWQm5x3vHGxxyafG5Cyi4KppGlxXxgu</t>
  </si>
  <si>
    <t>chainguard-dev/dfc</t>
  </si>
  <si>
    <t>chainguard-dev__dfc</t>
  </si>
  <si>
    <t>chatwoot__ai-agents-17</t>
  </si>
  <si>
    <t>https://github.com/chatwoot/ai-agents/issues/17</t>
  </si>
  <si>
    <t>gs://swe-bench-plus/evaluations/019b6aaf-1788-707e-b6dd-d4dc12d72279-chatwoot__ai-agents-17-swe-agent-claude-sonnet-4.5</t>
  </si>
  <si>
    <t>https://drive.google.com/drive/folders/1CY6v651HThpCC99sxted8ST7mhI9a-0B</t>
  </si>
  <si>
    <t>chemfiles__chemfiles-501</t>
  </si>
  <si>
    <t>https://github.com/chemfiles/chemfiles/issues/501</t>
  </si>
  <si>
    <t>gs://swe-bench-plus/evaluations/019b6aa7-0380-771f-9e02-24cda0fe6639-chemfiles__chemfiles-501-swe-agent-claude-sonnet-4.5</t>
  </si>
  <si>
    <t>https://drive.google.com/drive/folders/1XML7wbOi5TuOLzt_KBos0IknMQdpqMh_</t>
  </si>
  <si>
    <t>chemfiles/chemfiles</t>
  </si>
  <si>
    <t>chemfiles__chemfiles</t>
  </si>
  <si>
    <t>cieslarmichal__faker-cxx-998</t>
  </si>
  <si>
    <t>https://github.com/cieslarmichal/faker-cxx/issues/998</t>
  </si>
  <si>
    <t>gs://swe-bench-plus/evaluations/019b6aa7-0380-771f-9e02-24cda0fe6639-cieslarmichal__faker-cxx-998-swe-agent-claude-sonnet-4.5</t>
  </si>
  <si>
    <t>https://drive.google.com/drive/folders/1ZDY7xkPGMYKU5zAgaiv52oFjCe6zBh7r</t>
  </si>
  <si>
    <t>cieslarmichal/faker-cxx</t>
  </si>
  <si>
    <t>cieslarmichal__faker-cxx</t>
  </si>
  <si>
    <t>cilium__cilium-39220</t>
  </si>
  <si>
    <t>https://github.com/cilium/cilium/issues/39220</t>
  </si>
  <si>
    <t>https://drive.google.com/drive/folders/1-dkfqsP9rE4Gt64n9JLzu4XK3JLHjDWn</t>
  </si>
  <si>
    <t>https://drive.google.com/drive/folders/1OwRR1kAzQgOd6HwuVtKdrzhUWa_SZVIc</t>
  </si>
  <si>
    <t>clflushopt__tpchgen-rs-175</t>
  </si>
  <si>
    <t>https://github.com/clflushopt/tpchgen-rs/issues/175</t>
  </si>
  <si>
    <t>gs://swe-bench-plus/evaluations/019b06bd-e8b8-7239-a811-43270291d9ff-clflushopt__tpchgen-rs-175-swe-agent-claude-sonnet-4.5</t>
  </si>
  <si>
    <t>https://drive.google.com/drive/folders/1aAWs3hM_CdolFV-Xjz4oFFeCqjF6vqKk</t>
  </si>
  <si>
    <t>clflushopt/tpchgen-rs</t>
  </si>
  <si>
    <t>clflushopt__tpchgen-rs</t>
  </si>
  <si>
    <t>cli__cli-11544</t>
  </si>
  <si>
    <t>https://github.com/cli/cli/issues/11544</t>
  </si>
  <si>
    <t>https://drive.google.com/drive/folders/1zpJh-t62pU1qF-zA-oR-4bzvFm4EySGh</t>
  </si>
  <si>
    <t>https://drive.google.com/drive/folders/148NXyMKd3fzwYsuNitfedWfzOL3Atnkk</t>
  </si>
  <si>
    <t>cloudfoundry__go-cfclient-452</t>
  </si>
  <si>
    <t>https://github.com/cloudfoundry/go-cfclient/issues/452</t>
  </si>
  <si>
    <t>gs://swe-bench-plus/evaluations/019b6aa7-0380-771f-9e02-24cda0fe6639-cloudfoundry__go-cfclient-452-swe-agent-claude-sonnet-4.5</t>
  </si>
  <si>
    <t>https://drive.google.com/drive/folders/1j1SP--BS9XbVQtGAWMsAZYRwV72NqcXU</t>
  </si>
  <si>
    <t>comet-ml__opik-2051</t>
  </si>
  <si>
    <t>https://github.com/comet-ml/opik/issues/2051</t>
  </si>
  <si>
    <t>https://drive.google.com/drive/folders/1d5AtwTdxaGLiF14xi5jtMpxtyAW-xRC9</t>
  </si>
  <si>
    <t>https://drive.google.com/drive/folders/1FMndzJIES_rZpNWIVykvfjJgDiecSs2Q</t>
  </si>
  <si>
    <t>Comfy-Org__comfy-cli-279</t>
  </si>
  <si>
    <t>https://github.com/Comfy-Org/comfy-cli/issues/279</t>
  </si>
  <si>
    <t>gs://swe-bench-plus/evaluations/019b0df7-ade4-70bc-89dc-2dc1c6248f76-Comfy-Org__comfy-cli-279-swe-agent-claude-opus-4.5</t>
  </si>
  <si>
    <t>https://drive.google.com/drive/folders/1TAAeSpgkgsbDXQk1IsxbmO_gnj5tTxwa</t>
  </si>
  <si>
    <t>Comfy-Org/comfy-cli</t>
  </si>
  <si>
    <t>Comfy-Org__comfy-cli</t>
  </si>
  <si>
    <t>CommunityToolkit__Datasync-382</t>
  </si>
  <si>
    <t>https://github.com/CommunityToolkit/Datasync/issues/382</t>
  </si>
  <si>
    <t>gs://swe-bench-plus/evaluations/019b6aaf-1788-707e-b6dd-d4dc12d72279-CommunityToolkit__Datasync-382-swe-agent-claude-sonnet-4.5</t>
  </si>
  <si>
    <t>https://drive.google.com/drive/folders/1wzQhv4kpfgeNV9kMf7V9nNu-tmymwM5-</t>
  </si>
  <si>
    <t>CommunityToolkit/Datasync</t>
  </si>
  <si>
    <t>CommunityToolkit__Datasync</t>
  </si>
  <si>
    <t>ComPlat__chemotion_ELN-2490</t>
  </si>
  <si>
    <t>https://github.com/ComPlat/chemotion_ELN/issues/2490</t>
  </si>
  <si>
    <t>applications;webdev;sci-comp</t>
  </si>
  <si>
    <t>gs://swe-bench-plus/evaluations/019b0df7-ade4-70bc-89dc-2dc1c6248f76-ComPlat__chemotion_ELN-2490-swe-agent-claude-opus-4.5</t>
  </si>
  <si>
    <t>https://drive.google.com/drive/folders/1ld9TguHI1bKS6Lt-dSpvQAjpzrlwiGSg</t>
  </si>
  <si>
    <t>ComPlat/chemotion_ELN</t>
  </si>
  <si>
    <t>ComPlat__chemotion_ELN</t>
  </si>
  <si>
    <t>compose-spec__compose-go-789</t>
  </si>
  <si>
    <t>https://github.com/compose-spec/compose-go/issues/789</t>
  </si>
  <si>
    <t>gs://swe-bench-plus/evaluations/019b6ab1-4e74-7019-9e81-9c96e98a145d-compose-spec__compose-go-789-swe-agent-claude-sonnet-4.5</t>
  </si>
  <si>
    <t>https://drive.google.com/drive/folders/1Z-6ROt32EnS0-ITvXx3KVPE9-fBKg0QC</t>
  </si>
  <si>
    <t>compose-spec/compose-go</t>
  </si>
  <si>
    <t>compose-spec__compose-go</t>
  </si>
  <si>
    <t>conan-io__conan-17518</t>
  </si>
  <si>
    <t>https://github.com/conan-io/conan/issues/17518</t>
  </si>
  <si>
    <t>https://drive.google.com/drive/folders/1_Bh_tYItk-201QBcelzX6QfXAbrwW9bL</t>
  </si>
  <si>
    <t>https://drive.google.com/drive/folders/1YhSON5aKcSODA2MBAmoTC5QUSJDIu01-</t>
  </si>
  <si>
    <t>conan-io__conan-17985</t>
  </si>
  <si>
    <t>https://github.com/conan-io/conan/issues/17985</t>
  </si>
  <si>
    <t>https://drive.google.com/drive/folders/1WQXm621WjfxNJKij_pOxRyVD-yb2uBxK</t>
  </si>
  <si>
    <t>https://drive.google.com/drive/folders/1Y_7pXtZSbZWa8RRV0Vlv7bnS1keemuZX</t>
  </si>
  <si>
    <t>conan-io__conan-18334</t>
  </si>
  <si>
    <t>https://github.com/conan-io/conan/issues/18334</t>
  </si>
  <si>
    <t>https://drive.google.com/drive/folders/1KOewA87_ODilILSRW2P_Tln_SKDqmVTx</t>
  </si>
  <si>
    <t>https://drive.google.com/drive/folders/1tKiF1KyjGXeTSAnZirDD0wm3Vxq0yiq3</t>
  </si>
  <si>
    <t>conan-io__conan-18642</t>
  </si>
  <si>
    <t>https://github.com/conan-io/conan/issues/18642</t>
  </si>
  <si>
    <t>bug-report;question</t>
  </si>
  <si>
    <t>https://drive.google.com/drive/folders/1OYyt6xcwb2N6Bbwv6sXFoH2j6OKqL3yz</t>
  </si>
  <si>
    <t>https://drive.google.com/drive/folders/1Hbp6T0focaopj7UkBQOMLcfovxgwnIXS</t>
  </si>
  <si>
    <t>conan-io__conan-18493</t>
  </si>
  <si>
    <t>https://github.com/conan-io/conan/issues/18493</t>
  </si>
  <si>
    <t>https://drive.google.com/drive/folders/16Yocx_08-zLWmZerm1ghbQf2vjKVQIxn</t>
  </si>
  <si>
    <t>https://drive.google.com/drive/folders/1wY5wnkEzYtPWGmCsKU2U9tVrSBtB3P-j</t>
  </si>
  <si>
    <t>conda__conda-15165</t>
  </si>
  <si>
    <t>https://github.com/conda/conda/issues/15165</t>
  </si>
  <si>
    <t>gs://swe-bench-plus/evaluations/019a6f31-5865-7528-b3d7-dd9431bd3aac-conda__conda-15165-swe-agent-claude-sonnet-4.5</t>
  </si>
  <si>
    <t>conda/conda</t>
  </si>
  <si>
    <t>conda__conda</t>
  </si>
  <si>
    <t>containers__podman-desktop-extension-ai-lab-2534</t>
  </si>
  <si>
    <t>https://github.com/containers/podman-desktop-extension-ai-lab/issues/2534</t>
  </si>
  <si>
    <t>ai-ml;applications;infra-devops</t>
  </si>
  <si>
    <t>gs://swe-bench-plus/evaluations/019b6aaf-1788-707e-b6dd-d4dc12d72279-containers__podman-desktop-extension-ai-lab-2534-swe-agent-claude-sonnet-4.5</t>
  </si>
  <si>
    <t>https://drive.google.com/drive/folders/1x_D3kJSBLd6miCpwC_ZokBxz5ctwIu8Y</t>
  </si>
  <si>
    <t>containers/podman-desktop-extension-ai-lab</t>
  </si>
  <si>
    <t>containers__podman-desktop-extension-ai-lab</t>
  </si>
  <si>
    <t>crate__crate-17670</t>
  </si>
  <si>
    <t>https://github.com/crate/crate/issues/17670</t>
  </si>
  <si>
    <t>https://drive.google.com/drive/folders/17ij05U4-dMGY53yDzTkpSqICLeJJQNMh</t>
  </si>
  <si>
    <t>https://drive.google.com/drive/folders/1CBCGQ2xyh9eGCsTUanJVVXlCCAOr-F8D</t>
  </si>
  <si>
    <t>crc-org__vfkit-300</t>
  </si>
  <si>
    <t>https://github.com/crc-org/vfkit/issues/300</t>
  </si>
  <si>
    <t>gs://swe-bench-plus/evaluations/019b6aa7-0380-771f-9e02-24cda0fe6639-crc-org__vfkit-300-swe-agent-claude-sonnet-4.5</t>
  </si>
  <si>
    <t>https://drive.google.com/drive/folders/1XsKROs2rxdkyITyQBuy83ZJU4WsL9PHe</t>
  </si>
  <si>
    <t>crewAIInc__crewAI-2893</t>
  </si>
  <si>
    <t>https://github.com/crewAIInc/crewAI/issues/2893</t>
  </si>
  <si>
    <t>https://drive.google.com/drive/folders/1f87rYSzAufxjeqFyS11gM7g9ea62uaSA</t>
  </si>
  <si>
    <t>https://drive.google.com/drive/folders/1SlArnk-8QH79jmAf1fkT9bt8_fiGFgvF</t>
  </si>
  <si>
    <t>crewAIInc/crewAI</t>
  </si>
  <si>
    <t>crewAIInc__crewAI</t>
  </si>
  <si>
    <t>CrowdStrike__falcon-mcp-24</t>
  </si>
  <si>
    <t>https://github.com/CrowdStrike/falcon-mcp/issues/24</t>
  </si>
  <si>
    <t>infra-devops;webdev;ai-ml</t>
  </si>
  <si>
    <t>https://drive.google.com/drive/folders/1yC6Dc0xHUJjpTjGS9l-xG7DERDnBXayR</t>
  </si>
  <si>
    <t>https://drive.google.com/drive/folders/1j4jdsnG-RB_pApOH_hpFjnKXY6V8j6pZ</t>
  </si>
  <si>
    <t>CrowdStrike/falcon-mcp</t>
  </si>
  <si>
    <t>CrowdStrike__falcon-mcp</t>
  </si>
  <si>
    <t>CS-SI__eodag-1353</t>
  </si>
  <si>
    <t>https://github.com/CS-SI/eodag/issues/1353</t>
  </si>
  <si>
    <t>gs://swe-bench-plus/evaluations/019a8f6e-136c-7345-a414-a1ed9c7f4f2d-CS-SI__eodag-1353-open-hands-claude-sonnet-4-20250514</t>
  </si>
  <si>
    <t>CS-SI/eodag</t>
  </si>
  <si>
    <t>CS-SI__eodag</t>
  </si>
  <si>
    <t>CS-SI__eodag-1672</t>
  </si>
  <si>
    <t>https://github.com/CS-SI/eodag/issues/1672</t>
  </si>
  <si>
    <t>gs://swe-bench-plus/evaluations/019a8f6e-136c-7345-a414-a1ed9c7f4f2d-CS-SI__eodag-1672-open-hands-claude-sonnet-4-20250514</t>
  </si>
  <si>
    <t>https://drive.google.com/drive/folders/1wJRWZcoGoIH8vjjJlEuTI3XuFamUTdUX</t>
  </si>
  <si>
    <t>csu-hmc__opty-472</t>
  </si>
  <si>
    <t>https://github.com/csu-hmc/opty/issues/472</t>
  </si>
  <si>
    <t>https://drive.google.com/drive/folders/1JGzix5HxG4HbiuhVMMgVYtMAi4RdWBUV</t>
  </si>
  <si>
    <t>https://drive.google.com/drive/folders/1eK7q4Cxjc4mpBvlPh_Y_HPA1uEe_G5KH</t>
  </si>
  <si>
    <t>cybersemics__em-2703</t>
  </si>
  <si>
    <t>https://github.com/cybersemics/em/issues/2703</t>
  </si>
  <si>
    <t>gs://swe-bench-plus/evaluations/019bcea3-81e8-754a-a3b1-8821a9f9ac9b-cybersemics__em-2703-swe-agent-claude-sonnet-4.5</t>
  </si>
  <si>
    <t>https://drive.google.com/drive/folders/1N_r7Qk7AQkKpaKhDv07ChcedbdockrkT</t>
  </si>
  <si>
    <t>cybersemics/em</t>
  </si>
  <si>
    <t>cybersemics__em</t>
  </si>
  <si>
    <t>dadrus__heimdall-2193</t>
  </si>
  <si>
    <t>https://github.com/dadrus/heimdall/issues/2193</t>
  </si>
  <si>
    <t>gs://swe-bench-plus/evaluations/019b0886-0f4d-757e-a2e5-c06041eabbaf-dadrus__heimdall-2193-swe-agent-claude-sonnet-4.5</t>
  </si>
  <si>
    <t>https://drive.google.com/drive/folders/174F2bq8-15-JCx1m9YV3_sSaHfsrTFJw</t>
  </si>
  <si>
    <t>dadrus/heimdall</t>
  </si>
  <si>
    <t>dadrus__heimdall</t>
  </si>
  <si>
    <t>daniel-hauser__moneyman-646</t>
  </si>
  <si>
    <t>https://github.com/daniel-hauser/moneyman/issues/646</t>
  </si>
  <si>
    <t>gs://swe-bench-plus/evaluations/019c7386-53d5-75df-82fb-8ade9fa70e16-daniel-hauser__moneyman-646-swe-agent-claude-sonnet-4-20250514</t>
  </si>
  <si>
    <t>https://drive.google.com/drive/folders/1SnL-EXJxS_6KaMR5r0hB5iaHxDaGZfbe</t>
  </si>
  <si>
    <t>danielroe__carpenter-182</t>
  </si>
  <si>
    <t>https://github.com/danielroe/carpenter/issues/182</t>
  </si>
  <si>
    <t>gs://swe-bench-plus/evaluations/019b6aaf-1788-707e-b6dd-d4dc12d72279-danielroe__carpenter-182-swe-agent-claude-sonnet-4.5</t>
  </si>
  <si>
    <t>https://drive.google.com/drive/folders/1zBWwQt-YiA1XUBZmd4l3vZqG6Ohkl_9P</t>
  </si>
  <si>
    <t>danielroe/carpenter</t>
  </si>
  <si>
    <t>danielroe__carpenter</t>
  </si>
  <si>
    <t>databendlabs__databend-17848</t>
  </si>
  <si>
    <t>https://github.com/databendlabs/databend/issues/17848</t>
  </si>
  <si>
    <t>data-eng;applications;infra-devops</t>
  </si>
  <si>
    <t>https://drive.google.com/drive/folders/1ZJSkNtgwk-sOpogU0o_QbtmMMnNMBo5_</t>
  </si>
  <si>
    <t>https://drive.google.com/drive/folders/17cc-hf2Z_p64E6PBGYvTpPgU-zr6WcDq</t>
  </si>
  <si>
    <t>databricks__terraform-provider-databricks-5014</t>
  </si>
  <si>
    <t>https://github.com/databricks/terraform-provider-databricks/issues/5014</t>
  </si>
  <si>
    <t>gs://swe-bench-plus/evaluations/019b6aa7-0380-771f-9e02-24cda0fe6639-databricks__terraform-provider-databricks-5014-swe-agent-claude-sonnet-4.5</t>
  </si>
  <si>
    <t>https://drive.google.com/drive/folders/1KUTKQ1lJfVTrJkDv-VeNDIStI5PrEv2Y</t>
  </si>
  <si>
    <t>databricks/terraform-provider-databricks</t>
  </si>
  <si>
    <t>databricks__terraform-provider-databricks</t>
  </si>
  <si>
    <t>datacontract__datacontract-cli-547</t>
  </si>
  <si>
    <t>https://github.com/datacontract/datacontract-cli/issues/547</t>
  </si>
  <si>
    <t>gs://swe-bench-plus/evaluations/019a8f6e-136c-7345-a414-a1ed9c7f4f2d-datacontract__datacontract-cli-547-open-hands-claude-sonnet-4-20250514</t>
  </si>
  <si>
    <t>https://drive.google.com/drive/folders/1JymgNuZKN2Mj3sWSROkpZCiQl0sDzWxa</t>
  </si>
  <si>
    <t>datacontract/datacontract-cli</t>
  </si>
  <si>
    <t>datacontract__datacontract-cli</t>
  </si>
  <si>
    <t>datafaker-net__datafaker-1414</t>
  </si>
  <si>
    <t>https://github.com/datafaker-net/datafaker/issues/1414</t>
  </si>
  <si>
    <t>gs://swe-bench-plus/evaluations/019b6ab1-4e74-7019-9e81-9c96e98a145d-datafaker-net__datafaker-1414-swe-agent-claude-sonnet-4.5</t>
  </si>
  <si>
    <t>https://drive.google.com/drive/folders/1UBSHrw365xiz6GAKd1X11SCtMM-2DVM8</t>
  </si>
  <si>
    <t>datafaker-net/datafaker</t>
  </si>
  <si>
    <t>datafaker-net__datafaker</t>
  </si>
  <si>
    <t>dbcli__litecli-193</t>
  </si>
  <si>
    <t>https://github.com/dbcli/litecli/issues/193</t>
  </si>
  <si>
    <t>gs://swe-bench-plus/evaluations/019a11d0-17d3-730b-bffc-06f187eef661-dbcli__litecli-193-swe-agent-claude-sonnet-4-20250514</t>
  </si>
  <si>
    <t>https://drive.google.com/drive/folders/1ohiI2r69TSw-GxyRRcqbl0E3hGC9E9ls</t>
  </si>
  <si>
    <t>dbcli/litecli</t>
  </si>
  <si>
    <t>dbcli__litecli</t>
  </si>
  <si>
    <t>deepset-ai__haystack-8554</t>
  </si>
  <si>
    <t>https://github.com/deepset-ai/haystack/issues/8554</t>
  </si>
  <si>
    <t>gs://swe-bench-plus/evaluations/019a8f6e-136c-7345-a414-a1ed9c7f4f2d-deepset-ai__haystack-8554-open-hands-claude-sonnet-4-20250514</t>
  </si>
  <si>
    <t>deepset-ai__haystack-9099</t>
  </si>
  <si>
    <t>https://github.com/deepset-ai/haystack/issues/9099</t>
  </si>
  <si>
    <t>https://drive.google.com/drive/folders/1xziEE45lrIcXyK_QmwagskPfJSi7f-be</t>
  </si>
  <si>
    <t>https://drive.google.com/drive/folders/1vEnYk6mxKOepaCNPzxIKYYRBFqphcnTC</t>
  </si>
  <si>
    <t>deepset-ai__haystack-9218</t>
  </si>
  <si>
    <t>https://github.com/deepset-ai/haystack/issues/9218</t>
  </si>
  <si>
    <t>https://drive.google.com/drive/folders/1sL9WOYBcC_c7Yf6Ou1N5R5P_Tm20jaN7</t>
  </si>
  <si>
    <t>https://drive.google.com/drive/folders/1k_9YzQn-4GI0r8B_03XE5WMHBVHjqj93</t>
  </si>
  <si>
    <t>deepset-ai__haystack-8568</t>
  </si>
  <si>
    <t>https://github.com/deepset-ai/haystack/issues/8568</t>
  </si>
  <si>
    <t>https://drive.google.com/drive/folders/1McicqKzGfRFs7xdzPNfLXPiWzqw2NOOu</t>
  </si>
  <si>
    <t>https://drive.google.com/drive/folders/1lr4OO8WuUFEUeL9_5RrFdQB3m7rrUU3W</t>
  </si>
  <si>
    <t>deepset-ai__haystack-9271</t>
  </si>
  <si>
    <t>https://github.com/deepset-ai/haystack/issues/9271</t>
  </si>
  <si>
    <t>https://drive.google.com/drive/folders/18eluqAIkrqy1ZGdYYmFsBSJhsMUt6Vxw</t>
  </si>
  <si>
    <t>https://drive.google.com/drive/folders/1HO2jcCyd8yHFxprq9snwBQYpo-zIzn67</t>
  </si>
  <si>
    <t>deepset-ai__haystack-9275</t>
  </si>
  <si>
    <t>https://github.com/deepset-ai/haystack/issues/9275</t>
  </si>
  <si>
    <t>https://drive.google.com/drive/folders/1BF4U79rEBreMma0421MAJC0zWAGmTIcO</t>
  </si>
  <si>
    <t>https://drive.google.com/drive/folders/1tVfee8nHgs22U7eS4WCIqY7a4KGn4fmh</t>
  </si>
  <si>
    <t>deepset-ai__haystack-9474</t>
  </si>
  <si>
    <t>https://github.com/deepset-ai/haystack/issues/9474</t>
  </si>
  <si>
    <t>https://drive.google.com/drive/folders/1WPgrRvFzoRWvIjSXx8qyb4ixbv9eDpCf</t>
  </si>
  <si>
    <t>https://drive.google.com/drive/folders/1v4ojY7qwfjCMr0xvlzBkRRf3aH8bBawc</t>
  </si>
  <si>
    <t>deepset-ai__haystack-9622</t>
  </si>
  <si>
    <t>https://github.com/deepset-ai/haystack/issues/9622</t>
  </si>
  <si>
    <t>https://drive.google.com/drive/folders/1YYwMwjTliWEO3HS7Xyc70zJFjYspaIMc</t>
  </si>
  <si>
    <t>https://drive.google.com/drive/folders/1Xwun458IlZvjHMVfmQ6d9YMwNUGExQod</t>
  </si>
  <si>
    <t>deepset-ai__haystack-9688</t>
  </si>
  <si>
    <t>https://github.com/deepset-ai/haystack/issues/9688</t>
  </si>
  <si>
    <t>https://drive.google.com/drive/folders/1YHyXuvhwOGgiD8L9pvdEKrhlmN_mFkE4</t>
  </si>
  <si>
    <t>https://drive.google.com/drive/folders/1Ko7AvMqEYo1mLQxOM7SZmXIjq9BX_GSp</t>
  </si>
  <si>
    <t>deepset-ai__haystack-9704</t>
  </si>
  <si>
    <t>https://github.com/deepset-ai/haystack/issues/9704</t>
  </si>
  <si>
    <t>https://drive.google.com/drive/folders/11qSN01DqEiXWptYahgBs4t6jQrVRXUU-</t>
  </si>
  <si>
    <t>https://drive.google.com/drive/folders/1tnAc2-Ilos8S-yXb715-B6scCptdINIy</t>
  </si>
  <si>
    <t>deepset-ai__haystack-9069</t>
  </si>
  <si>
    <t>https://github.com/deepset-ai/haystack/issues/9069</t>
  </si>
  <si>
    <t>https://drive.google.com/drive/folders/1OuibytpCkOgYXMqDqbwfTX4O5P8F6CzU</t>
  </si>
  <si>
    <t>https://drive.google.com/drive/folders/1E6aWjapFiwlbCYDWcT9r6J-r26m-8Vut</t>
  </si>
  <si>
    <t>deepset-ai__haystack-8799</t>
  </si>
  <si>
    <t>https://github.com/deepset-ai/haystack/issues/8799</t>
  </si>
  <si>
    <t>https://drive.google.com/drive/folders/1pr59NMMGXqf1qb7UhP2cKj6jRSFywzsn</t>
  </si>
  <si>
    <t>https://drive.google.com/drive/folders/17JPJ0Z1b2REFMywSEmI9yGF9oQuwPe7H</t>
  </si>
  <si>
    <t>delph-in__pydelphin-398</t>
  </si>
  <si>
    <t>https://github.com/delph-in/pydelphin/issues/398</t>
  </si>
  <si>
    <t>https://drive.google.com/drive/folders/1wGPq_4RiQrmkKw5dqX7kIyiHvS5IVsvL</t>
  </si>
  <si>
    <t>https://drive.google.com/drive/folders/1mchY7-h1gYMgAt-b2LxdIhWZ9SH4xf4S</t>
  </si>
  <si>
    <t>delph-in/pydelphin</t>
  </si>
  <si>
    <t>delph-in__pydelphin</t>
  </si>
  <si>
    <t>delta-io__delta-kernel-rs-988</t>
  </si>
  <si>
    <t>https://github.com/delta-io/delta-kernel-rs/issues/988</t>
  </si>
  <si>
    <t>gs://swe-bench-plus/evaluations/019a6ebd-83c1-77e0-8232-17c9935d310f-delta-io__delta-kernel-rs-988-swe-agent-claude-sonnet-4.5</t>
  </si>
  <si>
    <t>delta-io/delta-kernel-rs</t>
  </si>
  <si>
    <t>delta-io__delta-kernel-rs</t>
  </si>
  <si>
    <t>department-of-veterans-affairs__vets-website-35629</t>
  </si>
  <si>
    <t>https://github.com/department-of-veterans-affairs/vets-website/issues/35629</t>
  </si>
  <si>
    <t>gs://swe-bench-plus/evaluations/019c24fa-2999-746b-a6fd-aa256611b73a-department-of-veterans-affairs__vets-website-35629-swe-agent-claude-sonnet-4-20250514</t>
  </si>
  <si>
    <t>https://drive.google.com/drive/folders/1zUqMpwQYKWy9hG0HGY7sS4RebqrY4gaw</t>
  </si>
  <si>
    <t>dependabot__dependabot-core-11851</t>
  </si>
  <si>
    <t>https://github.com/dependabot/dependabot-core/issues/11851</t>
  </si>
  <si>
    <t>https://drive.google.com/drive/folders/1CQ4LOBu51mkJKsWANYubfIEW5nfSIob8</t>
  </si>
  <si>
    <t>https://drive.google.com/drive/folders/1AVu3wVnhIjpPd1LHB9G95cqgvEjatYif</t>
  </si>
  <si>
    <t>dependabot/dependabot-core</t>
  </si>
  <si>
    <t>dependabot__dependabot-core</t>
  </si>
  <si>
    <t>DependencyTrack__dependency-track-4738</t>
  </si>
  <si>
    <t>https://github.com/DependencyTrack/dependency-track/issues/4738</t>
  </si>
  <si>
    <t>gs://swe-bench-plus/evaluations/019bd2bf-00de-723c-8b2d-1d9d8c821830-DependencyTrack__dependency-track-4738-swe-agent-claude-sonnet-4-20250514</t>
  </si>
  <si>
    <t>https://drive.google.com/drive/folders/1ssm_gVZmkPh2YTfB3u81MbuyD1pgO5Dc</t>
  </si>
  <si>
    <t>devlooped__DependencyInjection-112</t>
  </si>
  <si>
    <t>https://github.com/devlooped/DependencyInjection/issues/112</t>
  </si>
  <si>
    <t>https://drive.google.com/drive/folders/1MwlFqy2zoysSu5tl2PzAMttisNrXkk_D</t>
  </si>
  <si>
    <t>https://drive.google.com/drive/folders/1E97xYmPPPrSxUE5_7a5kIFfLaxsQPokb</t>
  </si>
  <si>
    <t>Diaoul__subliminal-1207</t>
  </si>
  <si>
    <t>https://github.com/Diaoul/subliminal/issues/1207</t>
  </si>
  <si>
    <t>https://drive.google.com/drive/folders/13zQpaRwgOzsZNgzAXGBwIAYKeRGl2ADq</t>
  </si>
  <si>
    <t>https://drive.google.com/drive/folders/1gX1htne4CPCwItMHt9J8ChjId8pi8C6U</t>
  </si>
  <si>
    <t>Diaoul__subliminal-1242</t>
  </si>
  <si>
    <t>https://github.com/Diaoul/subliminal/issues/1242</t>
  </si>
  <si>
    <t>gs://swe-bench-plus/evaluations/019a8f6e-136c-7345-a414-a1ed9c7f4f2d-Diaoul__subliminal-1242-open-hands-claude-sonnet-4-20250514</t>
  </si>
  <si>
    <t>DLR-AMR__t8code-1591</t>
  </si>
  <si>
    <t>https://github.com/DLR-AMR/t8code/issues/1591</t>
  </si>
  <si>
    <t>https://drive.google.com/drive/folders/1cTFWUwxahaEt0AuOESUjfrf3fW0O1bjH</t>
  </si>
  <si>
    <t>https://drive.google.com/drive/folders/1kmt-d4BjDdO_BNKpkzZno2WAk_WDD2DO</t>
  </si>
  <si>
    <t>dlt-hub__dlt-2817</t>
  </si>
  <si>
    <t>https://github.com/dlt-hub/dlt/issues/2817</t>
  </si>
  <si>
    <t>https://drive.google.com/drive/folders/1Ukhba-xHh_rmfcy_SxO-srJkTD7QEF4u</t>
  </si>
  <si>
    <t>https://drive.google.com/drive/folders/1YWj0BK0fNR673yfuqQTUB7U-EaAzbY4x</t>
  </si>
  <si>
    <t>dlt-hub/dlt</t>
  </si>
  <si>
    <t>dlt-hub__dlt</t>
  </si>
  <si>
    <t>docker__docker-language-server-208</t>
  </si>
  <si>
    <t>https://github.com/docker/docker-language-server/issues/208</t>
  </si>
  <si>
    <t>gs://swe-bench-plus/evaluations/019b6ab1-4e74-7019-9e81-9c96e98a145d-docker__docker-language-server-208-swe-agent-claude-sonnet-4.5</t>
  </si>
  <si>
    <t>https://drive.google.com/drive/folders/1yhuLucRhS0gI4eHfK509gjfIsMj4Rr27</t>
  </si>
  <si>
    <t>docker/docker-language-server</t>
  </si>
  <si>
    <t>docker__docker-language-server</t>
  </si>
  <si>
    <t>docker__docker-language-server-137</t>
  </si>
  <si>
    <t>https://github.com/docker/docker-language-server/issues/137</t>
  </si>
  <si>
    <t>gs://swe-bench-plus/evaluations/019b6ab1-4e74-7019-9e81-9c96e98a145d-docker__docker-language-server-137-swe-agent-claude-sonnet-4.5</t>
  </si>
  <si>
    <t>https://drive.google.com/drive/folders/1KLc6R_p0X_kE4-wDrbhEIwLcLuLX7pDJ</t>
  </si>
  <si>
    <t>docker__docker-language-server-252</t>
  </si>
  <si>
    <t>https://github.com/docker/docker-language-server/issues/252</t>
  </si>
  <si>
    <t>gs://swe-bench-plus/evaluations/019b6ab1-4e74-7019-9e81-9c96e98a145d-docker__docker-language-server-252-swe-agent-claude-sonnet-4.5</t>
  </si>
  <si>
    <t>https://drive.google.com/drive/folders/13A_oN4pPPyga9N-mtVO6LsvU9GGTKe6b</t>
  </si>
  <si>
    <t>docker__docker-language-server-185</t>
  </si>
  <si>
    <t>https://github.com/docker/docker-language-server/issues/185</t>
  </si>
  <si>
    <t>gs://swe-bench-plus/evaluations/019b6ab1-4e74-7019-9e81-9c96e98a145d-docker__docker-language-server-185-swe-agent-claude-sonnet-4.5</t>
  </si>
  <si>
    <t>https://drive.google.com/drive/folders/1--NzuL87bhItj93P1bm86GPx4_PCOGKt</t>
  </si>
  <si>
    <t>docker__docker-language-server-317</t>
  </si>
  <si>
    <t>https://github.com/docker/docker-language-server/issues/317</t>
  </si>
  <si>
    <t>gs://swe-bench-plus/evaluations/019b6ab1-4e74-7019-9e81-9c96e98a145d-docker__docker-language-server-317-swe-agent-claude-sonnet-4.5</t>
  </si>
  <si>
    <t>https://drive.google.com/drive/folders/1YkdQdaT4HiK1K2lBexowlIOGcMnsTLHt</t>
  </si>
  <si>
    <t>dotnet__arcade-services-4866</t>
  </si>
  <si>
    <t>https://github.com/dotnet/arcade-services/issues/4866</t>
  </si>
  <si>
    <t>gs://swe-bench-plus/evaluations/019b6aa7-0380-771f-9e02-24cda0fe6639-dotnet__arcade-services-4866-swe-agent-claude-sonnet-4.5</t>
  </si>
  <si>
    <t>https://drive.google.com/drive/folders/1YLkSW2XlvzkkUPCBL3T47zExX3NoVAT8</t>
  </si>
  <si>
    <t>dotnet/arcade-services</t>
  </si>
  <si>
    <t>dotnet__arcade-services</t>
  </si>
  <si>
    <t>dotnet__arcade-services-4719</t>
  </si>
  <si>
    <t>https://github.com/dotnet/arcade-services/issues/4719</t>
  </si>
  <si>
    <t>gs://swe-bench-plus/evaluations/019b6aa7-0380-771f-9e02-24cda0fe6639-dotnet__arcade-services-4719-swe-agent-claude-sonnet-4.5</t>
  </si>
  <si>
    <t>https://drive.google.com/drive/folders/1xomUdK5mthNZSD89Qw21uMrfLV2Ir3u8</t>
  </si>
  <si>
    <t>dotnet__xharness-1458</t>
  </si>
  <si>
    <t>https://github.com/dotnet/xharness/issues/1458</t>
  </si>
  <si>
    <t>gs://swe-bench-plus/evaluations/019b6aa7-0380-771f-9e02-24cda0fe6639-dotnet__xharness-1458-swe-agent-claude-sonnet-4.5</t>
  </si>
  <si>
    <t>https://drive.google.com/drive/folders/11fogD6IXZoGcHZt9ht7AByqEsj6L2gWK</t>
  </si>
  <si>
    <t>dotnet/xharness</t>
  </si>
  <si>
    <t>dotnet__xharness</t>
  </si>
  <si>
    <t>dottxt-ai__outlines-1706</t>
  </si>
  <si>
    <t>https://github.com/dottxt-ai/outlines/issues/1706</t>
  </si>
  <si>
    <t>https://drive.google.com/drive/folders/1mYwUiNo6cM5yYlgQKWVJ1xHSEwsb1WTG</t>
  </si>
  <si>
    <t>dottxt-ai/outlines</t>
  </si>
  <si>
    <t>dottxt-ai__outlines</t>
  </si>
  <si>
    <t>dottxt-ai__outlines-1277</t>
  </si>
  <si>
    <t>https://github.com/dottxt-ai/outlines/issues/1277</t>
  </si>
  <si>
    <t>https://drive.google.com/drive/folders/10XtD8t5v5sLId2jGYaT4Z5hcywjMjCmZ</t>
  </si>
  <si>
    <t>https://drive.google.com/drive/folders/1HS_HGCo_2RoaL4x1alAAH7RkaLfGomqN</t>
  </si>
  <si>
    <t>dstackai__dstack-2940</t>
  </si>
  <si>
    <t>https://github.com/dstackai/dstack/issues/2940</t>
  </si>
  <si>
    <t>gs://swe-bench-plus/evaluations/019a8f6e-136c-7345-a414-a1ed9c7f4f2d-dstackai__dstack-2940-open-hands-claude-sonnet-4-20250514</t>
  </si>
  <si>
    <t>dtolnay__thiserror-337</t>
  </si>
  <si>
    <t>https://github.com/dtolnay/thiserror/issues/337</t>
  </si>
  <si>
    <t>https://drive.google.com/drive/folders/1jBS3ZJupGFBE8xI5y2KsIpM-3Vbj7A32</t>
  </si>
  <si>
    <t>https://drive.google.com/drive/folders/13PT_hbIYXJ9rN08mh-QYvYGw99Xyotfh</t>
  </si>
  <si>
    <t>duckdb__pg_duckdb-743</t>
  </si>
  <si>
    <t>https://github.com/duckdb/pg_duckdb/issues/743</t>
  </si>
  <si>
    <t>gs://swe-bench-plus/evaluations/019a3a6a-dc7a-71e0-ac71-cf2e27fa7b89-duckdb__pg_duckdb-743-open-hands-claude-sonnet-4-20250514</t>
  </si>
  <si>
    <t>https://drive.google.com/drive/folders/1GKn_jUDj12NxhhEi8-3-6qlzPu30269W</t>
  </si>
  <si>
    <t>duckdb/pg_duckdb</t>
  </si>
  <si>
    <t>duckdb__pg_duckdb</t>
  </si>
  <si>
    <t>dylibso__chicory-696</t>
  </si>
  <si>
    <t>https://github.com/dylibso/chicory/issues/696</t>
  </si>
  <si>
    <t>gs://swe-bench-plus/evaluations/019b6aaf-1788-707e-b6dd-d4dc12d72279-dylibso__chicory-696-swe-agent-claude-sonnet-4.5</t>
  </si>
  <si>
    <t>https://drive.google.com/drive/folders/1k8jUZcrcogDF2wW09SEu09yC4z9LWUym</t>
  </si>
  <si>
    <t>dylibso/chicory</t>
  </si>
  <si>
    <t>dylibso__chicory</t>
  </si>
  <si>
    <t>eakmanrq__sqlframe-307</t>
  </si>
  <si>
    <t>https://github.com/eakmanrq/sqlframe/issues/307</t>
  </si>
  <si>
    <t>gs://swe-bench-plus/evaluations/019ac57e-f665-72ea-8d22-b2c491531db5-eakmanrq__sqlframe-307-open-hands-claude-sonnet-4-20250514</t>
  </si>
  <si>
    <t>https://drive.google.com/drive/folders/1qOjjWcFFpHii7gYXP3HtNi7z3b28d3Qu</t>
  </si>
  <si>
    <t>eakmanrq/sqlframe</t>
  </si>
  <si>
    <t>eakmanrq__sqlframe</t>
  </si>
  <si>
    <t>eclipse-edc__Connector-4876</t>
  </si>
  <si>
    <t>https://github.com/eclipse-edc/Connector/issues/4876</t>
  </si>
  <si>
    <t>gs://swe-bench-plus/evaluations/019c2528-578b-73cc-ad42-8f1328ded528-eclipse-edc__Connector-4876-swe-agent-claude-sonnet-4-20250514</t>
  </si>
  <si>
    <t>https://drive.google.com/drive/folders/1-M_ITocgs1yA2djHyaKsn1S17erpig6X</t>
  </si>
  <si>
    <t>eclipse-milo__milo-1477</t>
  </si>
  <si>
    <t>https://github.com/eclipse-milo/milo/issues/1477</t>
  </si>
  <si>
    <t>autonomy;devtools;security;infra-devops</t>
  </si>
  <si>
    <t>https://drive.google.com/drive/folders/1wbCA93C5gHOpd_nbhC7x4ZtpgaxqpnJm</t>
  </si>
  <si>
    <t>https://drive.google.com/drive/folders/17EHXBlU1ZV_RrkRI-V1j_y68SY47DFJy</t>
  </si>
  <si>
    <t>eclipse-milo/milo</t>
  </si>
  <si>
    <t>eclipse-milo__milo</t>
  </si>
  <si>
    <t>applications;infra-devops;devtools</t>
  </si>
  <si>
    <t>feature;documentation;build-ci;test</t>
  </si>
  <si>
    <t>eclipse__openvsx</t>
  </si>
  <si>
    <t>efcore__EFCore.CheckConstraints-164</t>
  </si>
  <si>
    <t>https://github.com/efcore/EFCore.CheckConstraints/issues/164</t>
  </si>
  <si>
    <t>gs://swe-bench-plus/evaluations/019b6aa7-0380-771f-9e02-24cda0fe6639-efcore__EFCore.CheckConstraints-164-swe-agent-claude-sonnet-4.5</t>
  </si>
  <si>
    <t>https://drive.google.com/drive/folders/1esIz1ov1mJHzXsJt0OAopQW5bZZyssX9</t>
  </si>
  <si>
    <t>efcore/EFCore.CheckConstraints</t>
  </si>
  <si>
    <t>efcore__EFCore.CheckConstraints</t>
  </si>
  <si>
    <t>ej2__python-quickbooks-380</t>
  </si>
  <si>
    <t>https://github.com/ej2/python-quickbooks/issues/380</t>
  </si>
  <si>
    <t>https://drive.google.com/drive/folders/1TaWBFhjizwcTPjhh3D0R5MVndCioo9na</t>
  </si>
  <si>
    <t>https://drive.google.com/drive/folders/17LuMWO0tmTUQOEYTsCD6VvQ8EPsIHGUq</t>
  </si>
  <si>
    <t>ej2/python-quickbooks</t>
  </si>
  <si>
    <t>ej2__python-quickbooks</t>
  </si>
  <si>
    <t>elastic__beats-41903</t>
  </si>
  <si>
    <t>https://github.com/elastic/beats/issues/41903</t>
  </si>
  <si>
    <t>https://drive.google.com/drive/folders/1BojeNFQzUenq2fDfnWeRCKnt74u5fUlm</t>
  </si>
  <si>
    <t>https://drive.google.com/drive/folders/1XBRcpUkEM_pCmwCrMok9SfBmzQ-9FD3M</t>
  </si>
  <si>
    <t>elastic__beats-41639</t>
  </si>
  <si>
    <t>https://github.com/elastic/beats/issues/41639</t>
  </si>
  <si>
    <t>https://drive.google.com/drive/folders/1JUoIKWISBy7RTdOQie9UOMj5G55GZTYo</t>
  </si>
  <si>
    <t>https://drive.google.com/drive/folders/1eWvBcO6yPdDpJ1u6mWjsPX69BKdDWVp8</t>
  </si>
  <si>
    <t>elastic__connectors-3110</t>
  </si>
  <si>
    <t>https://github.com/elastic/connectors/issues/3110</t>
  </si>
  <si>
    <t>https://drive.google.com/drive/folders/1o3573XDykAhVa3cZG6HyOGoD0rbDKpG4</t>
  </si>
  <si>
    <t>https://drive.google.com/drive/folders/1FYLqM7wQ3wZjuVhr_08JXAzxnjBFviU8</t>
  </si>
  <si>
    <t>elastic/connectors</t>
  </si>
  <si>
    <t>elastic__connectors</t>
  </si>
  <si>
    <t>elastic__crawler-296</t>
  </si>
  <si>
    <t>https://github.com/elastic/crawler/issues/296</t>
  </si>
  <si>
    <t>gs://swe-bench-plus/evaluations/019b6aaf-1788-707e-b6dd-d4dc12d72279-elastic__crawler-296-swe-agent-claude-sonnet-4.5</t>
  </si>
  <si>
    <t>https://drive.google.com/drive/folders/1hDGBAw-LkHfUpS9LwQEhlOW_7Jn0VZVs</t>
  </si>
  <si>
    <t>elastic/crawler</t>
  </si>
  <si>
    <t>elastic__crawler</t>
  </si>
  <si>
    <t>elastic__rally-1971</t>
  </si>
  <si>
    <t>https://github.com/elastic/rally/issues/1971</t>
  </si>
  <si>
    <t>https://drive.google.com/drive/folders/1dGXEN9H-n_cGUFtQIZZ1JA-BxoXnVdQQ</t>
  </si>
  <si>
    <t>https://drive.google.com/drive/folders/1wP2Px3jIwreCcOpP89ralt7a6jGq7keJ</t>
  </si>
  <si>
    <t>elastic/rally</t>
  </si>
  <si>
    <t>elastic__rally</t>
  </si>
  <si>
    <t>enofex__taikai-196</t>
  </si>
  <si>
    <t>https://github.com/enofex/taikai/issues/196</t>
  </si>
  <si>
    <t>gs://swe-bench-plus/evaluations/019c8593-288e-768a-aabd-9e1d168a9a7f-enofex__taikai-196-swe-agent-claude-sonnet-4-20250514</t>
  </si>
  <si>
    <t>https://drive.google.com/drive/folders/1l0Fpyw8E_um--ikYS0V2ROiYfpquEtCz</t>
  </si>
  <si>
    <t>enofex/taikai</t>
  </si>
  <si>
    <t>enofex__taikai</t>
  </si>
  <si>
    <t>enofex__taikai-218</t>
  </si>
  <si>
    <t>https://github.com/enofex/taikai/issues/218</t>
  </si>
  <si>
    <t>gs://swe-bench-plus/evaluations/019b6aaf-1788-707e-b6dd-d4dc12d72279-enofex__taikai-218-swe-agent-claude-sonnet-4.5</t>
  </si>
  <si>
    <t>https://drive.google.com/drive/folders/1XqF5tHX60pkHTNOn1nqNeVwlDFpHKdV1</t>
  </si>
  <si>
    <t>equinor__ert-9887</t>
  </si>
  <si>
    <t>https://github.com/equinor/ert/issues/9887</t>
  </si>
  <si>
    <t>https://drive.google.com/drive/folders/1s6kfuqZ33tydww4LQnTgVST3xpFIPr3_</t>
  </si>
  <si>
    <t>https://drive.google.com/drive/folders/1C3E763u8ZuRM5dpX7gUPEBI2JqOBUlgK</t>
  </si>
  <si>
    <t>equinor/ert</t>
  </si>
  <si>
    <t>equinor__ert</t>
  </si>
  <si>
    <t>erikbrinkman__rmapi-js-34</t>
  </si>
  <si>
    <t>https://github.com/erikbrinkman/rmapi-js/issues/34</t>
  </si>
  <si>
    <t>devtools;applications;infra-devops</t>
  </si>
  <si>
    <t>gs://swe-bench-plus/evaluations/019c8ad6-76ed-73ab-9477-f0f4b60f83f2-erikbrinkman__rmapi-js-34-swe-agent-claude-sonnet-4.5</t>
  </si>
  <si>
    <t>https://drive.google.com/drive/folders/1XeQ1WnRx4VKxTEiVpNLSG4DJCR_5XAWR</t>
  </si>
  <si>
    <t>erikbrinkman/rmapi-js</t>
  </si>
  <si>
    <t>erikbrinkman__rmapi-js</t>
  </si>
  <si>
    <t>eslint__css-357</t>
  </si>
  <si>
    <t>https://github.com/eslint/css/issues/357</t>
  </si>
  <si>
    <t>gs://swe-bench-plus/evaluations/019c24f4-e80a-76a8-bc0d-f324129047c1-eslint__css-357-swe-agent-claude-sonnet-4.5</t>
  </si>
  <si>
    <t>https://drive.google.com/drive/folders/1F04pD2YWo6NxDr8918asvkAH5zUFnp9w</t>
  </si>
  <si>
    <t>eslint/css</t>
  </si>
  <si>
    <t>eslint__css</t>
  </si>
  <si>
    <t>eslint__eslint-19104</t>
  </si>
  <si>
    <t>https://github.com/eslint/eslint/issues/19104</t>
  </si>
  <si>
    <t>gs://swe-bench-plus/evaluations/019c24fa-2999-746b-a6fd-aa256611b73a-eslint__eslint-19104-swe-agent-claude-sonnet-4-20250514</t>
  </si>
  <si>
    <t>https://drive.google.com/drive/folders/17E1WuTmiQD7501FXCm7eCv1fjjoEUCm5</t>
  </si>
  <si>
    <t>eslint/eslint</t>
  </si>
  <si>
    <t>eslint__eslint</t>
  </si>
  <si>
    <t>ethereum-optimism__optimism-16158</t>
  </si>
  <si>
    <t>https://github.com/ethereum-optimism/optimism/issues/16158</t>
  </si>
  <si>
    <t>https://drive.google.com/drive/folders/1o1iw-nNOONykrKEt4M2z46iKq86La36e</t>
  </si>
  <si>
    <t>ethereum-optimism/optimism</t>
  </si>
  <si>
    <t>ethereum-optimism__optimism</t>
  </si>
  <si>
    <t>evstack__ev-node-2422</t>
  </si>
  <si>
    <t>https://github.com/evstack/ev-node/issues/2422</t>
  </si>
  <si>
    <t>gs://swe-bench-plus/evaluations/019b6aa7-0380-771f-9e02-24cda0fe6639-evstack__ev-node-2422-swe-agent-claude-sonnet-4.5</t>
  </si>
  <si>
    <t>https://drive.google.com/drive/folders/1SpHsjfVNPuKF4yMm04SBcACYeIn9QF24</t>
  </si>
  <si>
    <t>ex-actor__ex-actor-68</t>
  </si>
  <si>
    <t>https://github.com/ex-actor/ex-actor/issues/68</t>
  </si>
  <si>
    <t>gs://swe-bench-plus/evaluations/019ad82c-0611-7538-98cc-2fb6debd4467-ex-actor__ex-actor-68-swe-agent-claude-sonnet-4-20250514</t>
  </si>
  <si>
    <t>https://drive.google.com/drive/folders/1_q2c8peBoalgmtyCX-k8SNK_xQ5PtF5g</t>
  </si>
  <si>
    <t>ex-actor/ex-actor</t>
  </si>
  <si>
    <t>ex-actor__ex-actor</t>
  </si>
  <si>
    <t>exospherehost__exospherehost-328</t>
  </si>
  <si>
    <t>https://github.com/exospherehost/exospherehost/issues/328</t>
  </si>
  <si>
    <t>https://drive.google.com/drive/folders/1maJP4gLAbGaJ3_s3YCPYW3WMq7k6RadC</t>
  </si>
  <si>
    <t>https://drive.google.com/drive/folders/14BuGGiJZrgZGJdouSYsOCG0x-lJJyvUm</t>
  </si>
  <si>
    <t>exospherehost/exospherehost</t>
  </si>
  <si>
    <t>exospherehost__exospherehost</t>
  </si>
  <si>
    <t>external-secrets__external-secrets-4875</t>
  </si>
  <si>
    <t>https://github.com/external-secrets/external-secrets/issues/4875</t>
  </si>
  <si>
    <t>https://drive.google.com/drive/folders/1gPtJQu5RYVmZyJToD8CJOj1piIycSU_s</t>
  </si>
  <si>
    <t>https://drive.google.com/drive/folders/16ZTeVgZ7Yn31NcLKJKQv-96-LQhE-THx</t>
  </si>
  <si>
    <t>fabian-beck__pure-suggest-546</t>
  </si>
  <si>
    <t>https://github.com/fabian-beck/pure-suggest/issues/546</t>
  </si>
  <si>
    <t>gs://swe-bench-plus/evaluations/019b6aaf-1788-707e-b6dd-d4dc12d72279-fabian-beck__pure-suggest-546-swe-agent-claude-sonnet-4.5</t>
  </si>
  <si>
    <t>https://drive.google.com/drive/folders/148cu-0zHm9plp7FzLfCEvFnO7nCvG8l4</t>
  </si>
  <si>
    <t>falconry__falcon-2426</t>
  </si>
  <si>
    <t>https://github.com/falconry/falcon/issues/2426</t>
  </si>
  <si>
    <t>https://drive.google.com/drive/folders/18HnjQDhbQpyLr2AwyeN5Hz1mchyjQbtM</t>
  </si>
  <si>
    <t>falconry/falcon</t>
  </si>
  <si>
    <t>falconry__falcon</t>
  </si>
  <si>
    <t>fast-aircraft-design__FAST-OAD-622</t>
  </si>
  <si>
    <t>https://github.com/fast-aircraft-design/FAST-OAD/issues/622</t>
  </si>
  <si>
    <t>https://drive.google.com/drive/folders/1IckyG2nPA4DyQqX1o36-HSsnMKFTPUcS</t>
  </si>
  <si>
    <t>https://drive.google.com/drive/folders/1WV3dS6ochpWKkNPn2AyACGlbVJ6K0Tl2</t>
  </si>
  <si>
    <t>fast-aircraft-design/FAST-OAD</t>
  </si>
  <si>
    <t>fast-aircraft-design__FAST-OAD</t>
  </si>
  <si>
    <t>FasterXML__jackson-databind-4954</t>
  </si>
  <si>
    <t>https://github.com/FasterXML/jackson-databind/issues/4954</t>
  </si>
  <si>
    <t>gs://swe-bench-plus/evaluations/019bc31c-2360-7079-b8da-e850535b9cd1-FasterXML__jackson-databind-4954-swe-agent-claude-sonnet-4.5</t>
  </si>
  <si>
    <t>feast-dev__feast-5036</t>
  </si>
  <si>
    <t>https://github.com/feast-dev/feast/issues/5036</t>
  </si>
  <si>
    <t>https://drive.google.com/drive/folders/12IgMnSofmMQwjYsH_7fnsPBjDrhw2jaY</t>
  </si>
  <si>
    <t>https://drive.google.com/drive/folders/1mtYzm4JqXj2nCul3_EprWmYfIHboNpSZ</t>
  </si>
  <si>
    <t>feast-dev/feast</t>
  </si>
  <si>
    <t>feast-dev__feast</t>
  </si>
  <si>
    <t>feathersjs__feathers-3578</t>
  </si>
  <si>
    <t>https://github.com/feathersjs/feathers/issues/3578</t>
  </si>
  <si>
    <t>https://drive.google.com/drive/folders/1us1DsXmYQYYmPEYH1sZUw5wFfGtDi4L2</t>
  </si>
  <si>
    <t>https://drive.google.com/drive/folders/1mYD7mIeJQQh-i0960NVARjNhOJEkzpIL</t>
  </si>
  <si>
    <t>feathersjs/feathers</t>
  </si>
  <si>
    <t>feathersjs__feathers</t>
  </si>
  <si>
    <t>feature-engine__feature_engine-857</t>
  </si>
  <si>
    <t>https://github.com/feature-engine/feature_engine/issues/857</t>
  </si>
  <si>
    <t>gs://swe-bench-plus/evaluations/019a11d0-17d3-730b-bffc-06f187eef661-feature-engine__feature_engine-857-swe-agent-claude-sonnet-4-20250514</t>
  </si>
  <si>
    <t>https://drive.google.com/drive/folders/1sQ9vcr9gHY1vFd-WDT2jL_9JuP86CF9W</t>
  </si>
  <si>
    <t>feature-engine/feature_engine</t>
  </si>
  <si>
    <t>feature-engine__feature_engine</t>
  </si>
  <si>
    <t>FEniCS__dolfinx-3600</t>
  </si>
  <si>
    <t>https://github.com/FEniCS/dolfinx/issues/3600</t>
  </si>
  <si>
    <t>gs://swe-bench-plus/evaluations/019b323d-4976-7257-b241-47c1f6e33582-FEniCS__dolfinx-3600-swe-agent-claude-sonnet-4.5</t>
  </si>
  <si>
    <t>https://drive.google.com/drive/folders/174xz_XhIp76G8nJxdtuXRWdYtquC8K7c</t>
  </si>
  <si>
    <t>FEniCS/dolfinx</t>
  </si>
  <si>
    <t>FEniCS__dolfinx</t>
  </si>
  <si>
    <t>fiberplane__mcp-lite-151</t>
  </si>
  <si>
    <t>https://github.com/fiberplane/mcp-lite/issues/151</t>
  </si>
  <si>
    <t>gs://swe-bench-plus/evaluations/019c7386-53d5-75df-82fb-8ade9fa70e16-fiberplane__mcp-lite-151-swe-agent-claude-sonnet-4-20250514</t>
  </si>
  <si>
    <t>https://drive.google.com/drive/folders/14wUAmYM0mjlq7nB6np0SEe759pep0Qwz</t>
  </si>
  <si>
    <t>flairNLP__flair-3658</t>
  </si>
  <si>
    <t>https://github.com/flairNLP/flair/issues/3658</t>
  </si>
  <si>
    <t>https://drive.google.com/drive/folders/1jVbAeGkApqRLNxgyDrC31foI0F7XnugP</t>
  </si>
  <si>
    <t>https://drive.google.com/drive/folders/1zZ76vAN2QpwHa5DrssKyUModCo2Gjelu</t>
  </si>
  <si>
    <t>flairNLP/flair</t>
  </si>
  <si>
    <t>flairNLP__flair</t>
  </si>
  <si>
    <t>flowr-analysis__flowr-1961</t>
  </si>
  <si>
    <t>https://github.com/flowr-analysis/flowr/issues/1961</t>
  </si>
  <si>
    <t>gs://swe-bench-plus/evaluations/019b6aa7-0380-771f-9e02-24cda0fe6639-flowr-analysis__flowr-1961-swe-agent-claude-sonnet-4.5</t>
  </si>
  <si>
    <t>https://drive.google.com/drive/folders/1_BMey1IJ6POJYLPnwAtN68H_up2MKopg</t>
  </si>
  <si>
    <t>flowr-analysis/flowr</t>
  </si>
  <si>
    <t>flowr-analysis__flowr</t>
  </si>
  <si>
    <t>fluent__fluentd-4859</t>
  </si>
  <si>
    <t>https://github.com/fluent/fluentd/issues/4859</t>
  </si>
  <si>
    <t>gs://swe-bench-plus/evaluations/019a0e86-7f0e-770f-9e4a-12adf1aee67f-fluent__fluentd-4859-swe-agent-claude-sonnet-4-20250514</t>
  </si>
  <si>
    <t>https://drive.google.com/drive/folders/19vHpWGZz-Xl9iy32NKzsU1HdjA0JDso4</t>
  </si>
  <si>
    <t>fluent/fluentd</t>
  </si>
  <si>
    <t>fluent__fluentd</t>
  </si>
  <si>
    <t>fmtlib__fmt-3892</t>
  </si>
  <si>
    <t>https://github.com/fmtlib/fmt/issues/3892</t>
  </si>
  <si>
    <t>https://drive.google.com/drive/folders/1S-6A1g2WpmTryXMUZX6UC-lPmDW6zkaE</t>
  </si>
  <si>
    <t>https://drive.google.com/drive/folders/1gZ6AVSbgNZBKxkRJyYRcr3Antq9TFfOu</t>
  </si>
  <si>
    <t>fmtlib/fmt</t>
  </si>
  <si>
    <t>fmtlib__fmt</t>
  </si>
  <si>
    <t>forge-42__remix-hook-form-169</t>
  </si>
  <si>
    <t>https://github.com/forge-42/remix-hook-form/issues/169</t>
  </si>
  <si>
    <t>gs://swe-bench-plus/evaluations/019c39f1-ae3c-768b-a366-cc132855f509-forge-42__remix-hook-form-169-swe-agent-claude-sonnet-4-20250514</t>
  </si>
  <si>
    <t>https://drive.google.com/drive/folders/1_lqnDeTpU5HjO1Cu6asBr8qnP_RxR0Ep</t>
  </si>
  <si>
    <t>forge-42/remix-hook-form</t>
  </si>
  <si>
    <t>forge-42__remix-hook-form</t>
  </si>
  <si>
    <t>frankframework__frankframework-8962</t>
  </si>
  <si>
    <t>https://github.com/frankframework/frankframework/issues/8962</t>
  </si>
  <si>
    <t>gs://swe-bench-plus/evaluations/019b6ab1-4e74-7019-9e81-9c96e98a145d-frankframework__frankframework-8962-swe-agent-claude-sonnet-4.5</t>
  </si>
  <si>
    <t>https://drive.google.com/drive/folders/1BlptE0fRQ102HdoEroW1M2mKZFLS_hDG</t>
  </si>
  <si>
    <t>frankframework/frankframework</t>
  </si>
  <si>
    <t>frankframework__frankframework</t>
  </si>
  <si>
    <t>frankframework__frankframework-9829</t>
  </si>
  <si>
    <t>https://github.com/frankframework/frankframework/issues/9829</t>
  </si>
  <si>
    <t>gs://swe-bench-plus/evaluations/019b6ab1-4e74-7019-9e81-9c96e98a145d-frankframework__frankframework-9829-swe-agent-claude-sonnet-4.5</t>
  </si>
  <si>
    <t>https://drive.google.com/drive/folders/1n65X5OBg76JUldi59h5ukwexg6MpzhTH</t>
  </si>
  <si>
    <t>freqtrade__freqtrade-11974</t>
  </si>
  <si>
    <t>https://github.com/freqtrade/freqtrade/issues/11974</t>
  </si>
  <si>
    <t>applications;data-eng;blockchain</t>
  </si>
  <si>
    <t>gs://swe-bench-plus/evaluations/019a8f6e-136c-7345-a414-a1ed9c7f4f2d-freqtrade__freqtrade-11974-open-hands-claude-sonnet-4-20250514</t>
  </si>
  <si>
    <t>fsspec__universal_pathlib-395</t>
  </si>
  <si>
    <t>https://github.com/fsspec/universal_pathlib/issues/395</t>
  </si>
  <si>
    <t>feature;bug-fix;build-ci</t>
  </si>
  <si>
    <t>https://drive.google.com/drive/folders/1t2FaKA5l2dmaDjYqI_Wkv3PAWcZKIrYM</t>
  </si>
  <si>
    <t>https://drive.google.com/drive/folders/1b2EECW3x3vviA35PPv6m99AMMyJwbX7B</t>
  </si>
  <si>
    <t>fsspec/universal_pathlib</t>
  </si>
  <si>
    <t>fsspec__universal_pathlib</t>
  </si>
  <si>
    <t>FuelLabs__fuels-ts-3923</t>
  </si>
  <si>
    <t>https://github.com/FuelLabs/fuels-ts/issues/3923</t>
  </si>
  <si>
    <t>https://drive.google.com/drive/folders/1BCMCNmKXSs2sdsuZLyoVECbtPVT4OMJV</t>
  </si>
  <si>
    <t>FuelLabs/fuels-ts</t>
  </si>
  <si>
    <t>FuelLabs__fuels-ts</t>
  </si>
  <si>
    <t>FuelLabs__fuels-ts-3618</t>
  </si>
  <si>
    <t>https://github.com/FuelLabs/fuels-ts/issues/3618</t>
  </si>
  <si>
    <t>https://drive.google.com/drive/folders/1RQwVjDwZOh1GjTx41RgFXLF8xAkZyrkL</t>
  </si>
  <si>
    <t>gadomski__las-rs-117</t>
  </si>
  <si>
    <t>https://github.com/gadomski/las-rs/issues/117</t>
  </si>
  <si>
    <t>gs://swe-bench-plus/evaluations/019b6aaf-1788-707e-b6dd-d4dc12d72279-gadomski__las-rs-117-swe-agent-claude-sonnet-4.5</t>
  </si>
  <si>
    <t>https://drive.google.com/drive/folders/1Fjrcz2A8pE99GEO3jf6qL1QHQ_nRzQGn</t>
  </si>
  <si>
    <t>gadomski/las-rs</t>
  </si>
  <si>
    <t>gadomski__las-rs</t>
  </si>
  <si>
    <t>gardener__gardener-11655</t>
  </si>
  <si>
    <t>https://github.com/gardener/gardener/issues/11655</t>
  </si>
  <si>
    <t>https://drive.google.com/drive/folders/1Xdh3eYn_o28CyxX-8_Gmm7s_IRdL8CoN</t>
  </si>
  <si>
    <t>gardener/gardener</t>
  </si>
  <si>
    <t>gardener__gardener</t>
  </si>
  <si>
    <t>gavlyukovskiy__spring-boot-data-source-decorator-130</t>
  </si>
  <si>
    <t>https://github.com/gavlyukovskiy/spring-boot-data-source-decorator/issues/130</t>
  </si>
  <si>
    <t>gs://swe-bench-plus/evaluations/019b6aaf-1788-707e-b6dd-d4dc12d72279-gavlyukovskiy__spring-boot-data-source-decorator-130-swe-agent-claude-sonnet-4.5</t>
  </si>
  <si>
    <t>https://drive.google.com/drive/folders/1flEBKsvVbnQ2h69n5GTMYFT_c8lDO8Ud</t>
  </si>
  <si>
    <t>gavlyukovskiy/spring-boot-data-source-decorator</t>
  </si>
  <si>
    <t>gavlyukovskiy__spring-boot-data-source-decorator</t>
  </si>
  <si>
    <t>gchq__sleeper-5261</t>
  </si>
  <si>
    <t>https://github.com/gchq/sleeper/issues/5261</t>
  </si>
  <si>
    <t>https://drive.google.com/drive/folders/1pqyClSVvdFvn5-jCnukjUv8_nYyMFAY5</t>
  </si>
  <si>
    <t>https://drive.google.com/drive/folders/1xA_LfNpc85plOmtQ8V_EkwVXT07u0h1p</t>
  </si>
  <si>
    <t>geopandas__dask-geopandas</t>
  </si>
  <si>
    <t>geopandas__geopandas-3600</t>
  </si>
  <si>
    <t>https://github.com/geopandas/geopandas/issues/3600</t>
  </si>
  <si>
    <t>https://drive.google.com/drive/folders/1cK38I6IpsNmt8H-5fYmRBZNS2vsjSnA-</t>
  </si>
  <si>
    <t>geopandas/geopandas</t>
  </si>
  <si>
    <t>geopandas__geopandas</t>
  </si>
  <si>
    <t>gerlero__foamlib-298</t>
  </si>
  <si>
    <t>https://github.com/gerlero/foamlib/issues/298</t>
  </si>
  <si>
    <t>https://drive.google.com/drive/folders/1YUmirf59OwGqYvod2g9RFZk1jXh6DM1A</t>
  </si>
  <si>
    <t>https://drive.google.com/drive/folders/1vZCzPLVXJ8GvaohEJL9J8SDmw4uEHX7w</t>
  </si>
  <si>
    <t>gerlero/foamlib</t>
  </si>
  <si>
    <t>gerlero__foamlib</t>
  </si>
  <si>
    <t>getmoto__moto-8423</t>
  </si>
  <si>
    <t>https://github.com/getmoto/moto/issues/8423</t>
  </si>
  <si>
    <t>gs://swe-bench-plus/evaluations/019a6f31-ddce-766c-944f-e4445d37996d-getmoto__moto-8423-swe-agent-claude-sonnet-4.5</t>
  </si>
  <si>
    <t>getmoto__moto-8913</t>
  </si>
  <si>
    <t>https://github.com/getmoto/moto/issues/8913</t>
  </si>
  <si>
    <t>gs://swe-bench-plus/evaluations/019a8f6e-136c-7345-a414-a1ed9c7f4f2d-getmoto__moto-8913-open-hands-claude-sonnet-4-20250514</t>
  </si>
  <si>
    <t>getmoto__moto-8436</t>
  </si>
  <si>
    <t>https://github.com/getmoto/moto/issues/8436</t>
  </si>
  <si>
    <t>https://drive.google.com/drive/folders/1uL7KvH8ZTfSQFJ_YdS3uhV11o_rU9iPW</t>
  </si>
  <si>
    <t>getsentry__sentry-go-1033</t>
  </si>
  <si>
    <t>https://github.com/getsentry/sentry-go/issues/1033</t>
  </si>
  <si>
    <t>gs://swe-bench-plus/evaluations/019b6ab1-4e74-7019-9e81-9c96e98a145d-getsentry__sentry-go-1033-swe-agent-claude-sonnet-4.5</t>
  </si>
  <si>
    <t>https://drive.google.com/drive/folders/1-oj6jERByJZD6dOvX_dnvudDOo62_yX-</t>
  </si>
  <si>
    <t>getsentry/sentry-go</t>
  </si>
  <si>
    <t>getsentry__sentry-go</t>
  </si>
  <si>
    <t>getsentry__sentry-python-4143</t>
  </si>
  <si>
    <t>https://github.com/getsentry/sentry-python/issues/4143</t>
  </si>
  <si>
    <t>gs://swe-bench-plus/evaluations/019a11d0-17d3-730b-bffc-06f187eef661-getsentry__sentry-python-4143-swe-agent-claude-sonnet-4-20250514</t>
  </si>
  <si>
    <t>https://drive.google.com/drive/folders/17fqzgOGBCrkBRa5I6XmuTK5pGZ-U7Wic</t>
  </si>
  <si>
    <t>getsentry__sentry-rust-869</t>
  </si>
  <si>
    <t>https://github.com/getsentry/sentry-rust/issues/869</t>
  </si>
  <si>
    <t>gs://swe-bench-plus/evaluations/019a8f58-c516-722e-bb34-fa7546d3155d-getsentry__sentry-rust-869-open-hands-claude-sonnet-4-20250514</t>
  </si>
  <si>
    <t>https://drive.google.com/drive/folders/1XX6Z9x-4CA2rHM8kNwgkuLvviLju2y1q</t>
  </si>
  <si>
    <t>getsentry/sentry-rust</t>
  </si>
  <si>
    <t>getsentry__sentry-rust</t>
  </si>
  <si>
    <t>getsentry__sentry-rust-811</t>
  </si>
  <si>
    <t>https://github.com/getsentry/sentry-rust/issues/811</t>
  </si>
  <si>
    <t>gs://swe-bench-plus/evaluations/019b06bd-e8b8-7239-a811-43270291d9ff-getsentry__sentry-rust-811-swe-agent-claude-sonnet-4.5</t>
  </si>
  <si>
    <t>https://drive.google.com/drive/folders/1yfrOFVJJyyjwg2qH65yTHclRiScPgPFR</t>
  </si>
  <si>
    <t>ghostery__ghostery-extension-2988</t>
  </si>
  <si>
    <t>https://github.com/ghostery/ghostery-extension/issues/2988</t>
  </si>
  <si>
    <t>gs://swe-bench-plus/evaluations/019c24f6-17a2-762a-848c-5d6a38d8a915-ghostery__ghostery-extension-2988-swe-agent-claude-sonnet-4-20250514</t>
  </si>
  <si>
    <t>ghostery/ghostery-extension</t>
  </si>
  <si>
    <t>ghostery__ghostery-extension</t>
  </si>
  <si>
    <t>gilzoide__lua-gdextension-114</t>
  </si>
  <si>
    <t>https://github.com/gilzoide/lua-gdextension/issues/114</t>
  </si>
  <si>
    <t>gs://swe-bench-plus/evaluations/019b6aa7-0380-771f-9e02-24cda0fe6639-gilzoide__lua-gdextension-114-swe-agent-claude-sonnet-4.5</t>
  </si>
  <si>
    <t>https://drive.google.com/drive/folders/1CYTtqORF3_j_mA-KfZ1hAC1ObuQyZ8tj</t>
  </si>
  <si>
    <t>github__github-mcp-server-63</t>
  </si>
  <si>
    <t>https://github.com/github/github-mcp-server/issues/63</t>
  </si>
  <si>
    <t>https://drive.google.com/drive/folders/1Fo_QV73CRCCg8c8_IpozSmWZ0DzLJ0TY</t>
  </si>
  <si>
    <t>https://drive.google.com/drive/folders/1zL5M_OqUlJiWbLyg9Gpc2zsd-yR-szaK</t>
  </si>
  <si>
    <t>github/github-mcp-server</t>
  </si>
  <si>
    <t>github__github-mcp-server</t>
  </si>
  <si>
    <t>github__github-mcp-server-869</t>
  </si>
  <si>
    <t>https://github.com/github/github-mcp-server/issues/869</t>
  </si>
  <si>
    <t>https://drive.google.com/drive/folders/1KEO_yRptk4k2XxEqhOaErPFVNwqXnmST</t>
  </si>
  <si>
    <t>https://drive.google.com/drive/folders/15bR9wKCPPkKXzNX568pg2xpt_E_8mrpS</t>
  </si>
  <si>
    <t>github__github-mcp-server-774</t>
  </si>
  <si>
    <t>https://github.com/github/github-mcp-server/issues/774</t>
  </si>
  <si>
    <t>https://drive.google.com/drive/folders/1k7XeSIiVsTQ2pDoftRy1Mu9V4vp0vgWA</t>
  </si>
  <si>
    <t>https://drive.google.com/drive/folders/1aGlFU0N_ZdwOupBq_okEC0z3EsHTPxvt</t>
  </si>
  <si>
    <t>githubnext__gh-aw-114</t>
  </si>
  <si>
    <t>https://github.com/githubnext/gh-aw/issues/114</t>
  </si>
  <si>
    <t>gs://swe-bench-plus/evaluations/019b0886-0f4d-757e-a2e5-c06041eabbaf-githubnext__gh-aw-114-swe-agent-claude-sonnet-4.5</t>
  </si>
  <si>
    <t>https://drive.google.com/drive/folders/1VJwTzzT58giGL1Td-jP2ROD2ZfUsVKmi</t>
  </si>
  <si>
    <t>githubnext__gh-aw-827</t>
  </si>
  <si>
    <t>https://github.com/githubnext/gh-aw/issues/827</t>
  </si>
  <si>
    <t>gs://swe-bench-plus/evaluations/019b0886-0f4d-757e-a2e5-c06041eabbaf-githubnext__gh-aw-827-swe-agent-claude-sonnet-4.5</t>
  </si>
  <si>
    <t>https://drive.google.com/drive/folders/1SRFc_PvPxVjMJGMUogvtKfClEIEOgZHz</t>
  </si>
  <si>
    <t>gitlabform__gitlabform-1016</t>
  </si>
  <si>
    <t>https://github.com/gitlabform/gitlabform/issues/1016</t>
  </si>
  <si>
    <t>gs://swe-bench-plus/evaluations/019ac57e-f665-72ea-8d22-b2c491531db5-gitlabform__gitlabform-1016-open-hands-claude-sonnet-4-20250514</t>
  </si>
  <si>
    <t>https://drive.google.com/drive/folders/1zft46I19FnaR1Tmxwjcylbb9rQdguuu2</t>
  </si>
  <si>
    <t>gitlabform/gitlabform</t>
  </si>
  <si>
    <t>gitlabform__gitlabform</t>
  </si>
  <si>
    <t>gittower__git-flow-next-29</t>
  </si>
  <si>
    <t>https://github.com/gittower/git-flow-next/issues/29</t>
  </si>
  <si>
    <t>gs://swe-bench-plus/evaluations/019b6ab1-4e74-7019-9e81-9c96e98a145d-gittower__git-flow-next-29-swe-agent-claude-sonnet-4.5</t>
  </si>
  <si>
    <t>https://drive.google.com/drive/folders/19gkF_TA4mZTStfhqLKWj29JKkKS058Iz</t>
  </si>
  <si>
    <t>gittower/git-flow-next</t>
  </si>
  <si>
    <t>gittower__git-flow-next</t>
  </si>
  <si>
    <t>gleam-lang__gleam-4576</t>
  </si>
  <si>
    <t>https://github.com/gleam-lang/gleam/issues/4576</t>
  </si>
  <si>
    <t>gs://swe-bench-plus/evaluations/019ad82c-4054-73b2-bb2d-8aeb78d3d8fa-gleam-lang__gleam-4576-swe-agent-claude-sonnet-4-20250514</t>
  </si>
  <si>
    <t>https://drive.google.com/drive/folders/1Rf2kfiXCSOlpi0CW4HOTOkb83rzMT2NA</t>
  </si>
  <si>
    <t>glu-lang__glu-497</t>
  </si>
  <si>
    <t>https://github.com/glu-lang/glu/issues/497</t>
  </si>
  <si>
    <t>gs://swe-bench-plus/evaluations/019b06b8-5347-7669-9f51-4e4681f5c848-glu-lang__glu-497-swe-agent-claude-sonnet-4.5</t>
  </si>
  <si>
    <t>https://drive.google.com/drive/folders/15WSPzqY8Qe8HOzP2nviGfXk9bLf5i36g</t>
  </si>
  <si>
    <t>glu-lang__glu-602</t>
  </si>
  <si>
    <t>https://github.com/glu-lang/glu/issues/602</t>
  </si>
  <si>
    <t>gs://swe-bench-plus/evaluations/019b06b8-5347-7669-9f51-4e4681f5c848-glu-lang__glu-602-swe-agent-claude-sonnet-4.5</t>
  </si>
  <si>
    <t>https://drive.google.com/drive/folders/1Q5dY8KPiuuDizCj6ZI3m5y-nB0A0ZhIR</t>
  </si>
  <si>
    <t>go-resty__resty-943</t>
  </si>
  <si>
    <t>https://github.com/go-resty/resty/issues/943</t>
  </si>
  <si>
    <t>https://drive.google.com/drive/folders/1eV7WOxe5ouJy1fFB9vz2sYL0lxoSUX6L</t>
  </si>
  <si>
    <t>https://drive.google.com/drive/folders/1pHWVfF8KI-xHRpZ_NoC77tZfmXyIW1ZI</t>
  </si>
  <si>
    <t>golevelup__nestjs-1056</t>
  </si>
  <si>
    <t>https://github.com/golevelup/nestjs/issues/1056</t>
  </si>
  <si>
    <t>https://drive.google.com/drive/folders/1qc5g3X8p-rIrnNgrIRAyG7dw9h8bcavr</t>
  </si>
  <si>
    <t>https://drive.google.com/drive/folders/1DY5zmSCGE5Lydln6UrQB5GTTHbg4Pnpa</t>
  </si>
  <si>
    <t>golevelup/nestjs</t>
  </si>
  <si>
    <t>golevelup__nestjs</t>
  </si>
  <si>
    <t>google__benchmark-1967</t>
  </si>
  <si>
    <t>https://github.com/google/benchmark/issues/1967</t>
  </si>
  <si>
    <t>gs://swe-bench-plus/evaluations/019b6aa7-0380-771f-9e02-24cda0fe6639-google__benchmark-1967-swe-agent-claude-sonnet-4.5</t>
  </si>
  <si>
    <t>https://drive.google.com/drive/folders/1ftCaJrIqidY3zLpeXJwmWWjau46J_Fst</t>
  </si>
  <si>
    <t>google__go-github-3607</t>
  </si>
  <si>
    <t>https://github.com/google/go-github/issues/3607</t>
  </si>
  <si>
    <t>https://drive.google.com/drive/folders/1mMshfyalnKAlNLUjDP_yq9wgkaV5L4ai</t>
  </si>
  <si>
    <t>https://drive.google.com/drive/folders/1LzS73KEQTfjNhHnhzc8hSP6ESjPBD93u</t>
  </si>
  <si>
    <t>google/go-github</t>
  </si>
  <si>
    <t>google__go-github</t>
  </si>
  <si>
    <t>google__site-kit-wp-9689</t>
  </si>
  <si>
    <t>https://github.com/google/site-kit-wp/issues/9689</t>
  </si>
  <si>
    <t>gs://swe-bench-plus/evaluations/019b6aaf-1788-707e-b6dd-d4dc12d72279-google__site-kit-wp-9689-swe-agent-claude-sonnet-4.5</t>
  </si>
  <si>
    <t>https://drive.google.com/drive/folders/1nXHB8jH_GyQTBag8zcZ8C4TYou5xO859</t>
  </si>
  <si>
    <t>google__site-kit-wp-9750</t>
  </si>
  <si>
    <t>https://github.com/google/site-kit-wp/issues/9750</t>
  </si>
  <si>
    <t>gs://swe-bench-plus/evaluations/019b6aaf-1788-707e-b6dd-d4dc12d72279-google__site-kit-wp-9750-swe-agent-claude-sonnet-4.5</t>
  </si>
  <si>
    <t>https://drive.google.com/drive/folders/1isq5YPd2gNgJJwl8b5UfnaYSP-XYTerm</t>
  </si>
  <si>
    <t>googleads__google-ads-dotnet-583</t>
  </si>
  <si>
    <t>https://github.com/googleads/google-ads-dotnet/issues/583</t>
  </si>
  <si>
    <t>gs://swe-bench-plus/evaluations/019b6aa7-0380-771f-9e02-24cda0fe6639-googleads__google-ads-dotnet-583-swe-agent-claude-sonnet-4.5</t>
  </si>
  <si>
    <t>https://drive.google.com/drive/folders/1ho7A2BQeQD8XZASQDfLteBALBj-NcG7x</t>
  </si>
  <si>
    <t>googleads/google-ads-dotnet</t>
  </si>
  <si>
    <t>googleads__google-ads-dotnet</t>
  </si>
  <si>
    <t>googleapis__gcp-metadata-604</t>
  </si>
  <si>
    <t>https://github.com/googleapis/gcp-metadata/issues/604</t>
  </si>
  <si>
    <t>gs://swe-bench-plus/evaluations/019b6aaf-1788-707e-b6dd-d4dc12d72279-googleapis__gcp-metadata-604-swe-agent-claude-sonnet-4.5</t>
  </si>
  <si>
    <t>https://drive.google.com/drive/folders/1VmelHwf-Irmj9C1r1Bwn-HUmSl6FvvEL</t>
  </si>
  <si>
    <t>googleapis/gcp-metadata</t>
  </si>
  <si>
    <t>googleapis__gcp-metadata</t>
  </si>
  <si>
    <t>googleapis__go-sql-spanner-336</t>
  </si>
  <si>
    <t>https://github.com/googleapis/go-sql-spanner/issues/336</t>
  </si>
  <si>
    <t>gs://swe-bench-plus/evaluations/019b6aa7-0380-771f-9e02-24cda0fe6639-googleapis__go-sql-spanner-336-swe-agent-claude-sonnet-4.5</t>
  </si>
  <si>
    <t>https://drive.google.com/drive/folders/1Ncfxhn9Qua0Arx9uQ2KWQ4z-OHTkSZkQ</t>
  </si>
  <si>
    <t>googleapis__java-spanner-3612</t>
  </si>
  <si>
    <t>https://github.com/googleapis/java-spanner/issues/3612</t>
  </si>
  <si>
    <t>gs://swe-bench-plus/evaluations/019bc793-e669-7019-a196-00e47f245ddc-googleapis__java-spanner-3612-swe-agent-claude-sonnet-4.5</t>
  </si>
  <si>
    <t>googleapis/java-spanner</t>
  </si>
  <si>
    <t>googleapis__java-spanner</t>
  </si>
  <si>
    <t>GoogleContainerTools__skaffold-9182</t>
  </si>
  <si>
    <t>https://github.com/GoogleContainerTools/skaffold/issues/9182</t>
  </si>
  <si>
    <t>https://drive.google.com/drive/folders/1zeONPX2YKu3Z3TfAqzO817icBk8ePmMD</t>
  </si>
  <si>
    <t>https://drive.google.com/drive/folders/1xiQMYXbC5MJUzdRQs02isPpjQUAxMbgf</t>
  </si>
  <si>
    <t>GoogleContainerTools/skaffold</t>
  </si>
  <si>
    <t>GoogleContainerTools__skaffold</t>
  </si>
  <si>
    <t>goravel__framework-1105</t>
  </si>
  <si>
    <t>https://github.com/goravel/framework/issues/1105</t>
  </si>
  <si>
    <t>gs://swe-bench-plus/evaluations/019b6ab1-4e74-7019-9e81-9c96e98a145d-goravel__framework-1105-swe-agent-claude-sonnet-4.5</t>
  </si>
  <si>
    <t>https://drive.google.com/drive/folders/1gxD7DkqJA8k0r18g-fzcO0VCe75q49w5</t>
  </si>
  <si>
    <t>goravel/framework</t>
  </si>
  <si>
    <t>goravel__framework</t>
  </si>
  <si>
    <t>grafana__alloy-3458</t>
  </si>
  <si>
    <t>https://github.com/grafana/alloy/issues/3458</t>
  </si>
  <si>
    <t>https://drive.google.com/drive/folders/13fIHLZl6hdaLUw7p6Z64jFyk2MazT_qq</t>
  </si>
  <si>
    <t>https://drive.google.com/drive/folders/1slLRJTB-gEkXvQ7Plc-6WYN276p3cnjH</t>
  </si>
  <si>
    <t>gravitational__teleport-56110</t>
  </si>
  <si>
    <t>https://github.com/gravitational/teleport/issues/56110</t>
  </si>
  <si>
    <t>https://drive.google.com/drive/folders/1u2qFvILFhERbdbcUyp8KVS9pvgUJVEXR</t>
  </si>
  <si>
    <t>https://drive.google.com/drive/folders/139JDQ4CIIHyVG2bsUerFmg0F-wgrhi60</t>
  </si>
  <si>
    <t>gravitational/teleport</t>
  </si>
  <si>
    <t>gravitational__teleport</t>
  </si>
  <si>
    <t>grpc__grpc-java-10550</t>
  </si>
  <si>
    <t>https://github.com/grpc/grpc-java/issues/10550</t>
  </si>
  <si>
    <t>https://drive.google.com/drive/folders/17Jw_4susSocNo74FogQEqLqPrNwU2LHe</t>
  </si>
  <si>
    <t>hamba__avro-491</t>
  </si>
  <si>
    <t>https://github.com/hamba/avro/issues/491</t>
  </si>
  <si>
    <t>gs://swe-bench-plus/evaluations/019b0886-0f4d-757e-a2e5-c06041eabbaf-hamba__avro-491-swe-agent-claude-sonnet-4.5</t>
  </si>
  <si>
    <t>https://drive.google.com/drive/folders/1GfZUZM9g5qpBHo8EcM5RWv1_2WJF0Uiz</t>
  </si>
  <si>
    <t>hamba/avro</t>
  </si>
  <si>
    <t>hamba__avro</t>
  </si>
  <si>
    <t>hapifhir__hapi-fhir-7403</t>
  </si>
  <si>
    <t>https://github.com/hapifhir/hapi-fhir/issues/7403</t>
  </si>
  <si>
    <t>webdev;devtools;applications</t>
  </si>
  <si>
    <t>gs://swe-bench-plus/evaluations/019bd2bf-00de-723c-8b2d-1d9d8c821830-hapifhir__hapi-fhir-7403-swe-agent-claude-sonnet-4-20250514</t>
  </si>
  <si>
    <t>https://drive.google.com/drive/folders/1zONzPN_A39B7QnolSaHeijIlM6M5dLJe</t>
  </si>
  <si>
    <t>hapifhir/hapi-fhir</t>
  </si>
  <si>
    <t>hapifhir__hapi-fhir</t>
  </si>
  <si>
    <t>hashicorp__terraform-36316</t>
  </si>
  <si>
    <t>https://github.com/hashicorp/terraform/issues/36316</t>
  </si>
  <si>
    <t>https://drive.google.com/drive/folders/15JQ45TQHSaIzaFBOtXLJWrOYxqWBFQcP</t>
  </si>
  <si>
    <t>https://drive.google.com/drive/folders/1ZRS7FjjUEVZ0k88pOzf6vf1xXkEbkH8x</t>
  </si>
  <si>
    <t>hashicorp/terraform</t>
  </si>
  <si>
    <t>hashicorp__terraform</t>
  </si>
  <si>
    <t>Hexastack__Hexabot-844</t>
  </si>
  <si>
    <t>https://github.com/Hexastack/Hexabot/issues/844</t>
  </si>
  <si>
    <t>gs://swe-bench-plus/evaluations/019c66b2-2d90-7260-9966-4e0d0d7a99cf-Hexastack__Hexabot-844-swe-agent-claude-sonnet-4-20250514</t>
  </si>
  <si>
    <t>https://drive.google.com/drive/folders/1c06gduXOB_4y4Hyi22JL_3XS-SNX4vVm</t>
  </si>
  <si>
    <t>Hexastack/Hexabot</t>
  </si>
  <si>
    <t>Hexastack__Hexabot</t>
  </si>
  <si>
    <t>hiero-ledger__hiero-sdk-js-3480</t>
  </si>
  <si>
    <t>https://github.com/hiero-ledger/hiero-sdk-js/issues/3480</t>
  </si>
  <si>
    <t>gs://swe-bench-plus/evaluations/019c66b4-eabc-7558-9200-0cb1aa23d63b-hiero-ledger__hiero-sdk-js-3480-swe-agent-claude-sonnet-4-20250514</t>
  </si>
  <si>
    <t>https://drive.google.com/drive/folders/1rKZPOmm1UPEYusHRYFVaaHjT_7kCgkNa</t>
  </si>
  <si>
    <t>holoviz__panel-7774</t>
  </si>
  <si>
    <t>https://github.com/holoviz/panel/issues/7774</t>
  </si>
  <si>
    <t>https://drive.google.com/drive/folders/1RQGARaRXGVNz1BDqWqMdLN320oClXBIS</t>
  </si>
  <si>
    <t>https://drive.google.com/drive/folders/1ZumfEdildJnkXa93Vvd8A5M9Kr6yVVBq</t>
  </si>
  <si>
    <t>holoviz__param-1023</t>
  </si>
  <si>
    <t>https://github.com/holoviz/param/issues/1023</t>
  </si>
  <si>
    <t>gs://swe-bench-plus/evaluations/019ac57e-f665-72ea-8d22-b2c491531db5-holoviz__param-1023-open-hands-claude-sonnet-4-20250514</t>
  </si>
  <si>
    <t>https://drive.google.com/drive/folders/1BIZjCku0_ys179-hqKpJorKYYSwslDfO</t>
  </si>
  <si>
    <t>holoviz/param</t>
  </si>
  <si>
    <t>holoviz__param</t>
  </si>
  <si>
    <t>huggingface__smolagents-281</t>
  </si>
  <si>
    <t>https://github.com/huggingface/smolagents/issues/281</t>
  </si>
  <si>
    <t>https://drive.google.com/drive/folders/1k83zeOsXrMrv-CikkF0iQI5w9Ku-Hszk</t>
  </si>
  <si>
    <t>https://drive.google.com/drive/folders/1uomv--j8ex_-BXmTvV36gsEdAtGPyd3u</t>
  </si>
  <si>
    <t>huggingface/smolagents</t>
  </si>
  <si>
    <t>huggingface__smolagents</t>
  </si>
  <si>
    <t>huggingface__transformers-40562</t>
  </si>
  <si>
    <t>https://github.com/huggingface/transformers/issues/40562</t>
  </si>
  <si>
    <t>https://drive.google.com/drive/folders/1WlNkzY9G9otekh7uYLqN_3EvJw2b3eG_</t>
  </si>
  <si>
    <t>https://drive.google.com/drive/folders/1VXcohcJpvNUIwALe_qKAYP-hRyHR1yqv</t>
  </si>
  <si>
    <t>huggingface/transformers</t>
  </si>
  <si>
    <t>huggingface__transformers</t>
  </si>
  <si>
    <t>huggingface__trl-2650</t>
  </si>
  <si>
    <t>https://github.com/huggingface/trl/issues/2650</t>
  </si>
  <si>
    <t>https://drive.google.com/drive/folders/177H3snhVJeCu9DumybJD2ceuffs2r9eD</t>
  </si>
  <si>
    <t>huggingface/trl</t>
  </si>
  <si>
    <t>huggingface__trl</t>
  </si>
  <si>
    <t>iansinnott__react-string-replace-91</t>
  </si>
  <si>
    <t>https://github.com/iansinnott/react-string-replace/issues/91</t>
  </si>
  <si>
    <t>gs://swe-bench-plus/evaluations/019c24f4-30e3-70ea-b7f0-117807b87851-iansinnott__react-string-replace-91-swe-agent-claude-sonnet-4.5</t>
  </si>
  <si>
    <t>https://drive.google.com/drive/folders/1G7dNKTFL-ZFVtxt1xhEugz4_3Y8lBFhA</t>
  </si>
  <si>
    <t>iansinnott/react-string-replace</t>
  </si>
  <si>
    <t>iansinnott__react-string-replace</t>
  </si>
  <si>
    <t>idanarye__rust-typed-builder-160</t>
  </si>
  <si>
    <t>https://github.com/idanarye/rust-typed-builder/issues/160</t>
  </si>
  <si>
    <t>gs://swe-bench-plus/evaluations/019b6aaf-1788-707e-b6dd-d4dc12d72279-idanarye__rust-typed-builder-160-swe-agent-claude-sonnet-4.5</t>
  </si>
  <si>
    <t>https://drive.google.com/drive/folders/16ktWRxwl2n4mSrwMQ1TR3R8GdCNSJUNp</t>
  </si>
  <si>
    <t>idanarye/rust-typed-builder</t>
  </si>
  <si>
    <t>idanarye__rust-typed-builder</t>
  </si>
  <si>
    <t>Infleqtion__client-superstaq-1017</t>
  </si>
  <si>
    <t>https://github.com/Infleqtion/client-superstaq/issues/1017</t>
  </si>
  <si>
    <t>https://drive.google.com/drive/folders/13PDYlpgw7l4hLCoQfWIanI6Uxh7sZ-mu</t>
  </si>
  <si>
    <t>https://drive.google.com/drive/folders/1HGmz51CGha51jdP6JdDutfCs1BPomP67</t>
  </si>
  <si>
    <t>Infleqtion/client-superstaq</t>
  </si>
  <si>
    <t>Infleqtion__client-superstaq</t>
  </si>
  <si>
    <t>influxdata__influxdb-26088</t>
  </si>
  <si>
    <t>https://github.com/influxdata/influxdb/issues/26088</t>
  </si>
  <si>
    <t>infra-devops;data-eng;devtools</t>
  </si>
  <si>
    <t>https://drive.google.com/drive/folders/1DMpXSfO23pAr-ia16yV4BAo3Lxxq1sYE</t>
  </si>
  <si>
    <t>https://drive.google.com/drive/folders/1Bug-1uZC2QtgZYUHdCTbmY6JAAudBRz_</t>
  </si>
  <si>
    <t>influxdata__influxdb-25762</t>
  </si>
  <si>
    <t>https://github.com/influxdata/influxdb/issues/25762</t>
  </si>
  <si>
    <t>https://drive.google.com/drive/folders/1h24m0ljD3lubnSXpy-GpRSerRL72HLTt</t>
  </si>
  <si>
    <t>https://drive.google.com/drive/folders/127pAHkkHdNSlse8z8zR3nNGO58vrVRv4</t>
  </si>
  <si>
    <t>influxdata__telegraf-16030</t>
  </si>
  <si>
    <t>https://github.com/influxdata/telegraf/issues/16030</t>
  </si>
  <si>
    <t>gs://swe-bench-plus/evaluations/019a9c59-60ac-726c-a409-57ec3ba781b9-influxdata__telegraf-16030-swe-agent-claude-sonnet-4-20250514</t>
  </si>
  <si>
    <t>https://drive.google.com/drive/folders/1A_TcF8wrK8q8GH-eoYskjOPRIYzkhQE-</t>
  </si>
  <si>
    <t>influxdata/telegraf</t>
  </si>
  <si>
    <t>influxdata__telegraf</t>
  </si>
  <si>
    <t>influxdata__telegraf-16066</t>
  </si>
  <si>
    <t>https://github.com/influxdata/telegraf/issues/16066</t>
  </si>
  <si>
    <t>https://drive.google.com/drive/folders/1H4JrS8E89NxtEuCdPaSZuy4Eg5PTv902</t>
  </si>
  <si>
    <t>https://drive.google.com/drive/folders/1-JYKrvmz9chWXMNfPCHRRzlQGLMl7NOI</t>
  </si>
  <si>
    <t>inspectIT__inspectit-ocelot-1730</t>
  </si>
  <si>
    <t>https://github.com/inspectIT/inspectit-ocelot/issues/1730</t>
  </si>
  <si>
    <t>gs://swe-bench-plus/evaluations/019bc794-37db-7668-96b7-98997dff752e-inspectIT__inspectit-ocelot-1730-swe-agent-claude-sonnet-4-20250514</t>
  </si>
  <si>
    <t>https://drive.google.com/drive/folders/1gKRIsTKM02iHpArQggQisU9XxEXq4ycC</t>
  </si>
  <si>
    <t>intellectronica__ruler-188</t>
  </si>
  <si>
    <t>https://github.com/intellectronica/ruler/issues/188</t>
  </si>
  <si>
    <t>gs://swe-bench-plus/evaluations/019c66b2-2d90-7260-9966-4e0d0d7a99cf-intellectronica__ruler-188-swe-agent-claude-sonnet-4-20250514</t>
  </si>
  <si>
    <t>https://drive.google.com/drive/folders/1xqYRIjkxcuqYmw4yBdGxY23UKE2W89-W</t>
  </si>
  <si>
    <t>internetarchive__heritrix3-656</t>
  </si>
  <si>
    <t>https://github.com/internetarchive/heritrix3/issues/656</t>
  </si>
  <si>
    <t>gs://swe-bench-plus/evaluations/019c8593-288e-768a-aabd-9e1d168a9a7f-internetarchive__heritrix3-656-swe-agent-claude-sonnet-4-20250514</t>
  </si>
  <si>
    <t>https://drive.google.com/drive/folders/1zWmIQQhyvB_yg_bCMzWH0N-RoF0HM2Qb</t>
  </si>
  <si>
    <t>internetarchive/heritrix3</t>
  </si>
  <si>
    <t>internetarchive__heritrix3</t>
  </si>
  <si>
    <t>ipfs__kubo-10699</t>
  </si>
  <si>
    <t>https://github.com/ipfs/kubo/issues/10699</t>
  </si>
  <si>
    <t>https://drive.google.com/drive/folders/1fAWMkctTfE68DejtI_6wPXp7f7DZmj_1</t>
  </si>
  <si>
    <t>https://drive.google.com/drive/folders/13sUCe9byXx7140fm4RN1mZlPQFwjgHtI</t>
  </si>
  <si>
    <t>ipfs/kubo</t>
  </si>
  <si>
    <t>ipfs__kubo</t>
  </si>
  <si>
    <t>ipfs__kubo-10896</t>
  </si>
  <si>
    <t>https://github.com/ipfs/kubo/issues/10896</t>
  </si>
  <si>
    <t>https://drive.google.com/drive/folders/1WG8oGGEXuL_JNLIFLmE_NtPQZzjTG0AC</t>
  </si>
  <si>
    <t>https://drive.google.com/drive/folders/1XiqeesLo-63tVkli7ygSm07X42uKd95z</t>
  </si>
  <si>
    <t>itzg__mc-image-helper-571</t>
  </si>
  <si>
    <t>https://github.com/itzg/mc-image-helper/issues/571</t>
  </si>
  <si>
    <t>gs://swe-bench-plus/evaluations/019b6ab1-4e74-7019-9e81-9c96e98a145d-itzg__mc-image-helper-571-swe-agent-claude-sonnet-4.5</t>
  </si>
  <si>
    <t>https://drive.google.com/drive/folders/1DJv0DnXtdutZcf2WJ_seZ14-zJpKw8FW</t>
  </si>
  <si>
    <t>itzg/mc-image-helper</t>
  </si>
  <si>
    <t>itzg__mc-image-helper</t>
  </si>
  <si>
    <t>iver56__audiomentations-385</t>
  </si>
  <si>
    <t>https://github.com/iver56/audiomentations/issues/385</t>
  </si>
  <si>
    <t>graphics-media;ai-ml</t>
  </si>
  <si>
    <t>https://drive.google.com/drive/folders/1fD0yYRU7uwMJ96wf9it-m-UKtMupFP-9</t>
  </si>
  <si>
    <t>https://drive.google.com/drive/folders/1ryH0tLn8HWsWAJa8rLOtIG9iLKWR0Dt1</t>
  </si>
  <si>
    <t>iver56/audiomentations</t>
  </si>
  <si>
    <t>iver56__audiomentations</t>
  </si>
  <si>
    <t>ivo-toby__mcp-openapi-server-65</t>
  </si>
  <si>
    <t>https://github.com/ivo-toby/mcp-openapi-server/issues/65</t>
  </si>
  <si>
    <t>gs://swe-bench-plus/evaluations/019c7387-769d-7229-8870-d94df44ef198-ivo-toby__mcp-openapi-server-65-swe-agent-claude-sonnet-4.5</t>
  </si>
  <si>
    <t>https://drive.google.com/drive/folders/1h7MQSWZSxAD2C9wBOsY00v1ct5ReM_Ie</t>
  </si>
  <si>
    <t>Ivy-Interactive__Ivy-Framework-221</t>
  </si>
  <si>
    <t>https://github.com/Ivy-Interactive/Ivy-Framework/issues/221</t>
  </si>
  <si>
    <t>webdev;ai-ml;applications</t>
  </si>
  <si>
    <t>gs://swe-bench-plus/evaluations/019b6aa7-0380-771f-9e02-24cda0fe6639-Ivy-Interactive__Ivy-Framework-221-swe-agent-claude-sonnet-4.5</t>
  </si>
  <si>
    <t>https://drive.google.com/drive/folders/1MMrjY-eOP7QEvB_YNJ27PpyEZdzWq_W5</t>
  </si>
  <si>
    <t>Ivy-Interactive/Ivy-Framework</t>
  </si>
  <si>
    <t>Ivy-Interactive__Ivy-Framework</t>
  </si>
  <si>
    <t>j4k0xb__webcrack-51</t>
  </si>
  <si>
    <t>https://github.com/j4k0xb/webcrack/issues/51</t>
  </si>
  <si>
    <t>https://drive.google.com/drive/folders/1B2VsDKeoWw_sNRoK2W6bLcQZr8kNamn9</t>
  </si>
  <si>
    <t>https://drive.google.com/drive/folders/1Ew5WPIr5xl045tAmfsKhDJ1U_ohXd1GF</t>
  </si>
  <si>
    <t>j4k0xb/webcrack</t>
  </si>
  <si>
    <t>j4k0xb__webcrack</t>
  </si>
  <si>
    <t>javaparser__javaparser-4874</t>
  </si>
  <si>
    <t>https://github.com/javaparser/javaparser/issues/4874</t>
  </si>
  <si>
    <t>https://drive.google.com/drive/folders/1X_Hvt7A22QPGuqFZCCul8ZULA9kWb8fG</t>
  </si>
  <si>
    <t>https://drive.google.com/drive/folders/14ljwjKo3AZ86rixCk-qyBzvTtMYFg3Rv</t>
  </si>
  <si>
    <t>javaparser/javaparser</t>
  </si>
  <si>
    <t>javaparser__javaparser</t>
  </si>
  <si>
    <t>jbloomAus__SAELens-541</t>
  </si>
  <si>
    <t>https://github.com/jbloomAus/SAELens/issues/541</t>
  </si>
  <si>
    <t>gs://swe-bench-plus/evaluations/019ac57e-f665-72ea-8d22-b2c491531db5-jbloomAus__SAELens-541-open-hands-claude-sonnet-4-20250514</t>
  </si>
  <si>
    <t>https://drive.google.com/drive/folders/1avC47zybXLnqCY1xFZ_SZQYx4iZOKKhN</t>
  </si>
  <si>
    <t>jbloomAus/SAELens</t>
  </si>
  <si>
    <t>jbloomAus__SAELens</t>
  </si>
  <si>
    <t>jborgers__sonar-pmd-499</t>
  </si>
  <si>
    <t>https://github.com/jborgers/sonar-pmd/issues/499</t>
  </si>
  <si>
    <t>gs://swe-bench-plus/evaluations/019bcd77-2925-7748-82f0-eda561be7006-jborgers__sonar-pmd-499-swe-agent-claude-sonnet-4.5</t>
  </si>
  <si>
    <t>https://drive.google.com/drive/folders/1vmzPdZmmA-M47QV9Pj1H18Nw4ToGkNUH</t>
  </si>
  <si>
    <t>jborgers/sonar-pmd</t>
  </si>
  <si>
    <t>jborgers__sonar-pmd</t>
  </si>
  <si>
    <t>jelmer__dulwich-1558</t>
  </si>
  <si>
    <t>https://github.com/jelmer/dulwich/issues/1558</t>
  </si>
  <si>
    <t>https://drive.google.com/drive/folders/1I1s2BjpU4kAi9kNnzMxexa0nJhRTy-xd</t>
  </si>
  <si>
    <t>https://drive.google.com/drive/folders/1wMS8gq3MLIoQWd15XqP0riGYZKrCOXQR</t>
  </si>
  <si>
    <t>jeremy-rifkin__cpptrace-265</t>
  </si>
  <si>
    <t>https://github.com/jeremy-rifkin/cpptrace/issues/265</t>
  </si>
  <si>
    <t>gs://swe-bench-plus/evaluations/019b06b8-5347-7669-9f51-4e4681f5c848-jeremy-rifkin__cpptrace-265-swe-agent-claude-sonnet-4.5</t>
  </si>
  <si>
    <t>https://drive.google.com/drive/folders/1ucPoaFuhaXJLmdkiQr01EGaGFAlKkzHS</t>
  </si>
  <si>
    <t>jeremy-rifkin/cpptrace</t>
  </si>
  <si>
    <t>jeremy-rifkin__cpptrace</t>
  </si>
  <si>
    <t>jlblancoc__nanoflann-217</t>
  </si>
  <si>
    <t>https://github.com/jlblancoc/nanoflann/issues/217</t>
  </si>
  <si>
    <t>https://drive.google.com/drive/folders/1Senr1Tyh0wFoM3gRiwSZ-we39lvmY4Uw</t>
  </si>
  <si>
    <t>jlblancoc/nanoflann</t>
  </si>
  <si>
    <t>jlblancoc__nanoflann</t>
  </si>
  <si>
    <t>jlowin__fastmcp-509</t>
  </si>
  <si>
    <t>https://github.com/jlowin/fastmcp/issues/509</t>
  </si>
  <si>
    <t>https://drive.google.com/drive/folders/1IgPjJZpGclmz3Mdk7WqreKQiwXEpLqrl</t>
  </si>
  <si>
    <t>https://drive.google.com/drive/folders/1pgpD_he6dRdWWjsBFv-6UFWLROcP2HuR</t>
  </si>
  <si>
    <t>joelittlejohn__jsonschema2pojo-1771</t>
  </si>
  <si>
    <t>https://github.com/joelittlejohn/jsonschema2pojo/issues/1771</t>
  </si>
  <si>
    <t>gs://swe-bench-plus/evaluations/019c8593-288e-768a-aabd-9e1d168a9a7f-joelittlejohn__jsonschema2pojo-1771-swe-agent-claude-sonnet-4-20250514</t>
  </si>
  <si>
    <t>https://drive.google.com/drive/folders/1OGpvSyUg4FMsfO24g_OkVgVyp-P4i1xc</t>
  </si>
  <si>
    <t>joelittlejohn/jsonschema2pojo</t>
  </si>
  <si>
    <t>joelittlejohn__jsonschema2pojo</t>
  </si>
  <si>
    <t>joerdav__xc-140</t>
  </si>
  <si>
    <t>https://github.com/joerdav/xc/issues/140</t>
  </si>
  <si>
    <t>gs://swe-bench-plus/evaluations/019b6aa7-0380-771f-9e02-24cda0fe6639-joerdav__xc-140-swe-agent-claude-sonnet-4.5</t>
  </si>
  <si>
    <t>https://drive.google.com/drive/folders/1qZfoq34HxFhM6Y0wHSAmMwiRyreA71u3</t>
  </si>
  <si>
    <t>joerdav/xc</t>
  </si>
  <si>
    <t>joerdav__xc</t>
  </si>
  <si>
    <t>JohannesKlauss__react-hotkeys-hook-1247</t>
  </si>
  <si>
    <t>https://github.com/JohannesKlauss/react-hotkeys-hook/issues/1247</t>
  </si>
  <si>
    <t>gs://swe-bench-plus/evaluations/019c63b1-c215-72ef-93d9-9f9031bd8a71-JohannesKlauss__react-hotkeys-hook-1247-swe-agent-claude-sonnet-4-20250514</t>
  </si>
  <si>
    <t>https://drive.google.com/drive/folders/1nxodMpM26gk33WqYF0P7MA5mmw9KMzC3</t>
  </si>
  <si>
    <t>JohannesKlauss/react-hotkeys-hook</t>
  </si>
  <si>
    <t>JohannesKlauss__react-hotkeys-hook</t>
  </si>
  <si>
    <t>johansatge__obsidian-automatic-table-of-contents-55</t>
  </si>
  <si>
    <t>https://github.com/johansatge/obsidian-automatic-table-of-contents/issues/55</t>
  </si>
  <si>
    <t>gs://swe-bench-plus/evaluations/019b6aaf-1788-707e-b6dd-d4dc12d72279-johansatge__obsidian-automatic-table-of-contents-55-swe-agent-claude-sonnet-4.5</t>
  </si>
  <si>
    <t>https://drive.google.com/drive/folders/1TJDPLni-fzk5_iLLQWJtaSQY0wQNB7wh</t>
  </si>
  <si>
    <t>johansatge/obsidian-automatic-table-of-contents</t>
  </si>
  <si>
    <t>johansatge__obsidian-automatic-table-of-contents</t>
  </si>
  <si>
    <t>joke2k__faker-2173</t>
  </si>
  <si>
    <t>https://github.com/joke2k/faker/issues/2173</t>
  </si>
  <si>
    <t>https://drive.google.com/drive/folders/1R2p3oPeepIPRwpxxhV9DOsiJLTkfvVD0</t>
  </si>
  <si>
    <t>https://drive.google.com/drive/folders/1i8fvFjh4cb-HlU2LlY6_k23eDyFEQWh7</t>
  </si>
  <si>
    <t>joke2k/faker</t>
  </si>
  <si>
    <t>joke2k__faker</t>
  </si>
  <si>
    <t>jorenham__optype-270</t>
  </si>
  <si>
    <t>https://github.com/jorenham/optype/issues/270</t>
  </si>
  <si>
    <t>https://drive.google.com/drive/folders/10R5WUkwOs3t1JYPwwJY-v4ALsh-ie77t</t>
  </si>
  <si>
    <t>https://drive.google.com/drive/folders/10tjrlNjkM0kNlZVaPOUig9y0ttpOlxkZ</t>
  </si>
  <si>
    <t>jorenham/optype</t>
  </si>
  <si>
    <t>jorenham__optype</t>
  </si>
  <si>
    <t>jorisre__react-screen-wake-lock-279</t>
  </si>
  <si>
    <t>https://github.com/jorisre/react-screen-wake-lock/issues/279</t>
  </si>
  <si>
    <t>gs://swe-bench-plus/evaluations/019b6aaf-1788-707e-b6dd-d4dc12d72279-jorisre__react-screen-wake-lock-279-swe-agent-claude-sonnet-4.5</t>
  </si>
  <si>
    <t>https://drive.google.com/drive/folders/1vzEwEt-QD-qshRoXGfwhUULMDnuOFr5J</t>
  </si>
  <si>
    <t>jorisre/react-screen-wake-lock</t>
  </si>
  <si>
    <t>jorisre__react-screen-wake-lock</t>
  </si>
  <si>
    <t>josdejong__lossless-json-271</t>
  </si>
  <si>
    <t>https://github.com/josdejong/lossless-json/issues/271</t>
  </si>
  <si>
    <t>gs://swe-bench-plus/evaluations/019b6aa7-0380-771f-9e02-24cda0fe6639-josdejong__lossless-json-271-swe-agent-claude-sonnet-4.5</t>
  </si>
  <si>
    <t>https://drive.google.com/drive/folders/1OvG0rrehEAsEB_5RpksEwae2zk4_j3x2</t>
  </si>
  <si>
    <t>josdejong/lossless-json</t>
  </si>
  <si>
    <t>josdejong__lossless-json</t>
  </si>
  <si>
    <t>JoshuaKGoldberg__flint-461</t>
  </si>
  <si>
    <t>https://github.com/JoshuaKGoldberg/flint/issues/461</t>
  </si>
  <si>
    <t>https://drive.google.com/drive/folders/1TjA3bsi-vhMrHTJG7sjVFfAxtqE7Z5l2</t>
  </si>
  <si>
    <t>https://drive.google.com/drive/folders/1KqWgl8vr6auL-r1KnG2SNQZJ9904kgCo</t>
  </si>
  <si>
    <t>JoshuaKGoldberg__flint-551</t>
  </si>
  <si>
    <t>https://github.com/JoshuaKGoldberg/flint/issues/551</t>
  </si>
  <si>
    <t>gs://swe-bench-plus/evaluations/019b6ab1-4e74-7019-9e81-9c96e98a145d-JoshuaKGoldberg__flint-551-swe-agent-claude-sonnet-4.5</t>
  </si>
  <si>
    <t>https://drive.google.com/drive/folders/1U83BwF--PfkOX5Ag2e1ndVyUmlLYCD9k</t>
  </si>
  <si>
    <t>JoshuaKGoldberg__flint-472</t>
  </si>
  <si>
    <t>https://github.com/JoshuaKGoldberg/flint/issues/472</t>
  </si>
  <si>
    <t>gs://swe-bench-plus/evaluations/019c63b1-c215-72ef-93d9-9f9031bd8a71-JoshuaKGoldberg__flint-472-swe-agent-claude-sonnet-4-20250514</t>
  </si>
  <si>
    <t>https://drive.google.com/drive/folders/1l8KwrDq64UO5SNnEJMiKZoVF8IVAi8H9</t>
  </si>
  <si>
    <t>JoshuaKGoldberg__flint-473</t>
  </si>
  <si>
    <t>https://github.com/JoshuaKGoldberg/flint/issues/473</t>
  </si>
  <si>
    <t>gs://swe-bench-plus/evaluations/019c63b1-c215-72ef-93d9-9f9031bd8a71-JoshuaKGoldberg__flint-473-swe-agent-claude-sonnet-4.5</t>
  </si>
  <si>
    <t>JoshuaKGoldberg__package-json-validator-513</t>
  </si>
  <si>
    <t>https://github.com/JoshuaKGoldberg/package-json-validator/issues/513</t>
  </si>
  <si>
    <t>gs://swe-bench-plus/evaluations/019c7386-53d5-75df-82fb-8ade9fa70e16-JoshuaKGoldberg__package-json-validator-513-swe-agent-claude-sonnet-4-20250514</t>
  </si>
  <si>
    <t>https://drive.google.com/drive/folders/1hOGxpFEp5URt-PwBSlD2YePy8SpcPni2</t>
  </si>
  <si>
    <t>JoshuaKGoldberg/package-json-validator</t>
  </si>
  <si>
    <t>JoshuaKGoldberg__package-json-validator</t>
  </si>
  <si>
    <t>JoshuaKGoldberg__package-json-validator-494</t>
  </si>
  <si>
    <t>https://github.com/JoshuaKGoldberg/package-json-validator/issues/494</t>
  </si>
  <si>
    <t>gs://swe-bench-plus/evaluations/019c24f8-1b80-7387-9660-bb7e1a5a9b85-JoshuaKGoldberg__package-json-validator-494-swe-agent-claude-sonnet-4-20250514</t>
  </si>
  <si>
    <t>https://drive.google.com/drive/folders/1JC2wjIKYV1q37htLbhboqhVe-Ptfrd-m</t>
  </si>
  <si>
    <t>jrobichaud__django-structlog-705</t>
  </si>
  <si>
    <t>https://github.com/jrobichaud/django-structlog/issues/705</t>
  </si>
  <si>
    <t>https://drive.google.com/drive/folders/1_fuJTY7PGigHP4mtSTwaOOk9mMJ2CyWr</t>
  </si>
  <si>
    <t>https://drive.google.com/drive/folders/1q99ILyevqHIM2ZGLhcm9zQlRhvItOpWU</t>
  </si>
  <si>
    <t>jrobichaud/django-structlog</t>
  </si>
  <si>
    <t>jrobichaud__django-structlog</t>
  </si>
  <si>
    <t>jschneier__django-storages-1427</t>
  </si>
  <si>
    <t>https://github.com/jschneier/django-storages/issues/1427</t>
  </si>
  <si>
    <t>https://drive.google.com/drive/folders/1VI8jcyc8NJxoL_qG1KL2cnz8Ch2B2q65</t>
  </si>
  <si>
    <t>https://drive.google.com/drive/folders/1iJ2RBvEj_S3pDdlMsQsg2pEyKifAn8Kk</t>
  </si>
  <si>
    <t>jschneier/django-storages</t>
  </si>
  <si>
    <t>jschneier__django-storages</t>
  </si>
  <si>
    <t>jspsych__jsPsych-2846</t>
  </si>
  <si>
    <t>https://github.com/jspsych/jsPsych/issues/2846</t>
  </si>
  <si>
    <t>sci-comp;webdev</t>
  </si>
  <si>
    <t>gs://swe-bench-plus/evaluations/019b6aaf-1788-707e-b6dd-d4dc12d72279-jspsych__jsPsych-2846-swe-agent-claude-sonnet-4.5</t>
  </si>
  <si>
    <t>https://drive.google.com/drive/folders/1SdbKCBNmEQB3oqyArzOtZ9vB6L4Rajqx</t>
  </si>
  <si>
    <t>jspsych/jsPsych</t>
  </si>
  <si>
    <t>jspsych__jsPsych</t>
  </si>
  <si>
    <t>jspsych__jsPsych-3426</t>
  </si>
  <si>
    <t>https://github.com/jspsych/jsPsych/issues/3426</t>
  </si>
  <si>
    <t>gs://swe-bench-plus/evaluations/019b6aaf-1788-707e-b6dd-d4dc12d72279-jspsych__jsPsych-3426-swe-agent-claude-sonnet-4.5</t>
  </si>
  <si>
    <t>https://drive.google.com/drive/folders/1cZWnUkt5RapIrFe4Ra_bnIFV0QFJZRig</t>
  </si>
  <si>
    <t>juaAI__stationbench-39</t>
  </si>
  <si>
    <t>https://github.com/juaAI/stationbench/issues/39</t>
  </si>
  <si>
    <t>gs://swe-bench-plus/evaluations/019a9c33-6d74-70ca-a36d-b17dba075c66-juaAI__stationbench-39-swe-agent-claude-sonnet-4-20250514</t>
  </si>
  <si>
    <t>https://drive.google.com/drive/folders/1xfpqBEpU34Jpl7t3Hsqc5ozM4I09W8eO</t>
  </si>
  <si>
    <t>juaAI/stationbench</t>
  </si>
  <si>
    <t>juaAI__stationbench</t>
  </si>
  <si>
    <t>juju__juju-20287</t>
  </si>
  <si>
    <t>https://github.com/juju/juju/issues/20287</t>
  </si>
  <si>
    <t>https://drive.google.com/drive/folders/1L4OXbudKREoJAalwZUIYtMFcGTaEiFvz</t>
  </si>
  <si>
    <t>https://drive.google.com/drive/folders/1rMinLyT0auFTefvM9ChJO1MueucWSj2Y</t>
  </si>
  <si>
    <t>juju/juju</t>
  </si>
  <si>
    <t>juju__juju</t>
  </si>
  <si>
    <t>Julien-R44__vite-plugin-validate-env-36</t>
  </si>
  <si>
    <t>https://github.com/Julien-R44/vite-plugin-validate-env/issues/36</t>
  </si>
  <si>
    <t>gs://swe-bench-plus/evaluations/019b6aaf-1788-707e-b6dd-d4dc12d72279-Julien-R44__vite-plugin-validate-env-36-swe-agent-claude-sonnet-4.5</t>
  </si>
  <si>
    <t>https://drive.google.com/drive/folders/12dKhrTQRRvcUeTyS6oXaYN8N7v-Eih6C</t>
  </si>
  <si>
    <t>Julien-R44/vite-plugin-validate-env</t>
  </si>
  <si>
    <t>Julien-R44__vite-plugin-validate-env</t>
  </si>
  <si>
    <t>junit-team__junit-framework-4306</t>
  </si>
  <si>
    <t>https://github.com/junit-team/junit-framework/issues/4306</t>
  </si>
  <si>
    <t>https://drive.google.com/drive/folders/11U7Z8aEyUO1iDXx6AacZrCR0F6zeiQ3l</t>
  </si>
  <si>
    <t>junit-team__junit-framework-5186</t>
  </si>
  <si>
    <t>https://github.com/junit-team/junit-framework/issues/5186</t>
  </si>
  <si>
    <t>gs://swe-bench-plus/evaluations/019c2527-4e2e-77ee-bb46-1b5af2881d6d-junit-team__junit-framework-5186-swe-agent-claude-sonnet-4-20250514</t>
  </si>
  <si>
    <t>https://drive.google.com/drive/folders/1qrCRJnWoyI4u-qMnDR9uZdeM-JN9-upJ</t>
  </si>
  <si>
    <t>junit-team__junit5-4306</t>
  </si>
  <si>
    <t>https://github.com/junit-team/junit5/issues/4306</t>
  </si>
  <si>
    <t>https://drive.google.com/drive/folders/1VW2Ogo7S1XmU1PT0ZRbxZNqpU_T9AYZa</t>
  </si>
  <si>
    <t>k1LoW__deck-188</t>
  </si>
  <si>
    <t>https://github.com/k1LoW/deck/issues/188</t>
  </si>
  <si>
    <t>gs://swe-bench-plus/evaluations/019b6aa7-0380-771f-9e02-24cda0fe6639-k1LoW__deck-188-swe-agent-claude-sonnet-4.5</t>
  </si>
  <si>
    <t>https://drive.google.com/drive/folders/1eYpq9Vw7rN5bjiqB8Lri5COFbOcZ3xe2</t>
  </si>
  <si>
    <t>kaiko-ai__eva-789</t>
  </si>
  <si>
    <t>https://github.com/kaiko-ai/eva/issues/789</t>
  </si>
  <si>
    <t>https://drive.google.com/drive/folders/1IOcZn4Oh95chVpsqbwU39wH7hPKI2ymL</t>
  </si>
  <si>
    <t>https://drive.google.com/drive/folders/1YtLjlV0HBEsGm_0Zx_v04DPnmdP3yt-n</t>
  </si>
  <si>
    <t>kaiko-ai/eva</t>
  </si>
  <si>
    <t>kaiko-ai__eva</t>
  </si>
  <si>
    <t>Kaliumhexacyanoferrat__GenHTTP-597</t>
  </si>
  <si>
    <t>https://github.com/Kaliumhexacyanoferrat/GenHTTP/issues/597</t>
  </si>
  <si>
    <t>gs://swe-bench-plus/evaluations/019b6aa7-0380-771f-9e02-24cda0fe6639-Kaliumhexacyanoferrat__GenHTTP-597-swe-agent-claude-sonnet-4.5</t>
  </si>
  <si>
    <t>https://drive.google.com/drive/folders/13WGl-ejXIg5-P0tmWPqJuAQ6NORf3pEg</t>
  </si>
  <si>
    <t>karastojko__mailio-151</t>
  </si>
  <si>
    <t>https://github.com/karastojko/mailio/issues/151</t>
  </si>
  <si>
    <t>gs://swe-bench-plus/evaluations/019b6aa7-0380-771f-9e02-24cda0fe6639-karastojko__mailio-151-swe-agent-claude-sonnet-4.5</t>
  </si>
  <si>
    <t>https://drive.google.com/drive/folders/1clO2uEoO9ZpMeq-7bIxeW0iYPqUHhL2O</t>
  </si>
  <si>
    <t>karastojko/mailio</t>
  </si>
  <si>
    <t>karastojko__mailio</t>
  </si>
  <si>
    <t>kaspth__oaken-103</t>
  </si>
  <si>
    <t>https://github.com/kaspth/oaken/issues/103</t>
  </si>
  <si>
    <t>gs://swe-bench-plus/evaluations/019b6aaf-1788-707e-b6dd-d4dc12d72279-kaspth__oaken-103-swe-agent-claude-sonnet-4.5</t>
  </si>
  <si>
    <t>https://drive.google.com/drive/folders/1ZPOG2UZW2UizXWVr8skw95dGmpbS3R_H</t>
  </si>
  <si>
    <t>kaspth/oaken</t>
  </si>
  <si>
    <t>kaspth__oaken</t>
  </si>
  <si>
    <t>kedro-org__kedro-4715</t>
  </si>
  <si>
    <t>https://github.com/kedro-org/kedro/issues/4715</t>
  </si>
  <si>
    <t>https://drive.google.com/drive/folders/143zYHMiYPJ8_h8_Ni6O3QeyCQ13eGF9X</t>
  </si>
  <si>
    <t>https://drive.google.com/drive/folders/1Y80ZimuPUJnKo6StgwNxoeUkIVmbxGlN</t>
  </si>
  <si>
    <t>keithamus__sort-package-json-382</t>
  </si>
  <si>
    <t>https://github.com/keithamus/sort-package-json/issues/382</t>
  </si>
  <si>
    <t>bug-fix;refactor;performance;feature</t>
  </si>
  <si>
    <t>gs://swe-bench-plus/evaluations/019b5a95-2932-76ea-8ee9-d413607ffaf9-keithamus__sort-package-json-382-swe-agent-claude-sonnet-4-20250514</t>
  </si>
  <si>
    <t>https://drive.google.com/drive/folders/1OLJk2vXXdjpwBSR9gooI8GZnh89WxNKX</t>
  </si>
  <si>
    <t>keithamus/sort-package-json</t>
  </si>
  <si>
    <t>keithamus__sort-package-json</t>
  </si>
  <si>
    <t>kelektiv__node-cron-861</t>
  </si>
  <si>
    <t>https://github.com/kelektiv/node-cron/issues/861</t>
  </si>
  <si>
    <t>https://drive.google.com/drive/folders/1EVMI5LumX24Nq12OIJvuHxylhPBGzByC</t>
  </si>
  <si>
    <t>https://drive.google.com/drive/folders/1tg8HJAp8ataOhRpJKjEy4veQUrN9utFO</t>
  </si>
  <si>
    <t>kelektiv/node-cron</t>
  </si>
  <si>
    <t>kelektiv__node-cron</t>
  </si>
  <si>
    <t>kelektiv__node-cron-959</t>
  </si>
  <si>
    <t>https://github.com/kelektiv/node-cron/issues/959</t>
  </si>
  <si>
    <t>https://drive.google.com/drive/folders/11yCwrd88scBg6FJRhqLvvK-mNPgSqgOY</t>
  </si>
  <si>
    <t>https://drive.google.com/drive/folders/1Tp7cG_PtxQTC1qDoOqgM3EMRAeNtbZN3</t>
  </si>
  <si>
    <t>keycloak__keycloak-41194</t>
  </si>
  <si>
    <t>https://github.com/keycloak/keycloak/issues/41194</t>
  </si>
  <si>
    <t>gs://swe-bench-plus/evaluations/019bd2bf-00de-723c-8b2d-1d9d8c821830-keycloak__keycloak-41194-swe-agent-claude-sonnet-4.5</t>
  </si>
  <si>
    <t>keycloak__keycloak-37489</t>
  </si>
  <si>
    <t>https://github.com/keycloak/keycloak/issues/37489</t>
  </si>
  <si>
    <t>gs://swe-bench-plus/evaluations/019c2527-069d-76b8-a805-96d478bdb559-keycloak__keycloak-37489-swe-agent-claude-sonnet-4-20250514</t>
  </si>
  <si>
    <t>https://drive.google.com/drive/folders/1kO7TyNdCdM9iV-eXjVLi_T4wgaNgdfIL</t>
  </si>
  <si>
    <t>keycloak__keycloak-38851</t>
  </si>
  <si>
    <t>https://github.com/keycloak/keycloak/issues/38851</t>
  </si>
  <si>
    <t>gs://swe-bench-plus/evaluations/019c8593-288e-768a-aabd-9e1d168a9a7f-keycloak__keycloak-38851-swe-agent-claude-sonnet-4.5</t>
  </si>
  <si>
    <t>kkomelin__isomorphic-dompurify-389</t>
  </si>
  <si>
    <t>https://github.com/kkomelin/isomorphic-dompurify/issues/389</t>
  </si>
  <si>
    <t>performance-issue;bug-report</t>
  </si>
  <si>
    <t>bug-fix;refactor;performance;feature;documentation</t>
  </si>
  <si>
    <t>https://drive.google.com/drive/folders/1wvf3S4pU-WNjuq31kQZCUfOfwGJyP8xO</t>
  </si>
  <si>
    <t>https://drive.google.com/drive/folders/1ieG5VQ2RkPCwTDRnTClSqmJjJLMMM7XB</t>
  </si>
  <si>
    <t>kkomelin/isomorphic-dompurify</t>
  </si>
  <si>
    <t>kkomelin__isomorphic-dompurify</t>
  </si>
  <si>
    <t>knative__func-2746</t>
  </si>
  <si>
    <t>https://github.com/knative/func/issues/2746</t>
  </si>
  <si>
    <t>https://drive.google.com/drive/folders/15PEo8aT_gaOic-stKGTEqPTHSMjFWxW9</t>
  </si>
  <si>
    <t>https://drive.google.com/drive/folders/1Sju7Vepi5_5CSEBX8kVWQi5BHubZ9Mjy</t>
  </si>
  <si>
    <t>kolide__launcher-2352</t>
  </si>
  <si>
    <t>https://github.com/kolide/launcher/issues/2352</t>
  </si>
  <si>
    <t>gs://swe-bench-plus/evaluations/019b6aa7-0380-771f-9e02-24cda0fe6639-kolide__launcher-2352-swe-agent-claude-sonnet-4.5</t>
  </si>
  <si>
    <t>https://drive.google.com/drive/folders/1bzC3NzoNUQ4qVJxXuzyrw4xU9sGJCpDG</t>
  </si>
  <si>
    <t>koto-lang__koto-478</t>
  </si>
  <si>
    <t>https://github.com/koto-lang/koto/issues/478</t>
  </si>
  <si>
    <t>gs://swe-bench-plus/evaluations/019b06be-e158-75e3-bc3e-1e0574eebf73-koto-lang__koto-478-swe-agent-claude-sonnet-4.5</t>
  </si>
  <si>
    <t>https://drive.google.com/drive/folders/1zRqWuHCmi9IrFNDmf1npBwuCVaMjiPkk</t>
  </si>
  <si>
    <t>kubernetes-sigs__azuredisk-csi-driver-3256</t>
  </si>
  <si>
    <t>https://github.com/kubernetes-sigs/azuredisk-csi-driver/issues/3256</t>
  </si>
  <si>
    <t>gs://swe-bench-plus/evaluations/019b6aa7-0380-771f-9e02-24cda0fe6639-kubernetes-sigs__azuredisk-csi-driver-3256-swe-agent-claude-sonnet-4.5</t>
  </si>
  <si>
    <t>https://drive.google.com/drive/folders/1jp9iPU2wSmf-2d33b-Pt8rjB5lgHlOQw</t>
  </si>
  <si>
    <t>kubernetes-sigs/azuredisk-csi-driver</t>
  </si>
  <si>
    <t>kubernetes-sigs__azuredisk-csi-driver</t>
  </si>
  <si>
    <t>labgrid-project__labgrid-1558</t>
  </si>
  <si>
    <t>https://github.com/labgrid-project/labgrid/issues/1558</t>
  </si>
  <si>
    <t>gs://swe-bench-plus/evaluations/019ac57e-f665-72ea-8d22-b2c491531db5-labgrid-project__labgrid-1558-open-hands-claude-sonnet-4-20250514</t>
  </si>
  <si>
    <t>https://drive.google.com/drive/folders/1Egpk4EwXZeSLGTEW0m0maEb-rs25psAG</t>
  </si>
  <si>
    <t>labgrid-project/labgrid</t>
  </si>
  <si>
    <t>labgrid-project__labgrid</t>
  </si>
  <si>
    <t>langchain4j__langchain4j-4456</t>
  </si>
  <si>
    <t>https://github.com/langchain4j/langchain4j/issues/4456</t>
  </si>
  <si>
    <t>gs://swe-bench-plus/evaluations/019c63b0-5201-7257-9916-f49303cabd22-langchain4j__langchain4j-4456-swe-agent-claude-sonnet-4-20250514</t>
  </si>
  <si>
    <t>https://drive.google.com/drive/folders/14ew15-MJQCir2_9mGxfUjM6rpZErRT8Z</t>
  </si>
  <si>
    <t>Lightning-AI__litData-453</t>
  </si>
  <si>
    <t>https://github.com/Lightning-AI/litData/issues/453</t>
  </si>
  <si>
    <t>https://drive.google.com/drive/folders/1_ycVLVif_tFUWTHGMlYnLulMq-VfyoR1</t>
  </si>
  <si>
    <t>https://drive.google.com/drive/folders/137Qbtp37DubX6GgqWZKvzhH9i_5qOQs5</t>
  </si>
  <si>
    <t>Lightning-AI/litData</t>
  </si>
  <si>
    <t>Lightning-AI__litData</t>
  </si>
  <si>
    <t>Lightning-AI__litData-425</t>
  </si>
  <si>
    <t>https://github.com/Lightning-AI/litData/issues/425</t>
  </si>
  <si>
    <t>https://drive.google.com/drive/folders/1GpaXX_2C8pP0dltdlAWVI7gEu-1jZnP1</t>
  </si>
  <si>
    <t>https://drive.google.com/drive/folders/1_x6ymPNZY0hfSbAFQGQwBVTJHTpmwTto</t>
  </si>
  <si>
    <t>Lightning-AI__LitServe-582</t>
  </si>
  <si>
    <t>https://github.com/Lightning-AI/LitServe/issues/582</t>
  </si>
  <si>
    <t>https://drive.google.com/drive/folders/1klM4Bls-c3tYHSBxDMU98RgGY761A7Tk</t>
  </si>
  <si>
    <t>https://drive.google.com/drive/folders/1P2YL6zGnLpJZIPCTS8Qa-wPbzGkIsccC</t>
  </si>
  <si>
    <t>Lightning-AI/LitServe</t>
  </si>
  <si>
    <t>Lightning-AI__LitServe</t>
  </si>
  <si>
    <t>Lightning-AI__pytorch-lightning-20771</t>
  </si>
  <si>
    <t>https://github.com/Lightning-AI/pytorch-lightning/issues/20771</t>
  </si>
  <si>
    <t>https://drive.google.com/drive/folders/153BKePFk9XQ3Z1inD0sS8Z3L2uzF6nfs</t>
  </si>
  <si>
    <t>https://drive.google.com/drive/folders/1rWcqswBx9oG-qoTBrvs9wHoKSjcBwE3H</t>
  </si>
  <si>
    <t>Lightning-AI__pytorch-lightning-20538</t>
  </si>
  <si>
    <t>https://github.com/Lightning-AI/pytorch-lightning/issues/20538</t>
  </si>
  <si>
    <t>https://drive.google.com/drive/folders/1p41EU7LuMmtx3vGl5DqwTcEwL7lRoZi5</t>
  </si>
  <si>
    <t>https://drive.google.com/drive/folders/17acuo6Y86hQJtKUeTyydShFpTDLPd28L</t>
  </si>
  <si>
    <t>linebender__parley-312</t>
  </si>
  <si>
    <t>https://github.com/linebender/parley/issues/312</t>
  </si>
  <si>
    <t>https://drive.google.com/drive/folders/14YOUT6smB-NMgkeBWspC_K3hacpsXzKW</t>
  </si>
  <si>
    <t>https://drive.google.com/drive/folders/1lhWXoV4YlGoOIb7FvvebDKsIAcsCIcSw</t>
  </si>
  <si>
    <t>linebender/parley</t>
  </si>
  <si>
    <t>linebender__parley</t>
  </si>
  <si>
    <t>lingualdev__i18n-check-57</t>
  </si>
  <si>
    <t>https://github.com/lingualdev/i18n-check/issues/57</t>
  </si>
  <si>
    <t>gs://swe-bench-plus/evaluations/019b6aaf-1788-707e-b6dd-d4dc12d72279-lingualdev__i18n-check-57-swe-agent-claude-sonnet-4.5</t>
  </si>
  <si>
    <t>https://drive.google.com/drive/folders/1zaeCT3qGLR1zpGIILkRoWPQS4-1XR94Q</t>
  </si>
  <si>
    <t>lingualdev/i18n-check</t>
  </si>
  <si>
    <t>lingualdev__i18n-check</t>
  </si>
  <si>
    <t>lingui__js-lingui-2394</t>
  </si>
  <si>
    <t>https://github.com/lingui/js-lingui/issues/2394</t>
  </si>
  <si>
    <t>gs://swe-bench-plus/evaluations/019c7387-769d-7229-8870-d94df44ef198-lingui__js-lingui-2394-swe-agent-claude-sonnet-4-20250514</t>
  </si>
  <si>
    <t>https://drive.google.com/drive/folders/1zjpTqq63C2IRcCuwsqncmEbz7Jp_42C0</t>
  </si>
  <si>
    <t>lingui/js-lingui</t>
  </si>
  <si>
    <t>lingui__js-lingui</t>
  </si>
  <si>
    <t>lirantal__npq-318</t>
  </si>
  <si>
    <t>https://github.com/lirantal/npq/issues/318</t>
  </si>
  <si>
    <t>gs://swe-bench-plus/evaluations/019b6aaf-1788-707e-b6dd-d4dc12d72279-lirantal__npq-318-swe-agent-claude-sonnet-4.5</t>
  </si>
  <si>
    <t>https://drive.google.com/drive/folders/16a17My6zvyHsgiY3HicAzm63SBbhh3UG</t>
  </si>
  <si>
    <t>lirantal/npq</t>
  </si>
  <si>
    <t>lirantal__npq</t>
  </si>
  <si>
    <t>litedb-org__LiteDB-2701</t>
  </si>
  <si>
    <t>https://github.com/litedb-org/LiteDB/issues/2701</t>
  </si>
  <si>
    <t>https://drive.google.com/drive/folders/1TXYHdKskuTOLoMGoAdVFmofNzUh4hjsz</t>
  </si>
  <si>
    <t>https://drive.google.com/drive/folders/1ZoveV-ULq3PJEmNIv5RsUZv6ZQt5Xa8G</t>
  </si>
  <si>
    <t>litedb-org/LiteDB</t>
  </si>
  <si>
    <t>litedb-org__LiteDB</t>
  </si>
  <si>
    <t>ljharb__qs-517</t>
  </si>
  <si>
    <t>https://github.com/ljharb/qs/issues/517</t>
  </si>
  <si>
    <t>https://drive.google.com/drive/folders/1Ar-aMgkM6FeVMvbUwxh6g6UW2s-4qsp9</t>
  </si>
  <si>
    <t>https://drive.google.com/drive/folders/1B5xjp5ZCZVc9oz4Dk8dcz_xqxj0PbAwd</t>
  </si>
  <si>
    <t>ljharb/qs</t>
  </si>
  <si>
    <t>ljharb__qs</t>
  </si>
  <si>
    <t>LLNL__axom-1369</t>
  </si>
  <si>
    <t>https://github.com/LLNL/axom/issues/1369</t>
  </si>
  <si>
    <t>gs://swe-bench-plus/evaluations/019b6aa7-0380-771f-9e02-24cda0fe6639-LLNL__axom-1369-swe-agent-claude-sonnet-4.5</t>
  </si>
  <si>
    <t>https://drive.google.com/drive/folders/1isIr9iu42VPjtC4VgM-grRymapsmucB8</t>
  </si>
  <si>
    <t>LMCache__LMCache-209</t>
  </si>
  <si>
    <t>https://github.com/LMCache/LMCache/issues/209</t>
  </si>
  <si>
    <t>https://drive.google.com/drive/folders/13-AQV9oJVKf67PxGvdJeRcw5iu8bLjXF</t>
  </si>
  <si>
    <t>https://drive.google.com/drive/folders/1hcZKftsrOBu8zzL6b5aYYV14TSt-urxM</t>
  </si>
  <si>
    <t>LMCache/LMCache</t>
  </si>
  <si>
    <t>LMCache__LMCache</t>
  </si>
  <si>
    <t>logfellow__logstash-logback-encoder-1104</t>
  </si>
  <si>
    <t>https://github.com/logfellow/logstash-logback-encoder/issues/1104</t>
  </si>
  <si>
    <t>https://drive.google.com/drive/folders/1hmHZ8c7YVreznFGRiTv8uW3ZsEsX2l4P</t>
  </si>
  <si>
    <t>https://drive.google.com/drive/folders/1sRjGmjzWyQJ1M5M1HnGgTySG9xCwVVU6</t>
  </si>
  <si>
    <t>logfellow/logstash-logback-encoder</t>
  </si>
  <si>
    <t>logfellow__logstash-logback-encoder</t>
  </si>
  <si>
    <t>M0r13n__pyais-176</t>
  </si>
  <si>
    <t>https://github.com/M0r13n/pyais/issues/176</t>
  </si>
  <si>
    <t>data-eng;autonomy</t>
  </si>
  <si>
    <t>gs://swe-bench-plus/evaluations/019ac57e-f665-72ea-8d22-b2c491531db5-M0r13n__pyais-176-open-hands-claude-sonnet-4-20250514</t>
  </si>
  <si>
    <t>https://drive.google.com/drive/folders/1X72vznK525hQ6iznfjhxY3YDH69r3uW4</t>
  </si>
  <si>
    <t>M0r13n/pyais</t>
  </si>
  <si>
    <t>M0r13n__pyais</t>
  </si>
  <si>
    <t>mark3labs__mcp-go-46</t>
  </si>
  <si>
    <t>https://github.com/mark3labs/mcp-go/issues/46</t>
  </si>
  <si>
    <t>https://drive.google.com/drive/folders/1aqKeUvOQDlAaLDQmFHAi7gPQM0KnGhQG</t>
  </si>
  <si>
    <t>https://drive.google.com/drive/folders/1rb6AcmsgkxcPJ7anqZw5Q8YYLl9qasnL</t>
  </si>
  <si>
    <t>Marker-Inc-Korea__AutoRAG-935</t>
  </si>
  <si>
    <t>https://github.com/Marker-Inc-Korea/AutoRAG/issues/935</t>
  </si>
  <si>
    <t>gs://swe-bench-plus/evaluations/019a8f6e-6e49-72e1-8adc-7d67083c10ad-Marker-Inc-Korea__AutoRAG-935-open-hands-claude-sonnet-4-20250514</t>
  </si>
  <si>
    <t>https://drive.google.com/drive/folders/1nBUVh3NqN9fqlWB57w3RLxlvrK_w6DHT</t>
  </si>
  <si>
    <t>Marker-Inc-Korea/AutoRAG</t>
  </si>
  <si>
    <t>Marker-Inc-Korea__AutoRAG</t>
  </si>
  <si>
    <t>MarketSquare__robotframework-robocop-1406</t>
  </si>
  <si>
    <t>https://github.com/MarketSquare/robotframework-robocop/issues/1406</t>
  </si>
  <si>
    <t>https://drive.google.com/drive/folders/1t0Ec5vAyfSj17lp_wcHKuouj3NYJh6qt</t>
  </si>
  <si>
    <t>https://drive.google.com/drive/folders/1Td_ko4un7x-E0ucWkC_u-7VZSsKjiPos</t>
  </si>
  <si>
    <t>MarketSquare/robotframework-robocop</t>
  </si>
  <si>
    <t>MarketSquare__robotframework-robocop</t>
  </si>
  <si>
    <t>marmelab__react-admin-10450</t>
  </si>
  <si>
    <t>https://github.com/marmelab/react-admin/issues/10450</t>
  </si>
  <si>
    <t>gs://swe-bench-plus/evaluations/019c7387-769d-7229-8870-d94df44ef198-marmelab__react-admin-10450-swe-agent-claude-sonnet-4-20250514</t>
  </si>
  <si>
    <t>https://drive.google.com/drive/folders/1kIF88DcKDXuydmQHFuwRkXMJp1bm8eb_</t>
  </si>
  <si>
    <t>materialsproject__pymatgen-4400</t>
  </si>
  <si>
    <t>https://github.com/materialsproject/pymatgen/issues/4400</t>
  </si>
  <si>
    <t>https://drive.google.com/drive/folders/1gM4EhOJjmc6BH9UIdoYgF2yxdfIX12mO</t>
  </si>
  <si>
    <t>https://drive.google.com/drive/folders/1dKolIJmWyRNd27OvJbmq6p9j13bCy8kM</t>
  </si>
  <si>
    <t>materialsproject/pymatgen</t>
  </si>
  <si>
    <t>materialsproject__pymatgen</t>
  </si>
  <si>
    <t>mattleibow__DeviceRunners-59</t>
  </si>
  <si>
    <t>https://github.com/mattleibow/DeviceRunners/issues/59</t>
  </si>
  <si>
    <t>gs://swe-bench-plus/evaluations/019b6aa7-0380-771f-9e02-24cda0fe6639-mattleibow__DeviceRunners-59-swe-agent-claude-sonnet-4.5</t>
  </si>
  <si>
    <t>https://drive.google.com/drive/folders/19Va8QTQ36qektoqtDqrSAFr0MTfwZuhL</t>
  </si>
  <si>
    <t>mattleibow/DeviceRunners</t>
  </si>
  <si>
    <t>mattleibow__DeviceRunners</t>
  </si>
  <si>
    <t>mdabrowski1990__uds-303</t>
  </si>
  <si>
    <t>https://github.com/mdabrowski1990/uds/issues/303</t>
  </si>
  <si>
    <t>https://drive.google.com/drive/folders/1vkSvgtQGIxr_IZrHOV_ph2E5d1R57CSU</t>
  </si>
  <si>
    <t>https://drive.google.com/drive/folders/1XCw2EBvYewA0LzdFpKvY5J3MHunCVoct</t>
  </si>
  <si>
    <t>mdabrowski1990/uds</t>
  </si>
  <si>
    <t>mdabrowski1990__uds</t>
  </si>
  <si>
    <t>MDAnalysis__mdanalysis-5074</t>
  </si>
  <si>
    <t>https://github.com/MDAnalysis/mdanalysis/issues/5074</t>
  </si>
  <si>
    <t>https://drive.google.com/drive/folders/1JzlVg-R2MgL5pNuZFe79i-Oc35ph3R7Q</t>
  </si>
  <si>
    <t>https://drive.google.com/drive/folders/16hPZCk4fA8YmcfIlEJ4LIMZRRUogstu7</t>
  </si>
  <si>
    <t>MDAnalysis/mdanalysis</t>
  </si>
  <si>
    <t>MDAnalysis__mdanalysis</t>
  </si>
  <si>
    <t>mdshw5__pyfaidx-237</t>
  </si>
  <si>
    <t>https://github.com/mdshw5/pyfaidx/issues/237</t>
  </si>
  <si>
    <t>https://drive.google.com/drive/folders/1LVNdvtmUXIkjoOv_kvA4v6Pgtg1e5Ghr</t>
  </si>
  <si>
    <t>https://drive.google.com/drive/folders/1HBU681IN9NJMsri3--BdagtTx8vQ1ZOY</t>
  </si>
  <si>
    <t>mdshw5/pyfaidx</t>
  </si>
  <si>
    <t>mdshw5__pyfaidx</t>
  </si>
  <si>
    <t>MegaMek__megamek-7942</t>
  </si>
  <si>
    <t>https://github.com/MegaMek/megamek/issues/7942</t>
  </si>
  <si>
    <t>gs://swe-bench-plus/evaluations/019c6646-ea55-7645-a600-58791210a874-MegaMek__megamek-7942-swe-agent-claude-sonnet-4-20250514</t>
  </si>
  <si>
    <t>https://drive.google.com/drive/folders/1Bl7alDJeiv78-pCTTqWyaibzmOUXgM0C</t>
  </si>
  <si>
    <t>MegaMek/megamek</t>
  </si>
  <si>
    <t>MegaMek__megamek</t>
  </si>
  <si>
    <t>mehrandvd__skunit-30</t>
  </si>
  <si>
    <t>https://github.com/mehrandvd/skunit/issues/30</t>
  </si>
  <si>
    <t>gs://swe-bench-plus/evaluations/019b6aa7-0380-771f-9e02-24cda0fe6639-mehrandvd__skunit-30-swe-agent-claude-sonnet-4.5</t>
  </si>
  <si>
    <t>https://drive.google.com/drive/folders/1crKTMYp4OUus0Y6EXTxMlHVmc-E83sZh</t>
  </si>
  <si>
    <t>mehrandvd/skunit</t>
  </si>
  <si>
    <t>mehrandvd__skunit</t>
  </si>
  <si>
    <t>meltano__meltano-9266</t>
  </si>
  <si>
    <t>https://github.com/meltano/meltano/issues/9266</t>
  </si>
  <si>
    <t>https://drive.google.com/drive/folders/1t-AAv7E8PG02roiqTtU08JM0COZRuw-b</t>
  </si>
  <si>
    <t>https://drive.google.com/drive/folders/1i9emUVcMXxrnkcd40fMSjnA9DNRW1iIa</t>
  </si>
  <si>
    <t>meltano__meltano-9328</t>
  </si>
  <si>
    <t>https://github.com/meltano/meltano/issues/9328</t>
  </si>
  <si>
    <t>https://drive.google.com/drive/folders/17te9OS2QVUuAyFfufX9WpU3EQ0-f32OV</t>
  </si>
  <si>
    <t>https://drive.google.com/drive/folders/17NPSdp27N_X2IN0EaPmOtdbrxcDq510E</t>
  </si>
  <si>
    <t>mem0ai__mem0-2372</t>
  </si>
  <si>
    <t>https://github.com/mem0ai/mem0/issues/2372</t>
  </si>
  <si>
    <t>https://drive.google.com/drive/folders/1qkBR7u0b-Ty1RWYWJtLo5KYoKm9olwil</t>
  </si>
  <si>
    <t>https://drive.google.com/drive/folders/19YKaelly6pv34VzaKDO1_exlvBmFyUUY</t>
  </si>
  <si>
    <t>mem0ai/mem0</t>
  </si>
  <si>
    <t>mem0ai__mem0</t>
  </si>
  <si>
    <t>microlinkhq__react-json-view-51</t>
  </si>
  <si>
    <t>https://github.com/microlinkhq/react-json-view/issues/51</t>
  </si>
  <si>
    <t>gs://swe-bench-plus/evaluations/019b6ab1-4e74-7019-9e81-9c96e98a145d-microlinkhq__react-json-view-51-swe-agent-claude-sonnet-4.5</t>
  </si>
  <si>
    <t>https://drive.google.com/drive/folders/1QZD4hAWZ2WXW6FzTwL4et-xk1kLK_NXD</t>
  </si>
  <si>
    <t>microlinkhq/react-json-view</t>
  </si>
  <si>
    <t>microlinkhq__react-json-view</t>
  </si>
  <si>
    <t>micrometer-metrics__micrometer-6102</t>
  </si>
  <si>
    <t>https://github.com/micrometer-metrics/micrometer/issues/6102</t>
  </si>
  <si>
    <t>https://drive.google.com/drive/folders/1dQ3OprH0YABoCHwn1ofu_bC8ZB0SJQUD</t>
  </si>
  <si>
    <t>micrometer-metrics/micrometer</t>
  </si>
  <si>
    <t>micrometer-metrics__micrometer</t>
  </si>
  <si>
    <t>micrometer-metrics__micrometer-6825</t>
  </si>
  <si>
    <t>https://github.com/micrometer-metrics/micrometer/issues/6825</t>
  </si>
  <si>
    <t>gs://swe-bench-plus/evaluations/019c63b0-5201-7257-9916-f49303cabd22-micrometer-metrics__micrometer-6825-swe-agent-claude-sonnet-4-20250514</t>
  </si>
  <si>
    <t>https://drive.google.com/drive/folders/1iqbockcyNXZKGryiabjczMCk2JrgQ1bE</t>
  </si>
  <si>
    <t>microsoft__Agents-for-net-320</t>
  </si>
  <si>
    <t>https://github.com/microsoft/Agents-for-net/issues/320</t>
  </si>
  <si>
    <t>ai-ml;security;applications</t>
  </si>
  <si>
    <t>gs://swe-bench-plus/evaluations/019b6aa7-0380-771f-9e02-24cda0fe6639-microsoft__Agents-for-net-320-swe-agent-claude-sonnet-4.5</t>
  </si>
  <si>
    <t>https://drive.google.com/drive/folders/1ClzN5QcXm0GYlO1YVYCEukZuJEz18F6k</t>
  </si>
  <si>
    <t>microsoft/Agents-for-net</t>
  </si>
  <si>
    <t>microsoft__Agents-for-net</t>
  </si>
  <si>
    <t>microsoft__azure-devops-mcp-377</t>
  </si>
  <si>
    <t>https://github.com/microsoft/azure-devops-mcp/issues/377</t>
  </si>
  <si>
    <t>gs://swe-bench-plus/evaluations/019b6aaf-1788-707e-b6dd-d4dc12d72279-microsoft__azure-devops-mcp-377-swe-agent-claude-sonnet-4.5</t>
  </si>
  <si>
    <t>https://drive.google.com/drive/folders/17SD39LYOQqXytT4Z87LhUP_JyS4XnhTM</t>
  </si>
  <si>
    <t>microsoft__azure-devops-mcp-365</t>
  </si>
  <si>
    <t>https://github.com/microsoft/azure-devops-mcp/issues/365</t>
  </si>
  <si>
    <t>gs://swe-bench-plus/evaluations/019b6aaf-1788-707e-b6dd-d4dc12d72279-microsoft__azure-devops-mcp-365-swe-agent-claude-sonnet-4.5</t>
  </si>
  <si>
    <t>https://drive.google.com/drive/folders/1VrYO-Exqm6TRgZQXbl5DJ0I1TFI_5g_B</t>
  </si>
  <si>
    <t>microsoft__genaiscript-918</t>
  </si>
  <si>
    <t>https://github.com/microsoft/genaiscript/issues/918</t>
  </si>
  <si>
    <t>gs://swe-bench-plus/evaluations/019c24f9-74aa-74ea-9952-2088a9ea13aa-microsoft__genaiscript-918-swe-agent-claude-sonnet-4-20250514</t>
  </si>
  <si>
    <t>https://drive.google.com/drive/folders/1Ok6jDf7LEHuIIBWy60BGrkaLoNZ4e858</t>
  </si>
  <si>
    <t>microsoft/genaiscript</t>
  </si>
  <si>
    <t>microsoft__genaiscript</t>
  </si>
  <si>
    <t>microsoft__kiota-6471</t>
  </si>
  <si>
    <t>https://github.com/microsoft/kiota/issues/6471</t>
  </si>
  <si>
    <t>gs://swe-bench-plus/evaluations/019abb5c-36b7-7718-978f-60f9305dda49-microsoft__kiota-6471-swe-agent-claude-sonnet-4-20250514</t>
  </si>
  <si>
    <t>microsoft/kiota</t>
  </si>
  <si>
    <t>microsoft__kiota</t>
  </si>
  <si>
    <t>microsoft__Qcodes-6931</t>
  </si>
  <si>
    <t>https://github.com/microsoft/Qcodes/issues/6931</t>
  </si>
  <si>
    <t>https://drive.google.com/drive/folders/19PN3lNophuuhNAqGrKUzWvK_nDtCVzOq</t>
  </si>
  <si>
    <t>https://drive.google.com/drive/folders/1-8CaxP7bK2cUrDKgZBiEBMPvhORqL33f</t>
  </si>
  <si>
    <t>microsoft/Qcodes</t>
  </si>
  <si>
    <t>microsoft__Qcodes</t>
  </si>
  <si>
    <t>microsoft__testfx-5313</t>
  </si>
  <si>
    <t>https://github.com/microsoft/testfx/issues/5313</t>
  </si>
  <si>
    <t>gs://swe-bench-plus/evaluations/019b6ab1-4e74-7019-9e81-9c96e98a145d-microsoft__testfx-5313-swe-agent-claude-sonnet-4.5</t>
  </si>
  <si>
    <t>https://drive.google.com/drive/folders/1KWqUb3Pz2bPKeZ3N9sYWsQGk1sfAc5c4</t>
  </si>
  <si>
    <t>microsoft__tsyringe-252</t>
  </si>
  <si>
    <t>https://github.com/microsoft/tsyringe/issues/252</t>
  </si>
  <si>
    <t>https://drive.google.com/drive/folders/1GmA0pp6pjN32eMJo9TtmlBWD1O5gofuv</t>
  </si>
  <si>
    <t>https://drive.google.com/drive/folders/1db5ADGTGF9kmKocBouhsJ7SILDqr37Gd</t>
  </si>
  <si>
    <t>microsoft/tsyringe</t>
  </si>
  <si>
    <t>microsoft__tsyringe</t>
  </si>
  <si>
    <t>mikf__gallery-dl-7787</t>
  </si>
  <si>
    <t>https://github.com/mikf/gallery-dl/issues/7787</t>
  </si>
  <si>
    <t>https://drive.google.com/drive/folders/1TirFeC8OtD2528feVaCLbRQO36JK18of</t>
  </si>
  <si>
    <t>https://drive.google.com/drive/folders/1qBmFh0vmBYkYxfKcpLe5eKNDbmbNBt47</t>
  </si>
  <si>
    <t>mikf/gallery-dl</t>
  </si>
  <si>
    <t>mikf__gallery-dl</t>
  </si>
  <si>
    <t>ml-explore__mlx-1783</t>
  </si>
  <si>
    <t>https://github.com/ml-explore/mlx/issues/1783</t>
  </si>
  <si>
    <t>gs://swe-bench-plus/evaluations/019a6eb4-0fa2-73e8-a470-76fab117849d-ml-explore__mlx-1783-swe-agent-claude-sonnet-4.5</t>
  </si>
  <si>
    <t>ml-explore/mlx</t>
  </si>
  <si>
    <t>ml-explore__mlx</t>
  </si>
  <si>
    <t>ml-explore__mlx-1120</t>
  </si>
  <si>
    <t>https://github.com/ml-explore/mlx/issues/1120</t>
  </si>
  <si>
    <t>https://drive.google.com/drive/folders/1nzZiv2qcacfkI-i4DxXOJqD7RpVi64mY</t>
  </si>
  <si>
    <t>https://drive.google.com/drive/folders/1UGq5OVC6Kte5S8Bb4OoEZq5CAKF0RHDm</t>
  </si>
  <si>
    <t>ml-explore__mlx-1772</t>
  </si>
  <si>
    <t>https://github.com/ml-explore/mlx/issues/1772</t>
  </si>
  <si>
    <t>https://drive.google.com/drive/folders/1fOqX0XaBsCrmhreq0-E07DQpNwwel8rh</t>
  </si>
  <si>
    <t>https://drive.google.com/drive/folders/1qvwVJgbHiiKu5Adny7uP6uzaHI7VNJ_I</t>
  </si>
  <si>
    <t>modelcontextprotocol__typescript-sdk-33</t>
  </si>
  <si>
    <t>https://github.com/modelcontextprotocol/typescript-sdk/issues/33</t>
  </si>
  <si>
    <t>gs://swe-bench-plus/evaluations/019c66b2-2d90-7260-9966-4e0d0d7a99cf-modelcontextprotocol__typescript-sdk-33-swe-agent-claude-sonnet-4-20250514</t>
  </si>
  <si>
    <t>https://drive.google.com/drive/folders/1nCVha6BWk_ojNjL8TnBdKxAlF5NaVUsa</t>
  </si>
  <si>
    <t>modelcontextprotocol/typescript-sdk</t>
  </si>
  <si>
    <t>modelcontextprotocol__typescript-sdk</t>
  </si>
  <si>
    <t>modin-project__modin-7524</t>
  </si>
  <si>
    <t>https://github.com/modin-project/modin/issues/7524</t>
  </si>
  <si>
    <t>https://drive.google.com/drive/folders/1zwHs27hhERXKES3nppn64UjjtyUXYBXc</t>
  </si>
  <si>
    <t>https://drive.google.com/drive/folders/1DIsN2RislpwKq9mNv3VbIr6m2DIMmh_o</t>
  </si>
  <si>
    <t>modin-project__modin-7561</t>
  </si>
  <si>
    <t>https://github.com/modin-project/modin/issues/7561</t>
  </si>
  <si>
    <t>https://drive.google.com/drive/folders/1yQ-B88f4mM0MDXeu6cQvOgUg1rtvbA6X</t>
  </si>
  <si>
    <t>https://drive.google.com/drive/folders/1i4xTvhBh14dhJzuBH2wd9OxCq_nhKgyW</t>
  </si>
  <si>
    <t>mollie__mollie-api-ruby-190</t>
  </si>
  <si>
    <t>https://github.com/mollie/mollie-api-ruby/issues/190</t>
  </si>
  <si>
    <t>gs://swe-bench-plus/evaluations/019b6aaf-1788-707e-b6dd-d4dc12d72279-mollie__mollie-api-ruby-190-swe-agent-claude-sonnet-4.5</t>
  </si>
  <si>
    <t>https://drive.google.com/drive/folders/1pvDUDT8ZTt1blgW1Pmah88iX6v5gm7Md</t>
  </si>
  <si>
    <t>mollie/mollie-api-ruby</t>
  </si>
  <si>
    <t>mollie__mollie-api-ruby</t>
  </si>
  <si>
    <t>moment__luxon-1685</t>
  </si>
  <si>
    <t>https://github.com/moment/luxon/issues/1685</t>
  </si>
  <si>
    <t>gs://swe-bench-plus/evaluations/019bd734-dc89-745b-8437-c84bd419bc18-moment__luxon-1685-swe-agent-claude-sonnet-4-20250514</t>
  </si>
  <si>
    <t>https://drive.google.com/drive/folders/1iUfKX7x4X4tCY5PLz_RiSC3LO9_sfM_-</t>
  </si>
  <si>
    <t>moment/luxon</t>
  </si>
  <si>
    <t>moment__luxon</t>
  </si>
  <si>
    <t>mozilla-ai__agent-factory-306</t>
  </si>
  <si>
    <t>https://github.com/mozilla-ai/agent-factory/issues/306</t>
  </si>
  <si>
    <t>https://drive.google.com/drive/folders/1CN4Be9ANEQ4PoQVfqWBqtY25ZCf6KJ71</t>
  </si>
  <si>
    <t>https://drive.google.com/drive/folders/1quam7wf56kKlHI-PJ9RL8fhAG5gTJUX1</t>
  </si>
  <si>
    <t>mozilla-ai/agent-factory</t>
  </si>
  <si>
    <t>mozilla-ai__agent-factory</t>
  </si>
  <si>
    <t>mozilla-ai__mcpd-171</t>
  </si>
  <si>
    <t>https://github.com/mozilla-ai/mcpd/issues/171</t>
  </si>
  <si>
    <t>gs://swe-bench-plus/evaluations/019b6ab1-4e74-7019-9e81-9c96e98a145d-mozilla-ai__mcpd-171-swe-agent-claude-sonnet-4.5</t>
  </si>
  <si>
    <t>https://drive.google.com/drive/folders/1TJ7DclxUVoYuc30rgyBeuPCwQ22W95E4</t>
  </si>
  <si>
    <t>mozilla__mozilla-django-oidc-543</t>
  </si>
  <si>
    <t>https://github.com/mozilla/mozilla-django-oidc/issues/543</t>
  </si>
  <si>
    <t>https://drive.google.com/drive/folders/1M69GkLE094IWI0Ri416uf_VGbA0DPBUC</t>
  </si>
  <si>
    <t>https://drive.google.com/drive/folders/1G-Ek7zCaHEgRh2hq-Om8qKDz1IY2fz3u</t>
  </si>
  <si>
    <t>mozilla/mozilla-django-oidc</t>
  </si>
  <si>
    <t>mozilla__mozilla-django-oidc</t>
  </si>
  <si>
    <t>mozilla__remote-settings-741</t>
  </si>
  <si>
    <t>https://github.com/mozilla/remote-settings/issues/741</t>
  </si>
  <si>
    <t>https://drive.google.com/drive/folders/1cENElh6_m4DgDW4xlnqF06u-XIXRtiyT</t>
  </si>
  <si>
    <t>https://drive.google.com/drive/folders/1bD-c9ED-8aF__-Kf3cv9VEQOQNJffaIu</t>
  </si>
  <si>
    <t>mozilla/remote-settings</t>
  </si>
  <si>
    <t>mozilla__remote-settings</t>
  </si>
  <si>
    <t>narwhals-dev__narwhals-2235</t>
  </si>
  <si>
    <t>https://github.com/narwhals-dev/narwhals/issues/2235</t>
  </si>
  <si>
    <t>https://drive.google.com/drive/folders/1zkmG5j4tZwIr2PggWPB4bcsErJyp1oWs</t>
  </si>
  <si>
    <t>NASA-AMMOS__3DTilesRendererJS-885</t>
  </si>
  <si>
    <t>https://github.com/NASA-AMMOS/3DTilesRendererJS/issues/885</t>
  </si>
  <si>
    <t>https://drive.google.com/drive/folders/1Al14Q4YSVUDUqGG_xTY6b9RBhhPLnoKE</t>
  </si>
  <si>
    <t>https://drive.google.com/drive/folders/1uU4TginEUBoBBEQkH2t81APc5w_AYAna</t>
  </si>
  <si>
    <t>NASA-AMMOS/3DTilesRendererJS</t>
  </si>
  <si>
    <t>NASA-AMMOS__3DTilesRendererJS</t>
  </si>
  <si>
    <t>naver__billboard.js-3961</t>
  </si>
  <si>
    <t>https://github.com/naver/billboard.js/issues/3961</t>
  </si>
  <si>
    <t>https://drive.google.com/drive/folders/1YJsamiOV7vRLjaVbNIHqEmlWpZMY3iSL</t>
  </si>
  <si>
    <t>https://drive.google.com/drive/folders/18uPrTZKCaS7RYHME-6_Y7iD3_0l4cIeB</t>
  </si>
  <si>
    <t>naver/billboard.js</t>
  </si>
  <si>
    <t>naver__billboard.js</t>
  </si>
  <si>
    <t>needle-di__needle-di-64</t>
  </si>
  <si>
    <t>https://github.com/needle-di/needle-di/issues/64</t>
  </si>
  <si>
    <t>feature-request;documentation;question</t>
  </si>
  <si>
    <t>gs://swe-bench-plus/evaluations/019b6aaf-1788-707e-b6dd-d4dc12d72279-needle-di__needle-di-64-swe-agent-claude-sonnet-4.5</t>
  </si>
  <si>
    <t>https://drive.google.com/drive/folders/1stKlstBi36v1KtHsIKkYzH3z1qovqVob</t>
  </si>
  <si>
    <t>needle-di/needle-di</t>
  </si>
  <si>
    <t>needle-di__needle-di</t>
  </si>
  <si>
    <t>Netflix__archaius-687</t>
  </si>
  <si>
    <t>https://github.com/Netflix/archaius/issues/687</t>
  </si>
  <si>
    <t>https://drive.google.com/drive/folders/1zh9-_xTyyqn8rUHMzeN13xrJaOaxUYmu</t>
  </si>
  <si>
    <t>https://drive.google.com/drive/folders/1XlWjUlk5ByI16TqNnLt184kbONh9_fJ8</t>
  </si>
  <si>
    <t>Netflix/archaius</t>
  </si>
  <si>
    <t>Netflix__archaius</t>
  </si>
  <si>
    <t>netty__netty-15519</t>
  </si>
  <si>
    <t>https://github.com/netty/netty/issues/15519</t>
  </si>
  <si>
    <t>https://drive.google.com/drive/folders/177X0i-dVEcSpV-mSgIc4tkXi3UOSdUX-</t>
  </si>
  <si>
    <t>https://drive.google.com/drive/folders/1_E4uCveGJ54m-g3B0pYdTg4m8bsUP2mq</t>
  </si>
  <si>
    <t>neuronsimulator__nrn-2737</t>
  </si>
  <si>
    <t>https://github.com/neuronsimulator/nrn/issues/2737</t>
  </si>
  <si>
    <t>gs://swe-bench-plus/evaluations/019b323d-4976-7257-b241-47c1f6e33582-neuronsimulator__nrn-2737-swe-agent-claude-sonnet-4.5</t>
  </si>
  <si>
    <t>https://drive.google.com/drive/folders/1s_2DCoxeqaU584_r4tgSJBmE-eC8C3fX</t>
  </si>
  <si>
    <t>neuronsimulator/nrn</t>
  </si>
  <si>
    <t>neuronsimulator__nrn</t>
  </si>
  <si>
    <t>NewFuture__DDNS-528</t>
  </si>
  <si>
    <t>https://github.com/NewFuture/DDNS/issues/528</t>
  </si>
  <si>
    <t>gs://swe-bench-plus/evaluations/019a8f6e-6e49-72e1-8adc-7d67083c10ad-NewFuture__DDNS-528-open-hands-claude-sonnet-4-20250514</t>
  </si>
  <si>
    <t>https://drive.google.com/drive/folders/19m-1eOt6ynlfnjgdKALOxnEyB2brtT5N</t>
  </si>
  <si>
    <t>NewFuture/DDNS</t>
  </si>
  <si>
    <t>NewFuture__DDNS</t>
  </si>
  <si>
    <t>newrelic__node-newrelic-2922</t>
  </si>
  <si>
    <t>https://github.com/newrelic/node-newrelic/issues/2922</t>
  </si>
  <si>
    <t>gs://swe-bench-plus/evaluations/019b6aaf-1788-707e-b6dd-d4dc12d72279-newrelic__node-newrelic-2922-swe-agent-claude-sonnet-4.5</t>
  </si>
  <si>
    <t>https://drive.google.com/drive/folders/1A-GTmmeYkoUTkj5znOciva2nyh6YDLL5</t>
  </si>
  <si>
    <t>nextcloud__text-7093</t>
  </si>
  <si>
    <t>https://github.com/nextcloud/text/issues/7093</t>
  </si>
  <si>
    <t>https://drive.google.com/drive/folders/18jSFkfRdvLzO4LTXU48lmXZmghyzhnf9</t>
  </si>
  <si>
    <t>nextcloud/text</t>
  </si>
  <si>
    <t>nextcloud__text</t>
  </si>
  <si>
    <t>nhairs__python-json-logger-55</t>
  </si>
  <si>
    <t>https://github.com/nhairs/python-json-logger/issues/55</t>
  </si>
  <si>
    <t>gs://swe-bench-plus/evaluations/019b0df7-ade4-70bc-89dc-2dc1c6248f76-nhairs__python-json-logger-55-swe-agent-claude-opus-4.5</t>
  </si>
  <si>
    <t>https://drive.google.com/drive/folders/177Ruwy4g3Xq3H_IsEGUFiskVsikH7tAb</t>
  </si>
  <si>
    <t>nhairs/python-json-logger</t>
  </si>
  <si>
    <t>nhairs__python-json-logger</t>
  </si>
  <si>
    <t>nhairs__python-json-logger-54</t>
  </si>
  <si>
    <t>https://github.com/nhairs/python-json-logger/issues/54</t>
  </si>
  <si>
    <t>gs://swe-bench-plus/evaluations/019b0df7-ade4-70bc-89dc-2dc1c6248f76-nhairs__python-json-logger-54-swe-agent-claude-opus-4.5</t>
  </si>
  <si>
    <t>https://drive.google.com/drive/folders/1LtIQy-0O-R1hbZ3_R7CzQEehTHxk8cuh</t>
  </si>
  <si>
    <t>nilearn__nilearn-5301</t>
  </si>
  <si>
    <t>https://github.com/nilearn/nilearn/issues/5301</t>
  </si>
  <si>
    <t>ai-ml;sci-comp;graphics-media</t>
  </si>
  <si>
    <t>https://drive.google.com/drive/folders/1hpj7kGWIFFAuflNOejjX1HTasvSh72D7</t>
  </si>
  <si>
    <t>https://drive.google.com/drive/folders/1Kh8DZHuvDX1eRdaoNPuudAyCI5QZTymI</t>
  </si>
  <si>
    <t>nix-community__nix-eval-jobs-372</t>
  </si>
  <si>
    <t>https://github.com/nix-community/nix-eval-jobs/issues/372</t>
  </si>
  <si>
    <t>gs://swe-bench-plus/evaluations/019af38e-89c5-744f-aba8-d782f7a312cc-nix-community__nix-eval-jobs-372-swe-agent-claude-sonnet-4-20250514</t>
  </si>
  <si>
    <t>https://drive.google.com/drive/folders/1ZHzQMN-NeeYfr0ZC9n27yCxX-R3IsslA</t>
  </si>
  <si>
    <t>nix-community/nix-eval-jobs</t>
  </si>
  <si>
    <t>nix-community__nix-eval-jobs</t>
  </si>
  <si>
    <t>nlpodyssey__openai-agents-go-6</t>
  </si>
  <si>
    <t>https://github.com/nlpodyssey/openai-agents-go/issues/6</t>
  </si>
  <si>
    <t>gs://swe-bench-plus/evaluations/019b6ab1-4e74-7019-9e81-9c96e98a145d-nlpodyssey__openai-agents-go-6-swe-agent-claude-sonnet-4.5</t>
  </si>
  <si>
    <t>https://drive.google.com/drive/folders/1Y2aUxuXG-cp2yLFK5PWif6jDFm8hI2GN</t>
  </si>
  <si>
    <t>nlpodyssey/openai-agents-go</t>
  </si>
  <si>
    <t>nlpodyssey__openai-agents-go</t>
  </si>
  <si>
    <t>nodejs__undici-4659</t>
  </si>
  <si>
    <t>https://github.com/nodejs/undici/issues/4659</t>
  </si>
  <si>
    <t>gs://swe-bench-plus/evaluations/019b323f-37c8-77f9-a5cf-b87eb4fec6ab-nodejs__undici-4659-swe-agent-claude-sonnet-4-20250514</t>
  </si>
  <si>
    <t>nodejs/undici</t>
  </si>
  <si>
    <t>nodejs__undici</t>
  </si>
  <si>
    <t>nodejs__undici-4224</t>
  </si>
  <si>
    <t>https://github.com/nodejs/undici/issues/4224</t>
  </si>
  <si>
    <t>https://drive.google.com/drive/folders/12D7QRJsAtTCCxUViV84ePUjYEjYbCBAa</t>
  </si>
  <si>
    <t>https://drive.google.com/drive/folders/1-LiWu2wqi-T2pqS44sqZFLOefLeBumm2</t>
  </si>
  <si>
    <t>nspcc-dev__neo-go-3996</t>
  </si>
  <si>
    <t>https://github.com/nspcc-dev/neo-go/issues/3996</t>
  </si>
  <si>
    <t>gs://swe-bench-plus/evaluations/019b6ab1-4e74-7019-9e81-9c96e98a145d-nspcc-dev__neo-go-3996-swe-agent-claude-sonnet-4.5</t>
  </si>
  <si>
    <t>https://drive.google.com/drive/folders/1dK5ev7-r2etIycdrlkzdazN_JnjBxkZM</t>
  </si>
  <si>
    <t>nspcc-dev__neo-go-3973</t>
  </si>
  <si>
    <t>https://github.com/nspcc-dev/neo-go/issues/3973</t>
  </si>
  <si>
    <t>gs://swe-bench-plus/evaluations/019b6ab1-4e74-7019-9e81-9c96e98a145d-nspcc-dev__neo-go-3973-swe-agent-claude-sonnet-4.5</t>
  </si>
  <si>
    <t>https://drive.google.com/drive/folders/1zscGH9cGYI0y-d3UOlUAMpVa3Fw7z68n</t>
  </si>
  <si>
    <t>NVIDIA-NeMo__Curator-320</t>
  </si>
  <si>
    <t>https://github.com/NVIDIA-NeMo/Curator/issues/320</t>
  </si>
  <si>
    <t>gs://swe-bench-plus/evaluations/019a8f6e-6e49-72e1-8adc-7d67083c10ad-NVIDIA-NeMo__Curator-320-open-hands-claude-sonnet-4-20250514</t>
  </si>
  <si>
    <t>https://drive.google.com/drive/folders/1EPSBg6QbYH26zyeGsMXA0_ttTWm-TsNQ</t>
  </si>
  <si>
    <t>NVIDIA-NeMo/Curator</t>
  </si>
  <si>
    <t>NVIDIA-NeMo__Curator</t>
  </si>
  <si>
    <t>NVIDIA__earth2studio-483</t>
  </si>
  <si>
    <t>https://github.com/NVIDIA/earth2studio/issues/483</t>
  </si>
  <si>
    <t>ai-ml;sci-comp;applications</t>
  </si>
  <si>
    <t>gs://swe-bench-plus/evaluations/019b0b12-7023-7079-8b05-c3ee2c117847-NVIDIA__earth2studio-483-swe-agent-claude-sonnet-4.5</t>
  </si>
  <si>
    <t>https://drive.google.com/drive/folders/14AHGP_l9wqE5JQ6EaRArlC2h8DH_nI1b</t>
  </si>
  <si>
    <t>NVIDIA/earth2studio</t>
  </si>
  <si>
    <t>NVIDIA__earth2studio</t>
  </si>
  <si>
    <t>nylas__nylas-ruby-509</t>
  </si>
  <si>
    <t>https://github.com/nylas/nylas-ruby/issues/509</t>
  </si>
  <si>
    <t>https://drive.google.com/drive/folders/1MbcXMSnmQPpoV-2Exf0ZDlx5_bvHTV97</t>
  </si>
  <si>
    <t>https://drive.google.com/drive/folders/1i28gow1KGN5ldboCgTdFFzM19OjTMSAv</t>
  </si>
  <si>
    <t>nylas/nylas-ruby</t>
  </si>
  <si>
    <t>nylas__nylas-ruby</t>
  </si>
  <si>
    <t>objectionary__eo-3758</t>
  </si>
  <si>
    <t>https://github.com/objectionary/eo/issues/3758</t>
  </si>
  <si>
    <t>gs://swe-bench-plus/evaluations/019bd0bc-ca69-75d8-90e1-0b11e2a6213c-objectionary__eo-3758-swe-agent-claude-sonnet-4.5</t>
  </si>
  <si>
    <t>https://drive.google.com/drive/folders/1IIgNjXDELQqinsdSPNa0SoYwFbMKykB8</t>
  </si>
  <si>
    <t>octokit__auth-app.js-689</t>
  </si>
  <si>
    <t>https://github.com/octokit/auth-app.js/issues/689</t>
  </si>
  <si>
    <t>gs://swe-bench-plus/evaluations/019b6aaf-1788-707e-b6dd-d4dc12d72279-octokit__auth-app.js-689-swe-agent-claude-sonnet-4.5</t>
  </si>
  <si>
    <t>https://drive.google.com/drive/folders/1Pwz72VgjYF2d4rYprvmGWwZuDPkmvrov</t>
  </si>
  <si>
    <t>octokit/auth-app.js</t>
  </si>
  <si>
    <t>octokit__auth-app.js</t>
  </si>
  <si>
    <t>odygrd__quill-575</t>
  </si>
  <si>
    <t>https://github.com/odygrd/quill/issues/575</t>
  </si>
  <si>
    <t>gs://swe-bench-plus/evaluations/019aa6db-bd20-74c7-9964-169f0da3a1c2-odygrd__quill-575-open-hands-claude-sonnet-4-20250514</t>
  </si>
  <si>
    <t>okuramasafumi__alba-396</t>
  </si>
  <si>
    <t>https://github.com/okuramasafumi/alba/issues/396</t>
  </si>
  <si>
    <t>gs://swe-bench-plus/evaluations/019b6aaf-1788-707e-b6dd-d4dc12d72279-okuramasafumi__alba-396-swe-agent-claude-sonnet-4.5</t>
  </si>
  <si>
    <t>https://drive.google.com/drive/folders/1RfxfVS8vGKzZ9B0wPm_D8VNb_mqY7blM</t>
  </si>
  <si>
    <t>okuramasafumi/alba</t>
  </si>
  <si>
    <t>okuramasafumi__alba</t>
  </si>
  <si>
    <t>OneBusAway__onebusaway-gtfs-modules-240</t>
  </si>
  <si>
    <t>https://github.com/OneBusAway/onebusaway-gtfs-modules/issues/240</t>
  </si>
  <si>
    <t>data-eng;applications;devtools</t>
  </si>
  <si>
    <t>gs://swe-bench-plus/evaluations/019b6aaf-1788-707e-b6dd-d4dc12d72279-OneBusAway__onebusaway-gtfs-modules-240-swe-agent-claude-sonnet-4.5</t>
  </si>
  <si>
    <t>https://drive.google.com/drive/folders/1ye1ZCF-FMqR5hB65joGb18hw5IRKc_UL</t>
  </si>
  <si>
    <t>OneBusAway/onebusaway-gtfs-modules</t>
  </si>
  <si>
    <t>OneBusAway__onebusaway-gtfs-modules</t>
  </si>
  <si>
    <t>onflow__flow-cli-2074</t>
  </si>
  <si>
    <t>https://github.com/onflow/flow-cli/issues/2074</t>
  </si>
  <si>
    <t>gs://swe-bench-plus/evaluations/019b6ab1-4e74-7019-9e81-9c96e98a145d-onflow__flow-cli-2074-swe-agent-claude-sonnet-4.5</t>
  </si>
  <si>
    <t>https://drive.google.com/drive/folders/18FmGn38hVkLcaSUG6FiEleTWHzwy0ZnO</t>
  </si>
  <si>
    <t>onflow/flow-cli</t>
  </si>
  <si>
    <t>onflow__flow-cli</t>
  </si>
  <si>
    <t>onthegomap__planetiler-1173</t>
  </si>
  <si>
    <t>https://github.com/onthegomap/planetiler/issues/1173</t>
  </si>
  <si>
    <t>data-eng;graphics-media;devtools</t>
  </si>
  <si>
    <t>gs://swe-bench-plus/evaluations/019b6aaf-1788-707e-b6dd-d4dc12d72279-onthegomap__planetiler-1173-swe-agent-claude-sonnet-4.5</t>
  </si>
  <si>
    <t>https://drive.google.com/drive/folders/1rioPn9NO6-ZO76OXGcEHr93NDdDMOZpB</t>
  </si>
  <si>
    <t>onthegomap/planetiler</t>
  </si>
  <si>
    <t>onthegomap__planetiler</t>
  </si>
  <si>
    <t>open-cqrs__opencqrs-24</t>
  </si>
  <si>
    <t>https://github.com/open-cqrs/opencqrs/issues/24</t>
  </si>
  <si>
    <t>https://drive.google.com/drive/folders/12BgWqWtK7H4GdpRTqPPyYykmb6H0qqLA</t>
  </si>
  <si>
    <t>https://drive.google.com/drive/folders/1aDiaC697TfSqFdAymKhtwIdHVckCnQpR</t>
  </si>
  <si>
    <t>open-cqrs/opencqrs</t>
  </si>
  <si>
    <t>open-cqrs__opencqrs</t>
  </si>
  <si>
    <t>Open-EO__openeo-python-client-698</t>
  </si>
  <si>
    <t>https://github.com/Open-EO/openeo-python-client/issues/698</t>
  </si>
  <si>
    <t>gs://swe-bench-plus/evaluations/019a11d0-17d3-730b-bffc-06f187eef661-Open-EO__openeo-python-client-698-swe-agent-claude-sonnet-4-20250514</t>
  </si>
  <si>
    <t>https://drive.google.com/drive/folders/1JSNONmeaifI5ixQNGMc06LNSfvR0qsIc</t>
  </si>
  <si>
    <t>Open-EO/openeo-python-client</t>
  </si>
  <si>
    <t>Open-EO__openeo-python-client</t>
  </si>
  <si>
    <t>open-policy-agent__opa-7325</t>
  </si>
  <si>
    <t>https://github.com/open-policy-agent/opa/issues/7325</t>
  </si>
  <si>
    <t>gs://swe-bench-plus/evaluations/019a8f63-9719-76e6-95d0-86201157cd29-open-policy-agent__opa-7325-open-hands-claude-sonnet-4-20250514</t>
  </si>
  <si>
    <t>open-policy-agent/opa</t>
  </si>
  <si>
    <t>open-policy-agent__opa</t>
  </si>
  <si>
    <t>open-telemetry__opentelemetry-java-instrumentation-12839</t>
  </si>
  <si>
    <t>https://github.com/open-telemetry/opentelemetry-java-instrumentation/issues/12839</t>
  </si>
  <si>
    <t>gs://swe-bench-plus/evaluations/019c75f5-6b8c-7228-9f9c-93aa98fd3824-open-telemetry__opentelemetry-java-instrumentation-12839-swe-agent-claude-sonnet-4-20250514</t>
  </si>
  <si>
    <t>open-telemetry__opentelemetry-js-5777</t>
  </si>
  <si>
    <t>https://github.com/open-telemetry/opentelemetry-js/issues/5777</t>
  </si>
  <si>
    <t>gs://swe-bench-plus/evaluations/019c66b1-510b-717a-a36b-0bf7c9af4077-open-telemetry__opentelemetry-js-5777-swe-agent-claude-sonnet-4-20250514</t>
  </si>
  <si>
    <t>https://drive.google.com/drive/folders/1oF35JgmqqNl-NtqNsIPV6Dx_Un9un9aW</t>
  </si>
  <si>
    <t>open-telemetry__opentelemetry-ruby-1887</t>
  </si>
  <si>
    <t>https://github.com/open-telemetry/opentelemetry-ruby/issues/1887</t>
  </si>
  <si>
    <t>gs://swe-bench-plus/evaluations/019b6aaf-1788-707e-b6dd-d4dc12d72279-open-telemetry__opentelemetry-ruby-1887-swe-agent-claude-sonnet-4.5</t>
  </si>
  <si>
    <t>https://drive.google.com/drive/folders/16i0_wHpdeFN6ex7gKFpSj2Zx5z_uPKK4</t>
  </si>
  <si>
    <t>open-telemetry/opentelemetry-ruby</t>
  </si>
  <si>
    <t>open-telemetry__opentelemetry-ruby</t>
  </si>
  <si>
    <t>open-thought__reasoning-gym-43</t>
  </si>
  <si>
    <t>https://github.com/open-thought/reasoning-gym/issues/43</t>
  </si>
  <si>
    <t>gs://swe-bench-plus/evaluations/019a8f6e-6e49-72e1-8adc-7d67083c10ad-open-thought__reasoning-gym-43-open-hands-claude-sonnet-4-20250514</t>
  </si>
  <si>
    <t>https://drive.google.com/drive/folders/1hgPUHKeTAEXakA7tphYiBPYLS1ydP6pd</t>
  </si>
  <si>
    <t>open-thought/reasoning-gym</t>
  </si>
  <si>
    <t>open-thought__reasoning-gym</t>
  </si>
  <si>
    <t>openconfig__gnmic-548</t>
  </si>
  <si>
    <t>https://github.com/openconfig/gnmic/issues/548</t>
  </si>
  <si>
    <t>gs://swe-bench-plus/evaluations/019b6aa7-0380-771f-9e02-24cda0fe6639-openconfig__gnmic-548-swe-agent-claude-sonnet-4.5</t>
  </si>
  <si>
    <t>https://drive.google.com/drive/folders/1miLepd_8WKuP5YG_88ZX4Kw054ODgJzq</t>
  </si>
  <si>
    <t>openconfig/gnmic</t>
  </si>
  <si>
    <t>openconfig__gnmic</t>
  </si>
  <si>
    <t>openebs__dynamic-localpv-provisioner-264</t>
  </si>
  <si>
    <t>https://github.com/openebs/dynamic-localpv-provisioner/issues/264</t>
  </si>
  <si>
    <t>gs://swe-bench-plus/evaluations/019b6aa7-0380-771f-9e02-24cda0fe6639-openebs__dynamic-localpv-provisioner-264-swe-agent-claude-sonnet-4.5</t>
  </si>
  <si>
    <t>https://drive.google.com/drive/folders/10nLX5-xJAe7uOyGj2em4UqueLYSy-d6O</t>
  </si>
  <si>
    <t>openebs/dynamic-localpv-provisioner</t>
  </si>
  <si>
    <t>openebs__dynamic-localpv-provisioner</t>
  </si>
  <si>
    <t>openfga__js-sdk-267</t>
  </si>
  <si>
    <t>https://github.com/openfga/js-sdk/issues/267</t>
  </si>
  <si>
    <t>gs://swe-bench-plus/evaluations/019c24f8-6916-725b-9326-cd9fd2c49e18-openfga__js-sdk-267-swe-agent-claude-sonnet-4.5</t>
  </si>
  <si>
    <t>https://drive.google.com/drive/folders/11lcimxD53lVv6ayMQHI7gXlHf27PQ_yC</t>
  </si>
  <si>
    <t>openfga/js-sdk</t>
  </si>
  <si>
    <t>openfga__js-sdk</t>
  </si>
  <si>
    <t>openmdao__openmdao-3519</t>
  </si>
  <si>
    <t>https://github.com/openmdao/openmdao/issues/3519</t>
  </si>
  <si>
    <t>https://drive.google.com/drive/folders/1SGc6Qvn1PQLFyxtR6kUv8pmdAWBlj7TQ</t>
  </si>
  <si>
    <t>https://drive.google.com/drive/folders/1FxRSNVlZdbcjqaUMZmyz4SgNssx8PKCM</t>
  </si>
  <si>
    <t>openmdao/openmdao</t>
  </si>
  <si>
    <t>openmdao__openmdao</t>
  </si>
  <si>
    <t>OpenMS__OpenMS-7541</t>
  </si>
  <si>
    <t>https://github.com/OpenMS/OpenMS/issues/7541</t>
  </si>
  <si>
    <t>https://drive.google.com/drive/folders/1ntr905J86UGKykvjhAzn4_cxk97C65Um</t>
  </si>
  <si>
    <t>https://drive.google.com/drive/folders/1JruTC0-jD05zgagjZAqQTS7TUUIylmRW</t>
  </si>
  <si>
    <t>OpenMS/OpenMS</t>
  </si>
  <si>
    <t>OpenMS__OpenMS</t>
  </si>
  <si>
    <t>openpubkey__opkssh-133</t>
  </si>
  <si>
    <t>https://github.com/openpubkey/opkssh/issues/133</t>
  </si>
  <si>
    <t>gs://swe-bench-plus/evaluations/019b6ab1-4e74-7019-9e81-9c96e98a145d-openpubkey__opkssh-133-swe-agent-claude-sonnet-4.5</t>
  </si>
  <si>
    <t>https://drive.google.com/drive/folders/1Rq5M67qvmQJ2iHlMeZavMqITKAr-ihTb</t>
  </si>
  <si>
    <t>opensafely-core__opencodelists-2430</t>
  </si>
  <si>
    <t>https://github.com/opensafely-core/opencodelists/issues/2430</t>
  </si>
  <si>
    <t>build-ci;refactor</t>
  </si>
  <si>
    <t>https://drive.google.com/drive/folders/1yMx-neai71jC0N9sKNbYgHPKfy3yhMqr</t>
  </si>
  <si>
    <t>https://drive.google.com/drive/folders/11vpgXEac0eor6Y0dmlRgCOrdhYLAbTcv</t>
  </si>
  <si>
    <t>opensearch-project__security-5775</t>
  </si>
  <si>
    <t>https://github.com/opensearch-project/security/issues/5775</t>
  </si>
  <si>
    <t>gs://swe-bench-plus/evaluations/019c2527-069d-76b8-a805-96d478bdb559-opensearch-project__security-5775-swe-agent-claude-sonnet-4-20250514</t>
  </si>
  <si>
    <t>https://drive.google.com/drive/folders/1wymtddGeLg4opX_aZDwoRVSB83EIL8yv</t>
  </si>
  <si>
    <t>opensearch-project/security</t>
  </si>
  <si>
    <t>opensearch-project__security</t>
  </si>
  <si>
    <t>opentap__opentap-2067</t>
  </si>
  <si>
    <t>https://github.com/opentap/opentap/issues/2067</t>
  </si>
  <si>
    <t>gs://swe-bench-plus/evaluations/019b6aa7-0380-771f-9e02-24cda0fe6639-opentap__opentap-2067-swe-agent-claude-sonnet-4.5</t>
  </si>
  <si>
    <t>https://drive.google.com/drive/folders/12cN4i-wpgGLBGOpVNIjUNZfE9lhvvU9M</t>
  </si>
  <si>
    <t>opentap/opentap</t>
  </si>
  <si>
    <t>opentap__opentap</t>
  </si>
  <si>
    <t>openwallet-foundation__sd-jwt-js-285</t>
  </si>
  <si>
    <t>https://github.com/openwallet-foundation/sd-jwt-js/issues/285</t>
  </si>
  <si>
    <t>gs://swe-bench-plus/evaluations/019b6ab1-4e74-7019-9e81-9c96e98a145d-openwallet-foundation__sd-jwt-js-285-swe-agent-claude-sonnet-4.5</t>
  </si>
  <si>
    <t>https://drive.google.com/drive/folders/1DUwLwMj_-5aUDmozhBg1hWdudDe1unKf</t>
  </si>
  <si>
    <t>openwallet-foundation/sd-jwt-js</t>
  </si>
  <si>
    <t>openwallet-foundation__sd-jwt-js</t>
  </si>
  <si>
    <t>OPM__ResInsight-12000</t>
  </si>
  <si>
    <t>https://github.com/OPM/ResInsight/issues/12000</t>
  </si>
  <si>
    <t>gs://swe-bench-plus/evaluations/019b06b8-5347-7669-9f51-4e4681f5c848-OPM__ResInsight-12000-swe-agent-claude-sonnet-4.5</t>
  </si>
  <si>
    <t>https://drive.google.com/drive/folders/1NpWhMXOkYLKqCFQONK1o26F9SDT1Z89t</t>
  </si>
  <si>
    <t>OPM/ResInsight</t>
  </si>
  <si>
    <t>OPM__ResInsight</t>
  </si>
  <si>
    <t>OSGeo__gdal-13027</t>
  </si>
  <si>
    <t>https://github.com/OSGeo/gdal/issues/13027</t>
  </si>
  <si>
    <t>https://drive.google.com/drive/folders/1uCAyp-vXXXrdNHvr89jMYAm9Aaunz3sH</t>
  </si>
  <si>
    <t>https://drive.google.com/drive/folders/1Kv9ouF3zBBVHNbIcANKdUKo-4FWx0lfA</t>
  </si>
  <si>
    <t>Ouranosinc__xclim-2067</t>
  </si>
  <si>
    <t>https://github.com/Ouranosinc/xclim/issues/2067</t>
  </si>
  <si>
    <t>https://drive.google.com/drive/folders/1X54ogSVuacYbzDGHL3VAIgR1dlFIkrSr</t>
  </si>
  <si>
    <t>owid__owid-grapher-5790</t>
  </si>
  <si>
    <t>https://github.com/owid/owid-grapher/issues/5790</t>
  </si>
  <si>
    <t>gs://swe-bench-plus/evaluations/019c66b2-8d12-718e-a308-6ab44b696b4d-owid__owid-grapher-5790-swe-agent-claude-sonnet-4.5</t>
  </si>
  <si>
    <t>https://drive.google.com/drive/folders/1oPDjN0gK20aXJBzhHzzMdmzo1sT9rRXh</t>
  </si>
  <si>
    <t>owid/owid-grapher</t>
  </si>
  <si>
    <t>owid__owid-grapher</t>
  </si>
  <si>
    <t>oxc-project__oxc-resolver-312</t>
  </si>
  <si>
    <t>https://github.com/oxc-project/oxc-resolver/issues/312</t>
  </si>
  <si>
    <t>gs://swe-bench-plus/evaluations/019b06be-e158-75e3-bc3e-1e0574eebf73-oxc-project__oxc-resolver-312-swe-agent-claude-sonnet-4.5</t>
  </si>
  <si>
    <t>https://drive.google.com/drive/folders/1zNFWUgVtXiBt5oUfTMaku3e7J8T1vtj6</t>
  </si>
  <si>
    <t>oxc-project/oxc-resolver</t>
  </si>
  <si>
    <t>oxc-project__oxc-resolver</t>
  </si>
  <si>
    <t>pallets__click-2271</t>
  </si>
  <si>
    <t>https://github.com/pallets/click/issues/2271</t>
  </si>
  <si>
    <t>https://drive.google.com/drive/folders/1WhywKSL73-QkeZIe9ceciC9XNFCVBvuq</t>
  </si>
  <si>
    <t>https://drive.google.com/drive/folders/131i66IUutTKkDTmEDc2xTqXQayOgpr7t</t>
  </si>
  <si>
    <t>pallets__click-2523</t>
  </si>
  <si>
    <t>https://github.com/pallets/click/issues/2523</t>
  </si>
  <si>
    <t>https://drive.google.com/drive/folders/17tS7iKC7kPpVneFZM3fpDotdshLKHh5M</t>
  </si>
  <si>
    <t>https://drive.google.com/drive/folders/1dyNUGQb7Mak204Rqkzt2qvsHISyrRPml</t>
  </si>
  <si>
    <t>pallets__click-2727</t>
  </si>
  <si>
    <t>https://github.com/pallets/click/issues/2727</t>
  </si>
  <si>
    <t>https://drive.google.com/drive/folders/1MropAaRV7XLPMZR52b30-vGm-ZaCr6ng</t>
  </si>
  <si>
    <t>https://drive.google.com/drive/folders/1RoJ2stLQWRtD15c3EEg1uO5gVvJJJvis</t>
  </si>
  <si>
    <t>parquet-go__parquet-go-317</t>
  </si>
  <si>
    <t>https://github.com/parquet-go/parquet-go/issues/317</t>
  </si>
  <si>
    <t>gs://swe-bench-plus/evaluations/019b6aaf-1788-707e-b6dd-d4dc12d72279-parquet-go__parquet-go-317-swe-agent-claude-sonnet-4.5</t>
  </si>
  <si>
    <t>https://drive.google.com/drive/folders/1dtjPtvwc6ZzMzi49yDyhU-_JqQEJvzsA</t>
  </si>
  <si>
    <t>parquet-go/parquet-go</t>
  </si>
  <si>
    <t>parquet-go__parquet-go</t>
  </si>
  <si>
    <t>parruda__claude-swarm-20</t>
  </si>
  <si>
    <t>https://github.com/parruda/claude-swarm/issues/20</t>
  </si>
  <si>
    <t>gs://swe-bench-plus/evaluations/019b6aaf-1788-707e-b6dd-d4dc12d72279-parruda__claude-swarm-20-swe-agent-claude-sonnet-4.5</t>
  </si>
  <si>
    <t>https://drive.google.com/drive/folders/1H2cTEXQp9_Tn8PWf6kvaspHxFHvZdfZm</t>
  </si>
  <si>
    <t>pasqal-io__Pulser-773</t>
  </si>
  <si>
    <t>https://github.com/pasqal-io/Pulser/issues/773</t>
  </si>
  <si>
    <t>gs://swe-bench-plus/evaluations/019a6f31-ddce-766c-944f-e4445d37996d-pasqal-io__Pulser-773-swe-agent-claude-sonnet-4.5</t>
  </si>
  <si>
    <t>https://drive.google.com/drive/folders/1XL0UpSdXw-wb0TExS2oqV6rYvIdIO9MM</t>
  </si>
  <si>
    <t>pasqal-io/Pulser</t>
  </si>
  <si>
    <t>pasqal-io__Pulser</t>
  </si>
  <si>
    <t>pastas__pastas-892</t>
  </si>
  <si>
    <t>https://github.com/pastas/pastas/issues/892</t>
  </si>
  <si>
    <t>https://drive.google.com/drive/folders/1p7Sedr-Ads3KqtGavDDWhbW3XT9KZJoa</t>
  </si>
  <si>
    <t>https://drive.google.com/drive/folders/1_WLA0edmtej-cLqjG4Of7156qoPE1wKC</t>
  </si>
  <si>
    <t>pastas/pastas</t>
  </si>
  <si>
    <t>pastas__pastas</t>
  </si>
  <si>
    <t>patterns-ai-core__langchainrb-884</t>
  </si>
  <si>
    <t>https://github.com/patterns-ai-core/langchainrb/issues/884</t>
  </si>
  <si>
    <t>gs://swe-bench-plus/evaluations/019b6aaf-1788-707e-b6dd-d4dc12d72279-patterns-ai-core__langchainrb-884-swe-agent-claude-sonnet-4.5</t>
  </si>
  <si>
    <t>https://drive.google.com/drive/folders/12D8--KEUcM7O4VeEV6R0EaLAnLnKiy_u</t>
  </si>
  <si>
    <t>patterns-ai-core/langchainrb</t>
  </si>
  <si>
    <t>patterns-ai-core__langchainrb</t>
  </si>
  <si>
    <t>pdfme__pdfme-1015</t>
  </si>
  <si>
    <t>https://github.com/pdfme/pdfme/issues/1015</t>
  </si>
  <si>
    <t>https://drive.google.com/drive/folders/1wxqSMyvY6pwDKm3qtugsmIR62yohurYd</t>
  </si>
  <si>
    <t>https://drive.google.com/drive/folders/16MJsvBmWqfXP6A63_AWHORkgZ83GEQ7X</t>
  </si>
  <si>
    <t>periph__devices-92</t>
  </si>
  <si>
    <t>https://github.com/periph/devices/issues/92</t>
  </si>
  <si>
    <t>gs://swe-bench-plus/evaluations/019b6aa7-0380-771f-9e02-24cda0fe6639-periph__devices-92-swe-agent-claude-sonnet-4.5</t>
  </si>
  <si>
    <t>https://drive.google.com/drive/folders/1F9yNef_K_dF-Rk3w7T10v6jSoWP6wNZg</t>
  </si>
  <si>
    <t>periph/devices</t>
  </si>
  <si>
    <t>periph__devices</t>
  </si>
  <si>
    <t>pion__dtls-741</t>
  </si>
  <si>
    <t>https://github.com/pion/dtls/issues/741</t>
  </si>
  <si>
    <t>gs://swe-bench-plus/evaluations/019b6aa7-0380-771f-9e02-24cda0fe6639-pion__dtls-741-swe-agent-claude-sonnet-4.5</t>
  </si>
  <si>
    <t>https://drive.google.com/drive/folders/1wyPjyJvWNvdeuMLREux5aPRLzbUtrn6d</t>
  </si>
  <si>
    <t>pion/dtls</t>
  </si>
  <si>
    <t>pion__dtls</t>
  </si>
  <si>
    <t>pixijs__pixi-react-533</t>
  </si>
  <si>
    <t>https://github.com/pixijs/pixi-react/issues/533</t>
  </si>
  <si>
    <t>https://drive.google.com/drive/folders/1LH2-sQSKGSAIAqtl3YuI-nOeSaJIjDqO</t>
  </si>
  <si>
    <t>https://drive.google.com/drive/folders/13z0uD0lJpna3ed_O05O33gU7AxYn5gtS</t>
  </si>
  <si>
    <t>pixijs/pixi-react</t>
  </si>
  <si>
    <t>pixijs__pixi-react</t>
  </si>
  <si>
    <t>posit-dev__air-118</t>
  </si>
  <si>
    <t>https://github.com/posit-dev/air/issues/118</t>
  </si>
  <si>
    <t>gs://swe-bench-plus/evaluations/019b06be-e158-75e3-bc3e-1e0574eebf73-posit-dev__air-118-swe-agent-claude-sonnet-4.5</t>
  </si>
  <si>
    <t>https://drive.google.com/drive/folders/19FNRBFj5mcuTqNvWJeGW9O0ZzdJRgOGv</t>
  </si>
  <si>
    <t>posit-dev/air</t>
  </si>
  <si>
    <t>posit-dev__air</t>
  </si>
  <si>
    <t>posit-dev__air-228</t>
  </si>
  <si>
    <t>https://github.com/posit-dev/air/issues/228</t>
  </si>
  <si>
    <t>gs://swe-bench-plus/evaluations/019b06be-e158-75e3-bc3e-1e0574eebf73-posit-dev__air-228-swe-agent-claude-sonnet-4.5</t>
  </si>
  <si>
    <t>https://drive.google.com/drive/folders/1Q5E9qN_V5RgYCoRLzHF1F8yQ2nbXLvUJ</t>
  </si>
  <si>
    <t>posit-dev__air-419</t>
  </si>
  <si>
    <t>https://github.com/posit-dev/air/issues/419</t>
  </si>
  <si>
    <t>gs://swe-bench-plus/evaluations/019b06be-e158-75e3-bc3e-1e0574eebf73-posit-dev__air-419-swe-agent-claude-sonnet-4.5</t>
  </si>
  <si>
    <t>https://drive.google.com/drive/folders/1cTbAXQ5hcGQ8RpNVxU71VAs6WwExvSk4</t>
  </si>
  <si>
    <t>ppetzold__nestjs-paginate-1093</t>
  </si>
  <si>
    <t>https://github.com/ppetzold/nestjs-paginate/issues/1093</t>
  </si>
  <si>
    <t>gs://swe-bench-plus/evaluations/019c66b0-e4eb-7608-b019-c1c316c79cf8-ppetzold__nestjs-paginate-1093-swe-agent-claude-sonnet-4-20250514</t>
  </si>
  <si>
    <t>https://drive.google.com/drive/folders/1bgfVs6K7RVZxoLszvX1QgntKxwaQkBjh</t>
  </si>
  <si>
    <t>prebid__prebid-server-java-4113</t>
  </si>
  <si>
    <t>https://github.com/prebid/prebid-server-java/issues/4113</t>
  </si>
  <si>
    <t>gs://swe-bench-plus/evaluations/019b6ab1-4e74-7019-9e81-9c96e98a145d-prebid__prebid-server-java-4113-swe-agent-claude-sonnet-4.5</t>
  </si>
  <si>
    <t>https://drive.google.com/drive/folders/15k7gZwoyGYIcQ2BCAZuExuJ-GcLJq4J6</t>
  </si>
  <si>
    <t>prebid/prebid-server-java</t>
  </si>
  <si>
    <t>prebid__prebid-server-java</t>
  </si>
  <si>
    <t>primefaces__primefaces-13973</t>
  </si>
  <si>
    <t>https://github.com/primefaces/primefaces/issues/13973</t>
  </si>
  <si>
    <t>gs://swe-bench-plus/evaluations/019b6aaf-1788-707e-b6dd-d4dc12d72279-primefaces__primefaces-13973-swe-agent-claude-sonnet-4.5</t>
  </si>
  <si>
    <t>https://drive.google.com/drive/folders/1w4HVVFr62EslE09WIk96pdTUB_Hccj9Y</t>
  </si>
  <si>
    <t>primefaces/primefaces</t>
  </si>
  <si>
    <t>primefaces__primefaces</t>
  </si>
  <si>
    <t>projectdiscovery__goflags-224</t>
  </si>
  <si>
    <t>https://github.com/projectdiscovery/goflags/issues/224</t>
  </si>
  <si>
    <t>gs://swe-bench-plus/evaluations/019b6aa7-0380-771f-9e02-24cda0fe6639-projectdiscovery__goflags-224-swe-agent-claude-sonnet-4.5</t>
  </si>
  <si>
    <t>https://drive.google.com/drive/folders/1t4WU0vBi02aRC72ktA8jNFnCfKtu9JkK</t>
  </si>
  <si>
    <t>projectdiscovery/goflags</t>
  </si>
  <si>
    <t>projectdiscovery__goflags</t>
  </si>
  <si>
    <t>prometheus-community__postgres_exporter-940</t>
  </si>
  <si>
    <t>https://github.com/prometheus-community/postgres_exporter/issues/940</t>
  </si>
  <si>
    <t>https://drive.google.com/drive/folders/1lesRDK56V6HMcDJ3Tc_RROnpR_o8pZXK</t>
  </si>
  <si>
    <t>https://drive.google.com/drive/folders/11C_HREbML82iMD_m6ECK9fy0f6sdi7Ud</t>
  </si>
  <si>
    <t>prometheus-community/postgres_exporter</t>
  </si>
  <si>
    <t>prometheus-community__postgres_exporter</t>
  </si>
  <si>
    <t>prometheus__prometheus-16443</t>
  </si>
  <si>
    <t>https://github.com/prometheus/prometheus/issues/16443</t>
  </si>
  <si>
    <t>https://drive.google.com/drive/folders/1hfWMkMmBjFIg2vRCmTF5GH0mTiICnMKm</t>
  </si>
  <si>
    <t>https://drive.google.com/drive/folders/1xw1CMePChT5CxokSTRSlp05n5Tyq2AB5</t>
  </si>
  <si>
    <t>protofire__solhint-705</t>
  </si>
  <si>
    <t>https://github.com/protofire/solhint/issues/705</t>
  </si>
  <si>
    <t>gs://swe-bench-plus/evaluations/019bd0bc-ca69-75d8-90e1-0b11e2a6213c-protofire__solhint-705-swe-agent-claude-sonnet-4.5</t>
  </si>
  <si>
    <t>https://drive.google.com/drive/folders/1to4sgUAXO4H6MsqVnXSh-cP5hsSWO4-c</t>
  </si>
  <si>
    <t>ptarmiganlabs__butler-1381</t>
  </si>
  <si>
    <t>https://github.com/ptarmiganlabs/butler/issues/1381</t>
  </si>
  <si>
    <t>gs://swe-bench-plus/evaluations/019b6aaf-1788-707e-b6dd-d4dc12d72279-ptarmiganlabs__butler-1381-swe-agent-claude-sonnet-4.5</t>
  </si>
  <si>
    <t>https://drive.google.com/drive/folders/17OBhI6_dfL3jDbWIAa_QP2awUnSqnRii</t>
  </si>
  <si>
    <t>ptarmiganlabs/butler</t>
  </si>
  <si>
    <t>ptarmiganlabs__butler</t>
  </si>
  <si>
    <t>punkpeye__fastmcp-86</t>
  </si>
  <si>
    <t>https://github.com/punkpeye/fastmcp/issues/86</t>
  </si>
  <si>
    <t>https://drive.google.com/drive/folders/1YzcmnU5ygZ2Gw3TIIGqlMLUBmTygqdXn</t>
  </si>
  <si>
    <t>https://drive.google.com/drive/folders/1IsmH1OzY5EPR9FGJiUloJxIcpA95SIcQ</t>
  </si>
  <si>
    <t>punkpeye/fastmcp</t>
  </si>
  <si>
    <t>punkpeye__fastmcp</t>
  </si>
  <si>
    <t>punkpeye__mcp-proxy-43</t>
  </si>
  <si>
    <t>https://github.com/punkpeye/mcp-proxy/issues/43</t>
  </si>
  <si>
    <t>gs://swe-bench-plus/evaluations/019b6ab1-4e74-7019-9e81-9c96e98a145d-punkpeye__mcp-proxy-43-swe-agent-claude-sonnet-4.5</t>
  </si>
  <si>
    <t>https://drive.google.com/drive/folders/16G8C9UMNgcEpydV6HceAPZoJNW10YMJ4</t>
  </si>
  <si>
    <t>punkpeye/mcp-proxy</t>
  </si>
  <si>
    <t>punkpeye__mcp-proxy</t>
  </si>
  <si>
    <t>pvlib__pvlib-python-2341</t>
  </si>
  <si>
    <t>https://github.com/pvlib/pvlib-python/issues/2341</t>
  </si>
  <si>
    <t>refactor;dependency-update;documentation</t>
  </si>
  <si>
    <t>https://drive.google.com/drive/folders/1b5F45ysLkpAKJNhsZL3VHpzBSCXHYqWW</t>
  </si>
  <si>
    <t>https://drive.google.com/drive/folders/1t_e_iKTv_AWFbIgjFDQQZyA_XFVJ1sUV</t>
  </si>
  <si>
    <t>pvlib/pvlib-python</t>
  </si>
  <si>
    <t>pvlib__pvlib-python</t>
  </si>
  <si>
    <t>py-pdf__pypdf-3410</t>
  </si>
  <si>
    <t>https://github.com/py-pdf/pypdf/issues/3410</t>
  </si>
  <si>
    <t>https://drive.google.com/drive/folders/1D25cn5NkNvaPCqS1jLxVc7H6w6u-Eem4</t>
  </si>
  <si>
    <t>https://drive.google.com/drive/folders/1hs8etT5gRUThtc3ovwiBWBMkAhORxH--</t>
  </si>
  <si>
    <t>py-pdf/pypdf</t>
  </si>
  <si>
    <t>py-pdf__pypdf</t>
  </si>
  <si>
    <t>py-pdf__pypdf-3374</t>
  </si>
  <si>
    <t>https://github.com/py-pdf/pypdf/issues/3374</t>
  </si>
  <si>
    <t>https://drive.google.com/drive/folders/1B_gtwsZksSf_MpO4NeLnEnTOz8QE1hLU</t>
  </si>
  <si>
    <t>https://drive.google.com/drive/folders/1ZazW7TNlaC49uSen6lgDu9yMVo1PctXd</t>
  </si>
  <si>
    <t>pybamm-team__PyBaMM-5113</t>
  </si>
  <si>
    <t>https://github.com/pybamm-team/PyBaMM/issues/5113</t>
  </si>
  <si>
    <t>gs://swe-bench-plus/evaluations/019a8f6e-6e49-72e1-8adc-7d67083c10ad-pybamm-team__PyBaMM-5113-open-hands-claude-sonnet-4-20250514</t>
  </si>
  <si>
    <t>https://drive.google.com/drive/folders/1_4qzLZWt26JCgirHgtBkGkePIjTdVHDW</t>
  </si>
  <si>
    <t>pydantic__pydantic-ai-629</t>
  </si>
  <si>
    <t>https://github.com/pydantic/pydantic-ai/issues/629</t>
  </si>
  <si>
    <t>https://drive.google.com/drive/folders/1OqzZrPUkluXO_KUBX2vLsN3ZtlVjcibw</t>
  </si>
  <si>
    <t>https://drive.google.com/drive/folders/1AmQ9SMioF40Yk6ZGg_SWIOpNPm0oV7Ta</t>
  </si>
  <si>
    <t>pydantic__pydantic-ai-2060</t>
  </si>
  <si>
    <t>https://github.com/pydantic/pydantic-ai/issues/2060</t>
  </si>
  <si>
    <t>https://drive.google.com/drive/folders/1BMuTldADUllRICmB-JZPEGz0J1nYtfOR</t>
  </si>
  <si>
    <t>pydantic__pydantic-ai-1642</t>
  </si>
  <si>
    <t>https://github.com/pydantic/pydantic-ai/issues/1642</t>
  </si>
  <si>
    <t>https://drive.google.com/drive/folders/1eqXpcl7RBNnbxcO1wbzYWntYA495a3eL</t>
  </si>
  <si>
    <t>https://drive.google.com/drive/folders/16RL90YxkHGF3ZW8eVLuxvubXzimkEqCT</t>
  </si>
  <si>
    <t>pydap__pydap-554</t>
  </si>
  <si>
    <t>https://github.com/pydap/pydap/issues/554</t>
  </si>
  <si>
    <t>https://drive.google.com/drive/folders/1HHEZitNVRh02vYhNbUSX-rKsYXEQFqdz</t>
  </si>
  <si>
    <t>https://drive.google.com/drive/folders/1mb8Fzqn5higsnfUEdY7HkG08Z2quCVTl</t>
  </si>
  <si>
    <t>pydap/pydap</t>
  </si>
  <si>
    <t>pydap__pydap</t>
  </si>
  <si>
    <t>pydap__pydap-530</t>
  </si>
  <si>
    <t>https://github.com/pydap/pydap/issues/530</t>
  </si>
  <si>
    <t>https://drive.google.com/drive/folders/1ZP-enDLRAyTr_VsMs9v7fHb4t7611smc</t>
  </si>
  <si>
    <t>https://drive.google.com/drive/folders/1o6OUuX5epeJnEUhyugAbJ-BTOJIb97ka</t>
  </si>
  <si>
    <t>pydata__xarray-10598</t>
  </si>
  <si>
    <t>https://github.com/pydata/xarray/issues/10598</t>
  </si>
  <si>
    <t>gs://swe-bench-plus/evaluations/019a6f31-ddce-766c-944f-e4445d37996d-pydata__xarray-10598-swe-agent-claude-sonnet-4.5</t>
  </si>
  <si>
    <t>pydy__pydy-525</t>
  </si>
  <si>
    <t>https://github.com/pydy/pydy/issues/525</t>
  </si>
  <si>
    <t>sci-comp;autonomy</t>
  </si>
  <si>
    <t>gs://swe-bench-plus/evaluations/019a6f31-ddce-766c-944f-e4445d37996d-pydy__pydy-525-swe-agent-claude-sonnet-4.5</t>
  </si>
  <si>
    <t>https://drive.google.com/drive/folders/1_1zslWSD7F4yIGsbR6EKlkAeeZ7LXG3p</t>
  </si>
  <si>
    <t>pydy/pydy</t>
  </si>
  <si>
    <t>pydy__pydy</t>
  </si>
  <si>
    <t>pyjanitor-devs__pyjanitor-1444</t>
  </si>
  <si>
    <t>https://github.com/pyjanitor-devs/pyjanitor/issues/1444</t>
  </si>
  <si>
    <t>https://drive.google.com/drive/folders/1IVkyHkg5fT7m00wCEIjF-VMnIhJf2Y9V</t>
  </si>
  <si>
    <t>https://drive.google.com/drive/folders/1bIbNfesYobkPguNN0Yop1uQvag7gFtFY</t>
  </si>
  <si>
    <t>pyjanitor-devs/pyjanitor</t>
  </si>
  <si>
    <t>pyjanitor-devs__pyjanitor</t>
  </si>
  <si>
    <t>Pyomo__pyomo-3577</t>
  </si>
  <si>
    <t>https://github.com/Pyomo/pyomo/issues/3577</t>
  </si>
  <si>
    <t>https://drive.google.com/drive/folders/1yAmF5N9zPrWeK0mfxGCe_Ocj1B3lvLvI</t>
  </si>
  <si>
    <t>https://drive.google.com/drive/folders/13sYxyygqaK_Psm_RCBJ_7MuTC0uoCiMv</t>
  </si>
  <si>
    <t>Pyomo/pyomo</t>
  </si>
  <si>
    <t>Pyomo__pyomo</t>
  </si>
  <si>
    <t>pypa__build-916</t>
  </si>
  <si>
    <t>https://github.com/pypa/build/issues/916</t>
  </si>
  <si>
    <t>https://drive.google.com/drive/folders/1Xk951kXmhaZ13vNIZxlSTLGwJqvrfkIT</t>
  </si>
  <si>
    <t>https://drive.google.com/drive/folders/1WvHykbpVi_9NgsdNcymhj_obNHemvPs7</t>
  </si>
  <si>
    <t>pypa/build</t>
  </si>
  <si>
    <t>pypa__build</t>
  </si>
  <si>
    <t>pypa__setuptools-4870</t>
  </si>
  <si>
    <t>https://github.com/pypa/setuptools/issues/4870</t>
  </si>
  <si>
    <t>https://drive.google.com/drive/folders/1H7Eb9F6cpwdlPx0TkhsZkVMHtHKV6HEJ</t>
  </si>
  <si>
    <t>https://drive.google.com/drive/folders/1DOIYKsKfSJHmD0plXqFQLJEe1swUK5vG</t>
  </si>
  <si>
    <t>pyro-ppl__numpyro-1960</t>
  </si>
  <si>
    <t>https://github.com/pyro-ppl/numpyro/issues/1960</t>
  </si>
  <si>
    <t>https://drive.google.com/drive/folders/13vkGQoCzh0pgAl1gOMdge3Tg2AwWMYZW</t>
  </si>
  <si>
    <t>https://drive.google.com/drive/folders/1rbeLoG10WHaO1z7nEOXGzbhyx8ERiaL2</t>
  </si>
  <si>
    <t>pyro-ppl/numpyro</t>
  </si>
  <si>
    <t>pyro-ppl__numpyro</t>
  </si>
  <si>
    <t>pythainlp__pythainlp-998</t>
  </si>
  <si>
    <t>https://github.com/pythainlp/pythainlp/issues/998</t>
  </si>
  <si>
    <t>https://drive.google.com/drive/folders/1Xr6_Nfh3868Ue2gRPnX8TnFu9YD80Gy-</t>
  </si>
  <si>
    <t>https://drive.google.com/drive/folders/1Qr7u4U0WIMQl73bHsCQOvE-pDMoSduUd</t>
  </si>
  <si>
    <t>pythainlp/pythainlp</t>
  </si>
  <si>
    <t>pythainlp__pythainlp</t>
  </si>
  <si>
    <t>python-cmd2__cmd2-1442</t>
  </si>
  <si>
    <t>https://github.com/python-cmd2/cmd2/issues/1442</t>
  </si>
  <si>
    <t>gs://swe-bench-plus/evaluations/019a6f31-ddce-766c-944f-e4445d37996d-python-cmd2__cmd2-1442-swe-agent-claude-sonnet-4.5</t>
  </si>
  <si>
    <t>https://drive.google.com/drive/folders/1__9SgMGx6Lu2WMOCP1O0MaMdmxDQfMp-</t>
  </si>
  <si>
    <t>python-gitlab__python-gitlab-3078</t>
  </si>
  <si>
    <t>https://github.com/python-gitlab/python-gitlab/issues/3078</t>
  </si>
  <si>
    <t>https://drive.google.com/drive/folders/1GmzGlgSJIMiZ9brmsgano12V-YQD1wnU</t>
  </si>
  <si>
    <t>https://drive.google.com/drive/folders/18e_9J9fa3PXyqWshDZU9hi0l4AuxbeXi</t>
  </si>
  <si>
    <t>python-gitlab/python-gitlab</t>
  </si>
  <si>
    <t>python-gitlab__python-gitlab</t>
  </si>
  <si>
    <t>python-poetry__poetry-10487</t>
  </si>
  <si>
    <t>https://github.com/python-poetry/poetry/issues/10487</t>
  </si>
  <si>
    <t>https://drive.google.com/drive/folders/1XQVvp5GtEK5XDTyOer3v3FBmo83YMS-U</t>
  </si>
  <si>
    <t>https://drive.google.com/drive/folders/1_gtfK8ud9abdwNF3OHaHZHu_f0CVjN-c</t>
  </si>
  <si>
    <t>python__cpython-131218</t>
  </si>
  <si>
    <t>https://github.com/python/cpython/issues/131218</t>
  </si>
  <si>
    <t>https://drive.google.com/drive/folders/1Az4CCSDGRNM83ufObwDP01qeEBMxqOIu</t>
  </si>
  <si>
    <t>https://drive.google.com/drive/folders/19w3A3_2TqyXQ-6KVGhC2TucAyCLlDNv4</t>
  </si>
  <si>
    <t>python/cpython</t>
  </si>
  <si>
    <t>python__cpython</t>
  </si>
  <si>
    <t>pytorch__torchtune-2365</t>
  </si>
  <si>
    <t>https://github.com/pytorch/torchtune/issues/2365</t>
  </si>
  <si>
    <t>https://drive.google.com/drive/folders/1CmnTzgWNALHKoHZWbyfRKi-QxSp4c-Yq</t>
  </si>
  <si>
    <t>pytorch/torchtune</t>
  </si>
  <si>
    <t>pytorch__torchtune</t>
  </si>
  <si>
    <t>q9f__eth.rb-320</t>
  </si>
  <si>
    <t>https://github.com/q9f/eth.rb/issues/320</t>
  </si>
  <si>
    <t>gs://swe-bench-plus/evaluations/019b6ab1-4e74-7019-9e81-9c96e98a145d-q9f__eth.rb-320-swe-agent-claude-sonnet-4.5</t>
  </si>
  <si>
    <t>https://drive.google.com/drive/folders/1POfcz2SLkzMelBZ0bORMpCb3hsdTbiJn</t>
  </si>
  <si>
    <t>q9f/eth.rb</t>
  </si>
  <si>
    <t>q9f__eth.rb</t>
  </si>
  <si>
    <t>qax-os__excelize-2076</t>
  </si>
  <si>
    <t>https://github.com/qax-os/excelize/issues/2076</t>
  </si>
  <si>
    <t>devtools;data-eng;sci-comp</t>
  </si>
  <si>
    <t>https://drive.google.com/drive/folders/1PqFohGz_TMWs1RskP81-sKYujNHwhKMJ</t>
  </si>
  <si>
    <t>https://drive.google.com/drive/folders/1At1SVcjqXgI0tNVL0oNGtC44Z35w70qC</t>
  </si>
  <si>
    <t>qax-os/excelize</t>
  </si>
  <si>
    <t>qax-os__excelize</t>
  </si>
  <si>
    <t>Qiskit__qiskit-13539</t>
  </si>
  <si>
    <t>https://github.com/Qiskit/qiskit/issues/13539</t>
  </si>
  <si>
    <t>gs://swe-bench-plus/evaluations/019a11d0-17d3-730b-bffc-06f187eef661-Qiskit__qiskit-13539-swe-agent-claude-sonnet-4-20250514</t>
  </si>
  <si>
    <t>https://drive.google.com/drive/folders/1eg8thaiqj_qHLZjtd-Or92YxPxJQT1oZ</t>
  </si>
  <si>
    <t>Qiskit/qiskit</t>
  </si>
  <si>
    <t>Qiskit__qiskit</t>
  </si>
  <si>
    <t>qmuntal__stateless-92</t>
  </si>
  <si>
    <t>https://github.com/qmuntal/stateless/issues/92</t>
  </si>
  <si>
    <t>gs://swe-bench-plus/evaluations/019b6aa7-0380-771f-9e02-24cda0fe6639-qmuntal__stateless-92-swe-agent-claude-sonnet-4.5</t>
  </si>
  <si>
    <t>https://drive.google.com/drive/folders/1q4y5JMCerfCL_PnrYlY7AgllC512AtkT</t>
  </si>
  <si>
    <t>qmuntal/stateless</t>
  </si>
  <si>
    <t>qmuntal__stateless</t>
  </si>
  <si>
    <t>QuantEcon__QuantEcon.py-805</t>
  </si>
  <si>
    <t>https://github.com/QuantEcon/QuantEcon.py/issues/805</t>
  </si>
  <si>
    <t>https://drive.google.com/drive/folders/1e_VQzGIbwBBJshVw3vL7EK81VC4rwHNx</t>
  </si>
  <si>
    <t>https://drive.google.com/drive/folders/1aP7Kpsol237XWQn4FfnGyQC8iRz4mRIW</t>
  </si>
  <si>
    <t>QuantEcon/QuantEcon.py</t>
  </si>
  <si>
    <t>QuantEcon__QuantEcon.py</t>
  </si>
  <si>
    <t>rack__rack-2351</t>
  </si>
  <si>
    <t>https://github.com/rack/rack/issues/2351</t>
  </si>
  <si>
    <t>https://drive.google.com/drive/folders/1yeQr90kzhoowtFXsiPmmqx_V5KaY-9lu</t>
  </si>
  <si>
    <t>rack/rack</t>
  </si>
  <si>
    <t>rack__rack</t>
  </si>
  <si>
    <t>rails-inspire-django__django-viewcomponent-20</t>
  </si>
  <si>
    <t>https://github.com/rails-inspire-django/django-viewcomponent/issues/20</t>
  </si>
  <si>
    <t>gs://swe-bench-plus/evaluations/019a8508-78a8-712a-b970-052ae053c3bc-rails-inspire-django__django-viewcomponent-20-swe-agent-claude-sonnet-4-20250514</t>
  </si>
  <si>
    <t>https://drive.google.com/drive/folders/1GMSXlmYw7fzLNM4nNvOyElKXDzeY_Ldq</t>
  </si>
  <si>
    <t>rails-inspire-django/django-viewcomponent</t>
  </si>
  <si>
    <t>rails-inspire-django__django-viewcomponent</t>
  </si>
  <si>
    <t>rake-compiler__rake-compiler-dock-150</t>
  </si>
  <si>
    <t>https://github.com/rake-compiler/rake-compiler-dock/issues/150</t>
  </si>
  <si>
    <t>gs://swe-bench-plus/evaluations/019b6aaf-1788-707e-b6dd-d4dc12d72279-rake-compiler__rake-compiler-dock-150-swe-agent-claude-sonnet-4.5</t>
  </si>
  <si>
    <t>https://drive.google.com/drive/folders/15e_TY5H0gN4pjWPGfB67XRnrYYSCg665</t>
  </si>
  <si>
    <t>rake-compiler/rake-compiler-dock</t>
  </si>
  <si>
    <t>rake-compiler__rake-compiler-dock</t>
  </si>
  <si>
    <t>randombit__botan-4541</t>
  </si>
  <si>
    <t>https://github.com/randombit/botan/issues/4541</t>
  </si>
  <si>
    <t>https://drive.google.com/drive/folders/1Qg2gvMi8LHCGs_9tKCL1CK4i8gjno5zr</t>
  </si>
  <si>
    <t>https://drive.google.com/drive/folders/18_tfPGd95VVOI5EybwheloTEw2p-9vjM</t>
  </si>
  <si>
    <t>randombit/botan</t>
  </si>
  <si>
    <t>randombit__botan</t>
  </si>
  <si>
    <t>raydak-labs__configarr-297</t>
  </si>
  <si>
    <t>https://github.com/raydak-labs/configarr/issues/297</t>
  </si>
  <si>
    <t>https://drive.google.com/drive/folders/1QZugEyKAb9jViyL6aCF9ygZQjHCfT_HL</t>
  </si>
  <si>
    <t>https://drive.google.com/drive/folders/1ZgEqIV9KIGk_uhNjhXSZP76fzqv7x0F8</t>
  </si>
  <si>
    <t>RayLabsHQ__gitea-mirror-121</t>
  </si>
  <si>
    <t>https://github.com/RayLabsHQ/gitea-mirror/issues/121</t>
  </si>
  <si>
    <t>gs://swe-bench-plus/evaluations/019bd0bc-ca69-75d8-90e1-0b11e2a6213c-RayLabsHQ__gitea-mirror-121-swe-agent-claude-sonnet-4.5</t>
  </si>
  <si>
    <t>https://drive.google.com/drive/folders/1tdq6m_DwDnmc49h39LwcIYUzsoORnr99</t>
  </si>
  <si>
    <t>RayLabsHQ/gitea-mirror</t>
  </si>
  <si>
    <t>RayLabsHQ__gitea-mirror</t>
  </si>
  <si>
    <t>react-dropzone__file-selector-99</t>
  </si>
  <si>
    <t>https://github.com/react-dropzone/file-selector/issues/99</t>
  </si>
  <si>
    <t>gs://swe-bench-plus/evaluations/019c66b0-e4eb-7608-b019-c1c316c79cf8-react-dropzone__file-selector-99-swe-agent-claude-sonnet-4-20250514</t>
  </si>
  <si>
    <t>https://drive.google.com/drive/folders/1W7dNHsShFP1jQvAC4tf-uMXHOXPZ05id</t>
  </si>
  <si>
    <t>react-dropzone/file-selector</t>
  </si>
  <si>
    <t>react-dropzone__file-selector</t>
  </si>
  <si>
    <t>realm__SwiftLint-6184</t>
  </si>
  <si>
    <t>https://github.com/realm/SwiftLint/issues/6184</t>
  </si>
  <si>
    <t>gs://swe-bench-plus/evaluations/019c7b8f-47b8-700b-9025-f3ec9ec33a68-realm__SwiftLint-6184-swe-agent-claude-sonnet-4-20250514</t>
  </si>
  <si>
    <t>https://drive.google.com/drive/folders/1rbL56-CS-U9Ndz0ar1DTsrzbtu3L69f0</t>
  </si>
  <si>
    <t>realm/SwiftLint</t>
  </si>
  <si>
    <t>realm__SwiftLint</t>
  </si>
  <si>
    <t>reaper47__recipya-470</t>
  </si>
  <si>
    <t>https://github.com/reaper47/recipya/issues/470</t>
  </si>
  <si>
    <t>https://drive.google.com/drive/folders/1Aem_A8fD8apnNiKF2jI_k11Fx4eCLtov</t>
  </si>
  <si>
    <t>https://drive.google.com/drive/folders/1GuK2qY6UsyNd3uGf7eVAztd9X54a1riP</t>
  </si>
  <si>
    <t>reaper47/recipya</t>
  </si>
  <si>
    <t>reaper47__recipya</t>
  </si>
  <si>
    <t>reframe-hpc__reframe-3464</t>
  </si>
  <si>
    <t>https://github.com/reframe-hpc/reframe/issues/3464</t>
  </si>
  <si>
    <t>gs://swe-bench-plus/evaluations/019a11d0-17d3-730b-bffc-06f187eef661-reframe-hpc__reframe-3464-swe-agent-claude-sonnet-4-20250514</t>
  </si>
  <si>
    <t>https://drive.google.com/drive/folders/1aOOtFBDq9V3naZMJm2tJPHtdz8aQ2y9r</t>
  </si>
  <si>
    <t>reframe-hpc/reframe</t>
  </si>
  <si>
    <t>reframe-hpc__reframe</t>
  </si>
  <si>
    <t>renovatebot__renovate-37697</t>
  </si>
  <si>
    <t>https://github.com/renovatebot/renovate/issues/37697</t>
  </si>
  <si>
    <t>https://drive.google.com/drive/folders/1Xtk0pmC3gE4dLkiqDykxLGGvMefwMPXQ</t>
  </si>
  <si>
    <t>https://drive.google.com/drive/folders/15AUgDQRmYizcx7WgXzhwOmkjnHYXpAeB</t>
  </si>
  <si>
    <t>renovatebot/renovate</t>
  </si>
  <si>
    <t>renovatebot__renovate</t>
  </si>
  <si>
    <t>rjsf-team__react-jsonschema-form-4352</t>
  </si>
  <si>
    <t>https://github.com/rjsf-team/react-jsonschema-form/issues/4352</t>
  </si>
  <si>
    <t>gs://swe-bench-plus/evaluations/019c66b2-2d90-7260-9966-4e0d0d7a99cf-rjsf-team__react-jsonschema-form-4352-swe-agent-claude-sonnet-4-20250514</t>
  </si>
  <si>
    <t>https://drive.google.com/drive/folders/1YfaJbW3CiUh-EYgbpFnfW8dRSgrMklFW</t>
  </si>
  <si>
    <t>rjsf-team/react-jsonschema-form</t>
  </si>
  <si>
    <t>rjsf-team__react-jsonschema-form</t>
  </si>
  <si>
    <t>rqlite__rqlite-2216</t>
  </si>
  <si>
    <t>https://github.com/rqlite/rqlite/issues/2216</t>
  </si>
  <si>
    <t>https://drive.google.com/drive/folders/1tuU8cCP4bAbyzuIoBJ2usre-u5oCK_I0</t>
  </si>
  <si>
    <t>https://drive.google.com/drive/folders/1xlQoVVY9E30wEsQY0zcCfAIp3YD6w6ME</t>
  </si>
  <si>
    <t>rubocop__rubocop-13741</t>
  </si>
  <si>
    <t>https://github.com/rubocop/rubocop/issues/13741</t>
  </si>
  <si>
    <t>https://drive.google.com/drive/folders/16aj6QIp-cabWhwskphvAdwCyG7iXmXUb</t>
  </si>
  <si>
    <t>https://drive.google.com/drive/folders/1go9xcg0xYjrmZCbOyPg_7YJQA4fUSvnx</t>
  </si>
  <si>
    <t>rubocop__rubocop-13987</t>
  </si>
  <si>
    <t>https://github.com/rubocop/rubocop/issues/13987</t>
  </si>
  <si>
    <t>https://drive.google.com/drive/folders/10tH-vU9utqatIfg-JIQebLv1vnFiWbRH</t>
  </si>
  <si>
    <t>https://drive.google.com/drive/folders/1xdwf9Sb-2-u3QY3PpQcYDUh14xDfrO-1</t>
  </si>
  <si>
    <t>rubocop__rubocop-rails-1438</t>
  </si>
  <si>
    <t>https://github.com/rubocop/rubocop-rails/issues/1438</t>
  </si>
  <si>
    <t>gs://swe-bench-plus/evaluations/019b6aaf-1788-707e-b6dd-d4dc12d72279-rubocop__rubocop-rails-1438-swe-agent-claude-sonnet-4.5</t>
  </si>
  <si>
    <t>https://drive.google.com/drive/folders/1sYLKt4awYc5R_i75aTV98kXJDFKqqO2_</t>
  </si>
  <si>
    <t>rubocop/rubocop-rails</t>
  </si>
  <si>
    <t>rubocop__rubocop-rails</t>
  </si>
  <si>
    <t>ruby__logger-56</t>
  </si>
  <si>
    <t>https://github.com/ruby/logger/issues/56</t>
  </si>
  <si>
    <t>https://drive.google.com/drive/folders/1jUa1n0MMM2Zher-jmue7OsE5wKX5X7Eq</t>
  </si>
  <si>
    <t>https://drive.google.com/drive/folders/1iRC27OkJCozKvDZ2z7iH5TLqN6JxuJ0B</t>
  </si>
  <si>
    <t>ruby/logger</t>
  </si>
  <si>
    <t>ruby__logger</t>
  </si>
  <si>
    <t>rubyforgood__human-essentials-4609</t>
  </si>
  <si>
    <t>https://github.com/rubyforgood/human-essentials/issues/4609</t>
  </si>
  <si>
    <t>gs://swe-bench-plus/evaluations/019b6aaf-1788-707e-b6dd-d4dc12d72279-rubyforgood__human-essentials-4609-swe-agent-claude-sonnet-4.5</t>
  </si>
  <si>
    <t>https://drive.google.com/drive/folders/1iohngwgTJTQc2ic5S6mLsY19UK-33m_u</t>
  </si>
  <si>
    <t>rust-phf__rust-phf-342</t>
  </si>
  <si>
    <t>https://github.com/rust-phf/rust-phf/issues/342</t>
  </si>
  <si>
    <t>gs://swe-bench-plus/evaluations/019aeed8-5654-736c-85f3-1d2b6f133793-rust-phf__rust-phf-342-swe-agent-claude-sonnet-4-20250514</t>
  </si>
  <si>
    <t>rust-phf/rust-phf</t>
  </si>
  <si>
    <t>rust-phf__rust-phf</t>
  </si>
  <si>
    <t>rust-phf__rust-phf-348</t>
  </si>
  <si>
    <t>https://github.com/rust-phf/rust-phf/issues/348</t>
  </si>
  <si>
    <t>https://drive.google.com/drive/folders/1L7YZeBbPrrtYTnWDZme10IkGIR0bSMNl</t>
  </si>
  <si>
    <t>saiv43__task-queue-rs-12</t>
  </si>
  <si>
    <t>https://github.com/saiv43/task-queue-rs/issues/12</t>
  </si>
  <si>
    <t>gs://swe-bench-plus/evaluations/019b6aaf-1788-707e-b6dd-d4dc12d72279-saiv43__task-queue-rs-12-swe-agent-claude-sonnet-4.5</t>
  </si>
  <si>
    <t>https://drive.google.com/drive/folders/1FmaRBmXwIQoGGiM8NqOdoA2--Dt0aBqd</t>
  </si>
  <si>
    <t>saiv43__task-queue-rs-17</t>
  </si>
  <si>
    <t>https://github.com/saiv43/task-queue-rs/issues/17</t>
  </si>
  <si>
    <t>gs://swe-bench-plus/evaluations/019b6aaf-1788-707e-b6dd-d4dc12d72279-saiv43__task-queue-rs-17-swe-agent-claude-sonnet-4.5</t>
  </si>
  <si>
    <t>https://drive.google.com/drive/folders/16_-gBQDzW3MrHrHFlGugljT681T6jNGe</t>
  </si>
  <si>
    <t>salvo-rs__salvo-1174</t>
  </si>
  <si>
    <t>https://github.com/salvo-rs/salvo/issues/1174</t>
  </si>
  <si>
    <t>https://drive.google.com/drive/folders/1BQAocGjtteKeuwMNfABTqLeo4hGjNnbu</t>
  </si>
  <si>
    <t>https://drive.google.com/drive/folders/1SqVl_AJ2CYlfgHgX8F75aTJ44FmPiP_F</t>
  </si>
  <si>
    <t>salvo-rs/salvo</t>
  </si>
  <si>
    <t>salvo-rs__salvo</t>
  </si>
  <si>
    <t>SAML-Toolkits__ruby-saml-732</t>
  </si>
  <si>
    <t>https://github.com/SAML-Toolkits/ruby-saml/issues/732</t>
  </si>
  <si>
    <t>https://drive.google.com/drive/folders/1lnD9HYis50xHig2la8_n49aNSLcpH6CK</t>
  </si>
  <si>
    <t>https://drive.google.com/drive/folders/1knYhs6ReEDrWE1BHDADIzZ5En76RAREa</t>
  </si>
  <si>
    <t>SAML-Toolkits/ruby-saml</t>
  </si>
  <si>
    <t>SAML-Toolkits__ruby-saml</t>
  </si>
  <si>
    <t>sanger__sequencescape-4839</t>
  </si>
  <si>
    <t>https://github.com/sanger/sequencescape/issues/4839</t>
  </si>
  <si>
    <t>gs://swe-bench-plus/evaluations/019b6aaf-1788-707e-b6dd-d4dc12d72279-sanger__sequencescape-4839-swe-agent-claude-sonnet-4.5</t>
  </si>
  <si>
    <t>https://drive.google.com/drive/folders/1Bwen2j-BneziQBvydizxdRK3Vc6ZavQP</t>
  </si>
  <si>
    <t>scikit-learn__scikit-learn-28043</t>
  </si>
  <si>
    <t>https://github.com/scikit-learn/scikit-learn/issues/28043</t>
  </si>
  <si>
    <t>https://drive.google.com/drive/folders/13ZGGXmkmJOAxPMMEF2f945z0L1AhPnut</t>
  </si>
  <si>
    <t>https://drive.google.com/drive/folders/186X8JaH9XpyARb7t4077ATSSbamoQl4c</t>
  </si>
  <si>
    <t>scikit-learn__scikit-learn-30616</t>
  </si>
  <si>
    <t>https://github.com/scikit-learn/scikit-learn/issues/30616</t>
  </si>
  <si>
    <t>https://drive.google.com/drive/folders/1FPUvZppGevSjngGlWJLkJTFGsBbKtPKG</t>
  </si>
  <si>
    <t>https://drive.google.com/drive/folders/10-mwHnQZA4hRGUG-AGdSjgsIIHMQvahq</t>
  </si>
  <si>
    <t>scikit-learn__scikit-learn-31227</t>
  </si>
  <si>
    <t>https://github.com/scikit-learn/scikit-learn/issues/31227</t>
  </si>
  <si>
    <t>chore;bug-report;performance-issue</t>
  </si>
  <si>
    <t>https://drive.google.com/drive/folders/1CFVTg23qxgNkX2az11nlyNxCnVtKej9b</t>
  </si>
  <si>
    <t>https://drive.google.com/drive/folders/1fC54-Wd8-EH16VWSMSABgMZVPnAIUlW-</t>
  </si>
  <si>
    <t>scikit-learn__scikit-learn-30443</t>
  </si>
  <si>
    <t>https://github.com/scikit-learn/scikit-learn/issues/30443</t>
  </si>
  <si>
    <t>https://drive.google.com/drive/folders/1qs8QhxqGCykKPWsAY6OJuETkSUvjO24y</t>
  </si>
  <si>
    <t>https://drive.google.com/drive/folders/1saMWmbRTpaEXEdg_HVIikjNzV86a2Q2q</t>
  </si>
  <si>
    <t>scrapy__scrapy-6804</t>
  </si>
  <si>
    <t>https://github.com/scrapy/scrapy/issues/6804</t>
  </si>
  <si>
    <t>https://drive.google.com/drive/folders/1ap4TZtJu9ITlLdbUIptsYY4Y7tCeVBBj</t>
  </si>
  <si>
    <t>https://drive.google.com/drive/folders/1IakAQpNTGc362nisnp-yKQq7m_b0KPuZ</t>
  </si>
  <si>
    <t>scrapy/scrapy</t>
  </si>
  <si>
    <t>scrapy__scrapy</t>
  </si>
  <si>
    <t>screwdriver-cd__screwdriver-3364</t>
  </si>
  <si>
    <t>https://github.com/screwdriver-cd/screwdriver/issues/3364</t>
  </si>
  <si>
    <t>https://drive.google.com/drive/folders/1rgV1cnOhlJ1AsfV5HCkfzyyvX_1c3WVQ</t>
  </si>
  <si>
    <t>https://drive.google.com/drive/folders/15f7bFbsjpC5tjqMSYiSrnPgbM_V1EbuV</t>
  </si>
  <si>
    <t>screwdriver-cd/screwdriver</t>
  </si>
  <si>
    <t>screwdriver-cd__screwdriver</t>
  </si>
  <si>
    <t>sdv-dev__SDGym-377</t>
  </si>
  <si>
    <t>https://github.com/sdv-dev/SDGym/issues/377</t>
  </si>
  <si>
    <t>https://drive.google.com/drive/folders/1bDQ5e2x8yBFMkXCJ_eXchTRE09RNWLAz</t>
  </si>
  <si>
    <t>https://drive.google.com/drive/folders/1Y4mToxMLyxWzmUkPtHCue9yTFwPP5jBw</t>
  </si>
  <si>
    <t>sdv-dev__SDMetrics-771</t>
  </si>
  <si>
    <t>https://github.com/sdv-dev/SDMetrics/issues/771</t>
  </si>
  <si>
    <t>gs://swe-bench-plus/evaluations/019a6f31-ddce-766c-944f-e4445d37996d-sdv-dev__SDMetrics-771-swe-agent-claude-sonnet-4.5</t>
  </si>
  <si>
    <t>https://drive.google.com/drive/folders/1qNh_FKb33DsicULxMHd4rHRChnwiNXbq</t>
  </si>
  <si>
    <t>sdv-dev__SDV-2502</t>
  </si>
  <si>
    <t>https://github.com/sdv-dev/SDV/issues/2502</t>
  </si>
  <si>
    <t>https://drive.google.com/drive/folders/17mOFV-A6u6Hw0qPypnSC663xOBrqCgew</t>
  </si>
  <si>
    <t>https://drive.google.com/drive/folders/1IDfTlopwSwnCaDmC6AnvR5HpQpEpGigO</t>
  </si>
  <si>
    <t>sdv-dev/SDV</t>
  </si>
  <si>
    <t>sdv-dev__SDV</t>
  </si>
  <si>
    <t>SeaQL__sea-query-1008</t>
  </si>
  <si>
    <t>https://github.com/SeaQL/sea-query/issues/1008</t>
  </si>
  <si>
    <t>gs://swe-bench-plus/evaluations/019b33b2-92dc-775f-92dd-9f03bf4fe149-SeaQL__sea-query-1008-swe-agent-claude-sonnet-4-20250514</t>
  </si>
  <si>
    <t>https://drive.google.com/drive/folders/11mONTQB6b5r3X8YzdS_xQzL2tGebYq3G</t>
  </si>
  <si>
    <t>seddonym__import-linter-229</t>
  </si>
  <si>
    <t>https://github.com/seddonym/import-linter/issues/229</t>
  </si>
  <si>
    <t>https://drive.google.com/drive/folders/1iHIFsMIcCVtuVmvITYAA2_Sc8pOvl594</t>
  </si>
  <si>
    <t>https://drive.google.com/drive/folders/1UeXF1jN3s0hC9I1nneEQB8RGO8lzcbC-</t>
  </si>
  <si>
    <t>seddonym/import-linter</t>
  </si>
  <si>
    <t>seddonym__import-linter</t>
  </si>
  <si>
    <t>servo__rust-smallvec-382</t>
  </si>
  <si>
    <t>https://github.com/servo/rust-smallvec/issues/382</t>
  </si>
  <si>
    <t>gs://swe-bench-plus/evaluations/019b0df7-ade4-70bc-89dc-2dc1c6248f76-servo__rust-smallvec-382-swe-agent-claude-opus-4.5</t>
  </si>
  <si>
    <t>https://drive.google.com/drive/folders/1DzlB8fPxeDNcIvhUvpiziitPw-dwya1W</t>
  </si>
  <si>
    <t>servo/rust-smallvec</t>
  </si>
  <si>
    <t>servo__rust-smallvec</t>
  </si>
  <si>
    <t>shentao__vue-multiselect-1824</t>
  </si>
  <si>
    <t>https://github.com/shentao/vue-multiselect/issues/1824</t>
  </si>
  <si>
    <t>gs://swe-bench-plus/evaluations/019b6aaf-1788-707e-b6dd-d4dc12d72279-shentao__vue-multiselect-1824-swe-agent-claude-sonnet-4.5</t>
  </si>
  <si>
    <t>https://drive.google.com/drive/folders/1o9AojzFxZ3ufsvzr7iegCeJ7FKaeJMDb</t>
  </si>
  <si>
    <t>shentao/vue-multiselect</t>
  </si>
  <si>
    <t>shentao__vue-multiselect</t>
  </si>
  <si>
    <t>Shopify__ruby-lsp-3429</t>
  </si>
  <si>
    <t>https://github.com/Shopify/ruby-lsp/issues/3429</t>
  </si>
  <si>
    <t>gs://swe-bench-plus/evaluations/019b6ab1-4e74-7019-9e81-9c96e98a145d-Shopify__ruby-lsp-3429-swe-agent-claude-sonnet-4.5</t>
  </si>
  <si>
    <t>https://drive.google.com/drive/folders/12UlgZm_FofxJel8ucIrlpvlQA5hNLXXd</t>
  </si>
  <si>
    <t>Shopify/ruby-lsp</t>
  </si>
  <si>
    <t>Shopify__ruby-lsp</t>
  </si>
  <si>
    <t>Shopify__tapioca-2129</t>
  </si>
  <si>
    <t>https://github.com/Shopify/tapioca/issues/2129</t>
  </si>
  <si>
    <t>https://drive.google.com/drive/folders/18AbfjoiFpAGGKGogafGPnIqblDuE_mI4</t>
  </si>
  <si>
    <t>https://drive.google.com/drive/folders/1tCGycbuwvyoRs1x-kP3HUdfeLu889r3K</t>
  </si>
  <si>
    <t>Shopify/tapioca</t>
  </si>
  <si>
    <t>Shopify__tapioca</t>
  </si>
  <si>
    <t>Shopify__theme-tools-923</t>
  </si>
  <si>
    <t>https://github.com/Shopify/theme-tools/issues/923</t>
  </si>
  <si>
    <t>https://drive.google.com/drive/folders/1xrwNajtP3IInfq-R4VjI7F-Hh-_kQ0qG</t>
  </si>
  <si>
    <t>https://drive.google.com/drive/folders/1cDizaFbPVByR9IwrHAGWzGCzwtFRuA_P</t>
  </si>
  <si>
    <t>Shopify/theme-tools</t>
  </si>
  <si>
    <t>Shopify__theme-tools</t>
  </si>
  <si>
    <t>sidekiq__sidekiq-6522</t>
  </si>
  <si>
    <t>https://github.com/sidekiq/sidekiq/issues/6522</t>
  </si>
  <si>
    <t>https://drive.google.com/drive/folders/1fQ-u4YwtvxDA7p8JJ_dS_0GXY1uHLsYs</t>
  </si>
  <si>
    <t>https://drive.google.com/drive/folders/1XdOAukSIkGfZ8Anj8oa_o5-fnHyesTdk</t>
  </si>
  <si>
    <t>sidekiq/sidekiq</t>
  </si>
  <si>
    <t>sidekiq__sidekiq</t>
  </si>
  <si>
    <t>sigstore__cosign-4285</t>
  </si>
  <si>
    <t>https://github.com/sigstore/cosign/issues/4285</t>
  </si>
  <si>
    <t>https://drive.google.com/drive/folders/1sjdElhLMjAP3URAk-NGv8-geJML6BiJJ</t>
  </si>
  <si>
    <t>https://drive.google.com/drive/folders/1038_VfDCLVcA6jvev8dGlKRwERTsK9X2</t>
  </si>
  <si>
    <t>simgine__bevy_enhanced_input-114</t>
  </si>
  <si>
    <t>https://github.com/simgine/bevy_enhanced_input/issues/114</t>
  </si>
  <si>
    <t>gs://swe-bench-plus/evaluations/019a30d4-5b89-7379-8d32-a52d5cc43065-simgine__bevy_enhanced_input-114-open-hands-claude-sonnet-4-20250514</t>
  </si>
  <si>
    <t>https://drive.google.com/drive/folders/1dK8VcEnPiOVxFfpJOf6_GrVwxMVdiBnG</t>
  </si>
  <si>
    <t>simgine/bevy_enhanced_input</t>
  </si>
  <si>
    <t>simgine__bevy_enhanced_input</t>
  </si>
  <si>
    <t>simnalamburt__obj-rs-78</t>
  </si>
  <si>
    <t>https://github.com/simnalamburt/obj-rs/issues/78</t>
  </si>
  <si>
    <t>gs://swe-bench-plus/evaluations/019b6aaf-1788-707e-b6dd-d4dc12d72279-simnalamburt__obj-rs-78-swe-agent-claude-sonnet-4.5</t>
  </si>
  <si>
    <t>https://drive.google.com/drive/folders/1D77T1wJWrxpqzZd7qhJ_ot_OSTk_nJCa</t>
  </si>
  <si>
    <t>simnalamburt/obj-rs</t>
  </si>
  <si>
    <t>simnalamburt__obj-rs</t>
  </si>
  <si>
    <t>simonw__llm-846</t>
  </si>
  <si>
    <t>https://github.com/simonw/llm/issues/846</t>
  </si>
  <si>
    <t>https://drive.google.com/drive/folders/1KBL8i7SQWDjCSnsx11l2SAnslQusxUGx</t>
  </si>
  <si>
    <t>https://drive.google.com/drive/folders/1hUtn_bhX_p28ISVJwlsTVKlDPHGpSMh5</t>
  </si>
  <si>
    <t>simonw/llm</t>
  </si>
  <si>
    <t>simonw__llm</t>
  </si>
  <si>
    <t>sindresorhus__eslint-plugin-unicorn-2780</t>
  </si>
  <si>
    <t>https://github.com/sindresorhus/eslint-plugin-unicorn/issues/2780</t>
  </si>
  <si>
    <t>gs://swe-bench-plus/evaluations/019aa44b-e448-70bd-bc41-ba2d780bdc22-sindresorhus__eslint-plugin-unicorn-2780-swe-agent-claude-sonnet-4-20250514</t>
  </si>
  <si>
    <t>https://drive.google.com/drive/folders/1iURQ_XjuPROyHtwYDkD9mqwDhWMZFVhW</t>
  </si>
  <si>
    <t>sindresorhus/eslint-plugin-unicorn</t>
  </si>
  <si>
    <t>sindresorhus__eslint-plugin-unicorn</t>
  </si>
  <si>
    <t>sindresorhus__file-type-783</t>
  </si>
  <si>
    <t>https://github.com/sindresorhus/file-type/issues/783</t>
  </si>
  <si>
    <t>gs://swe-bench-plus/evaluations/019b323f-37c8-77f9-a5cf-b87eb4fec6ab-sindresorhus__file-type-783-swe-agent-claude-sonnet-4-20250514</t>
  </si>
  <si>
    <t>https://drive.google.com/drive/folders/16WPPF7cA4uCZiBrAPrNYCwkl1Xree9PL</t>
  </si>
  <si>
    <t>sindresorhus/file-type</t>
  </si>
  <si>
    <t>sindresorhus__file-type</t>
  </si>
  <si>
    <t>sindresorhus__ky-763</t>
  </si>
  <si>
    <t>https://github.com/sindresorhus/ky/issues/763</t>
  </si>
  <si>
    <t>https://drive.google.com/drive/folders/1tbpVT-Hb5F3fqAP64b5RESzQLTupYXls</t>
  </si>
  <si>
    <t>https://drive.google.com/drive/folders/1ukS7P2i_xrb9-hmIywggUJyQjkwQn1J1</t>
  </si>
  <si>
    <t>sindresorhus/ky</t>
  </si>
  <si>
    <t>sindresorhus__ky</t>
  </si>
  <si>
    <t>skrub-data__skrub-1215</t>
  </si>
  <si>
    <t>https://github.com/skrub-data/skrub/issues/1215</t>
  </si>
  <si>
    <t>gs://swe-bench-plus/evaluations/019a6f31-ddce-766c-944f-e4445d37996d-skrub-data__skrub-1215-swe-agent-claude-sonnet-4.5</t>
  </si>
  <si>
    <t>https://drive.google.com/drive/folders/1lkcaHMsu4PS7O_JyIagUIMQC67aLFR-G</t>
  </si>
  <si>
    <t>skypilot-org__skypilot-6566</t>
  </si>
  <si>
    <t>https://github.com/skypilot-org/skypilot/issues/6566</t>
  </si>
  <si>
    <t>https://drive.google.com/drive/folders/17l7IqgFHPfOYVT2TnJaYELzzv7oSUPHJ</t>
  </si>
  <si>
    <t>https://drive.google.com/drive/folders/1zq-cxtYdMDf2HHiTlC0JDiOBFJ09spgD</t>
  </si>
  <si>
    <t>smithy-lang__smithy-2449</t>
  </si>
  <si>
    <t>https://github.com/smithy-lang/smithy/issues/2449</t>
  </si>
  <si>
    <t>gs://swe-bench-plus/evaluations/019c63b0-5201-7257-9916-f49303cabd22-smithy-lang__smithy-2449-swe-agent-claude-sonnet-4-20250514</t>
  </si>
  <si>
    <t>https://drive.google.com/drive/folders/1aOEzQUeS8uspExHZbbifeaN2VK_OOSZA</t>
  </si>
  <si>
    <t>smithy-lang/smithy</t>
  </si>
  <si>
    <t>smithy-lang__smithy</t>
  </si>
  <si>
    <t>spack__spack-50019</t>
  </si>
  <si>
    <t>https://github.com/spack/spack/issues/50019</t>
  </si>
  <si>
    <t>sci-comp;devtools;infra-devops</t>
  </si>
  <si>
    <t>https://drive.google.com/drive/folders/1OHuhoYsIqiawqSg87iJopQuF0PrzEuqM</t>
  </si>
  <si>
    <t>https://drive.google.com/drive/folders/1oxb76Abd8_NYwHe8eBHhPMAs_E2O3oof</t>
  </si>
  <si>
    <t>spack/spack</t>
  </si>
  <si>
    <t>spack__spack</t>
  </si>
  <si>
    <t>spring-projects__spring-integration-9429</t>
  </si>
  <si>
    <t>https://github.com/spring-projects/spring-integration/issues/9429</t>
  </si>
  <si>
    <t>gs://swe-bench-plus/evaluations/019c2528-578b-73cc-ad42-8f1328ded528-spring-projects__spring-integration-9429-swe-agent-claude-sonnet-4.5</t>
  </si>
  <si>
    <t>spyder-ide__spyder-24540</t>
  </si>
  <si>
    <t>https://github.com/spyder-ide/spyder/issues/24540</t>
  </si>
  <si>
    <t>applications;devtools;sci-comp</t>
  </si>
  <si>
    <t>https://drive.google.com/drive/folders/1bVM-Yx7BFAk8o6h5tyAc1BhvhHLfjwVm</t>
  </si>
  <si>
    <t>https://drive.google.com/drive/folders/1lfDjGeorQ5vJ_m6QsztaXmcc7KEnhQDe</t>
  </si>
  <si>
    <t>spyder-ide/spyder</t>
  </si>
  <si>
    <t>spyder-ide__spyder</t>
  </si>
  <si>
    <t>stacklok__toolhive-2113</t>
  </si>
  <si>
    <t>https://github.com/stacklok/toolhive/issues/2113</t>
  </si>
  <si>
    <t>gs://swe-bench-plus/evaluations/019b6aa7-0380-771f-9e02-24cda0fe6639-stacklok__toolhive-2113-swe-agent-claude-sonnet-4.5</t>
  </si>
  <si>
    <t>https://drive.google.com/drive/folders/1LZbNboUqx66zfa8KeITpBZShjB7n-mt3</t>
  </si>
  <si>
    <t>stan-dev__math-3169</t>
  </si>
  <si>
    <t>https://github.com/stan-dev/math/issues/3169</t>
  </si>
  <si>
    <t>gs://swe-bench-plus/evaluations/019b6aa7-0380-771f-9e02-24cda0fe6639-stan-dev__math-3169-swe-agent-claude-sonnet-4.5</t>
  </si>
  <si>
    <t>https://drive.google.com/drive/folders/1eQCR9hFzoy1AUYg0G5XATGAP5MOUadLS</t>
  </si>
  <si>
    <t>stan-dev/math</t>
  </si>
  <si>
    <t>stan-dev__math</t>
  </si>
  <si>
    <t>stephenberry__glaze-512</t>
  </si>
  <si>
    <t>https://github.com/stephenberry/glaze/issues/512</t>
  </si>
  <si>
    <t>gs://swe-bench-plus/evaluations/019b323d-4976-7257-b241-47c1f6e33582-stephenberry__glaze-512-swe-agent-claude-sonnet-4.5</t>
  </si>
  <si>
    <t>https://drive.google.com/drive/folders/1Pn6yYSzKg_ispJx19LgqBjci9_3aK7pO</t>
  </si>
  <si>
    <t>stleary__JSON-java-966</t>
  </si>
  <si>
    <t>https://github.com/stleary/JSON-java/issues/966</t>
  </si>
  <si>
    <t>https://drive.google.com/drive/folders/1HKFo46tGQBbmcdP8tWMHk1eUav2pADjQ</t>
  </si>
  <si>
    <t>https://drive.google.com/drive/folders/18XJZMZBRMBtfTexvlsRpXH3GFtXc2x9i</t>
  </si>
  <si>
    <t>stleary/JSON-java</t>
  </si>
  <si>
    <t>stleary__JSON-java</t>
  </si>
  <si>
    <t>strapi__client-42</t>
  </si>
  <si>
    <t>https://github.com/strapi/client/issues/42</t>
  </si>
  <si>
    <t>https://drive.google.com/drive/folders/1tNUIPzR2QujfHmVdYQbnXXw4x5eSVp61</t>
  </si>
  <si>
    <t>https://drive.google.com/drive/folders/1eVO7wTeTgNZLb9TytJ0Hic7Z6j0VOhiw</t>
  </si>
  <si>
    <t>stratum-mining__stratum-1341</t>
  </si>
  <si>
    <t>https://github.com/stratum-mining/stratum/issues/1341</t>
  </si>
  <si>
    <t>gs://swe-bench-plus/evaluations/019b6aa7-0380-771f-9e02-24cda0fe6639-stratum-mining__stratum-1341-swe-agent-claude-sonnet-4.5</t>
  </si>
  <si>
    <t>https://drive.google.com/drive/folders/1xi03wSP8wk5QXw2EBLWslUvEFr_nw-4u</t>
  </si>
  <si>
    <t>stratum-mining/stratum</t>
  </si>
  <si>
    <t>stratum-mining__stratum</t>
  </si>
  <si>
    <t>streamich__memfs-1215</t>
  </si>
  <si>
    <t>https://github.com/streamich/memfs/issues/1215</t>
  </si>
  <si>
    <t>gs://swe-bench-plus/evaluations/019c66b2-8d12-718e-a308-6ab44b696b4d-streamich__memfs-1215-swe-agent-claude-sonnet-4-20250514</t>
  </si>
  <si>
    <t>https://drive.google.com/drive/folders/1zC-o0GpHfoX7yGUkDhaP_fLULl_C9RLr</t>
  </si>
  <si>
    <t>streamich/memfs</t>
  </si>
  <si>
    <t>streamich__memfs</t>
  </si>
  <si>
    <t>streamlit__streamlit-12377</t>
  </si>
  <si>
    <t>https://github.com/streamlit/streamlit/issues/12377</t>
  </si>
  <si>
    <t>https://drive.google.com/drive/folders/1slYqTmMA7LWF2mU05XN7j5n3T1U6-zGx</t>
  </si>
  <si>
    <t>https://drive.google.com/drive/folders/1SuxXrFJlkmO0Roy5DSGXwv6fOchDz1Yl</t>
  </si>
  <si>
    <t>strukturag__libheif-1246</t>
  </si>
  <si>
    <t>https://github.com/strukturag/libheif/issues/1246</t>
  </si>
  <si>
    <t>https://drive.google.com/drive/folders/1Z-f1MVc_gLQmLS0a79d3fkd06n3jBYeH</t>
  </si>
  <si>
    <t>https://drive.google.com/drive/folders/1JoWLYwReyBL5kYx4cRXqrD2yQuFpuBoI</t>
  </si>
  <si>
    <t>strukturag/libheif</t>
  </si>
  <si>
    <t>strukturag__libheif</t>
  </si>
  <si>
    <t>substratusai__kubeai-491</t>
  </si>
  <si>
    <t>https://github.com/substratusai/kubeai/issues/491</t>
  </si>
  <si>
    <t>gs://swe-bench-plus/evaluations/019b6aa7-0380-771f-9e02-24cda0fe6639-substratusai__kubeai-491-swe-agent-claude-sonnet-4.5</t>
  </si>
  <si>
    <t>https://drive.google.com/drive/folders/1O7km1wXU185VXBPK_uWig3mSMho_cRVR</t>
  </si>
  <si>
    <t>substratusai/kubeai</t>
  </si>
  <si>
    <t>substratusai__kubeai</t>
  </si>
  <si>
    <t>superagent-ai__vibekit-36</t>
  </si>
  <si>
    <t>https://github.com/superagent-ai/vibekit/issues/36</t>
  </si>
  <si>
    <t>gs://swe-bench-plus/evaluations/019b6aaf-1788-707e-b6dd-d4dc12d72279-superagent-ai__vibekit-36-swe-agent-claude-sonnet-4.5</t>
  </si>
  <si>
    <t>https://drive.google.com/drive/folders/1_zRk7QPcLjbL5SLz8UjCEeWWGEJXTUKI</t>
  </si>
  <si>
    <t>surveyjs__survey-creator-6276</t>
  </si>
  <si>
    <t>https://github.com/surveyjs/survey-creator/issues/6276</t>
  </si>
  <si>
    <t>gs://swe-bench-plus/evaluations/019b6aaf-1788-707e-b6dd-d4dc12d72279-surveyjs__survey-creator-6276-swe-agent-claude-sonnet-4.5</t>
  </si>
  <si>
    <t>https://drive.google.com/drive/folders/1-mwR8BK_Oe851uw9lUwLmJiZL7VOOpW9</t>
  </si>
  <si>
    <t>sympy__sympy-28081</t>
  </si>
  <si>
    <t>https://github.com/sympy/sympy/issues/28081</t>
  </si>
  <si>
    <t>https://drive.google.com/drive/folders/1WaxmG6OrMRHckQ40Jzt14oaNjWoryKRY</t>
  </si>
  <si>
    <t>https://drive.google.com/drive/folders/1SCl9V4NOS1lfaYauuaaD9GttoqzeZB6Z</t>
  </si>
  <si>
    <t>sympy/sympy</t>
  </si>
  <si>
    <t>sympy__sympy</t>
  </si>
  <si>
    <t>systemd__mkosi-3346</t>
  </si>
  <si>
    <t>https://github.com/systemd/mkosi/issues/3346</t>
  </si>
  <si>
    <t>gs://swe-bench-plus/evaluations/019a6f31-5865-7528-b3d7-dd9431bd3aac-systemd__mkosi-3346-swe-agent-claude-sonnet-4.5</t>
  </si>
  <si>
    <t>https://drive.google.com/drive/folders/1yGEDT7_IkjAHch5DoNcoh0rzd1unSMag</t>
  </si>
  <si>
    <t>systemd/mkosi</t>
  </si>
  <si>
    <t>systemd__mkosi</t>
  </si>
  <si>
    <t>tailscale__tailscale-14767</t>
  </si>
  <si>
    <t>https://github.com/tailscale/tailscale/issues/14767</t>
  </si>
  <si>
    <t>https://drive.google.com/drive/folders/1HapYaxySrDLyz5h1JVer_Mp7-uuDewH0</t>
  </si>
  <si>
    <t>https://drive.google.com/drive/folders/1pCausku6ARwpYfK9u9Virdmy-W0YVo5g</t>
  </si>
  <si>
    <t>tailscale/tailscale</t>
  </si>
  <si>
    <t>tailscale__tailscale</t>
  </si>
  <si>
    <t>tailscale__tsidp-68</t>
  </si>
  <si>
    <t>https://github.com/tailscale/tsidp/issues/68</t>
  </si>
  <si>
    <t>gs://swe-bench-plus/evaluations/019b6aa7-0380-771f-9e02-24cda0fe6639-tailscale__tsidp-68-swe-agent-claude-sonnet-4.5</t>
  </si>
  <si>
    <t>https://drive.google.com/drive/folders/1nY_3KymeAFIXBCfV2RCNvg55Lfjzf1yz</t>
  </si>
  <si>
    <t>tailscale/tsidp</t>
  </si>
  <si>
    <t>tailscale__tsidp</t>
  </si>
  <si>
    <t>TecharoHQ__anubis-470</t>
  </si>
  <si>
    <t>https://github.com/TecharoHQ/anubis/issues/470</t>
  </si>
  <si>
    <t>bug-fix;maintenance;refactor</t>
  </si>
  <si>
    <t>https://drive.google.com/drive/folders/10K8ziO26Rm9KaaXYoyv4jhmz7ms3Mf4N</t>
  </si>
  <si>
    <t>https://drive.google.com/drive/folders/1fdKApDovjuRv0JRN7csd_1kUV89VFn3I</t>
  </si>
  <si>
    <t>temporalio__sdk-go-2002</t>
  </si>
  <si>
    <t>https://github.com/temporalio/sdk-go/issues/2002</t>
  </si>
  <si>
    <t>gs://swe-bench-plus/evaluations/019b6ab1-4e74-7019-9e81-9c96e98a145d-temporalio__sdk-go-2002-swe-agent-claude-sonnet-4.5</t>
  </si>
  <si>
    <t>https://drive.google.com/drive/folders/1qPDtgTnYBJuxQUTXFhEuIQLJkFa41aCM</t>
  </si>
  <si>
    <t>tensorflow__tflite-micro-3037</t>
  </si>
  <si>
    <t>https://github.com/tensorflow/tflite-micro/issues/3037</t>
  </si>
  <si>
    <t>https://drive.google.com/drive/folders/1FSwZfXmqbfeGoipFRh9XR3olr2_Y7_CD</t>
  </si>
  <si>
    <t>https://drive.google.com/drive/folders/1Ftnb9Kv_oroGhImGEjn9c3WsoISr0hjc</t>
  </si>
  <si>
    <t>tensorflow__tflite-micro-2682</t>
  </si>
  <si>
    <t>https://github.com/tensorflow/tflite-micro/issues/2682</t>
  </si>
  <si>
    <t>https://drive.google.com/drive/folders/12j6XCQbGxvvi-vQDJ89VQb-qzd6y97Qk</t>
  </si>
  <si>
    <t>https://drive.google.com/drive/folders/1ps-9WaULtdSyjs6QgNUSmtOQruDh4gqc</t>
  </si>
  <si>
    <t>The-AI-Alliance__gofannon-271</t>
  </si>
  <si>
    <t>https://github.com/The-AI-Alliance/gofannon/issues/271</t>
  </si>
  <si>
    <t>gs://swe-bench-plus/evaluations/019a9c33-6d74-70ca-a36d-b17dba075c66-The-AI-Alliance__gofannon-271-swe-agent-claude-sonnet-4-20250514</t>
  </si>
  <si>
    <t>https://drive.google.com/drive/folders/1aGhqR73pjn0GVSwtKIlCH5R7UrUay7RN</t>
  </si>
  <si>
    <t>The-AI-Alliance/gofannon</t>
  </si>
  <si>
    <t>The-AI-Alliance__gofannon</t>
  </si>
  <si>
    <t>thomasschafer__scooter-38</t>
  </si>
  <si>
    <t>https://github.com/thomasschafer/scooter/issues/38</t>
  </si>
  <si>
    <t>gs://swe-bench-plus/evaluations/019a8f58-c516-722e-bb34-fa7546d3155d-thomasschafer__scooter-38-open-hands-claude-sonnet-4-20250514</t>
  </si>
  <si>
    <t>https://drive.google.com/drive/folders/1oPzio3x_rOrD-M6Pp_dOktICYwrqD7VR</t>
  </si>
  <si>
    <t>thorvg__thorvg-2600</t>
  </si>
  <si>
    <t>https://github.com/thorvg/thorvg/issues/2600</t>
  </si>
  <si>
    <t>https://drive.google.com/drive/folders/11tDiGxotqgXYzDvcyF1bSyUas6NKL2JJ</t>
  </si>
  <si>
    <t>https://drive.google.com/drive/folders/1NHvCqs_n-Sh8Q3wHmoRVlrf-BzhLjZj5</t>
  </si>
  <si>
    <t>TimefoldAI__timefold-solver-1688</t>
  </si>
  <si>
    <t>https://github.com/TimefoldAI/timefold-solver/issues/1688</t>
  </si>
  <si>
    <t>gs://swe-bench-plus/evaluations/019bd0bc-ca69-75d8-90e1-0b11e2a6213c-TimefoldAI__timefold-solver-1688-swe-agent-claude-sonnet-4.5</t>
  </si>
  <si>
    <t>https://drive.google.com/drive/folders/116QJqtdVyDsMzC5Ezsv4stVySxMqXwBu</t>
  </si>
  <si>
    <t>timgit__pg-boss-547</t>
  </si>
  <si>
    <t>https://github.com/timgit/pg-boss/issues/547</t>
  </si>
  <si>
    <t>gs://swe-bench-plus/evaluations/019bb790-00c3-731f-bfe7-c55413fd6291-timgit__pg-boss-547-swe-agent-claude-sonnet-4-20250514</t>
  </si>
  <si>
    <t>https://drive.google.com/drive/folders/1wGZEI_JzZE0bEAxyFSKW75TBJpjxlaXQ</t>
  </si>
  <si>
    <t>timgit/pg-boss</t>
  </si>
  <si>
    <t>timgit__pg-boss</t>
  </si>
  <si>
    <t>tobymao__sqlglot-5167</t>
  </si>
  <si>
    <t>https://github.com/tobymao/sqlglot/issues/5167</t>
  </si>
  <si>
    <t>https://drive.google.com/drive/folders/14AbOyctJJfk0NGvHoXbzogt9RC1ukbt_</t>
  </si>
  <si>
    <t>https://drive.google.com/drive/folders/1Tud8XrA5kefzWY7SS-ekL0lASXbr3cIn</t>
  </si>
  <si>
    <t>tobymao/sqlglot</t>
  </si>
  <si>
    <t>tobymao__sqlglot</t>
  </si>
  <si>
    <t>tobymao__sqlglot-4801</t>
  </si>
  <si>
    <t>https://github.com/tobymao/sqlglot/issues/4801</t>
  </si>
  <si>
    <t>https://drive.google.com/drive/folders/1wmonBB3wyTHovCW4NJ9fAQAG70kkX1kY</t>
  </si>
  <si>
    <t>https://drive.google.com/drive/folders/11RT9OxmaiwIS_S1RljL-G5s9iW882Rjr</t>
  </si>
  <si>
    <t>Tochemey__goakt-555</t>
  </si>
  <si>
    <t>https://github.com/Tochemey/goakt/issues/555</t>
  </si>
  <si>
    <t>gs://swe-bench-plus/evaluations/019b6aa7-0380-771f-9e02-24cda0fe6639-Tochemey__goakt-555-swe-agent-claude-sonnet-4.5</t>
  </si>
  <si>
    <t>https://drive.google.com/drive/folders/1C9gBFaIdrmlFcFIWVtf_X8bmWN8-kUHd</t>
  </si>
  <si>
    <t>Tochemey/goakt</t>
  </si>
  <si>
    <t>Tochemey__goakt</t>
  </si>
  <si>
    <t>Tochemey__goakt-710</t>
  </si>
  <si>
    <t>https://github.com/Tochemey/goakt/issues/710</t>
  </si>
  <si>
    <t>infra-devops;sci-comp</t>
  </si>
  <si>
    <t>gs://swe-bench-plus/evaluations/019b6ab1-4e74-7019-9e81-9c96e98a145d-Tochemey__goakt-710-swe-agent-claude-sonnet-4.5</t>
  </si>
  <si>
    <t>https://drive.google.com/drive/folders/1B6BAGwjQ_RO8fihOGeY6ATJbvtTx1JtX</t>
  </si>
  <si>
    <t>trpc-group__trpc-a2a-go-61</t>
  </si>
  <si>
    <t>https://github.com/trpc-group/trpc-a2a-go/issues/61</t>
  </si>
  <si>
    <t>gs://swe-bench-plus/evaluations/019b6ab1-4e74-7019-9e81-9c96e98a145d-trpc-group__trpc-a2a-go-61-swe-agent-claude-sonnet-4.5</t>
  </si>
  <si>
    <t>https://drive.google.com/drive/folders/1Z9V2RNuCvxAN5K3tD0kJyh51U25mBdI0</t>
  </si>
  <si>
    <t>trpc__trpc-6616</t>
  </si>
  <si>
    <t>https://github.com/trpc/trpc/issues/6616</t>
  </si>
  <si>
    <t>bug-fix;feature;documentation;maintenance</t>
  </si>
  <si>
    <t>https://drive.google.com/drive/folders/11fdpgDwkfTmOQBPbZeGdDv5_Iqh2npIU</t>
  </si>
  <si>
    <t>https://drive.google.com/drive/folders/1A95kk5wn7eLHVyUpDOLiVAZ2uw2_1Xqs</t>
  </si>
  <si>
    <t>trpc__trpc-6454</t>
  </si>
  <si>
    <t>https://github.com/trpc/trpc/issues/6454</t>
  </si>
  <si>
    <t>https://drive.google.com/drive/folders/1nJ9Lca7zG-8kd3tVdn6sFqXctx6_i5lv</t>
  </si>
  <si>
    <t>https://drive.google.com/drive/folders/1UtIYmpefBhcfQ5jqaIGdhLWs6CHsym7U</t>
  </si>
  <si>
    <t>un-ts__synckit-199</t>
  </si>
  <si>
    <t>https://github.com/un-ts/synckit/issues/199</t>
  </si>
  <si>
    <t>https://drive.google.com/drive/folders/1BfAV-lLi2vGQ0X1cza-K5AJ0BBf4uc_-</t>
  </si>
  <si>
    <t>https://drive.google.com/drive/folders/1fKEFulJKmKbqOoUKBIFgf6vdNmrNNyAz</t>
  </si>
  <si>
    <t>un-ts/synckit</t>
  </si>
  <si>
    <t>un-ts__synckit</t>
  </si>
  <si>
    <t>unhappychoice__gittype-94</t>
  </si>
  <si>
    <t>https://github.com/unhappychoice/gittype/issues/94</t>
  </si>
  <si>
    <t>gs://swe-bench-plus/evaluations/019b6aa7-0380-771f-9e02-24cda0fe6639-unhappychoice__gittype-94-swe-agent-claude-sonnet-4.5</t>
  </si>
  <si>
    <t>https://drive.google.com/drive/folders/1yz9Ky-Bdomxl994BbIUaxq25Xrb9UqoT</t>
  </si>
  <si>
    <t>unoplatform__uno.extensions-2642</t>
  </si>
  <si>
    <t>https://github.com/unoplatform/uno.extensions/issues/2642</t>
  </si>
  <si>
    <t>gs://swe-bench-plus/evaluations/019b6aaf-1788-707e-b6dd-d4dc12d72279-unoplatform__uno.extensions-2642-swe-agent-claude-sonnet-4.5</t>
  </si>
  <si>
    <t>https://drive.google.com/drive/folders/17oO2ZbrOTF78SsZsig0q0TyWx0hG2I8H</t>
  </si>
  <si>
    <t>unoplatform/uno.extensions</t>
  </si>
  <si>
    <t>unoplatform__uno.extensions</t>
  </si>
  <si>
    <t>vaadin__flow-21664</t>
  </si>
  <si>
    <t>https://github.com/vaadin/flow/issues/21664</t>
  </si>
  <si>
    <t>performance;dependency-update;refactor</t>
  </si>
  <si>
    <t>gs://swe-bench-plus/evaluations/019b6ab1-4e74-7019-9e81-9c96e98a145d-vaadin__flow-21664-swe-agent-claude-sonnet-4.5</t>
  </si>
  <si>
    <t>https://drive.google.com/drive/folders/1sj3Tgvh14V2rdq1C-MfKSFUNjY-OarCv</t>
  </si>
  <si>
    <t>vadimdemedes__ink-678</t>
  </si>
  <si>
    <t>https://github.com/vadimdemedes/ink/issues/678</t>
  </si>
  <si>
    <t>https://drive.google.com/drive/folders/1GbiPTxQJQl0LotEhku50slvuFG5MErnE</t>
  </si>
  <si>
    <t>https://drive.google.com/drive/folders/1EGffhq1dKyDoYYy6PFoh5dmdw53FmgVC</t>
  </si>
  <si>
    <t>vadimdemedes/ink</t>
  </si>
  <si>
    <t>vadimdemedes__ink</t>
  </si>
  <si>
    <t>vchelaru__Gum-935</t>
  </si>
  <si>
    <t>https://github.com/vchelaru/Gum/issues/935</t>
  </si>
  <si>
    <t>gs://swe-bench-plus/evaluations/019b6aa7-0380-771f-9e02-24cda0fe6639-vchelaru__Gum-935-swe-agent-claude-sonnet-4.5</t>
  </si>
  <si>
    <t>https://drive.google.com/drive/folders/18J2bxn5vUUtYFUzA6Ha5GWZTF2z0tAi6</t>
  </si>
  <si>
    <t>vega__altair-3664</t>
  </si>
  <si>
    <t>https://github.com/vega/altair/issues/3664</t>
  </si>
  <si>
    <t>https://drive.google.com/drive/folders/1pTGqHSmQvmQ686ld5YSVg05uJX5gJYhS</t>
  </si>
  <si>
    <t>VictoriaMetrics__operator-1451</t>
  </si>
  <si>
    <t>https://github.com/VictoriaMetrics/operator/issues/1451</t>
  </si>
  <si>
    <t>gs://swe-bench-plus/evaluations/019b6aaf-1788-707e-b6dd-d4dc12d72279-VictoriaMetrics__operator-1451-swe-agent-claude-sonnet-4.5</t>
  </si>
  <si>
    <t>https://drive.google.com/drive/folders/1ZuDZJ3MfveJgFlqzB67zo8u7LMWK3VWz</t>
  </si>
  <si>
    <t>VictoriaMetrics/operator</t>
  </si>
  <si>
    <t>VictoriaMetrics__operator</t>
  </si>
  <si>
    <t>victoriametrics__victoriametrics-7313</t>
  </si>
  <si>
    <t>https://github.com/victoriametrics/victoriametrics/issues/7313</t>
  </si>
  <si>
    <t>https://drive.google.com/drive/folders/1oFcvoarx_t-Svq2w0gt1RGy2ql0ZKPdZ</t>
  </si>
  <si>
    <t>https://drive.google.com/drive/folders/1AbFOC3Ljpo-ne_-Hoxaxi7Cx4JeqgO15</t>
  </si>
  <si>
    <t>victoriametrics/victoriametrics</t>
  </si>
  <si>
    <t>victoriametrics__victoriametrics</t>
  </si>
  <si>
    <t>video-dev__hls.js-7211</t>
  </si>
  <si>
    <t>https://github.com/video-dev/hls.js/issues/7211</t>
  </si>
  <si>
    <t>https://drive.google.com/drive/folders/1fzGETEUoZnxFgTzpjycNHnBoSeLM0yVj</t>
  </si>
  <si>
    <t>https://drive.google.com/drive/folders/1j_Gf9FLOCab_1xtygOcUGm_oYtTKl_ZS</t>
  </si>
  <si>
    <t>video-dev/hls.js</t>
  </si>
  <si>
    <t>video-dev__hls.js</t>
  </si>
  <si>
    <t>vidhanio__hypertext-80</t>
  </si>
  <si>
    <t>https://github.com/vidhanio/hypertext/issues/80</t>
  </si>
  <si>
    <t>gs://swe-bench-plus/evaluations/019b6aa7-0380-771f-9e02-24cda0fe6639-vidhanio__hypertext-80-swe-agent-claude-sonnet-4.5</t>
  </si>
  <si>
    <t>https://drive.google.com/drive/folders/1rDQv_Xqv1W5x8Iiqvd4goxZSgDwV7A-O</t>
  </si>
  <si>
    <t>vidhanio/hypertext</t>
  </si>
  <si>
    <t>vidhanio__hypertext</t>
  </si>
  <si>
    <t>vidhanio__hypertext-96</t>
  </si>
  <si>
    <t>https://github.com/vidhanio/hypertext/issues/96</t>
  </si>
  <si>
    <t>gs://swe-bench-plus/evaluations/019aa6d1-625c-740b-b0d1-b0b12cc889a5-vidhanio__hypertext-96-open-hands-claude-sonnet-4-20250514</t>
  </si>
  <si>
    <t>https://drive.google.com/drive/folders/1paZ2AX08Nt0dJsuylfEQ197wxwEqjRfl</t>
  </si>
  <si>
    <t>VirusTotal__yara-x-305</t>
  </si>
  <si>
    <t>https://github.com/VirusTotal/yara-x/issues/305</t>
  </si>
  <si>
    <t>https://drive.google.com/drive/folders/1wx7VZ8gvNJ4HJpt4gSX_HsemfIOhLVRu</t>
  </si>
  <si>
    <t>https://drive.google.com/drive/folders/1DKe5hsQOvyD-5UcIGam3g5seC5x-QwaO</t>
  </si>
  <si>
    <t>VirusTotal/yara-x</t>
  </si>
  <si>
    <t>VirusTotal__yara-x</t>
  </si>
  <si>
    <t>vitest-dev__eslint-plugin-vitest-574</t>
  </si>
  <si>
    <t>https://github.com/vitest-dev/eslint-plugin-vitest/issues/574</t>
  </si>
  <si>
    <t>gs://swe-bench-plus/evaluations/019b6aaf-1788-707e-b6dd-d4dc12d72279-vitest-dev__eslint-plugin-vitest-574-swe-agent-claude-sonnet-4.5</t>
  </si>
  <si>
    <t>https://drive.google.com/drive/folders/1jEJulc5vbQpX6urO6TTAsf5FCi1U9e__</t>
  </si>
  <si>
    <t>vitest-dev/eslint-plugin-vitest</t>
  </si>
  <si>
    <t>vitest-dev__eslint-plugin-vitest</t>
  </si>
  <si>
    <t>vitest-dev__vitest-7137</t>
  </si>
  <si>
    <t>https://github.com/vitest-dev/vitest/issues/7137</t>
  </si>
  <si>
    <t>gs://swe-bench-plus/evaluations/019c24f7-afab-7068-b861-f1c63b2e7ce2-vitest-dev__vitest-7137-swe-agent-claude-sonnet-4-20250514</t>
  </si>
  <si>
    <t>https://drive.google.com/drive/folders/1tnxrTcXWl2Gl02FvRlHPTUPkQqywcRwD</t>
  </si>
  <si>
    <t>vividus-framework__vividus-5950</t>
  </si>
  <si>
    <t>https://github.com/vividus-framework/vividus/issues/5950</t>
  </si>
  <si>
    <t>gs://swe-bench-plus/evaluations/019c2528-578b-73cc-ad42-8f1328ded528-vividus-framework__vividus-5950-swe-agent-claude-sonnet-4-20250514</t>
  </si>
  <si>
    <t>https://drive.google.com/drive/folders/1hfMMkd-qjvXoW_XrOWpcfF4V6xu2rokh</t>
  </si>
  <si>
    <t>vividus-framework/vividus</t>
  </si>
  <si>
    <t>vividus-framework__vividus</t>
  </si>
  <si>
    <t>volcano-sh__volcano-4512</t>
  </si>
  <si>
    <t>https://github.com/volcano-sh/volcano/issues/4512</t>
  </si>
  <si>
    <t>https://drive.google.com/drive/folders/1PJMuE6wTYtGLc27kMROfs2NwgSXKhRY0</t>
  </si>
  <si>
    <t>https://drive.google.com/drive/folders/1LeqFWH-CKiFdWc5BxYHgdRhLtz4nRdK0</t>
  </si>
  <si>
    <t>vprusso__toqito-1236</t>
  </si>
  <si>
    <t>https://github.com/vprusso/toqito/issues/1236</t>
  </si>
  <si>
    <t>https://drive.google.com/drive/folders/1Lm7WzgryqESb43al2tnQw1hZsD7J3W2Y</t>
  </si>
  <si>
    <t>https://drive.google.com/drive/folders/1pE_FEO3L1t6PifX7fVEWQ95iJdOKoahJ</t>
  </si>
  <si>
    <t>vprusso/toqito</t>
  </si>
  <si>
    <t>vprusso__toqito</t>
  </si>
  <si>
    <t>vprusso__toqito-1185</t>
  </si>
  <si>
    <t>https://github.com/vprusso/toqito/issues/1185</t>
  </si>
  <si>
    <t>https://drive.google.com/drive/folders/1ZgjLrU4YauDA6lCam3oRwkeEnFAOhFXC</t>
  </si>
  <si>
    <t>https://drive.google.com/drive/folders/11eLmRG-AkNUNpRoA5XDj85hPa2KOhSdJ</t>
  </si>
  <si>
    <t>vuejs__eslint-plugin-vue-2984</t>
  </si>
  <si>
    <t>https://github.com/vuejs/eslint-plugin-vue/issues/2984</t>
  </si>
  <si>
    <t>gs://swe-bench-plus/evaluations/019b5a95-6d60-73cf-b986-72d6163d222f-vuejs__eslint-plugin-vue-2984-swe-agent-claude-sonnet-4-20250514</t>
  </si>
  <si>
    <t>vuejs/eslint-plugin-vue</t>
  </si>
  <si>
    <t>vuejs__eslint-plugin-vue</t>
  </si>
  <si>
    <t>wagtail__wagtail-localize-835</t>
  </si>
  <si>
    <t>https://github.com/wagtail/wagtail-localize/issues/835</t>
  </si>
  <si>
    <t>https://drive.google.com/drive/folders/1Da1mjIOO3SRe7mZvl1iV3AhI1CYhsmEj</t>
  </si>
  <si>
    <t>https://drive.google.com/drive/folders/1VR5DEthWXrWFOFNfuZM1yRvdFxVg-LnU</t>
  </si>
  <si>
    <t>wagtail/wagtail-localize</t>
  </si>
  <si>
    <t>wagtail__wagtail-localize</t>
  </si>
  <si>
    <t>wakujs__waku-1164</t>
  </si>
  <si>
    <t>https://github.com/wakujs/waku/issues/1164</t>
  </si>
  <si>
    <t>https://drive.google.com/drive/folders/1ymOfXRRP-SL5AoICrnkEUZXWMz5J0tWI</t>
  </si>
  <si>
    <t>wakujs/waku</t>
  </si>
  <si>
    <t>wakujs__waku</t>
  </si>
  <si>
    <t>wandb__wandb-9802</t>
  </si>
  <si>
    <t>https://github.com/wandb/wandb/issues/9802</t>
  </si>
  <si>
    <t>https://drive.google.com/drive/folders/1VSCnZhCBQTWMAOC4SFHik-79P-vt9RrX</t>
  </si>
  <si>
    <t>wandb/wandb</t>
  </si>
  <si>
    <t>wandb__wandb</t>
  </si>
  <si>
    <t>warpstreamlabs__bento-297</t>
  </si>
  <si>
    <t>https://github.com/warpstreamlabs/bento/issues/297</t>
  </si>
  <si>
    <t>gs://swe-bench-plus/evaluations/019b6ab1-4e74-7019-9e81-9c96e98a145d-warpstreamlabs__bento-297-swe-agent-claude-sonnet-4.5</t>
  </si>
  <si>
    <t>https://drive.google.com/drive/folders/1Aoz-IlpKplq8RWH8vhzZxWD7GO6upGWI</t>
  </si>
  <si>
    <t>warpstreamlabs/bento</t>
  </si>
  <si>
    <t>warpstreamlabs__bento</t>
  </si>
  <si>
    <t>warpstreamlabs__bento-430</t>
  </si>
  <si>
    <t>https://github.com/warpstreamlabs/bento/issues/430</t>
  </si>
  <si>
    <t>gs://swe-bench-plus/evaluations/019b6ab1-4e74-7019-9e81-9c96e98a145d-warpstreamlabs__bento-430-swe-agent-claude-sonnet-4.5</t>
  </si>
  <si>
    <t>https://drive.google.com/drive/folders/1dNrxBznRrE6C54EF8Ox_MvnAFgrPL1dV</t>
  </si>
  <si>
    <t>webdriverio__webdriverio-13910</t>
  </si>
  <si>
    <t>https://github.com/webdriverio/webdriverio/issues/13910</t>
  </si>
  <si>
    <t>https://drive.google.com/drive/folders/1vEUWjnf7jnPOPr5OZCkaegEr35T-xKLB</t>
  </si>
  <si>
    <t>https://drive.google.com/drive/folders/1r_RtMQcNsnYc0gW2BlzPezoHBvK49yWu</t>
  </si>
  <si>
    <t>webdriverio/webdriverio</t>
  </si>
  <si>
    <t>webdriverio__webdriverio</t>
  </si>
  <si>
    <t>webdriverio__webdriverio-14360</t>
  </si>
  <si>
    <t>https://github.com/webdriverio/webdriverio/issues/14360</t>
  </si>
  <si>
    <t>https://drive.google.com/drive/folders/1005FYAiPer51iX_Urvws-s8WzfSt_8X5</t>
  </si>
  <si>
    <t>https://drive.google.com/drive/folders/1OprwZKwRbmES0jRQqlHrYe0RhQVAX6-i</t>
  </si>
  <si>
    <t>wichmann-lab__python-psignifit-184</t>
  </si>
  <si>
    <t>https://github.com/wichmann-lab/python-psignifit/issues/184</t>
  </si>
  <si>
    <t>https://drive.google.com/drive/folders/1KWzLV4GG-H-gym2RwVJw67S-PaKrjXPW</t>
  </si>
  <si>
    <t>https://drive.google.com/drive/folders/1xszCQYwve4SzWFtUUlMAfEqhg5NioX7i</t>
  </si>
  <si>
    <t>wichmann-lab__python-psignifit-169</t>
  </si>
  <si>
    <t>https://github.com/wichmann-lab/python-psignifit/issues/169</t>
  </si>
  <si>
    <t>https://drive.google.com/drive/folders/1i6iZylDz5JV9GWtE4TOAj3jZlTIEh3oV</t>
  </si>
  <si>
    <t>https://drive.google.com/drive/folders/12sdwMJzKBbsiwYzmAY5P1IqyI3lqfkY8</t>
  </si>
  <si>
    <t>widefix__actual_db_schema-110</t>
  </si>
  <si>
    <t>https://github.com/widefix/actual_db_schema/issues/110</t>
  </si>
  <si>
    <t>gs://swe-bench-plus/evaluations/019b6aaf-1788-707e-b6dd-d4dc12d72279-widefix__actual_db_schema-110-swe-agent-claude-sonnet-4.5</t>
  </si>
  <si>
    <t>https://drive.google.com/drive/folders/1LSTVIOpG9USCWMcF_oyoKZyysH3rAL6D</t>
  </si>
  <si>
    <t>winder__Universal-G-Code-Sender-2944</t>
  </si>
  <si>
    <t>https://github.com/winder/Universal-G-Code-Sender/issues/2944</t>
  </si>
  <si>
    <t>dependency-update;bug-fix;refactor</t>
  </si>
  <si>
    <t>gs://swe-bench-plus/evaluations/019b323e-e6cc-7739-8622-2ddf8635ed21-winder__Universal-G-Code-Sender-2944-swe-agent-claude-sonnet-4-20250514</t>
  </si>
  <si>
    <t>winder/Universal-G-Code-Sender</t>
  </si>
  <si>
    <t>winder__Universal-G-Code-Sender</t>
  </si>
  <si>
    <t>withastro__astro-14039</t>
  </si>
  <si>
    <t>https://github.com/withastro/astro/issues/14039</t>
  </si>
  <si>
    <t>https://drive.google.com/drive/folders/1RM-_OuFGu0QDzhGF1BQJvt6Z8Vo0WVmA</t>
  </si>
  <si>
    <t>https://drive.google.com/drive/folders/1PYCGYNAz-ADUGNugeqi8XeXBRHweew0k</t>
  </si>
  <si>
    <t>withastro/astro</t>
  </si>
  <si>
    <t>withastro__astro</t>
  </si>
  <si>
    <t>XLSForm__pyxform-768</t>
  </si>
  <si>
    <t>https://github.com/XLSForm/pyxform/issues/768</t>
  </si>
  <si>
    <t>https://drive.google.com/drive/folders/1dFHxrV3BH57CsVsUklk7-kZI7VXIPDAY</t>
  </si>
  <si>
    <t>https://drive.google.com/drive/folders/1K85E3q_YMEm_dXalfjbDI8dSBZETlfu9</t>
  </si>
  <si>
    <t>xonsh__xonsh-5744</t>
  </si>
  <si>
    <t>https://github.com/xonsh/xonsh/issues/5744</t>
  </si>
  <si>
    <t>https://drive.google.com/drive/folders/1XNtF5GPHJQO-wkCDccm4Ni2v_sCXk0Fl</t>
  </si>
  <si>
    <t>https://drive.google.com/drive/folders/1P94BJqDyH8y7BSF6J4OyiCAqoDl5RWiI</t>
  </si>
  <si>
    <t>xonsh/xonsh</t>
  </si>
  <si>
    <t>xonsh__xonsh</t>
  </si>
  <si>
    <t>yamada-ui__yamada-ui-3582</t>
  </si>
  <si>
    <t>https://github.com/yamada-ui/yamada-ui/issues/3582</t>
  </si>
  <si>
    <t>gs://swe-bench-plus/evaluations/019b6aaf-1788-707e-b6dd-d4dc12d72279-yamada-ui__yamada-ui-3582-swe-agent-claude-sonnet-4.5</t>
  </si>
  <si>
    <t>https://drive.google.com/drive/folders/114XroiXDObbyqgKWQ96bW7wUdFqGdvLp</t>
  </si>
  <si>
    <t>yeonjuan__html-eslint-304</t>
  </si>
  <si>
    <t>https://github.com/yeonjuan/html-eslint/issues/304</t>
  </si>
  <si>
    <t>gs://swe-bench-plus/evaluations/019c39f2-e206-779c-90aa-5844335bcaf5-yeonjuan__html-eslint-304-swe-agent-claude-sonnet-4-20250514</t>
  </si>
  <si>
    <t>https://drive.google.com/drive/folders/1vF-ey5opocwR2XxeqBwjyxbPLtuNv8gw</t>
  </si>
  <si>
    <t>yeonjuan/html-eslint</t>
  </si>
  <si>
    <t>yeonjuan__html-eslint</t>
  </si>
  <si>
    <t>yorukot__superfile-931</t>
  </si>
  <si>
    <t>https://github.com/yorukot/superfile/issues/931</t>
  </si>
  <si>
    <t>https://drive.google.com/drive/folders/14iZwZxJTC50WvcswcV5E4t-68hf-Fb7c</t>
  </si>
  <si>
    <t>https://drive.google.com/drive/folders/1vodIGSHExFMC2YWVkDuZZgl9Rb5uHJHu</t>
  </si>
  <si>
    <t>yorukot/superfile</t>
  </si>
  <si>
    <t>yorukot__superfile</t>
  </si>
  <si>
    <t>ysugimoto__falco-403</t>
  </si>
  <si>
    <t>https://github.com/ysugimoto/falco/issues/403</t>
  </si>
  <si>
    <t>https://drive.google.com/drive/folders/19PFiDVNi2nFnebR_pHLmHhSxWKSj3vo5</t>
  </si>
  <si>
    <t>https://drive.google.com/drive/folders/1Eb_h3iSbWY9BsohbfLUVKTHm_x3msiGu</t>
  </si>
  <si>
    <t>zalando__logbook-965</t>
  </si>
  <si>
    <t>https://github.com/zalando/logbook/issues/965</t>
  </si>
  <si>
    <t>gs://swe-bench-plus/evaluations/019b6aaf-1788-707e-b6dd-d4dc12d72279-zalando__logbook-965-swe-agent-claude-sonnet-4.5</t>
  </si>
  <si>
    <t>https://drive.google.com/drive/folders/1GWonrC7UguW0imovmpGM-7J86JxhUsFG</t>
  </si>
  <si>
    <t>zeromicro__go-zero-4633</t>
  </si>
  <si>
    <t>https://github.com/zeromicro/go-zero/issues/4633</t>
  </si>
  <si>
    <t>https://drive.google.com/drive/folders/1NzhD_8SrzOov2nhkUy79SUtJhG5Bfqza</t>
  </si>
  <si>
    <t>zeromicro/go-zero</t>
  </si>
  <si>
    <t>zeromicro__go-zero</t>
  </si>
  <si>
    <t>zeux__meshoptimizer-846</t>
  </si>
  <si>
    <t>https://github.com/zeux/meshoptimizer/issues/846</t>
  </si>
  <si>
    <t>gs://swe-bench-plus/evaluations/019ac7d9-d823-71ed-b728-de4931ce938c-zeux__meshoptimizer-846-open-hands-claude-sonnet-4-20250514</t>
  </si>
  <si>
    <t>https://drive.google.com/drive/folders/1QLZAv_GqACvmEVMr2zhXEhXjjzPGvczz</t>
  </si>
  <si>
    <t>zeux/meshoptimizer</t>
  </si>
  <si>
    <t>zeux__meshoptimizer</t>
  </si>
  <si>
    <t>zwicker-group__py-pde-712</t>
  </si>
  <si>
    <t>https://github.com/zwicker-group/py-pde/issues/712</t>
  </si>
  <si>
    <t>gs://swe-bench-plus/evaluations/019a6f31-5865-7528-b3d7-dd9431bd3aac-zwicker-group__py-pde-712-swe-agent-claude-sonnet-4.5</t>
  </si>
  <si>
    <t>https://drive.google.com/drive/folders/1Sv4rn772pd92nV3uCnp28ziwi-3urHwA</t>
  </si>
  <si>
    <t>zwicker-group/py-pde</t>
  </si>
  <si>
    <t>zwicker-group__py-pde</t>
  </si>
  <si>
    <t>apache__iceberg-python-2050</t>
  </si>
  <si>
    <t>https://github.com/apache/iceberg-python/issues/2050</t>
  </si>
  <si>
    <t>https://drive.google.com/drive/folders/1NgxChhJfovNDPTXaMhZ-rigznGhzSZBV</t>
  </si>
  <si>
    <t>https://drive.google.com/drive/folders/1KYQf04sdaOJm3wHqrlO951dNVgxd9Hu8</t>
  </si>
  <si>
    <t>apache__maven-resolver-1625</t>
  </si>
  <si>
    <t>https://github.com/apache/maven-resolver/issues/1625</t>
  </si>
  <si>
    <t>gs://swe-bench-plus/evaluations/019bc793-e669-7019-a196-00e47f245ddc-apache__maven-resolver-1625-swe-agent-claude-sonnet-4-20250514</t>
  </si>
  <si>
    <t>https://drive.google.com/drive/folders/1HavzJ-71gIUUijn75s3wHVl18KD8nTj_</t>
  </si>
  <si>
    <t>apache/maven-resolver</t>
  </si>
  <si>
    <t>apache__maven-resolver</t>
  </si>
  <si>
    <t>astronomer__dag-factory-292</t>
  </si>
  <si>
    <t>https://github.com/astronomer/dag-factory/issues/292</t>
  </si>
  <si>
    <t>gs://swe-bench-plus/evaluations/019a11d0-17d3-730b-bffc-06f187eef661-astronomer__dag-factory-292-swe-agent-claude-sonnet-4-20250514</t>
  </si>
  <si>
    <t>https://drive.google.com/drive/folders/1oMclJZxwmtxl7A9s3wnzEfj5cYKnURz2</t>
  </si>
  <si>
    <t>astronomer/dag-factory</t>
  </si>
  <si>
    <t>astronomer__dag-factory</t>
  </si>
  <si>
    <t>aurora-opensource__au-251</t>
  </si>
  <si>
    <t>https://github.com/aurora-opensource/au/issues/251</t>
  </si>
  <si>
    <t>gs://swe-bench-plus/evaluations/019b0df7-ade4-70bc-89dc-2dc1c6248f76-aurora-opensource__au-251-swe-agent-claude-opus-4.5</t>
  </si>
  <si>
    <t>https://drive.google.com/drive/folders/1NwlLycCAY5K7tmp9cvaBEIbMJx-ltQdj</t>
  </si>
  <si>
    <t>autogluon__autogluon-5078</t>
  </si>
  <si>
    <t>https://github.com/autogluon/autogluon/issues/5078</t>
  </si>
  <si>
    <t>https://drive.google.com/drive/folders/1taHvuq9zHFqYD5o66rQFhC8icYwlSbFA</t>
  </si>
  <si>
    <t>autogluon/autogluon</t>
  </si>
  <si>
    <t>autogluon__autogluon</t>
  </si>
  <si>
    <t>awslabs__graphstorm-1175</t>
  </si>
  <si>
    <t>https://github.com/awslabs/graphstorm/issues/1175</t>
  </si>
  <si>
    <t>gs://swe-bench-plus/evaluations/019ac57e-f665-72ea-8d22-b2c491531db5-awslabs__graphstorm-1175-open-hands-claude-sonnet-4-20250514</t>
  </si>
  <si>
    <t>https://drive.google.com/drive/folders/1WTNcDKmsbfBpMh9XYX3737j4w28ny6lj</t>
  </si>
  <si>
    <t>awslabs/graphstorm</t>
  </si>
  <si>
    <t>awslabs__graphstorm</t>
  </si>
  <si>
    <t>AxonFramework__AxonFramework-3290</t>
  </si>
  <si>
    <t>https://github.com/AxonFramework/AxonFramework/issues/3290</t>
  </si>
  <si>
    <t>https://drive.google.com/drive/folders/13RTFOL11E7CB2r11vvCFxJW6v0HjFd8Z</t>
  </si>
  <si>
    <t>AxonFramework__AxonFramework-2729</t>
  </si>
  <si>
    <t>https://github.com/AxonFramework/AxonFramework/issues/2729</t>
  </si>
  <si>
    <t>gs://swe-bench-plus/evaluations/019bc794-8b97-710a-8eb1-715be5148c6c-AxonFramework__AxonFramework-2729-swe-agent-claude-sonnet-4-20250514</t>
  </si>
  <si>
    <t>https://drive.google.com/drive/folders/1_T2wmip4LeoIXLEoK0to361L73YazeY0</t>
  </si>
  <si>
    <t>blakeblackshear__frigate-hass-integration-802</t>
  </si>
  <si>
    <t>https://github.com/blakeblackshear/frigate-hass-integration/issues/802</t>
  </si>
  <si>
    <t>gs://swe-bench-plus/evaluations/019a8f6e-136c-7345-a414-a1ed9c7f4f2d-blakeblackshear__frigate-hass-integration-802-open-hands-claude-sonnet-4-20250514</t>
  </si>
  <si>
    <t>https://drive.google.com/drive/folders/1cY8E-_lW8Il86OkONkNqMWUfhbzvIola</t>
  </si>
  <si>
    <t>blinklabs-io__gouroboros-1169</t>
  </si>
  <si>
    <t>https://github.com/blinklabs-io/gouroboros/issues/1169</t>
  </si>
  <si>
    <t>gs://swe-bench-plus/evaluations/019b6aa7-0380-771f-9e02-24cda0fe6639-blinklabs-io__gouroboros-1169-swe-agent-claude-sonnet-4.5</t>
  </si>
  <si>
    <t>https://drive.google.com/drive/folders/1SgmRaQAULxisJfaPwzxRpml89BMDdGtE</t>
  </si>
  <si>
    <t>bmf-san__ggc-50</t>
  </si>
  <si>
    <t>https://github.com/bmf-san/ggc/issues/50</t>
  </si>
  <si>
    <t>gs://swe-bench-plus/evaluations/019b6ab1-4e74-7019-9e81-9c96e98a145d-bmf-san__ggc-50-swe-agent-claude-sonnet-4.5</t>
  </si>
  <si>
    <t>https://drive.google.com/drive/folders/1QC92DIayxOEe4VlNTwd-z8DBqV5wBfKM</t>
  </si>
  <si>
    <t>caronc__apprise-api-254</t>
  </si>
  <si>
    <t>https://github.com/caronc/apprise-api/issues/254</t>
  </si>
  <si>
    <t>gs://swe-bench-plus/evaluations/019ac57e-f665-72ea-8d22-b2c491531db5-caronc__apprise-api-254-open-hands-claude-sonnet-4-20250514</t>
  </si>
  <si>
    <t>https://drive.google.com/drive/folders/1w7v8WMbq97IE2IgNIkkddbj7-Xd8vTbC</t>
  </si>
  <si>
    <t>caronc/apprise-api</t>
  </si>
  <si>
    <t>caronc__apprise-api</t>
  </si>
  <si>
    <t>cdk__cdk-1238</t>
  </si>
  <si>
    <t>https://github.com/cdk/cdk/issues/1238</t>
  </si>
  <si>
    <t>bug-fix;feature;refactor;performance</t>
  </si>
  <si>
    <t>gs://swe-bench-plus/evaluations/019c8593-288e-768a-aabd-9e1d168a9a7f-cdk__cdk-1238-swe-agent-claude-sonnet-4-20250514</t>
  </si>
  <si>
    <t>https://drive.google.com/drive/folders/1mGpTnqUIVPIqNAtanQdA0TKcms3W_CpH</t>
  </si>
  <si>
    <t>cdk/cdk</t>
  </si>
  <si>
    <t>cdk__cdk</t>
  </si>
  <si>
    <t>ChainSafe__gossamer-4424</t>
  </si>
  <si>
    <t>https://github.com/ChainSafe/gossamer/issues/4424</t>
  </si>
  <si>
    <t>gs://swe-bench-plus/evaluations/019b6aa7-0380-771f-9e02-24cda0fe6639-ChainSafe__gossamer-4424-swe-agent-claude-sonnet-4.5</t>
  </si>
  <si>
    <t>https://drive.google.com/drive/folders/1OHmnRhD8HxQc1N2HIn1IZEnpRJQNvJpP</t>
  </si>
  <si>
    <t>conan-io__conan-18676</t>
  </si>
  <si>
    <t>https://github.com/conan-io/conan/issues/18676</t>
  </si>
  <si>
    <t>https://drive.google.com/drive/folders/1tnKnKNOOeRVuRNvTfjR5DzhlD7M1hyxA</t>
  </si>
  <si>
    <t>https://drive.google.com/drive/folders/1rN4ubI430xR_uhXYDNT6ebp3H9sgZ9YC</t>
  </si>
  <si>
    <t>conan-io__conan-18649</t>
  </si>
  <si>
    <t>https://github.com/conan-io/conan/issues/18649</t>
  </si>
  <si>
    <t>https://drive.google.com/drive/folders/1tOBo2t1IAAmoqQrnc5_5R3fwSMj-MhfZ</t>
  </si>
  <si>
    <t>https://drive.google.com/drive/folders/15qUqHWfiJ0MKlwNjEacWXYmQ2wMDJQMk</t>
  </si>
  <si>
    <t>covibes__zeroshot-222</t>
  </si>
  <si>
    <t>https://github.com/covibes/zeroshot/issues/222</t>
  </si>
  <si>
    <t>ai-ml;infra-devops;applications</t>
  </si>
  <si>
    <t>https://drive.google.com/drive/folders/1NpYvWgcTxUtVN8lSDsFUkXZVGSL0fbk8</t>
  </si>
  <si>
    <t>https://drive.google.com/drive/folders/1TPNTR0wunkiPXiRRnck5shaunccHYGdH</t>
  </si>
  <si>
    <t>crowdsecurity__crowdsec-3499</t>
  </si>
  <si>
    <t>https://github.com/crowdsecurity/crowdsec/issues/3499</t>
  </si>
  <si>
    <t>https://drive.google.com/drive/folders/1aAlDzvkMrzzKL29nRG9CUp1gWIBiscr4</t>
  </si>
  <si>
    <t>https://drive.google.com/drive/folders/1E2ixUvetuCnsJsJIDCpQ-OOBvojFhNkp</t>
  </si>
  <si>
    <t>dan-online__autopulse-289</t>
  </si>
  <si>
    <t>https://github.com/dan-online/autopulse/issues/289</t>
  </si>
  <si>
    <t>gs://swe-bench-plus/evaluations/019b6aaf-1788-707e-b6dd-d4dc12d72279-dan-online__autopulse-289-swe-agent-claude-sonnet-4.5</t>
  </si>
  <si>
    <t>https://drive.google.com/drive/folders/1ZPNtwa60gTC-kWHZCL9tV3sY7jfyuIra</t>
  </si>
  <si>
    <t>dan-online/autopulse</t>
  </si>
  <si>
    <t>dan-online__autopulse</t>
  </si>
  <si>
    <t>dathere__qsv-2960</t>
  </si>
  <si>
    <t>https://github.com/dathere/qsv/issues/2960</t>
  </si>
  <si>
    <t>gs://swe-bench-plus/evaluations/019b06bd-e8b8-7239-a811-43270291d9ff-dathere__qsv-2960-swe-agent-claude-sonnet-4.5</t>
  </si>
  <si>
    <t>https://drive.google.com/drive/folders/1L3N8mssZZrhw5rfhLma1w3TyhC2lt7nk</t>
  </si>
  <si>
    <t>dathere/qsv</t>
  </si>
  <si>
    <t>dathere__qsv</t>
  </si>
  <si>
    <t>docker__buildx-3167</t>
  </si>
  <si>
    <t>https://github.com/docker/buildx/issues/3167</t>
  </si>
  <si>
    <t>https://drive.google.com/drive/folders/1VB5VJ3rRIWiLxjhFRHpbIf0ZVh0za2Md</t>
  </si>
  <si>
    <t>https://drive.google.com/drive/folders/1bOsrHuDLo5Fhs6S1HJXN9YvD6YkSj5qp</t>
  </si>
  <si>
    <t>docker/buildx</t>
  </si>
  <si>
    <t>docker__buildx</t>
  </si>
  <si>
    <t>docker__docker-language-server-140</t>
  </si>
  <si>
    <t>https://github.com/docker/docker-language-server/issues/140</t>
  </si>
  <si>
    <t>gs://swe-bench-plus/evaluations/019b21b8-cb17-706d-bade-2f9b34b81acc-docker__docker-language-server-140-swe-agent-claude-sonnet-4-20250514</t>
  </si>
  <si>
    <t>https://drive.google.com/drive/folders/1SLvhhSCI5KjeqgN5UqDQvqFUKzhoSYOs</t>
  </si>
  <si>
    <t>dropwizard__metrics-4817</t>
  </si>
  <si>
    <t>https://github.com/dropwizard/metrics/issues/4817</t>
  </si>
  <si>
    <t>https://drive.google.com/drive/folders/1CEee_wHOBY0NdW8asejV9IciCWPDw0-U</t>
  </si>
  <si>
    <t>https://drive.google.com/drive/folders/1pKofg4C7Hyrd9fx-N4CuSRljAth8JcpT</t>
  </si>
  <si>
    <t>dropwizard/metrics</t>
  </si>
  <si>
    <t>dropwizard__metrics</t>
  </si>
  <si>
    <t>eslint__eslint-19621</t>
  </si>
  <si>
    <t>https://github.com/eslint/eslint/issues/19621</t>
  </si>
  <si>
    <t>gs://swe-bench-plus/evaluations/019c24fa-2999-746b-a6fd-aa256611b73a-eslint__eslint-19621-swe-agent-claude-sonnet-4-20250514</t>
  </si>
  <si>
    <t>https://drive.google.com/drive/folders/1obnFFGJn67OuQSTj2ojQoG71FJuaH2_q</t>
  </si>
  <si>
    <t>ethereum-optimism__optimism-15888</t>
  </si>
  <si>
    <t>https://github.com/ethereum-optimism/optimism/issues/15888</t>
  </si>
  <si>
    <t>https://drive.google.com/drive/folders/1E03sDHgHs6j7Cj_u45NTkwC5nwU71R2X</t>
  </si>
  <si>
    <t>fyne-io__fyne-5514</t>
  </si>
  <si>
    <t>https://github.com/fyne-io/fyne/issues/5514</t>
  </si>
  <si>
    <t>gs://swe-bench-plus/evaluations/019a8f63-9719-76e6-95d0-86201157cd29-fyne-io__fyne-5514-open-hands-claude-sonnet-4-20250514</t>
  </si>
  <si>
    <t>fyne-io/fyne</t>
  </si>
  <si>
    <t>fyne-io__fyne</t>
  </si>
  <si>
    <t>google-gemini__gemini-cli-11961</t>
  </si>
  <si>
    <t>https://github.com/google-gemini/gemini-cli/issues/11961</t>
  </si>
  <si>
    <t>gs://swe-bench-plus/evaluations/019c63b1-c215-72ef-93d9-9f9031bd8a71-google-gemini__gemini-cli-11961-swe-agent-claude-sonnet-4-20250514</t>
  </si>
  <si>
    <t>https://drive.google.com/drive/folders/1fg-yhbXhedqQnatWI9xA_rGCB-LlLLYp</t>
  </si>
  <si>
    <t>grll__mcpadapt-42</t>
  </si>
  <si>
    <t>https://github.com/grll/mcpadapt/issues/42</t>
  </si>
  <si>
    <t>gs://swe-bench-plus/evaluations/019a9c33-6d74-70ca-a36d-b17dba075c66-grll__mcpadapt-42-swe-agent-claude-sonnet-4-20250514</t>
  </si>
  <si>
    <t>https://drive.google.com/drive/folders/1-sLM5oTamRmPszPWf0ZVvCu3GEwSOoFM</t>
  </si>
  <si>
    <t>grll/mcpadapt</t>
  </si>
  <si>
    <t>grll__mcpadapt</t>
  </si>
  <si>
    <t>grpc__grpc-java-11778</t>
  </si>
  <si>
    <t>https://github.com/grpc/grpc-java/issues/11778</t>
  </si>
  <si>
    <t>https://drive.google.com/drive/folders/19LHrlzVWJjqQsXPYMTQjcyRqH7ariPPs</t>
  </si>
  <si>
    <t>hahwul__dalfox-740</t>
  </si>
  <si>
    <t>https://github.com/hahwul/dalfox/issues/740</t>
  </si>
  <si>
    <t>https://drive.google.com/drive/folders/1BC97YPwlPB0yAfVjDOhZ45LjR8aj9SWX</t>
  </si>
  <si>
    <t>https://drive.google.com/drive/folders/1FY1QYVcEAacOVGiy3RXVFStCI2XaIRit</t>
  </si>
  <si>
    <t>helm__helm-31076</t>
  </si>
  <si>
    <t>https://github.com/helm/helm/issues/31076</t>
  </si>
  <si>
    <t>https://drive.google.com/drive/folders/1lutinqSCrHojZF8BpWy6OSqc84qs9oMe</t>
  </si>
  <si>
    <t>https://drive.google.com/drive/folders/1R4aGSWs6AJTnHOA5PA_HfzLZWxg4Vgcx</t>
  </si>
  <si>
    <t>hiero-ledger__hiero-consensus-node-20732</t>
  </si>
  <si>
    <t>https://github.com/hiero-ledger/hiero-consensus-node/issues/20732</t>
  </si>
  <si>
    <t>gs://swe-bench-plus/evaluations/019bd0bc-ca69-75d8-90e1-0b11e2a6213c-hiero-ledger__hiero-consensus-node-20732-swe-agent-claude-sonnet-4.5</t>
  </si>
  <si>
    <t>https://drive.google.com/drive/folders/1kXP5GSMj-A3P-zSJykyUlooLBAr_B2yH</t>
  </si>
  <si>
    <t>instructlab__sdg-339</t>
  </si>
  <si>
    <t>https://github.com/instructlab/sdg/issues/339</t>
  </si>
  <si>
    <t>gs://swe-bench-plus/evaluations/019a9c33-6d74-70ca-a36d-b17dba075c66-instructlab__sdg-339-swe-agent-claude-sonnet-4-20250514</t>
  </si>
  <si>
    <t>https://drive.google.com/drive/folders/1eDW-CdLKehjQegEJFpCHTxrvoDqhCHKW</t>
  </si>
  <si>
    <t>instructlab/sdg</t>
  </si>
  <si>
    <t>instructlab__sdg</t>
  </si>
  <si>
    <t>iterative__datachain-1231</t>
  </si>
  <si>
    <t>https://github.com/iterative/datachain/issues/1231</t>
  </si>
  <si>
    <t>gs://swe-bench-plus/evaluations/019a8508-78a8-712a-b970-052ae053c3bc-iterative__datachain-1231-swe-agent-claude-sonnet-4-20250514</t>
  </si>
  <si>
    <t>https://drive.google.com/drive/folders/1-x12x3HyX11hZLD0dLj5y6ar0nX9QVpK</t>
  </si>
  <si>
    <t>iterative/datachain</t>
  </si>
  <si>
    <t>iterative__datachain</t>
  </si>
  <si>
    <t>jaredwray__cacheable-1553</t>
  </si>
  <si>
    <t>https://github.com/jaredwray/cacheable/issues/1553</t>
  </si>
  <si>
    <t>gs://swe-bench-plus/evaluations/019c7387-769d-7229-8870-d94df44ef198-jaredwray__cacheable-1553-swe-agent-claude-sonnet-4.5</t>
  </si>
  <si>
    <t>https://drive.google.com/drive/folders/1xlb4T0nX7ZRNkHERC-SvjvuoQgDDalW5</t>
  </si>
  <si>
    <t>jaredwray/cacheable</t>
  </si>
  <si>
    <t>jaredwray__cacheable</t>
  </si>
  <si>
    <t>jlowin__fastmcp-449</t>
  </si>
  <si>
    <t>https://github.com/jlowin/fastmcp/issues/449</t>
  </si>
  <si>
    <t>https://drive.google.com/drive/folders/1jqeNnFGHP9Rm-DloRW2Ay3tcb_-I-Vm5</t>
  </si>
  <si>
    <t>https://drive.google.com/drive/folders/1KxejYn9H0Wcj257HV2Z9cc9tvZC5IlhL</t>
  </si>
  <si>
    <t>kolide__launcher-2063</t>
  </si>
  <si>
    <t>https://github.com/kolide/launcher/issues/2063</t>
  </si>
  <si>
    <t>gs://swe-bench-plus/evaluations/019b6aa7-0380-771f-9e02-24cda0fe6639-kolide__launcher-2063-swe-agent-claude-sonnet-4.5</t>
  </si>
  <si>
    <t>https://drive.google.com/drive/folders/1DCjfXgv66N6RDFXVpNsQXD3M78nUQ2mW</t>
  </si>
  <si>
    <t>kubernetes__kubernetes-130281</t>
  </si>
  <si>
    <t>https://github.com/kubernetes/kubernetes/issues/130281</t>
  </si>
  <si>
    <t>https://drive.google.com/drive/folders/1Nw86j1PsBvn0UuzTeFiD0aL4caMdPxi8</t>
  </si>
  <si>
    <t>https://drive.google.com/drive/folders/1vgxte8SQUgW4QY0tL-7lsBkmaCcZITDu</t>
  </si>
  <si>
    <t>kubernetes__release-3971</t>
  </si>
  <si>
    <t>https://github.com/kubernetes/release/issues/3971</t>
  </si>
  <si>
    <t>gs://swe-bench-plus/evaluations/019b6aa7-0380-771f-9e02-24cda0fe6639-kubernetes__release-3971-swe-agent-claude-sonnet-4.5</t>
  </si>
  <si>
    <t>https://drive.google.com/drive/folders/1t1kJZFrkrxmOK-4Ll1g0m_9VwWgTHmkN</t>
  </si>
  <si>
    <t>kubernetes/release</t>
  </si>
  <si>
    <t>kubernetes__release</t>
  </si>
  <si>
    <t>libp2p__go-libp2p-3137</t>
  </si>
  <si>
    <t>https://github.com/libp2p/go-libp2p/issues/3137</t>
  </si>
  <si>
    <t>gs://swe-bench-plus/evaluations/019a9e4b-9519-731b-a75d-8cd6bc13b0c0-libp2p__go-libp2p-3137-swe-agent-claude-sonnet-4-20250514</t>
  </si>
  <si>
    <t>https://drive.google.com/drive/folders/15X3eCFwti6G1B-sd2fnK0FPMRth3FRog</t>
  </si>
  <si>
    <t>libp2p/go-libp2p</t>
  </si>
  <si>
    <t>libp2p__go-libp2p</t>
  </si>
  <si>
    <t>Lightning-AI__litData-438</t>
  </si>
  <si>
    <t>https://github.com/Lightning-AI/litData/issues/438</t>
  </si>
  <si>
    <t>https://drive.google.com/drive/folders/1wxEt9XnOztOUivJKwE2FH2D2fhMLlzvY</t>
  </si>
  <si>
    <t>https://drive.google.com/drive/folders/1LsrP8RwRsbBLO8DMdY69M9AU5Is96WLX</t>
  </si>
  <si>
    <t>microsoft__azure-devops-mcp-442</t>
  </si>
  <si>
    <t>https://github.com/microsoft/azure-devops-mcp/issues/442</t>
  </si>
  <si>
    <t>gs://swe-bench-plus/evaluations/019b6aaf-1788-707e-b6dd-d4dc12d72279-microsoft__azure-devops-mcp-442-swe-agent-claude-sonnet-4.5</t>
  </si>
  <si>
    <t>https://drive.google.com/drive/folders/1dYfg3VMXZlofb8_flrDzAlKy8Qu77LJr</t>
  </si>
  <si>
    <t>microsoft__azure-devops-mcp-410</t>
  </si>
  <si>
    <t>https://github.com/microsoft/azure-devops-mcp/issues/410</t>
  </si>
  <si>
    <t>gs://swe-bench-plus/evaluations/019b6aaf-1788-707e-b6dd-d4dc12d72279-microsoft__azure-devops-mcp-410-swe-agent-claude-sonnet-4.5</t>
  </si>
  <si>
    <t>https://drive.google.com/drive/folders/1LZsJ5iIDTtXXTdtHRBymiM6NK0JxhI9l</t>
  </si>
  <si>
    <t>microsoft__proxy-85</t>
  </si>
  <si>
    <t>https://github.com/microsoft/proxy/issues/85</t>
  </si>
  <si>
    <t>gs://swe-bench-plus/evaluations/019b6aa7-0380-771f-9e02-24cda0fe6639-microsoft__proxy-85-swe-agent-claude-sonnet-4.5</t>
  </si>
  <si>
    <t>https://drive.google.com/drive/folders/1Tjn_XY9gpoWmGUn6oKpqCiVcbpSQ_sCd</t>
  </si>
  <si>
    <t>microsoft/proxy</t>
  </si>
  <si>
    <t>microsoft__proxy</t>
  </si>
  <si>
    <t>Mintplex-Labs__anything-llm-4359</t>
  </si>
  <si>
    <t>https://github.com/Mintplex-Labs/anything-llm/issues/4359</t>
  </si>
  <si>
    <t>https://drive.google.com/drive/folders/1L7NT7Ja_IEy4M_gz8Rcf6ZanaFOGeEvx</t>
  </si>
  <si>
    <t>https://drive.google.com/drive/folders/1WGfdwhjNNU0B8PGugzR4RhiKDdvKMnqG</t>
  </si>
  <si>
    <t>Mintplex-Labs/anything-llm</t>
  </si>
  <si>
    <t>Mintplex-Labs__anything-llm</t>
  </si>
  <si>
    <t>mpmath__mpmath-925</t>
  </si>
  <si>
    <t>https://github.com/mpmath/mpmath/issues/925</t>
  </si>
  <si>
    <t>gs://swe-bench-plus/evaluations/019a8f6e-6e49-72e1-8adc-7d67083c10ad-mpmath__mpmath-925-open-hands-claude-sonnet-4-20250514</t>
  </si>
  <si>
    <t>https://drive.google.com/drive/folders/1q2TO-5VnexewbJIoYjNVNqjpxlpluvCT</t>
  </si>
  <si>
    <t>mpmath/mpmath</t>
  </si>
  <si>
    <t>mpmath__mpmath</t>
  </si>
  <si>
    <t>mvz__gir_ffi-382</t>
  </si>
  <si>
    <t>https://github.com/mvz/gir_ffi/issues/382</t>
  </si>
  <si>
    <t>https://drive.google.com/drive/folders/1XdCC3AeNWwgao1IpGgrF9iCPqnNuPvpp</t>
  </si>
  <si>
    <t>https://drive.google.com/drive/folders/1ZGnP-xZFBN6j2IXcFTXhwK5TO1Bshjwc</t>
  </si>
  <si>
    <t>mvz/gir_ffi</t>
  </si>
  <si>
    <t>mvz__gir_ffi</t>
  </si>
  <si>
    <t>narwhals-dev__narwhals-2608</t>
  </si>
  <si>
    <t>https://github.com/narwhals-dev/narwhals/issues/2608</t>
  </si>
  <si>
    <t>gs://swe-bench-plus/evaluations/019a8f6e-6e49-72e1-8adc-7d67083c10ad-narwhals-dev__narwhals-2608-open-hands-claude-sonnet-4-20250514</t>
  </si>
  <si>
    <t>https://drive.google.com/drive/folders/1mXezwEBG9AWNVogAa0urvzviX4xES7u8</t>
  </si>
  <si>
    <t>narwhals-dev__narwhals-3157</t>
  </si>
  <si>
    <t>https://github.com/narwhals-dev/narwhals/issues/3157</t>
  </si>
  <si>
    <t>gs://swe-bench-plus/evaluations/019a8f6e-6e49-72e1-8adc-7d67083c10ad-narwhals-dev__narwhals-3157-open-hands-claude-sonnet-4-20250514</t>
  </si>
  <si>
    <t>https://drive.google.com/drive/folders/1SpvFDl1LMSknscGQWDGF2i5xTe4n__GX</t>
  </si>
  <si>
    <t>NeuralEnsemble__python-neo-1719</t>
  </si>
  <si>
    <t>https://github.com/NeuralEnsemble/python-neo/issues/1719</t>
  </si>
  <si>
    <t>https://drive.google.com/drive/folders/1-MHLiUmDmRJ8HvBHDICEos_w-V1iCNiv</t>
  </si>
  <si>
    <t>NeuralEnsemble/python-neo</t>
  </si>
  <si>
    <t>NeuralEnsemble__python-neo</t>
  </si>
  <si>
    <t>nginx__nginx-gateway-fabric-3754</t>
  </si>
  <si>
    <t>https://github.com/nginx/nginx-gateway-fabric/issues/3754</t>
  </si>
  <si>
    <t>https://drive.google.com/drive/folders/1gFiPTRHuarjNTycV3t32K6NzjFBCQVcH</t>
  </si>
  <si>
    <t>https://drive.google.com/drive/folders/1DYXedK-2-oQRql1KSH5vn6P6Tf1-X_N1</t>
  </si>
  <si>
    <t>onflow__flow-cli-2054</t>
  </si>
  <si>
    <t>https://github.com/onflow/flow-cli/issues/2054</t>
  </si>
  <si>
    <t>gs://swe-bench-plus/evaluations/019b6ab1-4e74-7019-9e81-9c96e98a145d-onflow__flow-cli-2054-swe-agent-claude-sonnet-4.5</t>
  </si>
  <si>
    <t>https://drive.google.com/drive/folders/1aN6Y8KZ636MsgoEhOtqguU6O-EEel9HD</t>
  </si>
  <si>
    <t>palantir__javapoet-196</t>
  </si>
  <si>
    <t>https://github.com/palantir/javapoet/issues/196</t>
  </si>
  <si>
    <t>gs://swe-bench-plus/evaluations/019b6aaf-1788-707e-b6dd-d4dc12d72279-palantir__javapoet-196-swe-agent-claude-sonnet-4.5</t>
  </si>
  <si>
    <t>https://drive.google.com/drive/folders/11wdPTjsWvO85Cs298ho2m6ANaojqoIcr</t>
  </si>
  <si>
    <t>palantir/javapoet</t>
  </si>
  <si>
    <t>palantir__javapoet</t>
  </si>
  <si>
    <t>pastas__pastas-825</t>
  </si>
  <si>
    <t>https://github.com/pastas/pastas/issues/825</t>
  </si>
  <si>
    <t>https://drive.google.com/drive/folders/1suLDppq-0F3AFvkzrylSt65zT3-TPItr</t>
  </si>
  <si>
    <t>https://drive.google.com/drive/folders/158Rkgf6nICbk5RO0o8fIAwIRYeCtrpPj</t>
  </si>
  <si>
    <t>pulse2percept__pulse2percept-652</t>
  </si>
  <si>
    <t>https://github.com/pulse2percept/pulse2percept/issues/652</t>
  </si>
  <si>
    <t>https://drive.google.com/drive/folders/1fqczRhHkhh-1WYRWtcM_8Tll0Y5FRkcc</t>
  </si>
  <si>
    <t>pulse2percept/pulse2percept</t>
  </si>
  <si>
    <t>pulse2percept__pulse2percept</t>
  </si>
  <si>
    <t>pymc-labs__pymc-marketing-1881</t>
  </si>
  <si>
    <t>https://github.com/pymc-labs/pymc-marketing/issues/1881</t>
  </si>
  <si>
    <t>gs://swe-bench-plus/evaluations/019a6f31-ddce-766c-944f-e4445d37996d-pymc-labs__pymc-marketing-1881-swe-agent-claude-sonnet-4.5</t>
  </si>
  <si>
    <t>python-discord__bot-3297</t>
  </si>
  <si>
    <t>https://github.com/python-discord/bot/issues/3297</t>
  </si>
  <si>
    <t>gs://swe-bench-plus/evaluations/019a6f31-ddce-766c-944f-e4445d37996d-python-discord__bot-3297-swe-agent-claude-sonnet-4.5</t>
  </si>
  <si>
    <t>https://drive.google.com/drive/folders/1kV-qNpMmivez0WDVG9RFVZCUVRZ9tIQD</t>
  </si>
  <si>
    <t>python-discord/bot</t>
  </si>
  <si>
    <t>python-discord__bot</t>
  </si>
  <si>
    <t>python__release-tools-226</t>
  </si>
  <si>
    <t>https://github.com/python/release-tools/issues/226</t>
  </si>
  <si>
    <t>https://drive.google.com/drive/folders/1INXq_sw9V1Fdl2Ror2CDqCoS6CGwpbiw</t>
  </si>
  <si>
    <t>https://drive.google.com/drive/folders/1c7VEUexNI8fh3QPJM4yiobkEKVW-OS5k</t>
  </si>
  <si>
    <t>python/release-tools</t>
  </si>
  <si>
    <t>python__release-tools</t>
  </si>
  <si>
    <t>q9f__eth.rb-361</t>
  </si>
  <si>
    <t>https://github.com/q9f/eth.rb/issues/361</t>
  </si>
  <si>
    <t>gs://swe-bench-plus/evaluations/019b6aaf-1788-707e-b6dd-d4dc12d72279-q9f__eth.rb-361-swe-agent-claude-sonnet-4.5</t>
  </si>
  <si>
    <t>https://drive.google.com/drive/folders/1pvCYDbTG_UeTZbE_u9K6OmNbAdm10zOJ</t>
  </si>
  <si>
    <t>Rails-Designer__rails_icons-19</t>
  </si>
  <si>
    <t>https://github.com/Rails-Designer/rails_icons/issues/19</t>
  </si>
  <si>
    <t>https://drive.google.com/drive/folders/1Ol7dF78QoVq1V0z6w_GFsiDr0ExQ0Vkd</t>
  </si>
  <si>
    <t>https://drive.google.com/drive/folders/1_J5DIu-ajs1FIj3sLMCe0DKXCv8wG5RZ</t>
  </si>
  <si>
    <t>RipMeApp__ripme-744</t>
  </si>
  <si>
    <t>https://github.com/RipMeApp/ripme/issues/744</t>
  </si>
  <si>
    <t>https://drive.google.com/drive/folders/1__--694GZ-Mk_nFEkXdz6yk5xKyHDpWn</t>
  </si>
  <si>
    <t>https://drive.google.com/drive/folders/1yH5J4ASJZVTETGLtJQi2T2eVW_FanppB</t>
  </si>
  <si>
    <t>RipMeApp/ripme</t>
  </si>
  <si>
    <t>RipMeApp__ripme</t>
  </si>
  <si>
    <t>robotology__idyntree-1275</t>
  </si>
  <si>
    <t>https://github.com/robotology/idyntree/issues/1275</t>
  </si>
  <si>
    <t>gs://swe-bench-plus/evaluations/019b323d-4976-7257-b241-47c1f6e33582-robotology__idyntree-1275-swe-agent-claude-sonnet-4.5</t>
  </si>
  <si>
    <t>https://drive.google.com/drive/folders/1LrYBcKEniUmXr32jWOP6k6WRWMgM3aC8</t>
  </si>
  <si>
    <t>robotology/idyntree</t>
  </si>
  <si>
    <t>robotology__idyntree</t>
  </si>
  <si>
    <t>roc-streaming__roc-toolkit-690</t>
  </si>
  <si>
    <t>https://github.com/roc-streaming/roc-toolkit/issues/690</t>
  </si>
  <si>
    <t>gs://swe-bench-plus/evaluations/019b6aa7-0380-771f-9e02-24cda0fe6639-roc-streaming__roc-toolkit-690-swe-agent-claude-sonnet-4.5</t>
  </si>
  <si>
    <t>https://drive.google.com/drive/folders/1T7kM-KA4eU4H-IGIqWYSVBkIytJfTZrA</t>
  </si>
  <si>
    <t>screwdriver-cd__screwdriver-3365</t>
  </si>
  <si>
    <t>https://github.com/screwdriver-cd/screwdriver/issues/3365</t>
  </si>
  <si>
    <t>https://drive.google.com/drive/folders/1bZnvpZl936y2ZBcf2THSiVR0u3GW4eGz</t>
  </si>
  <si>
    <t>https://drive.google.com/drive/folders/1WVHIak8LBC1a5A-aUnzfBzTqC_Nbu51p</t>
  </si>
  <si>
    <t>spring-projects__spring-security-16381</t>
  </si>
  <si>
    <t>https://github.com/spring-projects/spring-security/issues/16381</t>
  </si>
  <si>
    <t>gs://swe-bench-plus/evaluations/019c2527-069d-76b8-a805-96d478bdb559-spring-projects__spring-security-16381-swe-agent-claude-sonnet-4-20250514</t>
  </si>
  <si>
    <t>https://drive.google.com/drive/folders/1BTzk4dGf1jjMwPhtGQcR9WeQNhVltOXV</t>
  </si>
  <si>
    <t>springwolf__springwolf-core-1516</t>
  </si>
  <si>
    <t>https://github.com/springwolf/springwolf-core/issues/1516</t>
  </si>
  <si>
    <t>gs://swe-bench-plus/evaluations/019b6ab1-4e74-7019-9e81-9c96e98a145d-springwolf__springwolf-core-1516-swe-agent-claude-sonnet-4.5</t>
  </si>
  <si>
    <t>https://drive.google.com/drive/folders/1SLXpA2_9dSXaBa6lXEevEylHAN8evQdg</t>
  </si>
  <si>
    <t>springwolf/springwolf-core</t>
  </si>
  <si>
    <t>springwolf__springwolf-core</t>
  </si>
  <si>
    <t>stleary__JSON-java-983</t>
  </si>
  <si>
    <t>https://github.com/stleary/JSON-java/issues/983</t>
  </si>
  <si>
    <t>https://drive.google.com/drive/folders/1iH1RXr1rSb_AfQCHVHOR6OUW9vIt4aiB</t>
  </si>
  <si>
    <t>stratum-mining__stratum-1339</t>
  </si>
  <si>
    <t>https://github.com/stratum-mining/stratum/issues/1339</t>
  </si>
  <si>
    <t>https://drive.google.com/drive/folders/1Do2XlgoFc7pOJFZMSwOnBiTPP8CSNXUj</t>
  </si>
  <si>
    <t>https://drive.google.com/drive/folders/1BEo3rfkvceeqpVl0HumhnnNALC3xuQnj</t>
  </si>
  <si>
    <t>tailscale__tailscale-16881</t>
  </si>
  <si>
    <t>https://github.com/tailscale/tailscale/issues/16881</t>
  </si>
  <si>
    <t>https://drive.google.com/drive/folders/1GxtMI_R3v-3QaD_KuMLsUhxfkKXLcAL2</t>
  </si>
  <si>
    <t>https://drive.google.com/drive/folders/1PH-vF0aOFtpgKIw44nx7Swu9WUXiwVhR</t>
  </si>
  <si>
    <t>vaadin__flow-22796</t>
  </si>
  <si>
    <t>https://github.com/vaadin/flow/issues/22796</t>
  </si>
  <si>
    <t>gs://swe-bench-plus/evaluations/019b6ab1-4e74-7019-9e81-9c96e98a145d-vaadin__flow-22796-swe-agent-claude-sonnet-4.5</t>
  </si>
  <si>
    <t>https://drive.google.com/drive/folders/1oyNs0yldgRn_YciguK3sl0Zfd0a_s3-j</t>
  </si>
  <si>
    <t>vaadin__flow-components-7120</t>
  </si>
  <si>
    <t>https://github.com/vaadin/flow-components/issues/7120</t>
  </si>
  <si>
    <t>gs://swe-bench-plus/evaluations/019b6aaf-1788-707e-b6dd-d4dc12d72279-vaadin__flow-components-7120-swe-agent-claude-sonnet-4.5</t>
  </si>
  <si>
    <t>https://drive.google.com/drive/folders/1PZO_Q8bueugmd0OFQGTrsPS_MihTWdJc</t>
  </si>
  <si>
    <t>vaadin/flow-components</t>
  </si>
  <si>
    <t>vaadin__flow-components</t>
  </si>
  <si>
    <t>valyala__fasthttp-2072</t>
  </si>
  <si>
    <t>https://github.com/valyala/fasthttp/issues/2072</t>
  </si>
  <si>
    <t>gs://swe-bench-plus/evaluations/019a9e4c-57cf-7264-8894-a01af778362d-valyala__fasthttp-2072-swe-agent-claude-sonnet-4-20250514</t>
  </si>
  <si>
    <t>https://drive.google.com/drive/folders/1z5tuVhTYaq4jXLrWL6Dk2aEv09mz8OkA</t>
  </si>
  <si>
    <t>valyala/fasthttp</t>
  </si>
  <si>
    <t>valyala__fasthttp</t>
  </si>
  <si>
    <t>vitejs__vite-20519</t>
  </si>
  <si>
    <t>https://github.com/vitejs/vite/issues/20519</t>
  </si>
  <si>
    <t>https://drive.google.com/drive/folders/1y-dkk6xBFiyGFPxvw7lUlOG60vDk95Pr</t>
  </si>
  <si>
    <t>https://drive.google.com/drive/folders/1rwV7N0gE1SakX8IikvVLJO1mRLvTlW-H</t>
  </si>
  <si>
    <t>wagtail__wagtail-13051</t>
  </si>
  <si>
    <t>https://github.com/wagtail/wagtail/issues/13051</t>
  </si>
  <si>
    <t>https://drive.google.com/drive/folders/1D0GpE9qpaOYWMD9ijJ6nCypnkYOiP64H</t>
  </si>
  <si>
    <t>https://drive.google.com/drive/folders/1Nfgcvfjqt8Zl-u4Aml1_xcQu8-NbmnOw</t>
  </si>
  <si>
    <t>wagtail/wagtail</t>
  </si>
  <si>
    <t>wagtail__wagtail</t>
  </si>
  <si>
    <t>apache__echarts-1e3f1addbe0aa5994b4e805d9ecab1c50e8e150a_ea7b2ecf1d8f2f28b7fa19a2955d31e9b2494215</t>
  </si>
  <si>
    <t>https://github.com/apache/echarts/issues/1e3f1addbe0aa5994b4e805d9ecab1c50e8e150a_ea7b2ecf1d8f2f28b7fa19a2955d31e9b2494215</t>
  </si>
  <si>
    <t>refactor;maintenance;test</t>
  </si>
  <si>
    <t>gs://swe-bench-plus/evaluations/019c24fb-34c4-7186-802f-7682e59dcf7d-apache__echarts-1e3f1addbe0aa5994b4e805d9ecab1c50e8e150a_ea7b2ecf1d8f2f28b7fa19a2955d31e9b2494215-swe-agent-claude-sonnet-4-20250514</t>
  </si>
  <si>
    <t>https://drive.google.com/drive/folders/1hSb6zF-bI1QDG9Na51UhP4kTO8Ju57sT</t>
  </si>
  <si>
    <t>apache/echarts</t>
  </si>
  <si>
    <t>apache__echarts</t>
  </si>
  <si>
    <t>CherryHQ__cherry-studio-aaa0eb7140358241c38feda4017f9eae21cb75fd_649a2a645cdd610d3060e233134b9e180f871c57</t>
  </si>
  <si>
    <t>https://github.com/CherryHQ/cherry-studio/issues/aaa0eb7140358241c38feda4017f9eae21cb75fd_649a2a645cdd610d3060e233134b9e180f871c57</t>
  </si>
  <si>
    <t>gs://swe-bench-plus/evaluations/019c24fb-d194-742b-8c8a-9ac971d97700-CherryHQ__cherry-studio-aaa0eb7140358241c38feda4017f9eae21cb75fd_649a2a645cdd610d3060e233134b9e180f871c57-swe-agent-claude-sonnet-4-20250514</t>
  </si>
  <si>
    <t>CherryHQ/cherry-studio</t>
  </si>
  <si>
    <t>CherryHQ__cherry-studio</t>
  </si>
  <si>
    <t>facebook__docusaurus-0c92f5aacd7bb3a4f8ac97c7a566025a724eb73a_f6b1c85b01697b955b710bee5dd369d81fc7bcfa</t>
  </si>
  <si>
    <t>https://github.com/facebook/docusaurus/issues/0c92f5aacd7bb3a4f8ac97c7a566025a724eb73a_f6b1c85b01697b955b710bee5dd369d81fc7bcfa</t>
  </si>
  <si>
    <t>gs://swe-bench-plus/evaluations/019c66b2-2d90-7260-9966-4e0d0d7a99cf-facebook__docusaurus-0c92f5aacd7bb3a4f8ac97c7a566025a724eb73a_f6b1c85b01697b955b710bee5dd369d81fc7bcfa-swe-agent-claude-sonnet-4.5</t>
  </si>
  <si>
    <t>facebookarchive__prepack-725</t>
  </si>
  <si>
    <t>https://github.com/facebookarchive/prepack/issues/725</t>
  </si>
  <si>
    <t>gs://swe-bench-plus/evaluations/019c24fb-7d42-726e-8cfa-d0e7019cdc99-facebookarchive__prepack-725-swe-agent-claude-sonnet-4.5</t>
  </si>
  <si>
    <t>facebookarchive/prepack</t>
  </si>
  <si>
    <t>facebookarchive__prepack</t>
  </si>
  <si>
    <t>FlowiseAI__Flowise-b0266718873cfa1cd2cdcf40aeccb68546b4e273_736c2b11a1ea3bef22065cc6bc86d8ce022ce74b</t>
  </si>
  <si>
    <t>https://github.com/FlowiseAI/Flowise/issues/b0266718873cfa1cd2cdcf40aeccb68546b4e273_736c2b11a1ea3bef22065cc6bc86d8ce022ce74b</t>
  </si>
  <si>
    <t>gs://swe-bench-plus/evaluations/019c24fb-34c4-7186-802f-7682e59dcf7d-FlowiseAI__Flowise-b0266718873cfa1cd2cdcf40aeccb68546b4e273_736c2b11a1ea3bef22065cc6bc86d8ce022ce74b-swe-agent-claude-sonnet-4-20250514</t>
  </si>
  <si>
    <t>https://drive.google.com/drive/folders/1qFBSg0FRkDaFA5CXmaVENQODIKM7LuV1</t>
  </si>
  <si>
    <t>FlowiseAI/Flowise</t>
  </si>
  <si>
    <t>FlowiseAI__Flowise</t>
  </si>
  <si>
    <t>heyverse__hey-7899b3bd865da696256b229511573aed1bf72685_c50a4f4f5640fcd3f885bba8bebe788383907225</t>
  </si>
  <si>
    <t>https://github.com/heyverse/hey/issues/7899b3bd865da696256b229511573aed1bf72685_c50a4f4f5640fcd3f885bba8bebe788383907225</t>
  </si>
  <si>
    <t>https://drive.google.com/drive/folders/1iE3eobaoaGjVSqpJ0yxWOPjmzUsHnXPD</t>
  </si>
  <si>
    <t>https://drive.google.com/drive/folders/1niZC8ZI0vq3B0omLYyu3RJ5OiIQnL4d-</t>
  </si>
  <si>
    <t>heyverse/hey</t>
  </si>
  <si>
    <t>heyverse__hey</t>
  </si>
  <si>
    <t>Koenkk__zigbee2mqtt-0e66b29983ae691a2dab44f6649e20a9e00a43cd_cd9b752ede91db1d02c567dded92c4e52c05b88d</t>
  </si>
  <si>
    <t>https://github.com/Koenkk/zigbee2mqtt/issues/0e66b29983ae691a2dab44f6649e20a9e00a43cd_cd9b752ede91db1d02c567dded92c4e52c05b88d</t>
  </si>
  <si>
    <t>gs://swe-bench-plus/evaluations/019c24fb-d194-742b-8c8a-9ac971d97700-Koenkk__zigbee2mqtt-0e66b29983ae691a2dab44f6649e20a9e00a43cd_cd9b752ede91db1d02c567dded92c4e52c05b88d-swe-agent-claude-sonnet-4-20250514</t>
  </si>
  <si>
    <t>Koenkk/zigbee2mqtt</t>
  </si>
  <si>
    <t>Koenkk__zigbee2mqtt</t>
  </si>
  <si>
    <t>mapbox__mapbox-gl-js-a8226c66a3b6efa0d7f6f599e769d144d628083e_5191752ce2303198a4bc2a69e43bf77044444bb3</t>
  </si>
  <si>
    <t>https://github.com/mapbox/mapbox-gl-js/issues/a8226c66a3b6efa0d7f6f599e769d144d628083e_5191752ce2303198a4bc2a69e43bf77044444bb3</t>
  </si>
  <si>
    <t>feature;refactor;test;performance</t>
  </si>
  <si>
    <t>gs://swe-bench-plus/evaluations/019c24fb-d194-742b-8c8a-9ac971d97700-mapbox__mapbox-gl-js-a8226c66a3b6efa0d7f6f599e769d144d628083e_5191752ce2303198a4bc2a69e43bf77044444bb3-swe-agent-claude-sonnet-4-20250514</t>
  </si>
  <si>
    <t>https://drive.google.com/drive/folders/1FW4ygQJN3oROCP3iD0ZK71TtXdfmBUTJ</t>
  </si>
  <si>
    <t>mapbox/mapbox-gl-js</t>
  </si>
  <si>
    <t>mapbox__mapbox-gl-js</t>
  </si>
  <si>
    <t>maxwellito__vivus-c608973a8b576579bcb432558b531998f319592b_e7c719157ad1de3e71f7ebf615ae6060b966aa3b</t>
  </si>
  <si>
    <t>https://github.com/maxwellito/vivus/issues/c608973a8b576579bcb432558b531998f319592b_e7c719157ad1de3e71f7ebf615ae6060b966aa3b</t>
  </si>
  <si>
    <t>bug-report;feature-request;documentation;chore</t>
  </si>
  <si>
    <t>bug-fix;feature;refactor;test;documentation;maintenance</t>
  </si>
  <si>
    <t>gs://swe-bench-plus/evaluations/019c24fb-7d42-726e-8cfa-d0e7019cdc99-maxwellito__vivus-c608973a8b576579bcb432558b531998f319592b_e7c719157ad1de3e71f7ebf615ae6060b966aa3b-swe-agent-claude-sonnet-4-20250514</t>
  </si>
  <si>
    <t>https://drive.google.com/drive/folders/1JtTfLlXDQZRxl9WH0hMFL4UI2EtNMgD3</t>
  </si>
  <si>
    <t>maxwellito/vivus</t>
  </si>
  <si>
    <t>maxwellito__vivus</t>
  </si>
  <si>
    <t>open-policy-agent__opa-75c41b702afe6b0acecea78ed99371b3378e31a0_878f42b131899ff7c00313059358d8da35fafda8</t>
  </si>
  <si>
    <t>https://github.com/open-policy-agent/opa/issues/75c41b702afe6b0acecea78ed99371b3378e31a0_878f42b131899ff7c00313059358d8da35fafda8</t>
  </si>
  <si>
    <t>https://drive.google.com/drive/folders/1N23vBsmbfz1vxo9WU-szsRHNH6CjlvZ7</t>
  </si>
  <si>
    <t>https://drive.google.com/drive/folders/1yYmfmnv9BPHsuIL_28OuEhcdDmtIDFSt</t>
  </si>
  <si>
    <t>pmndrs__jotai-3137</t>
  </si>
  <si>
    <t>https://github.com/pmndrs/jotai/issues/3137</t>
  </si>
  <si>
    <t>gs://swe-bench-plus/evaluations/019c24fb-d194-742b-8c8a-9ac971d97700-pmndrs__jotai-3137-swe-agent-claude-sonnet-4-20250514</t>
  </si>
  <si>
    <t>pmndrs/jotai</t>
  </si>
  <si>
    <t>pmndrs__jotai</t>
  </si>
  <si>
    <t>shardeum__shardeum-08663ee430d6a536f6c9a2bd0a00c1db7048fea0_53006701a64ae353a805056217b518eb8d54b2ac</t>
  </si>
  <si>
    <t>https://github.com/shardeum/shardeum/issues/08663ee430d6a536f6c9a2bd0a00c1db7048fea0_53006701a64ae353a805056217b518eb8d54b2ac</t>
  </si>
  <si>
    <t>chore;bug-report;feature-request;performance-issue</t>
  </si>
  <si>
    <t>bug-fix;dependency-update;build-ci;documentation;test</t>
  </si>
  <si>
    <t>gs://swe-bench-plus/evaluations/019c66b2-8d12-718e-a308-6ab44b696b4d-shardeum__shardeum-08663ee430d6a536f6c9a2bd0a00c1db7048fea0_53006701a64ae353a805056217b518eb8d54b2ac-swe-agent-claude-sonnet-4-20250514</t>
  </si>
  <si>
    <t>https://drive.google.com/drive/folders/1atle3ENP0sZSmvOcV0EuyjG_qTxC6_k5</t>
  </si>
  <si>
    <t>shardeum/shardeum</t>
  </si>
  <si>
    <t>shardeum__shardeum</t>
  </si>
  <si>
    <t>stakater__Reloader-59ebab3b68b5185d8eb783082c6d990564020cc0_bccefb162481b8ac92c36c75ff1bb1c6a9148fd4</t>
  </si>
  <si>
    <t>https://github.com/stakater/Reloader/issues/59ebab3b68b5185d8eb783082c6d990564020cc0_bccefb162481b8ac92c36c75ff1bb1c6a9148fd4</t>
  </si>
  <si>
    <t>https://drive.google.com/drive/folders/1vsH9Y5bT-bya2k0THucEncDg62t-JPiB</t>
  </si>
  <si>
    <t>https://drive.google.com/drive/folders/1dr9zsfxnx6hkumcOJeroVDdz4l_javtx</t>
  </si>
  <si>
    <t>stakater/Reloader</t>
  </si>
  <si>
    <t>stakater__Reloader</t>
  </si>
  <si>
    <t>tensorflow__tfjs-models-8faa92d8933d8036deae63b034db399c09173a2e_9d94916e5862df37c5eac4ed614abcebe2ca6a60</t>
  </si>
  <si>
    <t>https://github.com/tensorflow/tfjs-models/issues/8faa92d8933d8036deae63b034db399c09173a2e_9d94916e5862df37c5eac4ed614abcebe2ca6a60</t>
  </si>
  <si>
    <t>https://drive.google.com/drive/folders/195hL1KfAYPDnzswnIQqVlah3fmtrhNaT</t>
  </si>
  <si>
    <t>https://drive.google.com/drive/folders/1SagLyGAp7swC7OoyIqzRjxu_LrpGJyrL</t>
  </si>
  <si>
    <t>tensorflow/tfjs-models</t>
  </si>
  <si>
    <t>tensorflow__tfjs-models</t>
  </si>
  <si>
    <t>tinylog-org__tinylog-3c2d6f6d815d9c65ecc53388f81aea400dd665d9_3207a90dcd182f69495688259e0f626b248c669a</t>
  </si>
  <si>
    <t>https://github.com/tinylog-org/tinylog/issues/3c2d6f6d815d9c65ecc53388f81aea400dd665d9_3207a90dcd182f69495688259e0f626b248c669a</t>
  </si>
  <si>
    <t>feature;test;dependency-update</t>
  </si>
  <si>
    <t>gs://swe-bench-plus/evaluations/019b3c26-9a63-75eb-a194-e371637f1d92-tinylog-org__tinylog-3c2d6f6d815d9c65ecc53388f81aea400dd665d9_3207a90dcd182f69495688259e0f626b248c669a-swe-agent-claude-sonnet-4-20250514</t>
  </si>
  <si>
    <t>https://drive.google.com/drive/folders/1nNOASlQmDHOzPMD3DvACQqHwiUv334hp</t>
  </si>
  <si>
    <t>tinylog-org/tinylog</t>
  </si>
  <si>
    <t>tinylog-org__tinylog</t>
  </si>
  <si>
    <t>vercel__ai-eb150a626443eb80ed2074f8f129801e2b4a8f68_4d683e19f86a98fbdb22d7c4d2968d3697f47448</t>
  </si>
  <si>
    <t>https://github.com/vercel/ai/issues/eb150a626443eb80ed2074f8f129801e2b4a8f68_4d683e19f86a98fbdb22d7c4d2968d3697f47448</t>
  </si>
  <si>
    <t>gs://swe-bench-plus/evaluations/019c24fb-34c4-7186-802f-7682e59dcf7d-vercel__ai-eb150a626443eb80ed2074f8f129801e2b4a8f68_4d683e19f86a98fbdb22d7c4d2968d3697f47448-swe-agent-claude-sonnet-4-20250514</t>
  </si>
  <si>
    <t>https://drive.google.com/drive/folders/1tK0e6Nxc3rRmKPEqFJAnt9ILEKYK796D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</si>
</sst>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yyyy-mm-dd"/>
    <numFmt numFmtId="167" formatCode="0.0"/>
  </numFmts>
  <fonts count="20">
    <font>
      <sz val="11.0"/>
      <color theme="1"/>
      <name val="Arial"/>
      <scheme val="minor"/>
    </font>
    <font>
      <b/>
      <color rgb="FFFFFFFF"/>
      <name val="Arial"/>
      <scheme val="minor"/>
    </font>
    <font>
      <b/>
      <sz val="14.0"/>
      <color rgb="FFFFFFFF"/>
      <name val="Arial"/>
      <scheme val="minor"/>
    </font>
    <font/>
    <font>
      <color theme="1"/>
      <name val="Arial"/>
      <scheme val="minor"/>
    </font>
    <font>
      <sz val="11.0"/>
      <color theme="1"/>
      <name val="Calibri"/>
    </font>
    <font>
      <u/>
      <sz val="12.0"/>
      <color theme="10"/>
      <name val="Calibri"/>
    </font>
    <font>
      <sz val="12.0"/>
      <color theme="10"/>
      <name val="Calibri"/>
    </font>
    <font>
      <b/>
      <color theme="1"/>
      <name val="Arial"/>
      <scheme val="minor"/>
    </font>
    <font>
      <i/>
      <sz val="10.0"/>
      <color rgb="FF666666"/>
      <name val="Arial"/>
      <scheme val="minor"/>
    </font>
    <font>
      <b/>
      <sz val="11.0"/>
      <color rgb="FFFFFFFF"/>
      <name val="Calibri"/>
    </font>
    <font>
      <b/>
      <sz val="5.0"/>
      <color rgb="FFFFFFFF"/>
      <name val="Arial"/>
    </font>
    <font>
      <sz val="11.0"/>
      <color theme="1"/>
      <name val="Arial"/>
    </font>
    <font>
      <b/>
      <sz val="18.0"/>
      <color rgb="FFFFFFFF"/>
      <name val="Calibri"/>
    </font>
    <font>
      <b/>
      <sz val="18.0"/>
      <color rgb="FF000000"/>
      <name val="Calibri"/>
    </font>
    <font>
      <b/>
      <sz val="11.0"/>
      <color rgb="FF1F4E79"/>
      <name val="Calibri"/>
    </font>
    <font>
      <b/>
      <sz val="15.0"/>
      <color rgb="FF1F4E79"/>
      <name val="Calibri"/>
    </font>
    <font>
      <sz val="11.0"/>
      <color rgb="FF1F2937"/>
      <name val="Calibri"/>
    </font>
    <font>
      <color rgb="FFFFFFFF"/>
      <name val="Arial"/>
      <scheme val="minor"/>
    </font>
    <font>
      <u/>
      <sz val="11.0"/>
      <color theme="1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3F6F9"/>
        <bgColor rgb="FFF3F6F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DEB"/>
        <bgColor rgb="FFD9EDEB"/>
      </patternFill>
    </fill>
    <fill>
      <patternFill patternType="solid">
        <fgColor rgb="FF1F4E79"/>
        <bgColor rgb="FF1F4E79"/>
      </patternFill>
    </fill>
    <fill>
      <patternFill patternType="solid">
        <fgColor rgb="FFC9DAF8"/>
        <bgColor rgb="FFC9DAF8"/>
      </patternFill>
    </fill>
    <fill>
      <patternFill patternType="solid">
        <fgColor rgb="FFEEF4F9"/>
        <bgColor rgb="FFEEF4F9"/>
      </patternFill>
    </fill>
    <fill>
      <patternFill patternType="solid">
        <fgColor rgb="FFFFFFFF"/>
        <bgColor rgb="FFFFFFFF"/>
      </patternFill>
    </fill>
    <fill>
      <patternFill patternType="solid">
        <fgColor rgb="FFE8F2F8"/>
        <bgColor rgb="FFE8F2F8"/>
      </patternFill>
    </fill>
    <fill>
      <patternFill patternType="solid">
        <fgColor rgb="FFF4F7FA"/>
        <bgColor rgb="FFF4F7FA"/>
      </patternFill>
    </fill>
    <fill>
      <patternFill patternType="solid">
        <fgColor rgb="FFDCEAF5"/>
        <bgColor rgb="FFDCEAF5"/>
      </patternFill>
    </fill>
  </fills>
  <borders count="24">
    <border/>
    <border>
      <bottom style="thin">
        <color rgb="FFD0D0D0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/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</border>
    <border>
      <bottom style="thin">
        <color rgb="FFC7D3DD"/>
      </bottom>
    </border>
    <border>
      <left style="thin">
        <color rgb="FFD3DCE6"/>
      </left>
      <top style="thin">
        <color rgb="FFD3DCE6"/>
      </top>
      <bottom style="thin">
        <color rgb="FFD3DCE6"/>
      </bottom>
    </border>
    <border>
      <top style="thin">
        <color rgb="FFD3DCE6"/>
      </top>
      <bottom style="thin">
        <color rgb="FFD3DCE6"/>
      </bottom>
    </border>
    <border>
      <right style="thin">
        <color rgb="FFD3DCE6"/>
      </right>
      <top style="thin">
        <color rgb="FFD3DCE6"/>
      </top>
      <bottom style="thin">
        <color rgb="FFD3DCE6"/>
      </bottom>
    </border>
    <border>
      <left style="thin">
        <color rgb="FFD3DCE6"/>
      </left>
      <top style="thin">
        <color rgb="FFD3DCE6"/>
      </top>
    </border>
    <border>
      <top style="thin">
        <color rgb="FFD3DCE6"/>
      </top>
    </border>
    <border>
      <right style="thin">
        <color rgb="FFD3DCE6"/>
      </right>
      <top style="thin">
        <color rgb="FFD3DCE6"/>
      </top>
    </border>
    <border>
      <left style="thin">
        <color rgb="FFD3DCE6"/>
      </left>
      <bottom style="thin">
        <color rgb="FFD3DCE6"/>
      </bottom>
    </border>
    <border>
      <bottom style="thin">
        <color rgb="FFD3DCE6"/>
      </bottom>
    </border>
    <border>
      <right style="thin">
        <color rgb="FFD3DCE6"/>
      </right>
      <bottom style="thin">
        <color rgb="FFD3DCE6"/>
      </bottom>
    </border>
    <border>
      <left style="thin">
        <color rgb="FFD3DCE6"/>
      </left>
    </border>
    <border>
      <right style="thin">
        <color rgb="FFD3DCE6"/>
      </right>
    </border>
    <border>
      <left style="thin">
        <color rgb="FFD3DCE6"/>
      </left>
      <right style="thin">
        <color rgb="FFD3DCE6"/>
      </right>
      <top style="thin">
        <color rgb="FFD3DCE6"/>
      </top>
      <bottom style="thin">
        <color rgb="FFD3DCE6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164" xfId="0" applyAlignment="1" applyBorder="1" applyFont="1" applyNumberFormat="1">
      <alignment vertical="top"/>
    </xf>
    <xf borderId="1" fillId="2" fontId="1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Alignment="1" applyFont="1">
      <alignment vertical="top"/>
    </xf>
    <xf borderId="5" fillId="3" fontId="5" numFmtId="0" xfId="0" applyAlignment="1" applyBorder="1" applyFill="1" applyFont="1">
      <alignment vertical="top"/>
    </xf>
    <xf borderId="0" fillId="0" fontId="5" numFmtId="164" xfId="0" applyAlignment="1" applyFont="1" applyNumberFormat="1">
      <alignment vertical="top"/>
    </xf>
    <xf borderId="0" fillId="0" fontId="6" numFmtId="0" xfId="0" applyAlignment="1" applyFont="1">
      <alignment shrinkToFit="0" wrapText="1"/>
    </xf>
    <xf borderId="6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7" numFmtId="0" xfId="0" applyAlignment="1" applyFont="1">
      <alignment shrinkToFit="0" wrapText="1"/>
    </xf>
    <xf borderId="6" fillId="4" fontId="8" numFmtId="0" xfId="0" applyAlignment="1" applyBorder="1" applyFill="1" applyFont="1">
      <alignment horizontal="left" vertical="center"/>
    </xf>
    <xf borderId="6" fillId="4" fontId="4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left" vertical="center"/>
    </xf>
    <xf borderId="6" fillId="3" fontId="4" numFmtId="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6" fillId="0" fontId="4" numFmtId="9" xfId="0" applyAlignment="1" applyBorder="1" applyFont="1" applyNumberFormat="1">
      <alignment horizontal="center" vertical="center"/>
    </xf>
    <xf borderId="0" fillId="0" fontId="5" numFmtId="0" xfId="0" applyAlignment="1" applyFont="1">
      <alignment shrinkToFit="0" vertical="top" wrapText="1"/>
    </xf>
    <xf borderId="0" fillId="0" fontId="4" numFmtId="164" xfId="0" applyFont="1" applyNumberFormat="1"/>
    <xf borderId="0" fillId="0" fontId="4" numFmtId="0" xfId="0" applyAlignment="1" applyFont="1">
      <alignment shrinkToFit="0" wrapText="1"/>
    </xf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0" fillId="0" fontId="9" numFmtId="0" xfId="0" applyAlignment="1" applyFont="1">
      <alignment horizontal="left" readingOrder="0" shrinkToFit="0" vertical="top" wrapText="1"/>
    </xf>
    <xf borderId="6" fillId="5" fontId="5" numFmtId="0" xfId="0" applyAlignment="1" applyBorder="1" applyFill="1" applyFont="1">
      <alignment horizontal="center" vertical="center"/>
    </xf>
    <xf borderId="6" fillId="5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6" fillId="6" fontId="5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7" fontId="8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7" fontId="5" numFmtId="0" xfId="0" applyAlignment="1" applyBorder="1" applyFont="1">
      <alignment horizontal="center" vertical="center"/>
    </xf>
    <xf borderId="6" fillId="0" fontId="5" numFmtId="9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9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2" fontId="10" numFmtId="0" xfId="0" applyAlignment="1" applyBorder="1" applyFont="1">
      <alignment horizontal="center"/>
    </xf>
    <xf borderId="0" fillId="0" fontId="8" numFmtId="0" xfId="0" applyFont="1"/>
    <xf borderId="6" fillId="3" fontId="5" numFmtId="0" xfId="0" applyBorder="1" applyFont="1"/>
    <xf borderId="6" fillId="3" fontId="5" numFmtId="0" xfId="0" applyAlignment="1" applyBorder="1" applyFont="1">
      <alignment horizontal="center"/>
    </xf>
    <xf borderId="6" fillId="3" fontId="5" numFmtId="165" xfId="0" applyAlignment="1" applyBorder="1" applyFont="1" applyNumberFormat="1">
      <alignment horizontal="center"/>
    </xf>
    <xf borderId="6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5" numFmtId="165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readingOrder="0" vertical="center"/>
    </xf>
    <xf borderId="10" fillId="2" fontId="11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vertical="bottom"/>
    </xf>
    <xf borderId="11" fillId="3" fontId="5" numFmtId="0" xfId="0" applyAlignment="1" applyBorder="1" applyFont="1">
      <alignment horizontal="center" vertical="bottom"/>
    </xf>
    <xf borderId="11" fillId="8" fontId="5" numFmtId="165" xfId="0" applyAlignment="1" applyBorder="1" applyFill="1" applyFont="1" applyNumberFormat="1">
      <alignment horizontal="center" vertical="bottom"/>
    </xf>
    <xf borderId="11" fillId="0" fontId="5" numFmtId="0" xfId="0" applyAlignment="1" applyBorder="1" applyFont="1">
      <alignment horizontal="center" vertical="bottom"/>
    </xf>
    <xf borderId="0" fillId="0" fontId="8" numFmtId="0" xfId="0" applyAlignment="1" applyFont="1">
      <alignment horizontal="center"/>
    </xf>
    <xf borderId="0" fillId="0" fontId="4" numFmtId="9" xfId="0" applyFont="1" applyNumberFormat="1"/>
    <xf borderId="0" fillId="0" fontId="12" numFmtId="0" xfId="0" applyAlignment="1" applyFont="1">
      <alignment vertical="bottom"/>
    </xf>
    <xf borderId="0" fillId="9" fontId="13" numFmtId="0" xfId="0" applyAlignment="1" applyFill="1" applyFont="1">
      <alignment horizontal="center" readingOrder="0" vertical="center"/>
    </xf>
    <xf borderId="0" fillId="9" fontId="13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7" fillId="10" fontId="14" numFmtId="0" xfId="0" applyAlignment="1" applyBorder="1" applyFill="1" applyFont="1">
      <alignment horizontal="center" readingOrder="0" vertical="center"/>
    </xf>
    <xf borderId="12" fillId="11" fontId="15" numFmtId="0" xfId="0" applyAlignment="1" applyBorder="1" applyFill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2" fillId="11" fontId="15" numFmtId="0" xfId="0" applyAlignment="1" applyBorder="1" applyFont="1">
      <alignment horizontal="center" readingOrder="0" vertical="center"/>
    </xf>
    <xf borderId="15" fillId="12" fontId="16" numFmtId="3" xfId="0" applyAlignment="1" applyBorder="1" applyFill="1" applyFont="1" applyNumberForma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12" fontId="16" numFmtId="0" xfId="0" applyAlignment="1" applyBorder="1" applyFont="1">
      <alignment horizontal="center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5" fillId="12" fontId="16" numFmtId="165" xfId="0" applyAlignment="1" applyBorder="1" applyFont="1" applyNumberFormat="1">
      <alignment horizontal="center" vertical="center"/>
    </xf>
    <xf borderId="12" fillId="13" fontId="15" numFmtId="0" xfId="0" applyAlignment="1" applyBorder="1" applyFill="1" applyFont="1">
      <alignment horizontal="left" readingOrder="0" vertical="center"/>
    </xf>
    <xf borderId="15" fillId="12" fontId="17" numFmtId="0" xfId="0" applyAlignment="1" applyBorder="1" applyFont="1">
      <alignment readingOrder="0" shrinkToFit="0" vertical="top" wrapText="1"/>
    </xf>
    <xf borderId="21" fillId="0" fontId="3" numFmtId="0" xfId="0" applyBorder="1" applyFont="1"/>
    <xf borderId="22" fillId="0" fontId="3" numFmtId="0" xfId="0" applyBorder="1" applyFont="1"/>
    <xf borderId="12" fillId="14" fontId="15" numFmtId="0" xfId="0" applyAlignment="1" applyBorder="1" applyFill="1" applyFont="1">
      <alignment horizontal="left"/>
    </xf>
    <xf borderId="23" fillId="15" fontId="15" numFmtId="0" xfId="0" applyAlignment="1" applyBorder="1" applyFill="1" applyFont="1">
      <alignment horizontal="center"/>
    </xf>
    <xf borderId="23" fillId="0" fontId="5" numFmtId="0" xfId="0" applyBorder="1" applyFont="1"/>
    <xf borderId="23" fillId="0" fontId="5" numFmtId="3" xfId="0" applyBorder="1" applyFont="1" applyNumberFormat="1"/>
    <xf borderId="23" fillId="0" fontId="5" numFmtId="165" xfId="0" applyBorder="1" applyFont="1" applyNumberFormat="1"/>
    <xf borderId="23" fillId="0" fontId="5" numFmtId="0" xfId="0" applyAlignment="1" applyBorder="1" applyFont="1">
      <alignment readingOrder="0"/>
    </xf>
    <xf borderId="23" fillId="0" fontId="5" numFmtId="3" xfId="0" applyAlignment="1" applyBorder="1" applyFont="1" applyNumberFormat="1">
      <alignment horizontal="center"/>
    </xf>
    <xf borderId="0" fillId="0" fontId="18" numFmtId="0" xfId="0" applyFont="1"/>
    <xf borderId="0" fillId="0" fontId="4" numFmtId="0" xfId="0" applyFont="1"/>
    <xf borderId="0" fillId="0" fontId="19" numFmtId="0" xfId="0" applyFont="1"/>
    <xf borderId="0" fillId="0" fontId="5" numFmtId="166" xfId="0" applyFont="1" applyNumberFormat="1"/>
    <xf borderId="0" fillId="0" fontId="5" numFmtId="167" xfId="0" applyFont="1" applyNumberFormat="1"/>
    <xf borderId="0" fillId="0" fontId="5" numFmtId="3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aw_data_n=2551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Language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'n=25'!$Y$4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'n=25'!$X$5:$X$12</c:f>
            </c:strRef>
          </c:cat>
          <c:val>
            <c:numRef>
              <c:f>'n=25'!$Y$5:$Y$12</c:f>
              <c:numCache/>
            </c:numRef>
          </c:val>
        </c:ser>
        <c:axId val="1291083513"/>
        <c:axId val="18581509"/>
      </c:barChart>
      <c:catAx>
        <c:axId val="12910835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1509"/>
      </c:catAx>
      <c:valAx>
        <c:axId val="185815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08351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Difficulty Split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'n=25'!$Y$16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'n=25'!$X$17:$X$18</c:f>
            </c:strRef>
          </c:cat>
          <c:val>
            <c:numRef>
              <c:f>'n=25'!$Y$17:$Y$18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Issue Type Mix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'n=25'!$U$11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'n=25'!$T$12:$T$14</c:f>
            </c:strRef>
          </c:cat>
          <c:val>
            <c:numRef>
              <c:f>'n=25'!$U$12:$U$14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Repo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'n=25'!$U$17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'n=25'!$T$18:$T$26</c:f>
            </c:strRef>
          </c:cat>
          <c:val>
            <c:numRef>
              <c:f>'n=25'!$U$18:$U$26</c:f>
              <c:numCache/>
            </c:numRef>
          </c:val>
        </c:ser>
        <c:axId val="860088920"/>
        <c:axId val="1501608758"/>
      </c:barChart>
      <c:catAx>
        <c:axId val="8600889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608758"/>
      </c:catAx>
      <c:valAx>
        <c:axId val="15016087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088920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Language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'n=25'!$Y$4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'n=25'!$X$5:$X$12</c:f>
            </c:strRef>
          </c:cat>
          <c:val>
            <c:numRef>
              <c:f>'n=25'!$Y$5:$Y$12</c:f>
              <c:numCache/>
            </c:numRef>
          </c:val>
        </c:ser>
        <c:axId val="1414796711"/>
        <c:axId val="1068033074"/>
      </c:barChart>
      <c:catAx>
        <c:axId val="14147967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033074"/>
      </c:catAx>
      <c:valAx>
        <c:axId val="1068033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796711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Repo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'n=25'!$U$17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'n=25'!$T$18:$T$26</c:f>
            </c:strRef>
          </c:cat>
          <c:val>
            <c:numRef>
              <c:f>'n=25'!$U$18:$U$26</c:f>
              <c:numCache/>
            </c:numRef>
          </c:val>
        </c:ser>
        <c:axId val="573281850"/>
        <c:axId val="1309689217"/>
      </c:barChart>
      <c:catAx>
        <c:axId val="573281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689217"/>
      </c:catAx>
      <c:valAx>
        <c:axId val="13096892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281850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Reward Rate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'Samples Metadata &amp; Evals (n=25)'!$G$3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'Samples Metadata &amp; Evals (n=25)'!$A$4:$A$6</c:f>
            </c:strRef>
          </c:cat>
          <c:val>
            <c:numRef>
              <c:f>'Samples Metadata &amp; Evals (n=25)'!$G$4:$G$6</c:f>
              <c:numCache/>
            </c:numRef>
          </c:val>
        </c:ser>
        <c:axId val="499157079"/>
        <c:axId val="1857280155"/>
      </c:barChart>
      <c:catAx>
        <c:axId val="4991570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280155"/>
      </c:catAx>
      <c:valAx>
        <c:axId val="1857280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1570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Resolution %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'Samples Metadata &amp; Evals (n=25)'!$D$3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(n=25)'!$A$4:$A$6</c:f>
            </c:strRef>
          </c:cat>
          <c:val>
            <c:numRef>
              <c:f>'Samples Metadata &amp; Evals (n=25)'!$D$4:$D$6</c:f>
              <c:numCache/>
            </c:numRef>
          </c:val>
        </c:ser>
        <c:ser>
          <c:idx val="1"/>
          <c:order val="1"/>
          <c:tx>
            <c:strRef>
              <c:f>'Samples Metadata &amp; Evals (n=25)'!$D$3</c:f>
            </c:strRef>
          </c:tx>
          <c:cat>
            <c:strRef>
              <c:f>'Samples Metadata &amp; Evals (n=25)'!$A$4:$A$6</c:f>
            </c:strRef>
          </c:cat>
          <c:val>
            <c:numRef>
              <c:f>'Samples Metadata &amp; Evals (n=25)'!$D$4:$D$6</c:f>
              <c:numCache/>
            </c:numRef>
          </c:val>
        </c:ser>
        <c:axId val="1624012006"/>
        <c:axId val="1423201112"/>
      </c:barChart>
      <c:catAx>
        <c:axId val="16240120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201112"/>
      </c:catAx>
      <c:valAx>
        <c:axId val="14232011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0120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Long Range Tag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'Samples Metadata &amp; Evals (n=25)'!$Z$32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2A9D8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0B539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'Samples Metadata &amp; Evals (n=25)'!$Y$33:$Y$37</c:f>
            </c:strRef>
          </c:cat>
          <c:val>
            <c:numRef>
              <c:f>'Samples Metadata &amp; Evals (n=25)'!$Z$33:$Z$37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Claude-Opus-4.6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'Samples Metadata &amp; Evals (n=25)'!$Y$49:$Y$53</c:f>
            </c:strRef>
          </c:cat>
          <c:val>
            <c:numRef>
              <c:f>'Samples Metadata &amp; Evals (n=25)'!$AB$49:$AB$53</c:f>
              <c:numCache/>
            </c:numRef>
          </c:val>
        </c:ser>
        <c:ser>
          <c:idx val="1"/>
          <c:order val="1"/>
          <c:tx>
            <c:v>GPT-5.4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(n=25)'!$Y$49:$Y$53</c:f>
            </c:strRef>
          </c:cat>
          <c:val>
            <c:numRef>
              <c:f>'Samples Metadata &amp; Evals (n=25)'!$AB$49:$AB$53</c:f>
              <c:numCache/>
            </c:numRef>
          </c:val>
        </c:ser>
        <c:ser>
          <c:idx val="2"/>
          <c:order val="2"/>
          <c:tx>
            <c:v>Gemini 3 Pro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(n=25)'!$Y$49:$Y$53</c:f>
            </c:strRef>
          </c:cat>
          <c:val>
            <c:numRef>
              <c:f>'Samples Metadata &amp; Evals (n=25)'!$AE$49:$AE$53</c:f>
              <c:numCache/>
            </c:numRef>
          </c:val>
        </c:ser>
        <c:ser>
          <c:idx val="3"/>
          <c:order val="3"/>
          <c:tx>
            <c:strRef>
              <c:f>'Samples Metadata &amp; Evals (n=25)'!$AE$48</c:f>
            </c:strRef>
          </c:tx>
          <c:cat>
            <c:strRef>
              <c:f>'Samples Metadata &amp; Evals (n=25)'!$Y$49:$Y$53</c:f>
            </c:strRef>
          </c:cat>
          <c:val>
            <c:numRef>
              <c:f>'Samples Metadata &amp; Evals (n=25)'!$AE$49:$AE$53</c:f>
              <c:numCache/>
            </c:numRef>
          </c:val>
        </c:ser>
        <c:ser>
          <c:idx val="4"/>
          <c:order val="4"/>
          <c:tx>
            <c:strRef>
              <c:f>'Samples Metadata &amp; Evals (n=25)'!$AH$48</c:f>
            </c:strRef>
          </c:tx>
          <c:cat>
            <c:strRef>
              <c:f>'Samples Metadata &amp; Evals (n=25)'!$Y$49:$Y$53</c:f>
            </c:strRef>
          </c:cat>
          <c:val>
            <c:numRef>
              <c:f>'Samples Metadata &amp; Evals (n=25)'!$AH$49:$AH$53</c:f>
              <c:numCache/>
            </c:numRef>
          </c:val>
        </c:ser>
        <c:axId val="1263416769"/>
        <c:axId val="1833833910"/>
      </c:barChart>
      <c:catAx>
        <c:axId val="1263416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833910"/>
      </c:catAx>
      <c:valAx>
        <c:axId val="1833833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416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Resolution % by Long-Range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Claude-Opus-4.6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(n=25)'!$Y$65:$Y$69</c:f>
            </c:strRef>
          </c:cat>
          <c:val>
            <c:numRef>
              <c:f>'Samples Metadata &amp; Evals (n=25)'!$AB$65:$AB$69</c:f>
              <c:numCache/>
            </c:numRef>
          </c:val>
        </c:ser>
        <c:ser>
          <c:idx val="1"/>
          <c:order val="1"/>
          <c:tx>
            <c:v>GPT-5.4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(n=25)'!$Y$65:$Y$69</c:f>
            </c:strRef>
          </c:cat>
          <c:val>
            <c:numRef>
              <c:f>'Samples Metadata &amp; Evals (n=25)'!$AB$65:$AB$69</c:f>
              <c:numCache/>
            </c:numRef>
          </c:val>
        </c:ser>
        <c:ser>
          <c:idx val="2"/>
          <c:order val="2"/>
          <c:tx>
            <c:v>Gemini 3 Pro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'Samples Metadata &amp; Evals (n=25)'!$Y$65:$Y$69</c:f>
            </c:strRef>
          </c:cat>
          <c:val>
            <c:numRef>
              <c:f>'Samples Metadata &amp; Evals (n=25)'!$AE$65:$AE$69</c:f>
              <c:numCache/>
            </c:numRef>
          </c:val>
        </c:ser>
        <c:ser>
          <c:idx val="3"/>
          <c:order val="3"/>
          <c:tx>
            <c:strRef>
              <c:f>'Samples Metadata &amp; Evals (n=25)'!$AE$64</c:f>
            </c:strRef>
          </c:tx>
          <c:cat>
            <c:strRef>
              <c:f>'Samples Metadata &amp; Evals (n=25)'!$Y$65:$Y$69</c:f>
            </c:strRef>
          </c:cat>
          <c:val>
            <c:numRef>
              <c:f>'Samples Metadata &amp; Evals (n=25)'!$AE$65:$AE$69</c:f>
              <c:numCache/>
            </c:numRef>
          </c:val>
        </c:ser>
        <c:ser>
          <c:idx val="4"/>
          <c:order val="4"/>
          <c:tx>
            <c:strRef>
              <c:f>'Samples Metadata &amp; Evals (n=25)'!$AH$64</c:f>
            </c:strRef>
          </c:tx>
          <c:cat>
            <c:strRef>
              <c:f>'Samples Metadata &amp; Evals (n=25)'!$Y$65:$Y$69</c:f>
            </c:strRef>
          </c:cat>
          <c:val>
            <c:numRef>
              <c:f>'Samples Metadata &amp; Evals (n=25)'!$AH$65:$AH$69</c:f>
              <c:numCache/>
            </c:numRef>
          </c:val>
        </c:ser>
        <c:ser>
          <c:idx val="5"/>
          <c:order val="5"/>
          <c:tx>
            <c:strRef>
              <c:f>'Samples Metadata &amp; Evals (n=25)'!$AH$64</c:f>
            </c:strRef>
          </c:tx>
          <c:cat>
            <c:strRef>
              <c:f>'Samples Metadata &amp; Evals (n=25)'!$Y$65:$Y$69</c:f>
            </c:strRef>
          </c:cat>
          <c:val>
            <c:numRef>
              <c:f>'Samples Metadata &amp; Evals (n=25)'!$AH$65:$AH$69</c:f>
              <c:numCache/>
            </c:numRef>
          </c:val>
        </c:ser>
        <c:axId val="248176498"/>
        <c:axId val="568388196"/>
      </c:barChart>
      <c:catAx>
        <c:axId val="248176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388196"/>
      </c:catAx>
      <c:valAx>
        <c:axId val="568388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176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Language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Language distribution</c:v>
          </c:tx>
          <c:spPr>
            <a:solidFill>
              <a:srgbClr val="1F4E7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(n=2551)'!$A$22:$A$32</c:f>
            </c:strRef>
          </c:cat>
          <c:val>
            <c:numRef>
              <c:f>'Full Dataset Metadata (n=2551)'!$B$22:$B$32</c:f>
              <c:numCache/>
            </c:numRef>
          </c:val>
        </c:ser>
        <c:axId val="198302007"/>
        <c:axId val="783024984"/>
      </c:barChart>
      <c:catAx>
        <c:axId val="1983020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83024984"/>
      </c:catAx>
      <c:valAx>
        <c:axId val="78302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98302007"/>
        <c:crosses val="max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Stars bucket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Stars bucket distribution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(n=2551)'!$A$37:$A$41</c:f>
            </c:strRef>
          </c:cat>
          <c:val>
            <c:numRef>
              <c:f>'Full Dataset Metadata (n=2551)'!$B$37:$B$41</c:f>
              <c:numCache/>
            </c:numRef>
          </c:val>
        </c:ser>
        <c:axId val="745333747"/>
        <c:axId val="529300060"/>
      </c:barChart>
      <c:catAx>
        <c:axId val="745333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529300060"/>
      </c:catAx>
      <c:valAx>
        <c:axId val="529300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45333747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Repository LOC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Repository LOC distribution</c:v>
          </c:tx>
          <c:spPr>
            <a:solidFill>
              <a:srgbClr val="7C988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(n=2551)'!$A$48:$A$54</c:f>
            </c:strRef>
          </c:cat>
          <c:val>
            <c:numRef>
              <c:f>'Full Dataset Metadata (n=2551)'!$B$48:$B$54</c:f>
              <c:numCache/>
            </c:numRef>
          </c:val>
        </c:ser>
        <c:axId val="1969510977"/>
        <c:axId val="668902768"/>
      </c:barChart>
      <c:catAx>
        <c:axId val="1969510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668902768"/>
      </c:catAx>
      <c:valAx>
        <c:axId val="66890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969510977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p2p/f2p merge-rate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p2p/f2p merge-rate distribution</c:v>
          </c:tx>
          <c:spPr>
            <a:solidFill>
              <a:srgbClr val="C89B3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(n=2551)'!$A$60:$A$65</c:f>
            </c:strRef>
          </c:cat>
          <c:val>
            <c:numRef>
              <c:f>'Full Dataset Metadata (n=2551)'!$B$60:$B$65</c:f>
              <c:numCache/>
            </c:numRef>
          </c:val>
        </c:ser>
        <c:axId val="274795743"/>
        <c:axId val="780036249"/>
      </c:barChart>
      <c:catAx>
        <c:axId val="27479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80036249"/>
      </c:catAx>
      <c:valAx>
        <c:axId val="780036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74795743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Difficulty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Difficulty distribution</c:v>
          </c:tx>
          <c:spPr>
            <a:solidFill>
              <a:srgbClr val="7F6A9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(n=2551)'!$E$48:$E$51</c:f>
            </c:strRef>
          </c:cat>
          <c:val>
            <c:numRef>
              <c:f>'Full Dataset Metadata (n=2551)'!$F$48:$F$51</c:f>
              <c:numCache/>
            </c:numRef>
          </c:val>
        </c:ser>
        <c:axId val="358706589"/>
        <c:axId val="1704869178"/>
      </c:barChart>
      <c:catAx>
        <c:axId val="358706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04869178"/>
      </c:catAx>
      <c:valAx>
        <c:axId val="1704869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5870658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Long-horizon tag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Long-horizon tag distribution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(n=2551)'!$I$22:$I$26</c:f>
            </c:strRef>
          </c:cat>
          <c:val>
            <c:numRef>
              <c:f>'Full Dataset Metadata (n=2551)'!$J$22:$J$26</c:f>
              <c:numCache/>
            </c:numRef>
          </c:val>
        </c:ser>
        <c:axId val="692422530"/>
        <c:axId val="797364912"/>
      </c:barChart>
      <c:catAx>
        <c:axId val="692422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97364912"/>
      </c:catAx>
      <c:valAx>
        <c:axId val="797364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692422530"/>
        <c:crosses val="max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Harbor converted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7E8D"/>
              </a:solidFill>
            </c:spPr>
          </c:dPt>
          <c:dPt>
            <c:idx val="1"/>
            <c:spPr>
              <a:solidFill>
                <a:srgbClr val="D9E2E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'Full Dataset Metadata (n=2551)'!$E$22:$E$23</c:f>
            </c:strRef>
          </c:cat>
          <c:val>
            <c:numRef>
              <c:f>'Full Dataset Metadata (n=2551)'!$F$22:$F$23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8"/>
      </c:doughnut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Instance LOC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Instance LOC distribution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(n=2551)'!$E$37:$E$43</c:f>
            </c:strRef>
          </c:cat>
          <c:val>
            <c:numRef>
              <c:f>'Full Dataset Metadata (n=2551)'!$F$37:$F$43</c:f>
              <c:numCache/>
            </c:numRef>
          </c:val>
        </c:ser>
        <c:axId val="2046606410"/>
        <c:axId val="1372058150"/>
      </c:barChart>
      <c:catAx>
        <c:axId val="204660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372058150"/>
      </c:catAx>
      <c:valAx>
        <c:axId val="1372058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04660641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Issue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Issue type distribution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(n=2551)'!$I$37:$I$41</c:f>
            </c:strRef>
          </c:cat>
          <c:val>
            <c:numRef>
              <c:f>'Full Dataset Metadata (n=2551)'!$J$37:$J$41</c:f>
              <c:numCache/>
            </c:numRef>
          </c:val>
        </c:ser>
        <c:axId val="1471331767"/>
        <c:axId val="1750583920"/>
      </c:barChart>
      <c:catAx>
        <c:axId val="14713317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50583920"/>
      </c:catAx>
      <c:valAx>
        <c:axId val="175058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71331767"/>
        <c:crosses val="max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Code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Code type distribution</c:v>
          </c:tx>
          <c:spPr>
            <a:solidFill>
              <a:srgbClr val="7C988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(n=2551)'!$I$48:$I$55</c:f>
            </c:strRef>
          </c:cat>
          <c:val>
            <c:numRef>
              <c:f>'Full Dataset Metadata (n=2551)'!$J$48:$J$55</c:f>
              <c:numCache/>
            </c:numRef>
          </c:val>
        </c:ser>
        <c:axId val="1578555898"/>
        <c:axId val="454664214"/>
      </c:barChart>
      <c:catAx>
        <c:axId val="15785558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54664214"/>
      </c:catAx>
      <c:valAx>
        <c:axId val="45466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578555898"/>
        <c:crosses val="max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Repo 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Repo type distribution</c:v>
          </c:tx>
          <c:spPr>
            <a:solidFill>
              <a:srgbClr val="1F4E7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'Full Dataset Metadata (n=2551)'!$E$60:$E$70</c:f>
            </c:strRef>
          </c:cat>
          <c:val>
            <c:numRef>
              <c:f>'Full Dataset Metadata (n=2551)'!$F$60:$F$70</c:f>
              <c:numCache/>
            </c:numRef>
          </c:val>
        </c:ser>
        <c:axId val="997989419"/>
        <c:axId val="1163362965"/>
      </c:barChart>
      <c:catAx>
        <c:axId val="9979894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63362965"/>
      </c:catAx>
      <c:valAx>
        <c:axId val="1163362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97989419"/>
        <c:crosses val="max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Language × Difficulty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1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(n=2551)'!$A$77:$A$82</c:f>
            </c:strRef>
          </c:cat>
          <c:val>
            <c:numRef>
              <c:f>'Full Dataset Metadata (n=2551)'!$B$77:$B$82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rgbClr val="C89B3C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(n=2551)'!$A$77:$A$82</c:f>
            </c:strRef>
          </c:cat>
          <c:val>
            <c:numRef>
              <c:f>'Full Dataset Metadata (n=2551)'!$C$77:$C$82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(n=2551)'!$A$77:$A$82</c:f>
            </c:strRef>
          </c:cat>
          <c:val>
            <c:numRef>
              <c:f>'Full Dataset Metadata (n=2551)'!$D$77:$D$82</c:f>
              <c:numCache/>
            </c:numRef>
          </c:val>
        </c:ser>
        <c:overlap val="100"/>
        <c:axId val="1785399990"/>
        <c:axId val="311868521"/>
      </c:barChart>
      <c:catAx>
        <c:axId val="1785399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11868521"/>
      </c:catAx>
      <c:valAx>
        <c:axId val="311868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85399990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Repo Type × Issue Type share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feature-request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(n=2551)'!$G$77:$G$82</c:f>
            </c:strRef>
          </c:cat>
          <c:val>
            <c:numRef>
              <c:f>'Full Dataset Metadata (n=2551)'!$H$77:$H$82</c:f>
              <c:numCache/>
            </c:numRef>
          </c:val>
        </c:ser>
        <c:ser>
          <c:idx val="1"/>
          <c:order val="1"/>
          <c:tx>
            <c:v>bug-report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(n=2551)'!$G$77:$G$82</c:f>
            </c:strRef>
          </c:cat>
          <c:val>
            <c:numRef>
              <c:f>'Full Dataset Metadata (n=2551)'!$I$77:$I$82</c:f>
              <c:numCache/>
            </c:numRef>
          </c:val>
        </c:ser>
        <c:ser>
          <c:idx val="2"/>
          <c:order val="2"/>
          <c:tx>
            <c:v>chore</c:v>
          </c:tx>
          <c:spPr>
            <a:solidFill>
              <a:srgbClr val="C89B3C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(n=2551)'!$G$77:$G$82</c:f>
            </c:strRef>
          </c:cat>
          <c:val>
            <c:numRef>
              <c:f>'Full Dataset Metadata (n=2551)'!$J$77:$J$82</c:f>
              <c:numCache/>
            </c:numRef>
          </c:val>
        </c:ser>
        <c:ser>
          <c:idx val="3"/>
          <c:order val="3"/>
          <c:tx>
            <c:v>other</c:v>
          </c:tx>
          <c:spPr>
            <a:solidFill>
              <a:srgbClr val="5B6770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(n=2551)'!$G$77:$G$82</c:f>
            </c:strRef>
          </c:cat>
          <c:val>
            <c:numRef>
              <c:f>'Full Dataset Metadata (n=2551)'!$K$77:$K$82</c:f>
              <c:numCache/>
            </c:numRef>
          </c:val>
        </c:ser>
        <c:overlap val="100"/>
        <c:axId val="710248413"/>
        <c:axId val="373416086"/>
      </c:barChart>
      <c:catAx>
        <c:axId val="7102484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73416086"/>
      </c:catAx>
      <c:valAx>
        <c:axId val="3734160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10248413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Long-Horizon Tag × Difficulty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1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(n=2551)'!$A$88:$A$92</c:f>
            </c:strRef>
          </c:cat>
          <c:val>
            <c:numRef>
              <c:f>'Full Dataset Metadata (n=2551)'!$B$88:$B$92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rgbClr val="C89B3C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(n=2551)'!$A$88:$A$92</c:f>
            </c:strRef>
          </c:cat>
          <c:val>
            <c:numRef>
              <c:f>'Full Dataset Metadata (n=2551)'!$C$88:$C$92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(n=2551)'!$A$88:$A$92</c:f>
            </c:strRef>
          </c:cat>
          <c:val>
            <c:numRef>
              <c:f>'Full Dataset Metadata (n=2551)'!$D$88:$D$92</c:f>
              <c:numCache/>
            </c:numRef>
          </c:val>
        </c:ser>
        <c:overlap val="100"/>
        <c:axId val="985157817"/>
        <c:axId val="1622042977"/>
      </c:barChart>
      <c:catAx>
        <c:axId val="985157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622042977"/>
      </c:catAx>
      <c:valAx>
        <c:axId val="16220429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85157817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F4E79"/>
                </a:solidFill>
                <a:latin typeface="Calibri"/>
              </a:defRPr>
            </a:pPr>
            <a:r>
              <a:rPr b="1" i="0" sz="1200">
                <a:solidFill>
                  <a:srgbClr val="1F4E79"/>
                </a:solidFill>
                <a:latin typeface="Calibri"/>
              </a:rPr>
              <a:t>Code Type × Difficulty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1</c:v>
          </c:tx>
          <c:spPr>
            <a:solidFill>
              <a:srgbClr val="B96A5E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(n=2551)'!$G$88:$G$93</c:f>
            </c:strRef>
          </c:cat>
          <c:val>
            <c:numRef>
              <c:f>'Full Dataset Metadata (n=2551)'!$H$88:$H$93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rgbClr val="C89B3C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(n=2551)'!$G$88:$G$93</c:f>
            </c:strRef>
          </c:cat>
          <c:val>
            <c:numRef>
              <c:f>'Full Dataset Metadata (n=2551)'!$I$88:$I$93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rgbClr val="2F7E8D"/>
            </a:solidFill>
            <a:ln cmpd="sng">
              <a:solidFill>
                <a:srgbClr val="000000"/>
              </a:solidFill>
            </a:ln>
          </c:spPr>
          <c:cat>
            <c:strRef>
              <c:f>'Full Dataset Metadata (n=2551)'!$G$88:$G$93</c:f>
            </c:strRef>
          </c:cat>
          <c:val>
            <c:numRef>
              <c:f>'Full Dataset Metadata (n=2551)'!$J$88:$J$93</c:f>
              <c:numCache/>
            </c:numRef>
          </c:val>
        </c:ser>
        <c:overlap val="100"/>
        <c:axId val="122136677"/>
        <c:axId val="1646102909"/>
      </c:barChart>
      <c:catAx>
        <c:axId val="1221366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646102909"/>
      </c:catAx>
      <c:valAx>
        <c:axId val="16461029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22136677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2.xml"/><Relationship Id="rId10" Type="http://schemas.openxmlformats.org/officeDocument/2006/relationships/chart" Target="../charts/chart21.xml"/><Relationship Id="rId13" Type="http://schemas.openxmlformats.org/officeDocument/2006/relationships/chart" Target="../charts/chart24.xml"/><Relationship Id="rId12" Type="http://schemas.openxmlformats.org/officeDocument/2006/relationships/chart" Target="../charts/chart23.xml"/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5" Type="http://schemas.openxmlformats.org/officeDocument/2006/relationships/chart" Target="../charts/chart26.xml"/><Relationship Id="rId14" Type="http://schemas.openxmlformats.org/officeDocument/2006/relationships/chart" Target="../charts/chart2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1</xdr:row>
      <xdr:rowOff>0</xdr:rowOff>
    </xdr:from>
    <xdr:ext cx="2876550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457200</xdr:colOff>
      <xdr:row>1</xdr:row>
      <xdr:rowOff>0</xdr:rowOff>
    </xdr:from>
    <xdr:ext cx="3076575" cy="2152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0</xdr:colOff>
      <xdr:row>17</xdr:row>
      <xdr:rowOff>0</xdr:rowOff>
    </xdr:from>
    <xdr:ext cx="2924175" cy="2152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31</xdr:col>
      <xdr:colOff>457200</xdr:colOff>
      <xdr:row>17</xdr:row>
      <xdr:rowOff>133350</xdr:rowOff>
    </xdr:from>
    <xdr:ext cx="2876550" cy="2152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46</xdr:row>
      <xdr:rowOff>104775</xdr:rowOff>
    </xdr:from>
    <xdr:ext cx="2876550" cy="2152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552450</xdr:colOff>
      <xdr:row>46</xdr:row>
      <xdr:rowOff>104775</xdr:rowOff>
    </xdr:from>
    <xdr:ext cx="2876550" cy="2152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</xdr:row>
      <xdr:rowOff>95250</xdr:rowOff>
    </xdr:from>
    <xdr:ext cx="4476750" cy="2771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27</xdr:row>
      <xdr:rowOff>38100</xdr:rowOff>
    </xdr:from>
    <xdr:ext cx="4448175" cy="27241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342900</xdr:colOff>
      <xdr:row>46</xdr:row>
      <xdr:rowOff>76200</xdr:rowOff>
    </xdr:from>
    <xdr:ext cx="3638550" cy="22193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276225</xdr:colOff>
      <xdr:row>8</xdr:row>
      <xdr:rowOff>95250</xdr:rowOff>
    </xdr:from>
    <xdr:ext cx="4743450" cy="3143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276225</xdr:colOff>
      <xdr:row>27</xdr:row>
      <xdr:rowOff>133350</xdr:rowOff>
    </xdr:from>
    <xdr:ext cx="5181600" cy="32385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2</xdr:row>
      <xdr:rowOff>38100</xdr:rowOff>
    </xdr:from>
    <xdr:ext cx="3876675" cy="28289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47625</xdr:colOff>
      <xdr:row>2</xdr:row>
      <xdr:rowOff>38100</xdr:rowOff>
    </xdr:from>
    <xdr:ext cx="3238500" cy="28289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47625</xdr:colOff>
      <xdr:row>16</xdr:row>
      <xdr:rowOff>38100</xdr:rowOff>
    </xdr:from>
    <xdr:ext cx="3505200" cy="2857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47625</xdr:colOff>
      <xdr:row>16</xdr:row>
      <xdr:rowOff>38100</xdr:rowOff>
    </xdr:from>
    <xdr:ext cx="3238500" cy="2857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47625</xdr:colOff>
      <xdr:row>32</xdr:row>
      <xdr:rowOff>38100</xdr:rowOff>
    </xdr:from>
    <xdr:ext cx="3505200" cy="287655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47625</xdr:colOff>
      <xdr:row>32</xdr:row>
      <xdr:rowOff>38100</xdr:rowOff>
    </xdr:from>
    <xdr:ext cx="3238500" cy="28765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47625</xdr:colOff>
      <xdr:row>48</xdr:row>
      <xdr:rowOff>38100</xdr:rowOff>
    </xdr:from>
    <xdr:ext cx="3505200" cy="28765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47625</xdr:colOff>
      <xdr:row>48</xdr:row>
      <xdr:rowOff>38100</xdr:rowOff>
    </xdr:from>
    <xdr:ext cx="3238500" cy="28765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47625</xdr:colOff>
      <xdr:row>64</xdr:row>
      <xdr:rowOff>38100</xdr:rowOff>
    </xdr:from>
    <xdr:ext cx="3505200" cy="287655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47625</xdr:colOff>
      <xdr:row>64</xdr:row>
      <xdr:rowOff>38100</xdr:rowOff>
    </xdr:from>
    <xdr:ext cx="3238500" cy="287655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47625</xdr:colOff>
      <xdr:row>80</xdr:row>
      <xdr:rowOff>38100</xdr:rowOff>
    </xdr:from>
    <xdr:ext cx="3505200" cy="287655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47625</xdr:colOff>
      <xdr:row>80</xdr:row>
      <xdr:rowOff>38100</xdr:rowOff>
    </xdr:from>
    <xdr:ext cx="3238500" cy="28765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14</xdr:col>
      <xdr:colOff>47625</xdr:colOff>
      <xdr:row>96</xdr:row>
      <xdr:rowOff>38100</xdr:rowOff>
    </xdr:from>
    <xdr:ext cx="3505200" cy="28765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22</xdr:col>
      <xdr:colOff>47625</xdr:colOff>
      <xdr:row>96</xdr:row>
      <xdr:rowOff>38100</xdr:rowOff>
    </xdr:from>
    <xdr:ext cx="3238500" cy="287655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14</xdr:col>
      <xdr:colOff>47625</xdr:colOff>
      <xdr:row>112</xdr:row>
      <xdr:rowOff>38100</xdr:rowOff>
    </xdr:from>
    <xdr:ext cx="3505200" cy="287655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552" displayName="Table_1" name="Table_1" id="1">
  <tableColumns count="23">
    <tableColumn name="instance_id" id="1"/>
    <tableColumn name="long_horizon_tag" id="2"/>
    <tableColumn name="pr_url" id="3"/>
    <tableColumn name="repo_type_primary" id="4"/>
    <tableColumn name="repo_type_relevant" id="5"/>
    <tableColumn name="issue_type_primary" id="6"/>
    <tableColumn name="issue_type_relevant" id="7"/>
    <tableColumn name="code_type_primary" id="8"/>
    <tableColumn name="code_type_relevant" id="9"/>
    <tableColumn name="created_at" id="10"/>
    <tableColumn name="deliverable_url" id="11"/>
    <tableColumn name="harbor_deliverable_url" id="12"/>
    <tableColumn name="language" id="13"/>
    <tableColumn name="repo" id="14"/>
    <tableColumn name="repo_full_name" id="15"/>
    <tableColumn name="repo_id" id="16"/>
    <tableColumn name="difficulty_score" id="17"/>
    <tableColumn name="pr_merged_at" id="18"/>
    <tableColumn name="stars" id="19"/>
    <tableColumn name="p2p_count" id="20"/>
    <tableColumn name="f2p_count" id="21"/>
    <tableColumn name="instance_loc" id="22"/>
    <tableColumn name="loc" id="23"/>
  </tableColumns>
  <tableStyleInfo name="raw_data_n=255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zBYYlFJJ0hJLGPrVmMu38He_MIGYYfVP" TargetMode="External"/><Relationship Id="rId42" Type="http://schemas.openxmlformats.org/officeDocument/2006/relationships/hyperlink" Target="https://drive.google.com/drive/folders/1a1uG9A2EaVb4_37RkLwh2ZqiubfeyON3" TargetMode="External"/><Relationship Id="rId41" Type="http://schemas.openxmlformats.org/officeDocument/2006/relationships/hyperlink" Target="https://github.com/deepset-ai/haystack/issues/8725" TargetMode="External"/><Relationship Id="rId44" Type="http://schemas.openxmlformats.org/officeDocument/2006/relationships/hyperlink" Target="https://drive.google.com/drive/folders/18ZrWYSlaarH7B2Az2Xw7d2EiTIw3DKQ0" TargetMode="External"/><Relationship Id="rId43" Type="http://schemas.openxmlformats.org/officeDocument/2006/relationships/hyperlink" Target="https://github.com/openyurtio/openyurt/issues/2316" TargetMode="External"/><Relationship Id="rId46" Type="http://schemas.openxmlformats.org/officeDocument/2006/relationships/hyperlink" Target="https://drive.google.com/drive/folders/1D0xFtPErDPotZix1dKOMlz4racadE4hP" TargetMode="External"/><Relationship Id="rId45" Type="http://schemas.openxmlformats.org/officeDocument/2006/relationships/hyperlink" Target="https://github.com/formwerkjs/formwerk/issues/76" TargetMode="External"/><Relationship Id="rId1" Type="http://schemas.openxmlformats.org/officeDocument/2006/relationships/hyperlink" Target="https://drive.google.com/drive/folders/1_GD8fDtHHpt3M6VCLxP8ad_p_3W6tkpy" TargetMode="External"/><Relationship Id="rId2" Type="http://schemas.openxmlformats.org/officeDocument/2006/relationships/hyperlink" Target="https://drive.google.com/drive/folders/1oa7-DAboVKDtmJFns7feqhKh-929Ir0Z" TargetMode="External"/><Relationship Id="rId3" Type="http://schemas.openxmlformats.org/officeDocument/2006/relationships/hyperlink" Target="https://github.com/deepset-ai/haystack/issues/9680" TargetMode="External"/><Relationship Id="rId4" Type="http://schemas.openxmlformats.org/officeDocument/2006/relationships/hyperlink" Target="https://drive.google.com/drive/folders/1TEK4hUKn_AW94ntovYadxDXZdxwlrAqm" TargetMode="External"/><Relationship Id="rId9" Type="http://schemas.openxmlformats.org/officeDocument/2006/relationships/hyperlink" Target="https://drive.google.com/drive/folders/10ESmICg53p5aCezkQcQBoyCzIdFiMHzJ" TargetMode="External"/><Relationship Id="rId48" Type="http://schemas.openxmlformats.org/officeDocument/2006/relationships/hyperlink" Target="https://drive.google.com/drive/folders/1v_D5KhiY2MABxxaHPoSSgSh9wuEV8wlt" TargetMode="External"/><Relationship Id="rId47" Type="http://schemas.openxmlformats.org/officeDocument/2006/relationships/hyperlink" Target="https://github.com/ethereum-optimism/superchain-registry/issues/951" TargetMode="External"/><Relationship Id="rId49" Type="http://schemas.openxmlformats.org/officeDocument/2006/relationships/hyperlink" Target="https://github.com/Peternator7/strum/issues/391" TargetMode="External"/><Relationship Id="rId5" Type="http://schemas.openxmlformats.org/officeDocument/2006/relationships/hyperlink" Target="https://drive.google.com/drive/folders/1KBzqNnl02pikqkDvHEZDjik6gqElCSV6" TargetMode="External"/><Relationship Id="rId6" Type="http://schemas.openxmlformats.org/officeDocument/2006/relationships/hyperlink" Target="https://github.com/akkadotnet/akka.net/issues/7444" TargetMode="External"/><Relationship Id="rId7" Type="http://schemas.openxmlformats.org/officeDocument/2006/relationships/hyperlink" Target="https://drive.google.com/drive/folders/1QNiqDzUI3qr8IW6uek6BUeGcOli8ivsV" TargetMode="External"/><Relationship Id="rId8" Type="http://schemas.openxmlformats.org/officeDocument/2006/relationships/hyperlink" Target="https://github.com/TedDriggs/darling/issues/363" TargetMode="External"/><Relationship Id="rId31" Type="http://schemas.openxmlformats.org/officeDocument/2006/relationships/hyperlink" Target="https://github.com/blackstork-io/fabric/issues/264" TargetMode="External"/><Relationship Id="rId30" Type="http://schemas.openxmlformats.org/officeDocument/2006/relationships/hyperlink" Target="https://drive.google.com/drive/folders/1VdiN55dk8w5kiOfjthsHn0WCFZpq_NlH" TargetMode="External"/><Relationship Id="rId33" Type="http://schemas.openxmlformats.org/officeDocument/2006/relationships/hyperlink" Target="https://github.com/arabold/docs-mcp-server/issues/27" TargetMode="External"/><Relationship Id="rId32" Type="http://schemas.openxmlformats.org/officeDocument/2006/relationships/hyperlink" Target="https://drive.google.com/drive/folders/1aoAGTqR2IDAnF7gO0Rje8lL7BPz-NSuA" TargetMode="External"/><Relationship Id="rId35" Type="http://schemas.openxmlformats.org/officeDocument/2006/relationships/hyperlink" Target="https://github.com/eclipse/openvsx/issues/1327" TargetMode="External"/><Relationship Id="rId34" Type="http://schemas.openxmlformats.org/officeDocument/2006/relationships/hyperlink" Target="https://drive.google.com/drive/folders/1MG6OaJapipUIz0NzjA7DV2MtE2S7dbi6" TargetMode="External"/><Relationship Id="rId37" Type="http://schemas.openxmlformats.org/officeDocument/2006/relationships/hyperlink" Target="https://drive.google.com/drive/folders/1iZRIJ5-4jqqCJ2aUBVKNArwwSE_Ep6mi" TargetMode="External"/><Relationship Id="rId36" Type="http://schemas.openxmlformats.org/officeDocument/2006/relationships/hyperlink" Target="https://drive.google.com/drive/folders/1GhJIbPLyMg9HY_MQTCffpZkMYY81jzvr" TargetMode="External"/><Relationship Id="rId39" Type="http://schemas.openxmlformats.org/officeDocument/2006/relationships/hyperlink" Target="https://drive.google.com/drive/folders/1JY9x8vir8T6VG_Up8wfEO3aactskF_rB" TargetMode="External"/><Relationship Id="rId38" Type="http://schemas.openxmlformats.org/officeDocument/2006/relationships/hyperlink" Target="https://github.com/argoproj-labs/hera/issues/1481" TargetMode="External"/><Relationship Id="rId20" Type="http://schemas.openxmlformats.org/officeDocument/2006/relationships/hyperlink" Target="https://drive.google.com/drive/folders/1qFOtKvH5onggl44jE-UAT92SlUAQQn_d" TargetMode="External"/><Relationship Id="rId22" Type="http://schemas.openxmlformats.org/officeDocument/2006/relationships/hyperlink" Target="https://drive.google.com/drive/folders/19tMOF-5HnFRqwNnWNfiWdEIyO6FqH-jY" TargetMode="External"/><Relationship Id="rId21" Type="http://schemas.openxmlformats.org/officeDocument/2006/relationships/hyperlink" Target="https://github.com/Azure/template-analyzer/issues/399" TargetMode="External"/><Relationship Id="rId24" Type="http://schemas.openxmlformats.org/officeDocument/2006/relationships/hyperlink" Target="https://github.com/grafana/alloy/issues/3618" TargetMode="External"/><Relationship Id="rId23" Type="http://schemas.openxmlformats.org/officeDocument/2006/relationships/hyperlink" Target="https://drive.google.com/drive/folders/1OkpzwQNpO9weu9Eo8Ri3zc9NAUQL1fYV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github.com/gopherguides/hype/issues/42" TargetMode="External"/><Relationship Id="rId25" Type="http://schemas.openxmlformats.org/officeDocument/2006/relationships/hyperlink" Target="https://drive.google.com/drive/folders/1IwgoTHJ3q4myhutDVaYQBy5PkQk7Yn4p" TargetMode="External"/><Relationship Id="rId28" Type="http://schemas.openxmlformats.org/officeDocument/2006/relationships/hyperlink" Target="https://drive.google.com/drive/folders/1mvQuqrQFvr0jVMtTdF-UQHW3vUphtxlZ" TargetMode="External"/><Relationship Id="rId27" Type="http://schemas.openxmlformats.org/officeDocument/2006/relationships/hyperlink" Target="https://drive.google.com/drive/folders/18x61Pct8CbNMhuUvX0pVdmjUviGmi_Kf" TargetMode="External"/><Relationship Id="rId29" Type="http://schemas.openxmlformats.org/officeDocument/2006/relationships/hyperlink" Target="https://github.com/actor-framework/actor-framework/issues/1643" TargetMode="External"/><Relationship Id="rId51" Type="http://schemas.openxmlformats.org/officeDocument/2006/relationships/hyperlink" Target="https://github.com/apache/gravitino/issues/9839" TargetMode="External"/><Relationship Id="rId50" Type="http://schemas.openxmlformats.org/officeDocument/2006/relationships/hyperlink" Target="https://drive.google.com/drive/folders/1wWmOswrfXGjP7vxYYTWG4CKOkfHZmZ-b" TargetMode="External"/><Relationship Id="rId53" Type="http://schemas.openxmlformats.org/officeDocument/2006/relationships/hyperlink" Target="https://drive.google.com/drive/folders/1tN0LJ86ydkfgDZWaCDkOZvQ24FMTjAAI" TargetMode="External"/><Relationship Id="rId52" Type="http://schemas.openxmlformats.org/officeDocument/2006/relationships/hyperlink" Target="https://drive.google.com/drive/folders/1fGHUf8wvnCijio_zQoMnrUylaUviH2Cw" TargetMode="External"/><Relationship Id="rId11" Type="http://schemas.openxmlformats.org/officeDocument/2006/relationships/hyperlink" Target="https://github.com/0xMiden/miden-vm/issues/1971" TargetMode="External"/><Relationship Id="rId55" Type="http://schemas.openxmlformats.org/officeDocument/2006/relationships/hyperlink" Target="https://drive.google.com/drive/folders/1V6ne529jEz11T1s6Vp1jkn2xOh4VSXop" TargetMode="External"/><Relationship Id="rId10" Type="http://schemas.openxmlformats.org/officeDocument/2006/relationships/hyperlink" Target="https://drive.google.com/drive/folders/1Q5032tvEX-g-ilz6_53LA10y1u2O-oGC" TargetMode="External"/><Relationship Id="rId54" Type="http://schemas.openxmlformats.org/officeDocument/2006/relationships/hyperlink" Target="https://github.com/geopandas/dask-geopandas/issues/322" TargetMode="External"/><Relationship Id="rId13" Type="http://schemas.openxmlformats.org/officeDocument/2006/relationships/hyperlink" Target="https://github.com/kubernetes-sigs/aws-ebs-csi-driver/issues/2467" TargetMode="External"/><Relationship Id="rId57" Type="http://schemas.openxmlformats.org/officeDocument/2006/relationships/hyperlink" Target="https://github.com/codefori/vscode-db2i/issues/391" TargetMode="External"/><Relationship Id="rId12" Type="http://schemas.openxmlformats.org/officeDocument/2006/relationships/hyperlink" Target="https://drive.google.com/drive/folders/1gijpPd-rMdTURMnsfHsQiWTQiY49ekvK" TargetMode="External"/><Relationship Id="rId56" Type="http://schemas.openxmlformats.org/officeDocument/2006/relationships/hyperlink" Target="https://drive.google.com/drive/folders/1a9jJpStkAHKj0jVHp6gN7uPt2OUchAxv" TargetMode="External"/><Relationship Id="rId15" Type="http://schemas.openxmlformats.org/officeDocument/2006/relationships/hyperlink" Target="https://github.com/cedarcode/webauthn-ruby/issues/459" TargetMode="External"/><Relationship Id="rId59" Type="http://schemas.openxmlformats.org/officeDocument/2006/relationships/hyperlink" Target="https://github.com/akkadotnet/akka.net/issues/7720" TargetMode="External"/><Relationship Id="rId14" Type="http://schemas.openxmlformats.org/officeDocument/2006/relationships/hyperlink" Target="https://drive.google.com/drive/folders/1SXYFmv65VSQRCqoTaJOieIL4rcYCfkPz" TargetMode="External"/><Relationship Id="rId58" Type="http://schemas.openxmlformats.org/officeDocument/2006/relationships/hyperlink" Target="https://drive.google.com/drive/folders/1hVnwPST9swAu0WaGQUsq2I__ZqgCI7cq" TargetMode="External"/><Relationship Id="rId17" Type="http://schemas.openxmlformats.org/officeDocument/2006/relationships/hyperlink" Target="https://github.com/inocan-group/vue3-google-map/issues/351" TargetMode="External"/><Relationship Id="rId16" Type="http://schemas.openxmlformats.org/officeDocument/2006/relationships/hyperlink" Target="https://drive.google.com/drive/folders/1VsICMzShw2KNjpQRMLoQJ6i3Z_0wTTxK" TargetMode="External"/><Relationship Id="rId19" Type="http://schemas.openxmlformats.org/officeDocument/2006/relationships/hyperlink" Target="https://github.com/ovechkin-dm/mockio/issues/89" TargetMode="External"/><Relationship Id="rId18" Type="http://schemas.openxmlformats.org/officeDocument/2006/relationships/hyperlink" Target="https://drive.google.com/drive/folders/15Vtr-JJG_I9JwqUBtJJRNn41_7Edh_o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5251" Type="http://schemas.openxmlformats.org/officeDocument/2006/relationships/hyperlink" Target="https://github.com/pytorch/torchtune/issues/2365" TargetMode="External"/><Relationship Id="rId5252" Type="http://schemas.openxmlformats.org/officeDocument/2006/relationships/hyperlink" Target="https://drive.google.com/drive/folders/1CmnTzgWNALHKoHZWbyfRKi-QxSp4c-Yq" TargetMode="External"/><Relationship Id="rId5250" Type="http://schemas.openxmlformats.org/officeDocument/2006/relationships/hyperlink" Target="https://drive.google.com/drive/folders/19w3A3_2TqyXQ-6KVGhC2TucAyCLlDNv4" TargetMode="External"/><Relationship Id="rId5255" Type="http://schemas.openxmlformats.org/officeDocument/2006/relationships/hyperlink" Target="https://github.com/qax-os/excelize/issues/2076" TargetMode="External"/><Relationship Id="rId5256" Type="http://schemas.openxmlformats.org/officeDocument/2006/relationships/hyperlink" Target="https://drive.google.com/drive/folders/1PqFohGz_TMWs1RskP81-sKYujNHwhKMJ" TargetMode="External"/><Relationship Id="rId5253" Type="http://schemas.openxmlformats.org/officeDocument/2006/relationships/hyperlink" Target="https://github.com/q9f/eth.rb/issues/320" TargetMode="External"/><Relationship Id="rId5254" Type="http://schemas.openxmlformats.org/officeDocument/2006/relationships/hyperlink" Target="https://drive.google.com/drive/folders/1POfcz2SLkzMelBZ0bORMpCb3hsdTbiJn" TargetMode="External"/><Relationship Id="rId5259" Type="http://schemas.openxmlformats.org/officeDocument/2006/relationships/hyperlink" Target="https://drive.google.com/drive/folders/1eg8thaiqj_qHLZjtd-Or92YxPxJQT1oZ" TargetMode="External"/><Relationship Id="rId5257" Type="http://schemas.openxmlformats.org/officeDocument/2006/relationships/hyperlink" Target="https://drive.google.com/drive/folders/1At1SVcjqXgI0tNVL0oNGtC44Z35w70qC" TargetMode="External"/><Relationship Id="rId5258" Type="http://schemas.openxmlformats.org/officeDocument/2006/relationships/hyperlink" Target="https://github.com/Qiskit/qiskit/issues/13539" TargetMode="External"/><Relationship Id="rId5240" Type="http://schemas.openxmlformats.org/officeDocument/2006/relationships/hyperlink" Target="https://github.com/python-cmd2/cmd2/issues/1442" TargetMode="External"/><Relationship Id="rId5241" Type="http://schemas.openxmlformats.org/officeDocument/2006/relationships/hyperlink" Target="https://drive.google.com/drive/folders/1__9SgMGx6Lu2WMOCP1O0MaMdmxDQfMp-" TargetMode="External"/><Relationship Id="rId5244" Type="http://schemas.openxmlformats.org/officeDocument/2006/relationships/hyperlink" Target="https://drive.google.com/drive/folders/18e_9J9fa3PXyqWshDZU9hi0l4AuxbeXi" TargetMode="External"/><Relationship Id="rId5245" Type="http://schemas.openxmlformats.org/officeDocument/2006/relationships/hyperlink" Target="https://github.com/python-poetry/poetry/issues/10487" TargetMode="External"/><Relationship Id="rId5242" Type="http://schemas.openxmlformats.org/officeDocument/2006/relationships/hyperlink" Target="https://github.com/python-gitlab/python-gitlab/issues/3078" TargetMode="External"/><Relationship Id="rId5243" Type="http://schemas.openxmlformats.org/officeDocument/2006/relationships/hyperlink" Target="https://drive.google.com/drive/folders/1GmzGlgSJIMiZ9brmsgano12V-YQD1wnU" TargetMode="External"/><Relationship Id="rId5248" Type="http://schemas.openxmlformats.org/officeDocument/2006/relationships/hyperlink" Target="https://github.com/python/cpython/issues/131218" TargetMode="External"/><Relationship Id="rId5249" Type="http://schemas.openxmlformats.org/officeDocument/2006/relationships/hyperlink" Target="https://drive.google.com/drive/folders/1Az4CCSDGRNM83ufObwDP01qeEBMxqOIu" TargetMode="External"/><Relationship Id="rId5246" Type="http://schemas.openxmlformats.org/officeDocument/2006/relationships/hyperlink" Target="https://drive.google.com/drive/folders/1XQVvp5GtEK5XDTyOer3v3FBmo83YMS-U" TargetMode="External"/><Relationship Id="rId5247" Type="http://schemas.openxmlformats.org/officeDocument/2006/relationships/hyperlink" Target="https://drive.google.com/drive/folders/1_gtfK8ud9abdwNF3OHaHZHu_f0CVjN-c" TargetMode="External"/><Relationship Id="rId5270" Type="http://schemas.openxmlformats.org/officeDocument/2006/relationships/hyperlink" Target="https://drive.google.com/drive/folders/15e_TY5H0gN4pjWPGfB67XRnrYYSCg665" TargetMode="External"/><Relationship Id="rId5273" Type="http://schemas.openxmlformats.org/officeDocument/2006/relationships/hyperlink" Target="https://drive.google.com/drive/folders/18_tfPGd95VVOI5EybwheloTEw2p-9vjM" TargetMode="External"/><Relationship Id="rId5274" Type="http://schemas.openxmlformats.org/officeDocument/2006/relationships/hyperlink" Target="https://github.com/raydak-labs/configarr/issues/297" TargetMode="External"/><Relationship Id="rId5271" Type="http://schemas.openxmlformats.org/officeDocument/2006/relationships/hyperlink" Target="https://github.com/randombit/botan/issues/4541" TargetMode="External"/><Relationship Id="rId5272" Type="http://schemas.openxmlformats.org/officeDocument/2006/relationships/hyperlink" Target="https://drive.google.com/drive/folders/1Qg2gvMi8LHCGs_9tKCL1CK4i8gjno5zr" TargetMode="External"/><Relationship Id="rId5277" Type="http://schemas.openxmlformats.org/officeDocument/2006/relationships/hyperlink" Target="https://github.com/RayLabsHQ/gitea-mirror/issues/121" TargetMode="External"/><Relationship Id="rId5278" Type="http://schemas.openxmlformats.org/officeDocument/2006/relationships/hyperlink" Target="https://drive.google.com/drive/folders/1tdq6m_DwDnmc49h39LwcIYUzsoORnr99" TargetMode="External"/><Relationship Id="rId5275" Type="http://schemas.openxmlformats.org/officeDocument/2006/relationships/hyperlink" Target="https://drive.google.com/drive/folders/1QZugEyKAb9jViyL6aCF9ygZQjHCfT_HL" TargetMode="External"/><Relationship Id="rId5276" Type="http://schemas.openxmlformats.org/officeDocument/2006/relationships/hyperlink" Target="https://drive.google.com/drive/folders/1ZgEqIV9KIGk_uhNjhXSZP76fzqv7x0F8" TargetMode="External"/><Relationship Id="rId5279" Type="http://schemas.openxmlformats.org/officeDocument/2006/relationships/hyperlink" Target="https://github.com/react-dropzone/file-selector/issues/99" TargetMode="External"/><Relationship Id="rId5262" Type="http://schemas.openxmlformats.org/officeDocument/2006/relationships/hyperlink" Target="https://github.com/QuantEcon/QuantEcon.py/issues/805" TargetMode="External"/><Relationship Id="rId5263" Type="http://schemas.openxmlformats.org/officeDocument/2006/relationships/hyperlink" Target="https://drive.google.com/drive/folders/1e_VQzGIbwBBJshVw3vL7EK81VC4rwHNx" TargetMode="External"/><Relationship Id="rId5260" Type="http://schemas.openxmlformats.org/officeDocument/2006/relationships/hyperlink" Target="https://github.com/qmuntal/stateless/issues/92" TargetMode="External"/><Relationship Id="rId5261" Type="http://schemas.openxmlformats.org/officeDocument/2006/relationships/hyperlink" Target="https://drive.google.com/drive/folders/1q4y5JMCerfCL_PnrYlY7AgllC512AtkT" TargetMode="External"/><Relationship Id="rId5266" Type="http://schemas.openxmlformats.org/officeDocument/2006/relationships/hyperlink" Target="https://drive.google.com/drive/folders/1yeQr90kzhoowtFXsiPmmqx_V5KaY-9lu" TargetMode="External"/><Relationship Id="rId5267" Type="http://schemas.openxmlformats.org/officeDocument/2006/relationships/hyperlink" Target="https://github.com/rails-inspire-django/django-viewcomponent/issues/20" TargetMode="External"/><Relationship Id="rId5264" Type="http://schemas.openxmlformats.org/officeDocument/2006/relationships/hyperlink" Target="https://drive.google.com/drive/folders/1aP7Kpsol237XWQn4FfnGyQC8iRz4mRIW" TargetMode="External"/><Relationship Id="rId5265" Type="http://schemas.openxmlformats.org/officeDocument/2006/relationships/hyperlink" Target="https://github.com/rack/rack/issues/2351" TargetMode="External"/><Relationship Id="rId5268" Type="http://schemas.openxmlformats.org/officeDocument/2006/relationships/hyperlink" Target="https://drive.google.com/drive/folders/1GMSXlmYw7fzLNM4nNvOyElKXDzeY_Ldq" TargetMode="External"/><Relationship Id="rId5269" Type="http://schemas.openxmlformats.org/officeDocument/2006/relationships/hyperlink" Target="https://github.com/rake-compiler/rake-compiler-dock/issues/150" TargetMode="External"/><Relationship Id="rId5219" Type="http://schemas.openxmlformats.org/officeDocument/2006/relationships/hyperlink" Target="https://github.com/pydata/xarray/issues/10598" TargetMode="External"/><Relationship Id="rId5217" Type="http://schemas.openxmlformats.org/officeDocument/2006/relationships/hyperlink" Target="https://drive.google.com/drive/folders/1ZP-enDLRAyTr_VsMs9v7fHb4t7611smc" TargetMode="External"/><Relationship Id="rId5218" Type="http://schemas.openxmlformats.org/officeDocument/2006/relationships/hyperlink" Target="https://drive.google.com/drive/folders/1o6OUuX5epeJnEUhyugAbJ-BTOJIb97ka" TargetMode="External"/><Relationship Id="rId392" Type="http://schemas.openxmlformats.org/officeDocument/2006/relationships/hyperlink" Target="https://github.com/aseprite/aseprite/issues/4211" TargetMode="External"/><Relationship Id="rId391" Type="http://schemas.openxmlformats.org/officeDocument/2006/relationships/hyperlink" Target="https://drive.google.com/drive/folders/1uCl8il9DaT_8rd92R3eW1z2JoluE8F4r" TargetMode="External"/><Relationship Id="rId390" Type="http://schemas.openxmlformats.org/officeDocument/2006/relationships/hyperlink" Target="https://github.com/ascopes/protobuf-maven-plugin/issues/763" TargetMode="External"/><Relationship Id="rId2180" Type="http://schemas.openxmlformats.org/officeDocument/2006/relationships/hyperlink" Target="https://github.com/kubernetes-sigs/jobset/issues/740" TargetMode="External"/><Relationship Id="rId2181" Type="http://schemas.openxmlformats.org/officeDocument/2006/relationships/hyperlink" Target="https://drive.google.com/drive/folders/1ntEnIPKfSwT2bzXoGH_GKAV2u5Q-AVDG" TargetMode="External"/><Relationship Id="rId2182" Type="http://schemas.openxmlformats.org/officeDocument/2006/relationships/hyperlink" Target="https://github.com/kubernetes-sigs/kube-api-linter/issues/41" TargetMode="External"/><Relationship Id="rId2183" Type="http://schemas.openxmlformats.org/officeDocument/2006/relationships/hyperlink" Target="https://drive.google.com/drive/folders/1yzWFymFg7E-Dk7hyC8npiv_H66yiOADo" TargetMode="External"/><Relationship Id="rId385" Type="http://schemas.openxmlformats.org/officeDocument/2006/relationships/hyperlink" Target="https://github.com/aristanetworks/avd/issues/5434" TargetMode="External"/><Relationship Id="rId2184" Type="http://schemas.openxmlformats.org/officeDocument/2006/relationships/hyperlink" Target="https://github.com/kubernetes-sigs/kube-api-linter/issues/85" TargetMode="External"/><Relationship Id="rId5211" Type="http://schemas.openxmlformats.org/officeDocument/2006/relationships/hyperlink" Target="https://drive.google.com/drive/folders/1eqXpcl7RBNnbxcO1wbzYWntYA495a3eL" TargetMode="External"/><Relationship Id="rId384" Type="http://schemas.openxmlformats.org/officeDocument/2006/relationships/hyperlink" Target="https://drive.google.com/drive/folders/1cxXpcd_7FQ4eN1zRRhkaTUPM9m4AAU3u" TargetMode="External"/><Relationship Id="rId2185" Type="http://schemas.openxmlformats.org/officeDocument/2006/relationships/hyperlink" Target="https://drive.google.com/drive/folders/1DrZ30G_f-CwWkgHNf9VznT2IE7HUM1WE" TargetMode="External"/><Relationship Id="rId5212" Type="http://schemas.openxmlformats.org/officeDocument/2006/relationships/hyperlink" Target="https://drive.google.com/drive/folders/16RL90YxkHGF3ZW8eVLuxvubXzimkEqCT" TargetMode="External"/><Relationship Id="rId383" Type="http://schemas.openxmlformats.org/officeDocument/2006/relationships/hyperlink" Target="https://drive.google.com/drive/folders/1Fj8CBZo4z44p7CtDmVknivXINPzAnGP7" TargetMode="External"/><Relationship Id="rId2186" Type="http://schemas.openxmlformats.org/officeDocument/2006/relationships/hyperlink" Target="https://github.com/kubernetes-sigs/kueue/issues/6906" TargetMode="External"/><Relationship Id="rId382" Type="http://schemas.openxmlformats.org/officeDocument/2006/relationships/hyperlink" Target="https://github.com/argoproj/argo-workflows/issues/11707" TargetMode="External"/><Relationship Id="rId2187" Type="http://schemas.openxmlformats.org/officeDocument/2006/relationships/hyperlink" Target="https://drive.google.com/drive/folders/1yJhOFW3ZrEPMgU3KMhWK00MHsGLZOq1e" TargetMode="External"/><Relationship Id="rId5210" Type="http://schemas.openxmlformats.org/officeDocument/2006/relationships/hyperlink" Target="https://github.com/pydantic/pydantic-ai/issues/1642" TargetMode="External"/><Relationship Id="rId389" Type="http://schemas.openxmlformats.org/officeDocument/2006/relationships/hyperlink" Target="https://drive.google.com/drive/folders/17FV7VW5WLUOAFfXvViYPScpP8uTr5vam" TargetMode="External"/><Relationship Id="rId2188" Type="http://schemas.openxmlformats.org/officeDocument/2006/relationships/hyperlink" Target="https://github.com/kubernetes/kubernetes/issues/130599" TargetMode="External"/><Relationship Id="rId5215" Type="http://schemas.openxmlformats.org/officeDocument/2006/relationships/hyperlink" Target="https://drive.google.com/drive/folders/1mb8Fzqn5higsnfUEdY7HkG08Z2quCVTl" TargetMode="External"/><Relationship Id="rId388" Type="http://schemas.openxmlformats.org/officeDocument/2006/relationships/hyperlink" Target="https://drive.google.com/drive/folders/1Ax6IDWGhSLTDYhksJVA1v_cARObJY74Y" TargetMode="External"/><Relationship Id="rId2189" Type="http://schemas.openxmlformats.org/officeDocument/2006/relationships/hyperlink" Target="https://drive.google.com/drive/folders/1NuDJuXag2mJYvbARfW6jZv9vA2IvwzCV" TargetMode="External"/><Relationship Id="rId5216" Type="http://schemas.openxmlformats.org/officeDocument/2006/relationships/hyperlink" Target="https://github.com/pydap/pydap/issues/530" TargetMode="External"/><Relationship Id="rId387" Type="http://schemas.openxmlformats.org/officeDocument/2006/relationships/hyperlink" Target="https://github.com/aristanetworks/avd/issues/5570" TargetMode="External"/><Relationship Id="rId5213" Type="http://schemas.openxmlformats.org/officeDocument/2006/relationships/hyperlink" Target="https://github.com/pydap/pydap/issues/554" TargetMode="External"/><Relationship Id="rId386" Type="http://schemas.openxmlformats.org/officeDocument/2006/relationships/hyperlink" Target="https://drive.google.com/drive/folders/15S9FAbHxIbWw2jzho1fHrZNuXqhee9WD" TargetMode="External"/><Relationship Id="rId5214" Type="http://schemas.openxmlformats.org/officeDocument/2006/relationships/hyperlink" Target="https://drive.google.com/drive/folders/1HHEZitNVRh02vYhNbUSX-rKsYXEQFqdz" TargetMode="External"/><Relationship Id="rId5208" Type="http://schemas.openxmlformats.org/officeDocument/2006/relationships/hyperlink" Target="https://github.com/pydantic/pydantic-ai/issues/2060" TargetMode="External"/><Relationship Id="rId5209" Type="http://schemas.openxmlformats.org/officeDocument/2006/relationships/hyperlink" Target="https://drive.google.com/drive/folders/1BMuTldADUllRICmB-JZPEGz0J1nYtfOR" TargetMode="External"/><Relationship Id="rId5206" Type="http://schemas.openxmlformats.org/officeDocument/2006/relationships/hyperlink" Target="https://drive.google.com/drive/folders/1OqzZrPUkluXO_KUBX2vLsN3ZtlVjcibw" TargetMode="External"/><Relationship Id="rId5207" Type="http://schemas.openxmlformats.org/officeDocument/2006/relationships/hyperlink" Target="https://drive.google.com/drive/folders/1AmQ9SMioF40Yk6ZGg_SWIOpNPm0oV7Ta" TargetMode="External"/><Relationship Id="rId381" Type="http://schemas.openxmlformats.org/officeDocument/2006/relationships/hyperlink" Target="https://drive.google.com/drive/folders/138GAP-fBkHwC69VQmOmHoBH8LbGJr9Lz" TargetMode="External"/><Relationship Id="rId380" Type="http://schemas.openxmlformats.org/officeDocument/2006/relationships/hyperlink" Target="https://drive.google.com/drive/folders/1Umk1ONO0o5OzWTzQhLqt-6Xxn_2V9Hu6" TargetMode="External"/><Relationship Id="rId379" Type="http://schemas.openxmlformats.org/officeDocument/2006/relationships/hyperlink" Target="https://github.com/argoproj/argo-cd/issues/23999" TargetMode="External"/><Relationship Id="rId2170" Type="http://schemas.openxmlformats.org/officeDocument/2006/relationships/hyperlink" Target="https://drive.google.com/drive/folders/1ZPMVH_GdtllkUmSOlw0kaTDGITc2XCz5" TargetMode="External"/><Relationship Id="rId2171" Type="http://schemas.openxmlformats.org/officeDocument/2006/relationships/hyperlink" Target="https://github.com/Kuadrant/kuadrant-operator/issues/1379" TargetMode="External"/><Relationship Id="rId2172" Type="http://schemas.openxmlformats.org/officeDocument/2006/relationships/hyperlink" Target="https://drive.google.com/drive/folders/1EpNFc6cDawgkahz5XhZiOWkRCm-IjxLC" TargetMode="External"/><Relationship Id="rId374" Type="http://schemas.openxmlformats.org/officeDocument/2006/relationships/hyperlink" Target="https://drive.google.com/drive/folders/1re76_H2oeO_P9Q3Yrn3ZNjY55Uqb4ozL" TargetMode="External"/><Relationship Id="rId2173" Type="http://schemas.openxmlformats.org/officeDocument/2006/relationships/hyperlink" Target="https://github.com/kubb-labs/kubb/issues/2394" TargetMode="External"/><Relationship Id="rId5200" Type="http://schemas.openxmlformats.org/officeDocument/2006/relationships/hyperlink" Target="https://github.com/py-pdf/pypdf/issues/3374" TargetMode="External"/><Relationship Id="rId373" Type="http://schemas.openxmlformats.org/officeDocument/2006/relationships/hyperlink" Target="https://github.com/aregtech/areg-sdk/issues/389" TargetMode="External"/><Relationship Id="rId2174" Type="http://schemas.openxmlformats.org/officeDocument/2006/relationships/hyperlink" Target="https://drive.google.com/drive/folders/1pc7SPf0Wjc1J7Rp_rT92Y-0eQUInrSjq" TargetMode="External"/><Relationship Id="rId5201" Type="http://schemas.openxmlformats.org/officeDocument/2006/relationships/hyperlink" Target="https://drive.google.com/drive/folders/1B_gtwsZksSf_MpO4NeLnEnTOz8QE1hLU" TargetMode="External"/><Relationship Id="rId372" Type="http://schemas.openxmlformats.org/officeDocument/2006/relationships/hyperlink" Target="https://drive.google.com/drive/folders/1hzmHzk3huJQTslK2qK96rahvoVvFWwa9" TargetMode="External"/><Relationship Id="rId2175" Type="http://schemas.openxmlformats.org/officeDocument/2006/relationships/hyperlink" Target="https://drive.google.com/drive/folders/1dX3t-EGSH0dyBHnB_vRksHUy3bLbGMeB" TargetMode="External"/><Relationship Id="rId371" Type="http://schemas.openxmlformats.org/officeDocument/2006/relationships/hyperlink" Target="https://github.com/aregtech/areg-sdk/issues/471" TargetMode="External"/><Relationship Id="rId2176" Type="http://schemas.openxmlformats.org/officeDocument/2006/relationships/hyperlink" Target="https://github.com/kubernetes-sigs/aws-ebs-csi-driver/issues/2467" TargetMode="External"/><Relationship Id="rId378" Type="http://schemas.openxmlformats.org/officeDocument/2006/relationships/hyperlink" Target="https://drive.google.com/drive/folders/1pR3xSvo8CtA2yXUcBkSxIib0dXf1DsGl" TargetMode="External"/><Relationship Id="rId2177" Type="http://schemas.openxmlformats.org/officeDocument/2006/relationships/hyperlink" Target="https://drive.google.com/drive/folders/1gijpPd-rMdTURMnsfHsQiWTQiY49ekvK" TargetMode="External"/><Relationship Id="rId5204" Type="http://schemas.openxmlformats.org/officeDocument/2006/relationships/hyperlink" Target="https://drive.google.com/drive/folders/1_4qzLZWt26JCgirHgtBkGkePIjTdVHDW" TargetMode="External"/><Relationship Id="rId377" Type="http://schemas.openxmlformats.org/officeDocument/2006/relationships/hyperlink" Target="https://github.com/argoproj-labs/rollouts-plugin-trafficrouter-gatewayapi/issues/146" TargetMode="External"/><Relationship Id="rId2178" Type="http://schemas.openxmlformats.org/officeDocument/2006/relationships/hyperlink" Target="https://github.com/kubernetes-sigs/cluster-api-provider-azure/issues/5509" TargetMode="External"/><Relationship Id="rId5205" Type="http://schemas.openxmlformats.org/officeDocument/2006/relationships/hyperlink" Target="https://github.com/pydantic/pydantic-ai/issues/629" TargetMode="External"/><Relationship Id="rId376" Type="http://schemas.openxmlformats.org/officeDocument/2006/relationships/hyperlink" Target="https://drive.google.com/drive/folders/1o06fmFymbSNz6LXsxeIwMZa64pnN0ksd" TargetMode="External"/><Relationship Id="rId2179" Type="http://schemas.openxmlformats.org/officeDocument/2006/relationships/hyperlink" Target="https://drive.google.com/drive/folders/1R9cZdwv1KUq3R6yTkQiJT7eHMrUzDgQz" TargetMode="External"/><Relationship Id="rId5202" Type="http://schemas.openxmlformats.org/officeDocument/2006/relationships/hyperlink" Target="https://drive.google.com/drive/folders/1ZazW7TNlaC49uSen6lgDu9yMVo1PctXd" TargetMode="External"/><Relationship Id="rId375" Type="http://schemas.openxmlformats.org/officeDocument/2006/relationships/hyperlink" Target="https://github.com/argoproj-labs/gitops-promoter/issues/102" TargetMode="External"/><Relationship Id="rId5203" Type="http://schemas.openxmlformats.org/officeDocument/2006/relationships/hyperlink" Target="https://github.com/pybamm-team/PyBaMM/issues/5113" TargetMode="External"/><Relationship Id="rId5239" Type="http://schemas.openxmlformats.org/officeDocument/2006/relationships/hyperlink" Target="https://drive.google.com/drive/folders/1Qr7u4U0WIMQl73bHsCQOvE-pDMoSduUd" TargetMode="External"/><Relationship Id="rId5230" Type="http://schemas.openxmlformats.org/officeDocument/2006/relationships/hyperlink" Target="https://drive.google.com/drive/folders/1WvHykbpVi_9NgsdNcymhj_obNHemvPs7" TargetMode="External"/><Relationship Id="rId5233" Type="http://schemas.openxmlformats.org/officeDocument/2006/relationships/hyperlink" Target="https://drive.google.com/drive/folders/1DOIYKsKfSJHmD0plXqFQLJEe1swUK5vG" TargetMode="External"/><Relationship Id="rId5234" Type="http://schemas.openxmlformats.org/officeDocument/2006/relationships/hyperlink" Target="https://github.com/pyro-ppl/numpyro/issues/1960" TargetMode="External"/><Relationship Id="rId5231" Type="http://schemas.openxmlformats.org/officeDocument/2006/relationships/hyperlink" Target="https://github.com/pypa/setuptools/issues/4870" TargetMode="External"/><Relationship Id="rId5232" Type="http://schemas.openxmlformats.org/officeDocument/2006/relationships/hyperlink" Target="https://drive.google.com/drive/folders/1H7Eb9F6cpwdlPx0TkhsZkVMHtHKV6HEJ" TargetMode="External"/><Relationship Id="rId5237" Type="http://schemas.openxmlformats.org/officeDocument/2006/relationships/hyperlink" Target="https://github.com/pythainlp/pythainlp/issues/998" TargetMode="External"/><Relationship Id="rId5238" Type="http://schemas.openxmlformats.org/officeDocument/2006/relationships/hyperlink" Target="https://drive.google.com/drive/folders/1Xr6_Nfh3868Ue2gRPnX8TnFu9YD80Gy-" TargetMode="External"/><Relationship Id="rId5235" Type="http://schemas.openxmlformats.org/officeDocument/2006/relationships/hyperlink" Target="https://drive.google.com/drive/folders/13vkGQoCzh0pgAl1gOMdge3Tg2AwWMYZW" TargetMode="External"/><Relationship Id="rId5236" Type="http://schemas.openxmlformats.org/officeDocument/2006/relationships/hyperlink" Target="https://drive.google.com/drive/folders/1rbeLoG10WHaO1z7nEOXGzbhyx8ERiaL2" TargetMode="External"/><Relationship Id="rId5228" Type="http://schemas.openxmlformats.org/officeDocument/2006/relationships/hyperlink" Target="https://github.com/pypa/build/issues/916" TargetMode="External"/><Relationship Id="rId5229" Type="http://schemas.openxmlformats.org/officeDocument/2006/relationships/hyperlink" Target="https://drive.google.com/drive/folders/1Xk951kXmhaZ13vNIZxlSTLGwJqvrfkIT" TargetMode="External"/><Relationship Id="rId2190" Type="http://schemas.openxmlformats.org/officeDocument/2006/relationships/hyperlink" Target="https://drive.google.com/drive/folders/1WFfUfG1RQVbIkZfJtfiSjaXRY-ynok3r" TargetMode="External"/><Relationship Id="rId2191" Type="http://schemas.openxmlformats.org/officeDocument/2006/relationships/hyperlink" Target="https://github.com/kubernetes/kubernetes/issues/130398" TargetMode="External"/><Relationship Id="rId2192" Type="http://schemas.openxmlformats.org/officeDocument/2006/relationships/hyperlink" Target="https://drive.google.com/drive/folders/13gWKI1LLXkWzMR-Ng9rl31QhZ7EWBQVa" TargetMode="External"/><Relationship Id="rId2193" Type="http://schemas.openxmlformats.org/officeDocument/2006/relationships/hyperlink" Target="https://drive.google.com/drive/folders/1OEU__Xa0FMcRRDkOOaEn-PUzJWv9htOr" TargetMode="External"/><Relationship Id="rId2194" Type="http://schemas.openxmlformats.org/officeDocument/2006/relationships/hyperlink" Target="https://github.com/kubernetes/kubernetes/issues/130720" TargetMode="External"/><Relationship Id="rId396" Type="http://schemas.openxmlformats.org/officeDocument/2006/relationships/hyperlink" Target="https://drive.google.com/drive/folders/1baKGsduA4NJTsOUpGXyfeND9qfuK2kDM" TargetMode="External"/><Relationship Id="rId2195" Type="http://schemas.openxmlformats.org/officeDocument/2006/relationships/hyperlink" Target="https://github.com/kubernetes/kubernetes/issues/132430" TargetMode="External"/><Relationship Id="rId5222" Type="http://schemas.openxmlformats.org/officeDocument/2006/relationships/hyperlink" Target="https://github.com/pyjanitor-devs/pyjanitor/issues/1444" TargetMode="External"/><Relationship Id="rId395" Type="http://schemas.openxmlformats.org/officeDocument/2006/relationships/hyperlink" Target="https://github.com/aseprite/aseprite/issues/4643" TargetMode="External"/><Relationship Id="rId2196" Type="http://schemas.openxmlformats.org/officeDocument/2006/relationships/hyperlink" Target="https://drive.google.com/drive/folders/126GI6Ol9MbgTj0AL94AsMGY7taIqjoNc" TargetMode="External"/><Relationship Id="rId5223" Type="http://schemas.openxmlformats.org/officeDocument/2006/relationships/hyperlink" Target="https://drive.google.com/drive/folders/1IVkyHkg5fT7m00wCEIjF-VMnIhJf2Y9V" TargetMode="External"/><Relationship Id="rId394" Type="http://schemas.openxmlformats.org/officeDocument/2006/relationships/hyperlink" Target="https://drive.google.com/drive/folders/1TwHrgBN7r0lBdiT9FhKN_4GuWHIamAHB" TargetMode="External"/><Relationship Id="rId2197" Type="http://schemas.openxmlformats.org/officeDocument/2006/relationships/hyperlink" Target="https://drive.google.com/drive/folders/1UseVpFOpxdsx-KFmyUipkn4pgiXdumIT" TargetMode="External"/><Relationship Id="rId5220" Type="http://schemas.openxmlformats.org/officeDocument/2006/relationships/hyperlink" Target="https://github.com/pydy/pydy/issues/525" TargetMode="External"/><Relationship Id="rId393" Type="http://schemas.openxmlformats.org/officeDocument/2006/relationships/hyperlink" Target="https://drive.google.com/drive/folders/1oLsi9BxVgWFREq82UYAiU8Rr2pWtXMxs" TargetMode="External"/><Relationship Id="rId2198" Type="http://schemas.openxmlformats.org/officeDocument/2006/relationships/hyperlink" Target="https://github.com/kuzmoyev/google-calendar-simple-api/issues/207" TargetMode="External"/><Relationship Id="rId5221" Type="http://schemas.openxmlformats.org/officeDocument/2006/relationships/hyperlink" Target="https://drive.google.com/drive/folders/1_1zslWSD7F4yIGsbR6EKlkAeeZ7LXG3p" TargetMode="External"/><Relationship Id="rId2199" Type="http://schemas.openxmlformats.org/officeDocument/2006/relationships/hyperlink" Target="https://drive.google.com/drive/folders/1A2OorGNEuiKgbU7i1NUZCKoaeM5SMQ4M" TargetMode="External"/><Relationship Id="rId5226" Type="http://schemas.openxmlformats.org/officeDocument/2006/relationships/hyperlink" Target="https://drive.google.com/drive/folders/1yAmF5N9zPrWeK0mfxGCe_Ocj1B3lvLvI" TargetMode="External"/><Relationship Id="rId399" Type="http://schemas.openxmlformats.org/officeDocument/2006/relationships/hyperlink" Target="https://drive.google.com/drive/folders/15Fi0XJtQ8OJ2EoHS68pioSybr1U31Oz_" TargetMode="External"/><Relationship Id="rId5227" Type="http://schemas.openxmlformats.org/officeDocument/2006/relationships/hyperlink" Target="https://drive.google.com/drive/folders/13sYxyygqaK_Psm_RCBJ_7MuTC0uoCiMv" TargetMode="External"/><Relationship Id="rId398" Type="http://schemas.openxmlformats.org/officeDocument/2006/relationships/hyperlink" Target="https://github.com/asgardeo/thunder/issues/238" TargetMode="External"/><Relationship Id="rId5224" Type="http://schemas.openxmlformats.org/officeDocument/2006/relationships/hyperlink" Target="https://drive.google.com/drive/folders/1bIbNfesYobkPguNN0Yop1uQvag7gFtFY" TargetMode="External"/><Relationship Id="rId397" Type="http://schemas.openxmlformats.org/officeDocument/2006/relationships/hyperlink" Target="https://drive.google.com/drive/folders/1ZZxcIAzvMh5OtHugaOyd_7oavGmXlNGl" TargetMode="External"/><Relationship Id="rId5225" Type="http://schemas.openxmlformats.org/officeDocument/2006/relationships/hyperlink" Target="https://github.com/Pyomo/pyomo/issues/3577" TargetMode="External"/><Relationship Id="rId1730" Type="http://schemas.openxmlformats.org/officeDocument/2006/relationships/hyperlink" Target="https://drive.google.com/drive/folders/1Up2jY9nzXUP_jHmBzW_xDMv-qYwvJpOs" TargetMode="External"/><Relationship Id="rId1731" Type="http://schemas.openxmlformats.org/officeDocument/2006/relationships/hyperlink" Target="https://github.com/hierynomus/sshj/issues/861" TargetMode="External"/><Relationship Id="rId1732" Type="http://schemas.openxmlformats.org/officeDocument/2006/relationships/hyperlink" Target="https://drive.google.com/drive/folders/1J1U-0pkIJQEUgXn4yxk1NruCJ1ZYUErF" TargetMode="External"/><Relationship Id="rId1733" Type="http://schemas.openxmlformats.org/officeDocument/2006/relationships/hyperlink" Target="https://github.com/higher-kinded-j/higher-kinded-j/issues/321" TargetMode="External"/><Relationship Id="rId1734" Type="http://schemas.openxmlformats.org/officeDocument/2006/relationships/hyperlink" Target="https://drive.google.com/drive/folders/1r0WlYtWzUEkcJ73VZfBe2VGNf-7xMHv6" TargetMode="External"/><Relationship Id="rId1735" Type="http://schemas.openxmlformats.org/officeDocument/2006/relationships/hyperlink" Target="https://github.com/higher-kinded-j/higher-kinded-j/issues/370" TargetMode="External"/><Relationship Id="rId1736" Type="http://schemas.openxmlformats.org/officeDocument/2006/relationships/hyperlink" Target="https://drive.google.com/drive/folders/1VIF-rBS5AdAUzglsEs0fR8ADgy2H6Hks" TargetMode="External"/><Relationship Id="rId1737" Type="http://schemas.openxmlformats.org/officeDocument/2006/relationships/hyperlink" Target="https://github.com/higher-kinded-j/higher-kinded-j/issues/183" TargetMode="External"/><Relationship Id="rId1738" Type="http://schemas.openxmlformats.org/officeDocument/2006/relationships/hyperlink" Target="https://drive.google.com/drive/folders/1YYCF7Ku2fAGJsJg51vKG52FdfY_Rbu31" TargetMode="External"/><Relationship Id="rId1739" Type="http://schemas.openxmlformats.org/officeDocument/2006/relationships/hyperlink" Target="https://github.com/hitobito/hitobito/issues/3407" TargetMode="External"/><Relationship Id="rId1720" Type="http://schemas.openxmlformats.org/officeDocument/2006/relationships/hyperlink" Target="https://drive.google.com/drive/folders/1a-isJAM-QH7lABg8_tZlvZOi_KtI6RtF" TargetMode="External"/><Relationship Id="rId1721" Type="http://schemas.openxmlformats.org/officeDocument/2006/relationships/hyperlink" Target="https://github.com/hiero-ledger/hiero-local-node/issues/868" TargetMode="External"/><Relationship Id="rId1722" Type="http://schemas.openxmlformats.org/officeDocument/2006/relationships/hyperlink" Target="https://drive.google.com/drive/folders/1MlgGlkcGnunr6hdF5FvaN9oC8auRnIub" TargetMode="External"/><Relationship Id="rId1723" Type="http://schemas.openxmlformats.org/officeDocument/2006/relationships/hyperlink" Target="https://github.com/hiero-ledger/hiero-mirror-node/issues/11245" TargetMode="External"/><Relationship Id="rId1724" Type="http://schemas.openxmlformats.org/officeDocument/2006/relationships/hyperlink" Target="https://drive.google.com/drive/folders/1FMyLxq-n8nL5bj2uduJqg8UI1hVZU3IY" TargetMode="External"/><Relationship Id="rId1725" Type="http://schemas.openxmlformats.org/officeDocument/2006/relationships/hyperlink" Target="https://github.com/hiero-ledger/hiero-mirror-node/issues/12117" TargetMode="External"/><Relationship Id="rId1726" Type="http://schemas.openxmlformats.org/officeDocument/2006/relationships/hyperlink" Target="https://drive.google.com/drive/folders/1OlhpiapUxTbu45-_xIsYCUn1NAFaHtpK" TargetMode="External"/><Relationship Id="rId1727" Type="http://schemas.openxmlformats.org/officeDocument/2006/relationships/hyperlink" Target="https://github.com/hiero-ledger/hiero-sdk-js/issues/3274" TargetMode="External"/><Relationship Id="rId1728" Type="http://schemas.openxmlformats.org/officeDocument/2006/relationships/hyperlink" Target="https://drive.google.com/drive/folders/1Geo2_WQ65gDJnd5g_x01OKI5IPGE9jkp" TargetMode="External"/><Relationship Id="rId1729" Type="http://schemas.openxmlformats.org/officeDocument/2006/relationships/hyperlink" Target="https://github.com/hiero-ledger/hiero-sdk-js/issues/3200" TargetMode="External"/><Relationship Id="rId1752" Type="http://schemas.openxmlformats.org/officeDocument/2006/relationships/hyperlink" Target="https://drive.google.com/drive/folders/191K7Itbc_LDamdzI05jZbgSZubIHcmEy" TargetMode="External"/><Relationship Id="rId1753" Type="http://schemas.openxmlformats.org/officeDocument/2006/relationships/hyperlink" Target="https://github.com/holoviz/panel/issues/7558" TargetMode="External"/><Relationship Id="rId1754" Type="http://schemas.openxmlformats.org/officeDocument/2006/relationships/hyperlink" Target="https://drive.google.com/drive/folders/1PP3lvjMjlq9OilpA3r5MoKgMiZT4nnY-" TargetMode="External"/><Relationship Id="rId1755" Type="http://schemas.openxmlformats.org/officeDocument/2006/relationships/hyperlink" Target="https://drive.google.com/drive/folders/1dSv_Gx1Z4OrNZNwHX89iOMZtDATY4Yzs" TargetMode="External"/><Relationship Id="rId1756" Type="http://schemas.openxmlformats.org/officeDocument/2006/relationships/hyperlink" Target="https://github.com/home-assistant/supervisor/issues/6179" TargetMode="External"/><Relationship Id="rId1757" Type="http://schemas.openxmlformats.org/officeDocument/2006/relationships/hyperlink" Target="https://github.com/honojs/hono/issues/3787" TargetMode="External"/><Relationship Id="rId1758" Type="http://schemas.openxmlformats.org/officeDocument/2006/relationships/hyperlink" Target="https://drive.google.com/drive/folders/17qSMVsz4LdBOhVU3W3CBS9mclNLjunQT" TargetMode="External"/><Relationship Id="rId1759" Type="http://schemas.openxmlformats.org/officeDocument/2006/relationships/hyperlink" Target="https://drive.google.com/drive/folders/1F58We-Amj-z0Kgvf7h8kO3RfB-iz2Tcr" TargetMode="External"/><Relationship Id="rId1750" Type="http://schemas.openxmlformats.org/officeDocument/2006/relationships/hyperlink" Target="https://github.com/holoviz/panel/issues/7406" TargetMode="External"/><Relationship Id="rId1751" Type="http://schemas.openxmlformats.org/officeDocument/2006/relationships/hyperlink" Target="https://drive.google.com/drive/folders/1F1PJ1W3tP5PiEBXySX8BilvVVnYNZgn-" TargetMode="External"/><Relationship Id="rId1741" Type="http://schemas.openxmlformats.org/officeDocument/2006/relationships/hyperlink" Target="https://github.com/hluk/CopyQ/issues/3159" TargetMode="External"/><Relationship Id="rId1742" Type="http://schemas.openxmlformats.org/officeDocument/2006/relationships/hyperlink" Target="https://drive.google.com/drive/folders/1-_3NltchzNgnzRhjaJ-yMDiPDLtdWFxD" TargetMode="External"/><Relationship Id="rId1743" Type="http://schemas.openxmlformats.org/officeDocument/2006/relationships/hyperlink" Target="https://github.com/hmatuschek/qdmr/issues/651" TargetMode="External"/><Relationship Id="rId1744" Type="http://schemas.openxmlformats.org/officeDocument/2006/relationships/hyperlink" Target="https://drive.google.com/drive/folders/1F7VqSSqEYkuCPaEklq-0rbEvc8Ch_cIa" TargetMode="External"/><Relationship Id="rId1745" Type="http://schemas.openxmlformats.org/officeDocument/2006/relationships/hyperlink" Target="https://github.com/hngprojects/hng_boilerplate_csharp_web/issues/424" TargetMode="External"/><Relationship Id="rId1746" Type="http://schemas.openxmlformats.org/officeDocument/2006/relationships/hyperlink" Target="https://drive.google.com/drive/folders/1H0oeAMrh6FQMeesXR5Z8wAaBWtKHGDkq" TargetMode="External"/><Relationship Id="rId1747" Type="http://schemas.openxmlformats.org/officeDocument/2006/relationships/hyperlink" Target="https://drive.google.com/drive/folders/1MKm2e1RRmU9QnYZ9817lTmzEPg2FlvlW" TargetMode="External"/><Relationship Id="rId1748" Type="http://schemas.openxmlformats.org/officeDocument/2006/relationships/hyperlink" Target="https://github.com/hngprojects/hng_boilerplate_java_web/issues/693" TargetMode="External"/><Relationship Id="rId1749" Type="http://schemas.openxmlformats.org/officeDocument/2006/relationships/hyperlink" Target="https://drive.google.com/drive/folders/1QK5Or3EpZv1AxAKLhgTgZSzv9NkGbwzo" TargetMode="External"/><Relationship Id="rId1740" Type="http://schemas.openxmlformats.org/officeDocument/2006/relationships/hyperlink" Target="https://drive.google.com/drive/folders/1UjSkbYeLpVAkYuIQE9w3ZEbW_64tgr2c" TargetMode="External"/><Relationship Id="rId5291" Type="http://schemas.openxmlformats.org/officeDocument/2006/relationships/hyperlink" Target="https://github.com/rjsf-team/react-jsonschema-form/issues/4352" TargetMode="External"/><Relationship Id="rId5292" Type="http://schemas.openxmlformats.org/officeDocument/2006/relationships/hyperlink" Target="https://drive.google.com/drive/folders/1YfaJbW3CiUh-EYgbpFnfW8dRSgrMklFW" TargetMode="External"/><Relationship Id="rId5290" Type="http://schemas.openxmlformats.org/officeDocument/2006/relationships/hyperlink" Target="https://drive.google.com/drive/folders/15AUgDQRmYizcx7WgXzhwOmkjnHYXpAeB" TargetMode="External"/><Relationship Id="rId5295" Type="http://schemas.openxmlformats.org/officeDocument/2006/relationships/hyperlink" Target="https://drive.google.com/drive/folders/1xlQoVVY9E30wEsQY0zcCfAIp3YD6w6ME" TargetMode="External"/><Relationship Id="rId5296" Type="http://schemas.openxmlformats.org/officeDocument/2006/relationships/hyperlink" Target="https://github.com/rubocop/rubocop/issues/13741" TargetMode="External"/><Relationship Id="rId5293" Type="http://schemas.openxmlformats.org/officeDocument/2006/relationships/hyperlink" Target="https://github.com/rqlite/rqlite/issues/2216" TargetMode="External"/><Relationship Id="rId5294" Type="http://schemas.openxmlformats.org/officeDocument/2006/relationships/hyperlink" Target="https://drive.google.com/drive/folders/1tuU8cCP4bAbyzuIoBJ2usre-u5oCK_I0" TargetMode="External"/><Relationship Id="rId5299" Type="http://schemas.openxmlformats.org/officeDocument/2006/relationships/hyperlink" Target="https://github.com/rubocop/rubocop/issues/13987" TargetMode="External"/><Relationship Id="rId5297" Type="http://schemas.openxmlformats.org/officeDocument/2006/relationships/hyperlink" Target="https://drive.google.com/drive/folders/16aj6QIp-cabWhwskphvAdwCyG7iXmXUb" TargetMode="External"/><Relationship Id="rId5298" Type="http://schemas.openxmlformats.org/officeDocument/2006/relationships/hyperlink" Target="https://drive.google.com/drive/folders/1go9xcg0xYjrmZCbOyPg_7YJQA4fUSvnx" TargetMode="External"/><Relationship Id="rId5280" Type="http://schemas.openxmlformats.org/officeDocument/2006/relationships/hyperlink" Target="https://drive.google.com/drive/folders/1W7dNHsShFP1jQvAC4tf-uMXHOXPZ05id" TargetMode="External"/><Relationship Id="rId5281" Type="http://schemas.openxmlformats.org/officeDocument/2006/relationships/hyperlink" Target="https://github.com/realm/SwiftLint/issues/6184" TargetMode="External"/><Relationship Id="rId5284" Type="http://schemas.openxmlformats.org/officeDocument/2006/relationships/hyperlink" Target="https://drive.google.com/drive/folders/1Aem_A8fD8apnNiKF2jI_k11Fx4eCLtov" TargetMode="External"/><Relationship Id="rId5285" Type="http://schemas.openxmlformats.org/officeDocument/2006/relationships/hyperlink" Target="https://drive.google.com/drive/folders/1GuK2qY6UsyNd3uGf7eVAztd9X54a1riP" TargetMode="External"/><Relationship Id="rId5282" Type="http://schemas.openxmlformats.org/officeDocument/2006/relationships/hyperlink" Target="https://drive.google.com/drive/folders/1rbL56-CS-U9Ndz0ar1DTsrzbtu3L69f0" TargetMode="External"/><Relationship Id="rId5283" Type="http://schemas.openxmlformats.org/officeDocument/2006/relationships/hyperlink" Target="https://github.com/reaper47/recipya/issues/470" TargetMode="External"/><Relationship Id="rId5288" Type="http://schemas.openxmlformats.org/officeDocument/2006/relationships/hyperlink" Target="https://github.com/renovatebot/renovate/issues/37697" TargetMode="External"/><Relationship Id="rId5289" Type="http://schemas.openxmlformats.org/officeDocument/2006/relationships/hyperlink" Target="https://drive.google.com/drive/folders/1Xtk0pmC3gE4dLkiqDykxLGGvMefwMPXQ" TargetMode="External"/><Relationship Id="rId5286" Type="http://schemas.openxmlformats.org/officeDocument/2006/relationships/hyperlink" Target="https://github.com/reframe-hpc/reframe/issues/3464" TargetMode="External"/><Relationship Id="rId5287" Type="http://schemas.openxmlformats.org/officeDocument/2006/relationships/hyperlink" Target="https://drive.google.com/drive/folders/1aOOtFBDq9V3naZMJm2tJPHtdz8aQ2y9r" TargetMode="External"/><Relationship Id="rId1710" Type="http://schemas.openxmlformats.org/officeDocument/2006/relationships/hyperlink" Target="https://github.com/HiDeoo/starlight-links-validator/issues/100" TargetMode="External"/><Relationship Id="rId1711" Type="http://schemas.openxmlformats.org/officeDocument/2006/relationships/hyperlink" Target="https://drive.google.com/drive/folders/17PUf1japv_nxkve2gJA8gZ74Rz54ksE7" TargetMode="External"/><Relationship Id="rId1712" Type="http://schemas.openxmlformats.org/officeDocument/2006/relationships/hyperlink" Target="https://github.com/hiero-ledger/hiero-consensus-node/issues/23014" TargetMode="External"/><Relationship Id="rId1713" Type="http://schemas.openxmlformats.org/officeDocument/2006/relationships/hyperlink" Target="https://drive.google.com/drive/folders/1Q0jvGXThKqkzREfe1cCP79fjbtnuG-c4" TargetMode="External"/><Relationship Id="rId1714" Type="http://schemas.openxmlformats.org/officeDocument/2006/relationships/hyperlink" Target="https://github.com/hiero-ledger/hiero-consensus-node/issues/22315" TargetMode="External"/><Relationship Id="rId1715" Type="http://schemas.openxmlformats.org/officeDocument/2006/relationships/hyperlink" Target="https://drive.google.com/drive/folders/1qhJicdNKCcT9Hos0gdkKVEoI8MpmiSbn" TargetMode="External"/><Relationship Id="rId1716" Type="http://schemas.openxmlformats.org/officeDocument/2006/relationships/hyperlink" Target="https://github.com/hiero-ledger/hiero-consensus-node/issues/22924" TargetMode="External"/><Relationship Id="rId1717" Type="http://schemas.openxmlformats.org/officeDocument/2006/relationships/hyperlink" Target="https://drive.google.com/drive/folders/1Itv2tyN-m4p-gEtPVGzboOM8QIPQmtF8" TargetMode="External"/><Relationship Id="rId1718" Type="http://schemas.openxmlformats.org/officeDocument/2006/relationships/hyperlink" Target="https://github.com/hiero-ledger/hiero-consensus-node/issues/22051" TargetMode="External"/><Relationship Id="rId1719" Type="http://schemas.openxmlformats.org/officeDocument/2006/relationships/hyperlink" Target="https://github.com/hiero-ledger/hiero-consensus-node/issues/21627" TargetMode="External"/><Relationship Id="rId1700" Type="http://schemas.openxmlformats.org/officeDocument/2006/relationships/hyperlink" Target="https://github.com/helidon-io/helidon/issues/10143" TargetMode="External"/><Relationship Id="rId1701" Type="http://schemas.openxmlformats.org/officeDocument/2006/relationships/hyperlink" Target="https://github.com/helm/helm/issues/31015" TargetMode="External"/><Relationship Id="rId1702" Type="http://schemas.openxmlformats.org/officeDocument/2006/relationships/hyperlink" Target="https://drive.google.com/drive/folders/1o2smN66ZztKXJ4S2SrK8ygxvU5tozvjf" TargetMode="External"/><Relationship Id="rId1703" Type="http://schemas.openxmlformats.org/officeDocument/2006/relationships/hyperlink" Target="https://github.com/helm/helm/issues/31295" TargetMode="External"/><Relationship Id="rId1704" Type="http://schemas.openxmlformats.org/officeDocument/2006/relationships/hyperlink" Target="https://drive.google.com/drive/folders/14BJRP1MH5yGnEpRtXby5iTgdtV2fIeTk" TargetMode="External"/><Relationship Id="rId1705" Type="http://schemas.openxmlformats.org/officeDocument/2006/relationships/hyperlink" Target="https://github.com/hetznercloud/cli/issues/1115" TargetMode="External"/><Relationship Id="rId1706" Type="http://schemas.openxmlformats.org/officeDocument/2006/relationships/hyperlink" Target="https://drive.google.com/drive/folders/16ELfXFS90KeaMpDqHJJ8f0_yntdfD3J5" TargetMode="External"/><Relationship Id="rId1707" Type="http://schemas.openxmlformats.org/officeDocument/2006/relationships/hyperlink" Target="https://github.com/hey-api/openapi-ts/issues/1512" TargetMode="External"/><Relationship Id="rId1708" Type="http://schemas.openxmlformats.org/officeDocument/2006/relationships/hyperlink" Target="https://drive.google.com/drive/folders/1mVlrZT3h4sIc39SbUhBynZ671Ro5VEJD" TargetMode="External"/><Relationship Id="rId1709" Type="http://schemas.openxmlformats.org/officeDocument/2006/relationships/hyperlink" Target="https://drive.google.com/drive/folders/1kh28ps12Ignwe2KUgTxF2kA583EbUTO9" TargetMode="External"/><Relationship Id="rId40" Type="http://schemas.openxmlformats.org/officeDocument/2006/relationships/hyperlink" Target="https://github.com/AArnott/Nerdbank.MessagePack/issues/47" TargetMode="External"/><Relationship Id="rId3513" Type="http://schemas.openxmlformats.org/officeDocument/2006/relationships/hyperlink" Target="https://drive.google.com/drive/folders/123dkwEYQl_GDz6tTXhSyPjctaZ-Co8x4" TargetMode="External"/><Relationship Id="rId4844" Type="http://schemas.openxmlformats.org/officeDocument/2006/relationships/hyperlink" Target="https://github.com/junit-team/junit-framework/issues/5186" TargetMode="External"/><Relationship Id="rId3512" Type="http://schemas.openxmlformats.org/officeDocument/2006/relationships/hyperlink" Target="https://drive.google.com/drive/folders/1ppYrB_dupSc1A2HKgqFyhQk_ZLmV0T_V" TargetMode="External"/><Relationship Id="rId4843" Type="http://schemas.openxmlformats.org/officeDocument/2006/relationships/hyperlink" Target="https://drive.google.com/drive/folders/11U7Z8aEyUO1iDXx6AacZrCR0F6zeiQ3l" TargetMode="External"/><Relationship Id="rId42" Type="http://schemas.openxmlformats.org/officeDocument/2006/relationships/hyperlink" Target="https://github.com/AArnott/Nerdbank.MessagePack/issues/310" TargetMode="External"/><Relationship Id="rId3515" Type="http://schemas.openxmlformats.org/officeDocument/2006/relationships/hyperlink" Target="https://drive.google.com/drive/folders/1avU-Q9sWpeo_pEw0h8-Ckp4Hy32qWwJN" TargetMode="External"/><Relationship Id="rId4846" Type="http://schemas.openxmlformats.org/officeDocument/2006/relationships/hyperlink" Target="https://github.com/junit-team/junit5/issues/4306" TargetMode="External"/><Relationship Id="rId41" Type="http://schemas.openxmlformats.org/officeDocument/2006/relationships/hyperlink" Target="https://drive.google.com/drive/folders/1JokOtx3-Ki6YJPZOCSX2_mQv9EMGN0UW" TargetMode="External"/><Relationship Id="rId3514" Type="http://schemas.openxmlformats.org/officeDocument/2006/relationships/hyperlink" Target="https://github.com/spring-projects-experimental/spring-ai-mcp/issues/40" TargetMode="External"/><Relationship Id="rId4845" Type="http://schemas.openxmlformats.org/officeDocument/2006/relationships/hyperlink" Target="https://drive.google.com/drive/folders/1qrCRJnWoyI4u-qMnDR9uZdeM-JN9-upJ" TargetMode="External"/><Relationship Id="rId44" Type="http://schemas.openxmlformats.org/officeDocument/2006/relationships/hyperlink" Target="https://github.com/aaronpowell/httpstatus/issues/164" TargetMode="External"/><Relationship Id="rId3517" Type="http://schemas.openxmlformats.org/officeDocument/2006/relationships/hyperlink" Target="https://drive.google.com/drive/folders/1T22LVkC6tJf_vtgLrG3vmwTrCp47AeH1" TargetMode="External"/><Relationship Id="rId4848" Type="http://schemas.openxmlformats.org/officeDocument/2006/relationships/hyperlink" Target="https://github.com/k1LoW/deck/issues/188" TargetMode="External"/><Relationship Id="rId43" Type="http://schemas.openxmlformats.org/officeDocument/2006/relationships/hyperlink" Target="https://drive.google.com/drive/folders/1DjEArdOkp93vsb_ocv0rq2IlGnCCq0gn" TargetMode="External"/><Relationship Id="rId3516" Type="http://schemas.openxmlformats.org/officeDocument/2006/relationships/hyperlink" Target="https://github.com/spring-projects/spring-integration/issues/10668" TargetMode="External"/><Relationship Id="rId4847" Type="http://schemas.openxmlformats.org/officeDocument/2006/relationships/hyperlink" Target="https://drive.google.com/drive/folders/1VW2Ogo7S1XmU1PT0ZRbxZNqpU_T9AYZa" TargetMode="External"/><Relationship Id="rId46" Type="http://schemas.openxmlformats.org/officeDocument/2006/relationships/hyperlink" Target="https://github.com/aaronriekenberg/rust-parallel/issues/37" TargetMode="External"/><Relationship Id="rId3519" Type="http://schemas.openxmlformats.org/officeDocument/2006/relationships/hyperlink" Target="https://drive.google.com/drive/folders/1EQJJ0t8XV947IE7NjvqwDNn4JM8B3VNB" TargetMode="External"/><Relationship Id="rId45" Type="http://schemas.openxmlformats.org/officeDocument/2006/relationships/hyperlink" Target="https://drive.google.com/drive/folders/130uJp-tA23Aw5bo9T4NeFnPnWtNO4fQJ" TargetMode="External"/><Relationship Id="rId3518" Type="http://schemas.openxmlformats.org/officeDocument/2006/relationships/hyperlink" Target="https://github.com/spring-projects/spring-integration/issues/10019" TargetMode="External"/><Relationship Id="rId4849" Type="http://schemas.openxmlformats.org/officeDocument/2006/relationships/hyperlink" Target="https://drive.google.com/drive/folders/1eYpq9Vw7rN5bjiqB8Lri5COFbOcZ3xe2" TargetMode="External"/><Relationship Id="rId48" Type="http://schemas.openxmlformats.org/officeDocument/2006/relationships/hyperlink" Target="https://github.com/AbdelrhmanHamouda/locust-k8s-operator/issues/237" TargetMode="External"/><Relationship Id="rId47" Type="http://schemas.openxmlformats.org/officeDocument/2006/relationships/hyperlink" Target="https://drive.google.com/drive/folders/1a2fTP5iT8k2WobmtuaJa7bqZb2wtV_2q" TargetMode="External"/><Relationship Id="rId49" Type="http://schemas.openxmlformats.org/officeDocument/2006/relationships/hyperlink" Target="https://drive.google.com/drive/folders/1_7KdK0OGTBEwNqbYSb5QE8YvuhBboKPi" TargetMode="External"/><Relationship Id="rId4840" Type="http://schemas.openxmlformats.org/officeDocument/2006/relationships/hyperlink" Target="https://github.com/Julien-R44/vite-plugin-validate-env/issues/36" TargetMode="External"/><Relationship Id="rId3511" Type="http://schemas.openxmlformats.org/officeDocument/2006/relationships/hyperlink" Target="https://github.com/spring-cloud/spring-cloud-gateway/issues/3782" TargetMode="External"/><Relationship Id="rId4842" Type="http://schemas.openxmlformats.org/officeDocument/2006/relationships/hyperlink" Target="https://github.com/junit-team/junit-framework/issues/4306" TargetMode="External"/><Relationship Id="rId3510" Type="http://schemas.openxmlformats.org/officeDocument/2006/relationships/hyperlink" Target="https://drive.google.com/drive/folders/1jqvJCctSFETFZVS451VShkjb5P_ER5fh" TargetMode="External"/><Relationship Id="rId4841" Type="http://schemas.openxmlformats.org/officeDocument/2006/relationships/hyperlink" Target="https://drive.google.com/drive/folders/12dKhrTQRRvcUeTyS6oXaYN8N7v-Eih6C" TargetMode="External"/><Relationship Id="rId3502" Type="http://schemas.openxmlformats.org/officeDocument/2006/relationships/hyperlink" Target="https://github.com/spiffe/spiffe-helper/issues/242" TargetMode="External"/><Relationship Id="rId4833" Type="http://schemas.openxmlformats.org/officeDocument/2006/relationships/hyperlink" Target="https://github.com/jspsych/jsPsych/issues/3426" TargetMode="External"/><Relationship Id="rId3501" Type="http://schemas.openxmlformats.org/officeDocument/2006/relationships/hyperlink" Target="https://drive.google.com/drive/folders/1Xru9rSW-JvZW6PAbUJzza-PqUlI4NF75" TargetMode="External"/><Relationship Id="rId4832" Type="http://schemas.openxmlformats.org/officeDocument/2006/relationships/hyperlink" Target="https://drive.google.com/drive/folders/1SdbKCBNmEQB3oqyArzOtZ9vB6L4Rajqx" TargetMode="External"/><Relationship Id="rId31" Type="http://schemas.openxmlformats.org/officeDocument/2006/relationships/hyperlink" Target="https://github.com/a2aproject/a2a-go/issues/60" TargetMode="External"/><Relationship Id="rId3504" Type="http://schemas.openxmlformats.org/officeDocument/2006/relationships/hyperlink" Target="https://github.com/spotbugs/spotbugs/issues/3709" TargetMode="External"/><Relationship Id="rId4835" Type="http://schemas.openxmlformats.org/officeDocument/2006/relationships/hyperlink" Target="https://github.com/juaAI/stationbench/issues/39" TargetMode="External"/><Relationship Id="rId30" Type="http://schemas.openxmlformats.org/officeDocument/2006/relationships/hyperlink" Target="https://drive.google.com/drive/folders/1GFvwzc02JgLrPpEnwFSHlW0AQ8jeBbLV" TargetMode="External"/><Relationship Id="rId3503" Type="http://schemas.openxmlformats.org/officeDocument/2006/relationships/hyperlink" Target="https://drive.google.com/drive/folders/1xSkQvmdITXywq7ewPe201jTHq2km2TiH" TargetMode="External"/><Relationship Id="rId4834" Type="http://schemas.openxmlformats.org/officeDocument/2006/relationships/hyperlink" Target="https://drive.google.com/drive/folders/1cZWnUkt5RapIrFe4Ra_bnIFV0QFJZRig" TargetMode="External"/><Relationship Id="rId33" Type="http://schemas.openxmlformats.org/officeDocument/2006/relationships/hyperlink" Target="https://github.com/a2aproject/a2a-js/issues/108" TargetMode="External"/><Relationship Id="rId3506" Type="http://schemas.openxmlformats.org/officeDocument/2006/relationships/hyperlink" Target="https://drive.google.com/drive/folders/1ganwdOFDY5Rt3v45kAqFb_cK57xwMt1N" TargetMode="External"/><Relationship Id="rId4837" Type="http://schemas.openxmlformats.org/officeDocument/2006/relationships/hyperlink" Target="https://github.com/juju/juju/issues/20287" TargetMode="External"/><Relationship Id="rId32" Type="http://schemas.openxmlformats.org/officeDocument/2006/relationships/hyperlink" Target="https://drive.google.com/drive/folders/1ILZhUUHBW5nHtkBsYY3HVvilx31bMtaz" TargetMode="External"/><Relationship Id="rId3505" Type="http://schemas.openxmlformats.org/officeDocument/2006/relationships/hyperlink" Target="https://drive.google.com/drive/folders/1Fj-9c1VCvg5sHY-3W-Qdu0DWEZbR8x24" TargetMode="External"/><Relationship Id="rId4836" Type="http://schemas.openxmlformats.org/officeDocument/2006/relationships/hyperlink" Target="https://drive.google.com/drive/folders/1xfpqBEpU34Jpl7t3Hsqc5ozM4I09W8eO" TargetMode="External"/><Relationship Id="rId35" Type="http://schemas.openxmlformats.org/officeDocument/2006/relationships/hyperlink" Target="https://github.com/a2aproject/a2a-python/issues/443" TargetMode="External"/><Relationship Id="rId3508" Type="http://schemas.openxmlformats.org/officeDocument/2006/relationships/hyperlink" Target="https://drive.google.com/drive/folders/1ss3B812WFi5YE3dU1xEvsNzDDQjFGiOO" TargetMode="External"/><Relationship Id="rId4839" Type="http://schemas.openxmlformats.org/officeDocument/2006/relationships/hyperlink" Target="https://drive.google.com/drive/folders/1rMinLyT0auFTefvM9ChJO1MueucWSj2Y" TargetMode="External"/><Relationship Id="rId34" Type="http://schemas.openxmlformats.org/officeDocument/2006/relationships/hyperlink" Target="https://drive.google.com/drive/folders/1CYXVodzlLkGzI_RhPGpDGHZoFagBfKm9" TargetMode="External"/><Relationship Id="rId3507" Type="http://schemas.openxmlformats.org/officeDocument/2006/relationships/hyperlink" Target="https://github.com/spotbugs/spotbugs/issues/3307" TargetMode="External"/><Relationship Id="rId4838" Type="http://schemas.openxmlformats.org/officeDocument/2006/relationships/hyperlink" Target="https://drive.google.com/drive/folders/1L4OXbudKREoJAalwZUIYtMFcGTaEiFvz" TargetMode="External"/><Relationship Id="rId3509" Type="http://schemas.openxmlformats.org/officeDocument/2006/relationships/hyperlink" Target="https://github.com/Spottarr/Spottarr/issues/90" TargetMode="External"/><Relationship Id="rId37" Type="http://schemas.openxmlformats.org/officeDocument/2006/relationships/hyperlink" Target="https://github.com/a2aproject/a2a-python/issues/104" TargetMode="External"/><Relationship Id="rId36" Type="http://schemas.openxmlformats.org/officeDocument/2006/relationships/hyperlink" Target="https://drive.google.com/drive/folders/15ueDoEAtkUiwJFozcO_aWwmgTe2IRcPr" TargetMode="External"/><Relationship Id="rId39" Type="http://schemas.openxmlformats.org/officeDocument/2006/relationships/hyperlink" Target="https://drive.google.com/drive/folders/1_oUxqGFVoszFKue8obAkt_2P-u-SYZRV" TargetMode="External"/><Relationship Id="rId38" Type="http://schemas.openxmlformats.org/officeDocument/2006/relationships/hyperlink" Target="https://drive.google.com/drive/folders/13yvx8L0dX9FfqiBRU9nRBZAoNaIUSL_S" TargetMode="External"/><Relationship Id="rId3500" Type="http://schemas.openxmlformats.org/officeDocument/2006/relationships/hyperlink" Target="https://github.com/SPARQL-Anything/sparql.anything/issues/605" TargetMode="External"/><Relationship Id="rId4831" Type="http://schemas.openxmlformats.org/officeDocument/2006/relationships/hyperlink" Target="https://github.com/jspsych/jsPsych/issues/2846" TargetMode="External"/><Relationship Id="rId4830" Type="http://schemas.openxmlformats.org/officeDocument/2006/relationships/hyperlink" Target="https://drive.google.com/drive/folders/1iJ2RBvEj_S3pDdlMsQsg2pEyKifAn8Kk" TargetMode="External"/><Relationship Id="rId2203" Type="http://schemas.openxmlformats.org/officeDocument/2006/relationships/hyperlink" Target="https://github.com/kwsch/PKHeX/issues/4482" TargetMode="External"/><Relationship Id="rId3535" Type="http://schemas.openxmlformats.org/officeDocument/2006/relationships/hyperlink" Target="https://drive.google.com/drive/folders/12etjFLMaYtnX9btwGPh5-AOUlN_fVEQI" TargetMode="External"/><Relationship Id="rId4866" Type="http://schemas.openxmlformats.org/officeDocument/2006/relationships/hyperlink" Target="https://drive.google.com/drive/folders/1tg8HJAp8ataOhRpJKjEy4veQUrN9utFO" TargetMode="External"/><Relationship Id="rId2204" Type="http://schemas.openxmlformats.org/officeDocument/2006/relationships/hyperlink" Target="https://drive.google.com/drive/folders/15ZMLUKTkpI2EOfRPZRxjxBSB02JnYRMU" TargetMode="External"/><Relationship Id="rId3534" Type="http://schemas.openxmlformats.org/officeDocument/2006/relationships/hyperlink" Target="https://github.com/sshnet/SSH.NET/issues/1543" TargetMode="External"/><Relationship Id="rId4865" Type="http://schemas.openxmlformats.org/officeDocument/2006/relationships/hyperlink" Target="https://drive.google.com/drive/folders/1EVMI5LumX24Nq12OIJvuHxylhPBGzByC" TargetMode="External"/><Relationship Id="rId20" Type="http://schemas.openxmlformats.org/officeDocument/2006/relationships/hyperlink" Target="https://drive.google.com/drive/folders/1ofb-sezKnj9eX-93_9Kto6V_x0Mh4y4N" TargetMode="External"/><Relationship Id="rId2205" Type="http://schemas.openxmlformats.org/officeDocument/2006/relationships/hyperlink" Target="https://github.com/KyoriPowered/adventure/issues/1161" TargetMode="External"/><Relationship Id="rId3537" Type="http://schemas.openxmlformats.org/officeDocument/2006/relationships/hyperlink" Target="https://drive.google.com/drive/folders/1uAKM96x5SX0OzIMFNfim9q4_KFwdJjgg" TargetMode="External"/><Relationship Id="rId4868" Type="http://schemas.openxmlformats.org/officeDocument/2006/relationships/hyperlink" Target="https://drive.google.com/drive/folders/11yCwrd88scBg6FJRhqLvvK-mNPgSqgOY" TargetMode="External"/><Relationship Id="rId2206" Type="http://schemas.openxmlformats.org/officeDocument/2006/relationships/hyperlink" Target="https://github.com/kyverno/policy-reporter/issues/913" TargetMode="External"/><Relationship Id="rId3536" Type="http://schemas.openxmlformats.org/officeDocument/2006/relationships/hyperlink" Target="https://github.com/sstsimulator/sst-core/issues/1108" TargetMode="External"/><Relationship Id="rId4867" Type="http://schemas.openxmlformats.org/officeDocument/2006/relationships/hyperlink" Target="https://github.com/kelektiv/node-cron/issues/959" TargetMode="External"/><Relationship Id="rId22" Type="http://schemas.openxmlformats.org/officeDocument/2006/relationships/hyperlink" Target="https://github.com/a-ghorbani/pocketpal-ai/issues/369" TargetMode="External"/><Relationship Id="rId2207" Type="http://schemas.openxmlformats.org/officeDocument/2006/relationships/hyperlink" Target="https://drive.google.com/drive/folders/1c2X5YCvKC5gEJO99jyjY-gGZ9rkdvmZC" TargetMode="External"/><Relationship Id="rId3539" Type="http://schemas.openxmlformats.org/officeDocument/2006/relationships/hyperlink" Target="https://drive.google.com/drive/folders/1fFpIhjkEIVG7MZzc3j0VN_KkK-mupV5J" TargetMode="External"/><Relationship Id="rId21" Type="http://schemas.openxmlformats.org/officeDocument/2006/relationships/hyperlink" Target="https://drive.google.com/drive/folders/1AmOtUUVT3O6mOkZYNjTWWlxN-tJSbp_s" TargetMode="External"/><Relationship Id="rId2208" Type="http://schemas.openxmlformats.org/officeDocument/2006/relationships/hyperlink" Target="https://github.com/l2beat/earl/issues/317" TargetMode="External"/><Relationship Id="rId3538" Type="http://schemas.openxmlformats.org/officeDocument/2006/relationships/hyperlink" Target="https://github.com/stacklok/toolhive/issues/697" TargetMode="External"/><Relationship Id="rId4869" Type="http://schemas.openxmlformats.org/officeDocument/2006/relationships/hyperlink" Target="https://drive.google.com/drive/folders/1Tp7cG_PtxQTC1qDoOqgM3EMRAeNtbZN3" TargetMode="External"/><Relationship Id="rId24" Type="http://schemas.openxmlformats.org/officeDocument/2006/relationships/hyperlink" Target="https://github.com/a-ghorbani/pocketpal-ai/issues/148" TargetMode="External"/><Relationship Id="rId2209" Type="http://schemas.openxmlformats.org/officeDocument/2006/relationships/hyperlink" Target="https://drive.google.com/drive/folders/1PNrvHc9E8odqHUwCkeFfgacCEpZ4fVRp" TargetMode="External"/><Relationship Id="rId23" Type="http://schemas.openxmlformats.org/officeDocument/2006/relationships/hyperlink" Target="https://drive.google.com/drive/folders/1akkiUgdC05P8gR3BipY1f5JmnkG7o7-X" TargetMode="External"/><Relationship Id="rId26" Type="http://schemas.openxmlformats.org/officeDocument/2006/relationships/hyperlink" Target="https://github.com/a2aproject/a2a-dotnet/issues/163" TargetMode="External"/><Relationship Id="rId25" Type="http://schemas.openxmlformats.org/officeDocument/2006/relationships/hyperlink" Target="https://drive.google.com/drive/folders/1ceL8KRwKn-zYBNKqYDosKUrv4lWtGv6U" TargetMode="External"/><Relationship Id="rId28" Type="http://schemas.openxmlformats.org/officeDocument/2006/relationships/hyperlink" Target="https://drive.google.com/drive/folders/1xFtpkopD3rIBYaJo9JModq4e2ys_8Vuk" TargetMode="External"/><Relationship Id="rId4860" Type="http://schemas.openxmlformats.org/officeDocument/2006/relationships/hyperlink" Target="https://drive.google.com/drive/folders/143zYHMiYPJ8_h8_Ni6O3QeyCQ13eGF9X" TargetMode="External"/><Relationship Id="rId27" Type="http://schemas.openxmlformats.org/officeDocument/2006/relationships/hyperlink" Target="https://drive.google.com/drive/folders/1m7d452EB2fY8kzy4Yx-ILzpE1kKtGjiP" TargetMode="External"/><Relationship Id="rId3531" Type="http://schemas.openxmlformats.org/officeDocument/2006/relationships/hyperlink" Target="https://github.com/sshnet/SSH.NET/issues/1611" TargetMode="External"/><Relationship Id="rId4862" Type="http://schemas.openxmlformats.org/officeDocument/2006/relationships/hyperlink" Target="https://github.com/keithamus/sort-package-json/issues/382" TargetMode="External"/><Relationship Id="rId29" Type="http://schemas.openxmlformats.org/officeDocument/2006/relationships/hyperlink" Target="https://github.com/a2aproject/a2a-dotnet/issues/12" TargetMode="External"/><Relationship Id="rId2200" Type="http://schemas.openxmlformats.org/officeDocument/2006/relationships/hyperlink" Target="https://drive.google.com/drive/folders/1XzHJiW4spPS37gZG8I-JzHh9rtBT4-76" TargetMode="External"/><Relationship Id="rId3530" Type="http://schemas.openxmlformats.org/officeDocument/2006/relationships/hyperlink" Target="https://drive.google.com/drive/folders/1wQ1xEHg_D4plLnKzytHxQl3im_PDW7Qv" TargetMode="External"/><Relationship Id="rId4861" Type="http://schemas.openxmlformats.org/officeDocument/2006/relationships/hyperlink" Target="https://drive.google.com/drive/folders/1Y80ZimuPUJnKo6StgwNxoeUkIVmbxGlN" TargetMode="External"/><Relationship Id="rId2201" Type="http://schemas.openxmlformats.org/officeDocument/2006/relationships/hyperlink" Target="https://github.com/kuzudb/kuzu/issues/4711" TargetMode="External"/><Relationship Id="rId3533" Type="http://schemas.openxmlformats.org/officeDocument/2006/relationships/hyperlink" Target="https://drive.google.com/drive/folders/1cZs7PAO1jCt7-H80R85ir17JCuXUTmVF" TargetMode="External"/><Relationship Id="rId4864" Type="http://schemas.openxmlformats.org/officeDocument/2006/relationships/hyperlink" Target="https://github.com/kelektiv/node-cron/issues/861" TargetMode="External"/><Relationship Id="rId2202" Type="http://schemas.openxmlformats.org/officeDocument/2006/relationships/hyperlink" Target="https://drive.google.com/drive/folders/1bAEpmU-9zZujAqcovYSayAw-z8aM_2ra" TargetMode="External"/><Relationship Id="rId3532" Type="http://schemas.openxmlformats.org/officeDocument/2006/relationships/hyperlink" Target="https://drive.google.com/drive/folders/1J3weNX-3nrxHC1sBFAA-S2PXdMs0vSF9" TargetMode="External"/><Relationship Id="rId4863" Type="http://schemas.openxmlformats.org/officeDocument/2006/relationships/hyperlink" Target="https://drive.google.com/drive/folders/1OLJk2vXXdjpwBSR9gooI8GZnh89WxNKX" TargetMode="External"/><Relationship Id="rId3524" Type="http://schemas.openxmlformats.org/officeDocument/2006/relationships/hyperlink" Target="https://github.com/spring-projects/spring-security/issues/16635" TargetMode="External"/><Relationship Id="rId4855" Type="http://schemas.openxmlformats.org/officeDocument/2006/relationships/hyperlink" Target="https://github.com/karastojko/mailio/issues/151" TargetMode="External"/><Relationship Id="rId3523" Type="http://schemas.openxmlformats.org/officeDocument/2006/relationships/hyperlink" Target="https://drive.google.com/drive/folders/1N0arGn0ZR68PxC-6-6wEH1v1SYT2q-CD" TargetMode="External"/><Relationship Id="rId4854" Type="http://schemas.openxmlformats.org/officeDocument/2006/relationships/hyperlink" Target="https://drive.google.com/drive/folders/13WGl-ejXIg5-P0tmWPqJuAQ6NORf3pEg" TargetMode="External"/><Relationship Id="rId3526" Type="http://schemas.openxmlformats.org/officeDocument/2006/relationships/hyperlink" Target="https://github.com/spring-projects/spring-security/issues/16218" TargetMode="External"/><Relationship Id="rId4857" Type="http://schemas.openxmlformats.org/officeDocument/2006/relationships/hyperlink" Target="https://github.com/kaspth/oaken/issues/103" TargetMode="External"/><Relationship Id="rId3525" Type="http://schemas.openxmlformats.org/officeDocument/2006/relationships/hyperlink" Target="https://drive.google.com/drive/folders/1rNu4T5xAeR2ZV4p90TAz65JFaFqiI54n" TargetMode="External"/><Relationship Id="rId4856" Type="http://schemas.openxmlformats.org/officeDocument/2006/relationships/hyperlink" Target="https://drive.google.com/drive/folders/1clO2uEoO9ZpMeq-7bIxeW0iYPqUHhL2O" TargetMode="External"/><Relationship Id="rId11" Type="http://schemas.openxmlformats.org/officeDocument/2006/relationships/hyperlink" Target="https://github.com/0xMiden/miden-vm/issues/1997" TargetMode="External"/><Relationship Id="rId3528" Type="http://schemas.openxmlformats.org/officeDocument/2006/relationships/hyperlink" Target="https://github.com/sqlc-dev/sqlc/issues/3620" TargetMode="External"/><Relationship Id="rId4859" Type="http://schemas.openxmlformats.org/officeDocument/2006/relationships/hyperlink" Target="https://github.com/kedro-org/kedro/issues/4715" TargetMode="External"/><Relationship Id="rId10" Type="http://schemas.openxmlformats.org/officeDocument/2006/relationships/hyperlink" Target="https://drive.google.com/drive/folders/1H5sS_HlaGO9tzjuF17Yb6xJ7FkXUCxeX" TargetMode="External"/><Relationship Id="rId3527" Type="http://schemas.openxmlformats.org/officeDocument/2006/relationships/hyperlink" Target="https://drive.google.com/drive/folders/1VKPD_jQje-0hdZm3y8pjRddPXK6psr0S" TargetMode="External"/><Relationship Id="rId4858" Type="http://schemas.openxmlformats.org/officeDocument/2006/relationships/hyperlink" Target="https://drive.google.com/drive/folders/1ZPOG2UZW2UizXWVr8skw95dGmpbS3R_H" TargetMode="External"/><Relationship Id="rId13" Type="http://schemas.openxmlformats.org/officeDocument/2006/relationships/hyperlink" Target="https://github.com/11ty/webc/issues/229" TargetMode="External"/><Relationship Id="rId12" Type="http://schemas.openxmlformats.org/officeDocument/2006/relationships/hyperlink" Target="https://drive.google.com/drive/folders/1ZwzJmqglvy2iJF-59j8xxSdXygqUHcX9" TargetMode="External"/><Relationship Id="rId3529" Type="http://schemas.openxmlformats.org/officeDocument/2006/relationships/hyperlink" Target="https://drive.google.com/drive/folders/1ivH8fQ_KfwQiOvnhJIBDH_l70HxdsSbD" TargetMode="External"/><Relationship Id="rId15" Type="http://schemas.openxmlformats.org/officeDocument/2006/relationships/hyperlink" Target="https://github.com/5cript/interval-tree/issues/45" TargetMode="External"/><Relationship Id="rId14" Type="http://schemas.openxmlformats.org/officeDocument/2006/relationships/hyperlink" Target="https://drive.google.com/drive/folders/1TYF3ckNC1yB07cFD3CuhFvN8PS9hyWGD" TargetMode="External"/><Relationship Id="rId17" Type="http://schemas.openxmlformats.org/officeDocument/2006/relationships/hyperlink" Target="https://github.com/a-chacon/oas_rails/issues/106" TargetMode="External"/><Relationship Id="rId16" Type="http://schemas.openxmlformats.org/officeDocument/2006/relationships/hyperlink" Target="https://drive.google.com/drive/folders/1ielaC0XyWyuFqm3prKyK6wVtQiuC5rLt" TargetMode="External"/><Relationship Id="rId19" Type="http://schemas.openxmlformats.org/officeDocument/2006/relationships/hyperlink" Target="https://github.com/a-chacon/oas_rails/issues/121" TargetMode="External"/><Relationship Id="rId3520" Type="http://schemas.openxmlformats.org/officeDocument/2006/relationships/hyperlink" Target="https://github.com/spring-projects/spring-integration/issues/9229" TargetMode="External"/><Relationship Id="rId4851" Type="http://schemas.openxmlformats.org/officeDocument/2006/relationships/hyperlink" Target="https://drive.google.com/drive/folders/1IOcZn4Oh95chVpsqbwU39wH7hPKI2ymL" TargetMode="External"/><Relationship Id="rId18" Type="http://schemas.openxmlformats.org/officeDocument/2006/relationships/hyperlink" Target="https://drive.google.com/drive/folders/1DZAkZ727LmIIYTGpT_X8dFA3ImC0LU7Z" TargetMode="External"/><Relationship Id="rId4850" Type="http://schemas.openxmlformats.org/officeDocument/2006/relationships/hyperlink" Target="https://github.com/kaiko-ai/eva/issues/789" TargetMode="External"/><Relationship Id="rId3522" Type="http://schemas.openxmlformats.org/officeDocument/2006/relationships/hyperlink" Target="https://github.com/spring-projects/spring-integration/issues/9435" TargetMode="External"/><Relationship Id="rId4853" Type="http://schemas.openxmlformats.org/officeDocument/2006/relationships/hyperlink" Target="https://github.com/Kaliumhexacyanoferrat/GenHTTP/issues/597" TargetMode="External"/><Relationship Id="rId3521" Type="http://schemas.openxmlformats.org/officeDocument/2006/relationships/hyperlink" Target="https://drive.google.com/drive/folders/1s26ra4u2sfjQtpj83ro8wKueQmq7ZXD4" TargetMode="External"/><Relationship Id="rId4852" Type="http://schemas.openxmlformats.org/officeDocument/2006/relationships/hyperlink" Target="https://drive.google.com/drive/folders/1YtLjlV0HBEsGm_0Zx_v04DPnmdP3yt-n" TargetMode="External"/><Relationship Id="rId84" Type="http://schemas.openxmlformats.org/officeDocument/2006/relationships/hyperlink" Target="https://github.com/actualbudget/actual/issues/4221" TargetMode="External"/><Relationship Id="rId1774" Type="http://schemas.openxmlformats.org/officeDocument/2006/relationships/hyperlink" Target="https://github.com/hyperledger/besu/issues/9536" TargetMode="External"/><Relationship Id="rId4800" Type="http://schemas.openxmlformats.org/officeDocument/2006/relationships/hyperlink" Target="https://drive.google.com/drive/folders/1nxodMpM26gk33WqYF0P7MA5mmw9KMzC3" TargetMode="External"/><Relationship Id="rId83" Type="http://schemas.openxmlformats.org/officeDocument/2006/relationships/hyperlink" Target="https://drive.google.com/drive/folders/1UluJwcnQ_e_gvgT8Dhasjtg9OaYtXqCC" TargetMode="External"/><Relationship Id="rId1775" Type="http://schemas.openxmlformats.org/officeDocument/2006/relationships/hyperlink" Target="https://drive.google.com/drive/folders/1Tm2M99BFiVlBlfAk77soZmjLSndFCKWj" TargetMode="External"/><Relationship Id="rId86" Type="http://schemas.openxmlformats.org/officeDocument/2006/relationships/hyperlink" Target="https://drive.google.com/drive/folders/1AgDG1nD95UC49IKxhp2d4pIOhlFC61Uq" TargetMode="External"/><Relationship Id="rId1776" Type="http://schemas.openxmlformats.org/officeDocument/2006/relationships/hyperlink" Target="https://github.com/hyperledger/besu/issues/9664" TargetMode="External"/><Relationship Id="rId4802" Type="http://schemas.openxmlformats.org/officeDocument/2006/relationships/hyperlink" Target="https://drive.google.com/drive/folders/1TJDPLni-fzk5_iLLQWJtaSQY0wQNB7wh" TargetMode="External"/><Relationship Id="rId85" Type="http://schemas.openxmlformats.org/officeDocument/2006/relationships/hyperlink" Target="https://drive.google.com/drive/folders/1BfQ27VuWDJMrByqeN46HT90x48K1s_LY" TargetMode="External"/><Relationship Id="rId1777" Type="http://schemas.openxmlformats.org/officeDocument/2006/relationships/hyperlink" Target="https://drive.google.com/drive/folders/1qGzXZYIz2MlQX6AXPffXU2F4ZfbcICnR" TargetMode="External"/><Relationship Id="rId4801" Type="http://schemas.openxmlformats.org/officeDocument/2006/relationships/hyperlink" Target="https://github.com/johansatge/obsidian-automatic-table-of-contents/issues/55" TargetMode="External"/><Relationship Id="rId88" Type="http://schemas.openxmlformats.org/officeDocument/2006/relationships/hyperlink" Target="https://drive.google.com/drive/folders/1c3zvnwGpzKGuX_GCzhpHaIu0rwP-hzpV" TargetMode="External"/><Relationship Id="rId1778" Type="http://schemas.openxmlformats.org/officeDocument/2006/relationships/hyperlink" Target="https://github.com/HyphaApp/hypha/issues/4390" TargetMode="External"/><Relationship Id="rId4804" Type="http://schemas.openxmlformats.org/officeDocument/2006/relationships/hyperlink" Target="https://drive.google.com/drive/folders/1R2p3oPeepIPRwpxxhV9DOsiJLTkfvVD0" TargetMode="External"/><Relationship Id="rId87" Type="http://schemas.openxmlformats.org/officeDocument/2006/relationships/hyperlink" Target="https://github.com/adamreisnz/replace-in-file/issues/205" TargetMode="External"/><Relationship Id="rId1779" Type="http://schemas.openxmlformats.org/officeDocument/2006/relationships/hyperlink" Target="https://drive.google.com/drive/folders/1qhpCfNHO1LY0s34D8Ei0GhfnoOb5LEy5" TargetMode="External"/><Relationship Id="rId4803" Type="http://schemas.openxmlformats.org/officeDocument/2006/relationships/hyperlink" Target="https://github.com/joke2k/faker/issues/2173" TargetMode="External"/><Relationship Id="rId4806" Type="http://schemas.openxmlformats.org/officeDocument/2006/relationships/hyperlink" Target="https://github.com/jorenham/optype/issues/270" TargetMode="External"/><Relationship Id="rId89" Type="http://schemas.openxmlformats.org/officeDocument/2006/relationships/hyperlink" Target="https://github.com/AdnaneKhan/gato-x/issues/188" TargetMode="External"/><Relationship Id="rId4805" Type="http://schemas.openxmlformats.org/officeDocument/2006/relationships/hyperlink" Target="https://drive.google.com/drive/folders/1i8fvFjh4cb-HlU2LlY6_k23eDyFEQWh7" TargetMode="External"/><Relationship Id="rId4808" Type="http://schemas.openxmlformats.org/officeDocument/2006/relationships/hyperlink" Target="https://drive.google.com/drive/folders/10tjrlNjkM0kNlZVaPOUig9y0ttpOlxkZ" TargetMode="External"/><Relationship Id="rId4807" Type="http://schemas.openxmlformats.org/officeDocument/2006/relationships/hyperlink" Target="https://drive.google.com/drive/folders/10R5WUkwOs3t1JYPwwJY-v4ALsh-ie77t" TargetMode="External"/><Relationship Id="rId4809" Type="http://schemas.openxmlformats.org/officeDocument/2006/relationships/hyperlink" Target="https://github.com/jorisre/react-screen-wake-lock/issues/279" TargetMode="External"/><Relationship Id="rId80" Type="http://schemas.openxmlformats.org/officeDocument/2006/relationships/hyperlink" Target="https://drive.google.com/drive/folders/1yerp-f9d9Jm0Fj3z-hJxH9fK4_LJEh54" TargetMode="External"/><Relationship Id="rId82" Type="http://schemas.openxmlformats.org/officeDocument/2006/relationships/hyperlink" Target="https://drive.google.com/drive/folders/1iO5OfeZYgZ9Xj4JhCU5kYQoUDZHeiodo" TargetMode="External"/><Relationship Id="rId81" Type="http://schemas.openxmlformats.org/officeDocument/2006/relationships/hyperlink" Target="https://github.com/actualbudget/actual/issues/4257" TargetMode="External"/><Relationship Id="rId1770" Type="http://schemas.openxmlformats.org/officeDocument/2006/relationships/hyperlink" Target="https://github.com/hyperledger/besu/issues/8375" TargetMode="External"/><Relationship Id="rId1771" Type="http://schemas.openxmlformats.org/officeDocument/2006/relationships/hyperlink" Target="https://drive.google.com/drive/folders/1DPceoG2fIzodJfi3QMiISOVQeRHScgCF" TargetMode="External"/><Relationship Id="rId1772" Type="http://schemas.openxmlformats.org/officeDocument/2006/relationships/hyperlink" Target="https://github.com/hyperledger/besu/issues/9271" TargetMode="External"/><Relationship Id="rId1773" Type="http://schemas.openxmlformats.org/officeDocument/2006/relationships/hyperlink" Target="https://drive.google.com/drive/folders/1s-ovITSHp5lJQSxq8X8GSYqacg03aVbY" TargetMode="External"/><Relationship Id="rId73" Type="http://schemas.openxmlformats.org/officeDocument/2006/relationships/hyperlink" Target="https://drive.google.com/drive/folders/194t7HN4Krln7KVJuREAAzpM1ROhOCXc-" TargetMode="External"/><Relationship Id="rId1763" Type="http://schemas.openxmlformats.org/officeDocument/2006/relationships/hyperlink" Target="https://drive.google.com/drive/folders/1NBS8EWxVMZBMAcWTcV1YP8tfu74AA5w3" TargetMode="External"/><Relationship Id="rId72" Type="http://schemas.openxmlformats.org/officeDocument/2006/relationships/hyperlink" Target="https://github.com/actor-framework/actor-framework/issues/1821" TargetMode="External"/><Relationship Id="rId1764" Type="http://schemas.openxmlformats.org/officeDocument/2006/relationships/hyperlink" Target="https://github.com/hukkin/mdformat/issues/470" TargetMode="External"/><Relationship Id="rId75" Type="http://schemas.openxmlformats.org/officeDocument/2006/relationships/hyperlink" Target="https://github.com/actor-framework/actor-framework/issues/1643" TargetMode="External"/><Relationship Id="rId1765" Type="http://schemas.openxmlformats.org/officeDocument/2006/relationships/hyperlink" Target="https://drive.google.com/drive/folders/1p3fPxBeNnWJTD2qFzS33a6Nfa32PUbpz" TargetMode="External"/><Relationship Id="rId74" Type="http://schemas.openxmlformats.org/officeDocument/2006/relationships/hyperlink" Target="https://drive.google.com/drive/folders/1SwrYxjwtB7UnFF0-qAgXT5UZ0o9c6eWD" TargetMode="External"/><Relationship Id="rId1766" Type="http://schemas.openxmlformats.org/officeDocument/2006/relationships/hyperlink" Target="https://github.com/hyochan/expo-iap/issues/214" TargetMode="External"/><Relationship Id="rId77" Type="http://schemas.openxmlformats.org/officeDocument/2006/relationships/hyperlink" Target="https://drive.google.com/drive/folders/18x61Pct8CbNMhuUvX0pVdmjUviGmi_Kf" TargetMode="External"/><Relationship Id="rId1767" Type="http://schemas.openxmlformats.org/officeDocument/2006/relationships/hyperlink" Target="https://drive.google.com/drive/folders/1GZmERgE9K1W92DhufEAoH9Yzs6hqfhmA" TargetMode="External"/><Relationship Id="rId76" Type="http://schemas.openxmlformats.org/officeDocument/2006/relationships/hyperlink" Target="https://drive.google.com/drive/folders/1mvQuqrQFvr0jVMtTdF-UQHW3vUphtxlZ" TargetMode="External"/><Relationship Id="rId1768" Type="http://schemas.openxmlformats.org/officeDocument/2006/relationships/hyperlink" Target="https://github.com/hyparam/hyparquet/issues/80" TargetMode="External"/><Relationship Id="rId79" Type="http://schemas.openxmlformats.org/officeDocument/2006/relationships/hyperlink" Target="https://drive.google.com/drive/folders/11aa5nuY7yEwRY1Eg31YBl9FhBsUIv2Tu" TargetMode="External"/><Relationship Id="rId1769" Type="http://schemas.openxmlformats.org/officeDocument/2006/relationships/hyperlink" Target="https://drive.google.com/drive/folders/18JM3-edLMJeBQAzpNQsWmvzSWvYtQBqt" TargetMode="External"/><Relationship Id="rId78" Type="http://schemas.openxmlformats.org/officeDocument/2006/relationships/hyperlink" Target="https://github.com/actor-framework/actor-framework/issues/2067" TargetMode="External"/><Relationship Id="rId71" Type="http://schemas.openxmlformats.org/officeDocument/2006/relationships/hyperlink" Target="https://drive.google.com/drive/folders/1IuzS1JI-5cwvGgEncaYxLtSAEVKgZz7Z" TargetMode="External"/><Relationship Id="rId70" Type="http://schemas.openxmlformats.org/officeDocument/2006/relationships/hyperlink" Target="https://github.com/ActiveLogin/ActiveLogin.Authentication/issues/483" TargetMode="External"/><Relationship Id="rId1760" Type="http://schemas.openxmlformats.org/officeDocument/2006/relationships/hyperlink" Target="https://github.com/html2rss/html2rss/issues/253" TargetMode="External"/><Relationship Id="rId1761" Type="http://schemas.openxmlformats.org/officeDocument/2006/relationships/hyperlink" Target="https://drive.google.com/drive/folders/13GWFZaYV0yAeelodlRRzDN5agBqgEEyD" TargetMode="External"/><Relationship Id="rId1762" Type="http://schemas.openxmlformats.org/officeDocument/2006/relationships/hyperlink" Target="https://github.com/huggingface/hf-mcp-server/issues/46" TargetMode="External"/><Relationship Id="rId62" Type="http://schemas.openxmlformats.org/officeDocument/2006/relationships/hyperlink" Target="https://drive.google.com/drive/folders/1A8Ad3_Ol9T2mRI-_Ejkx9xbgQZR4l4bL" TargetMode="External"/><Relationship Id="rId1796" Type="http://schemas.openxmlformats.org/officeDocument/2006/relationships/hyperlink" Target="https://drive.google.com/drive/folders/1FrvODr8W3v_ljnS2BsoGzpy9bJ3x8zlr" TargetMode="External"/><Relationship Id="rId4822" Type="http://schemas.openxmlformats.org/officeDocument/2006/relationships/hyperlink" Target="https://drive.google.com/drive/folders/1hOGxpFEp5URt-PwBSlD2YePy8SpcPni2" TargetMode="External"/><Relationship Id="rId61" Type="http://schemas.openxmlformats.org/officeDocument/2006/relationships/hyperlink" Target="https://github.com/actions/setup-java/issues/736" TargetMode="External"/><Relationship Id="rId1797" Type="http://schemas.openxmlformats.org/officeDocument/2006/relationships/hyperlink" Target="https://drive.google.com/drive/folders/1MTgy_rxoUsJNguqKDJ7gi-yBF5pw7l3G" TargetMode="External"/><Relationship Id="rId4821" Type="http://schemas.openxmlformats.org/officeDocument/2006/relationships/hyperlink" Target="https://github.com/JoshuaKGoldberg/package-json-validator/issues/513" TargetMode="External"/><Relationship Id="rId64" Type="http://schemas.openxmlformats.org/officeDocument/2006/relationships/hyperlink" Target="https://drive.google.com/drive/folders/1yPiWUsoKtz6QmS-AEluLVSpDi1MA9MRU" TargetMode="External"/><Relationship Id="rId1798" Type="http://schemas.openxmlformats.org/officeDocument/2006/relationships/hyperlink" Target="https://github.com/ICTU/quality-time/issues/10300" TargetMode="External"/><Relationship Id="rId4824" Type="http://schemas.openxmlformats.org/officeDocument/2006/relationships/hyperlink" Target="https://drive.google.com/drive/folders/1JC2wjIKYV1q37htLbhboqhVe-Ptfrd-m" TargetMode="External"/><Relationship Id="rId63" Type="http://schemas.openxmlformats.org/officeDocument/2006/relationships/hyperlink" Target="https://github.com/actions/setup-node/issues/1240" TargetMode="External"/><Relationship Id="rId1799" Type="http://schemas.openxmlformats.org/officeDocument/2006/relationships/hyperlink" Target="https://drive.google.com/drive/folders/137wy7YWAzXU4He_WdaNg4xtmEFaWwkgA" TargetMode="External"/><Relationship Id="rId4823" Type="http://schemas.openxmlformats.org/officeDocument/2006/relationships/hyperlink" Target="https://github.com/JoshuaKGoldberg/package-json-validator/issues/494" TargetMode="External"/><Relationship Id="rId66" Type="http://schemas.openxmlformats.org/officeDocument/2006/relationships/hyperlink" Target="https://github.com/actions/setup-node/issues/1348" TargetMode="External"/><Relationship Id="rId4826" Type="http://schemas.openxmlformats.org/officeDocument/2006/relationships/hyperlink" Target="https://drive.google.com/drive/folders/1_fuJTY7PGigHP4mtSTwaOOk9mMJ2CyWr" TargetMode="External"/><Relationship Id="rId65" Type="http://schemas.openxmlformats.org/officeDocument/2006/relationships/hyperlink" Target="https://drive.google.com/drive/folders/12ucPicJNCouhB7xTsr_zowIXsUnRtsZV" TargetMode="External"/><Relationship Id="rId4825" Type="http://schemas.openxmlformats.org/officeDocument/2006/relationships/hyperlink" Target="https://github.com/jrobichaud/django-structlog/issues/705" TargetMode="External"/><Relationship Id="rId68" Type="http://schemas.openxmlformats.org/officeDocument/2006/relationships/hyperlink" Target="https://github.com/activeagents/activeagent/issues/90" TargetMode="External"/><Relationship Id="rId4828" Type="http://schemas.openxmlformats.org/officeDocument/2006/relationships/hyperlink" Target="https://github.com/jschneier/django-storages/issues/1427" TargetMode="External"/><Relationship Id="rId67" Type="http://schemas.openxmlformats.org/officeDocument/2006/relationships/hyperlink" Target="https://drive.google.com/drive/folders/1VWrWPq5qQ3CynK3-rvhq6eatEYOeM4PQ" TargetMode="External"/><Relationship Id="rId4827" Type="http://schemas.openxmlformats.org/officeDocument/2006/relationships/hyperlink" Target="https://drive.google.com/drive/folders/1q99ILyevqHIM2ZGLhcm9zQlRhvItOpWU" TargetMode="External"/><Relationship Id="rId4829" Type="http://schemas.openxmlformats.org/officeDocument/2006/relationships/hyperlink" Target="https://drive.google.com/drive/folders/1VI8jcyc8NJxoL_qG1KL2cnz8Ch2B2q65" TargetMode="External"/><Relationship Id="rId60" Type="http://schemas.openxmlformats.org/officeDocument/2006/relationships/hyperlink" Target="https://drive.google.com/drive/folders/1e-U9w5QPrBq2Tzw9otmjDfXlaKYHDU5x" TargetMode="External"/><Relationship Id="rId69" Type="http://schemas.openxmlformats.org/officeDocument/2006/relationships/hyperlink" Target="https://drive.google.com/drive/folders/10p4D2ipiO57QBNDiowC0t5kuNFYH9z4F" TargetMode="External"/><Relationship Id="rId1790" Type="http://schemas.openxmlformats.org/officeDocument/2006/relationships/hyperlink" Target="https://github.com/ical-org/ical.net/issues/750" TargetMode="External"/><Relationship Id="rId1791" Type="http://schemas.openxmlformats.org/officeDocument/2006/relationships/hyperlink" Target="https://drive.google.com/drive/folders/1S4_4ejYYlAn1JGnv9TbkQSyJnFIoNpOr" TargetMode="External"/><Relationship Id="rId1792" Type="http://schemas.openxmlformats.org/officeDocument/2006/relationships/hyperlink" Target="https://github.com/ical-org/ical.net/issues/851" TargetMode="External"/><Relationship Id="rId1793" Type="http://schemas.openxmlformats.org/officeDocument/2006/relationships/hyperlink" Target="https://drive.google.com/drive/folders/149HI954JyOOEhN3CBhx5t3SFjagfw64i" TargetMode="External"/><Relationship Id="rId1794" Type="http://schemas.openxmlformats.org/officeDocument/2006/relationships/hyperlink" Target="https://github.com/icaros-usc/pyribs/issues/639" TargetMode="External"/><Relationship Id="rId4820" Type="http://schemas.openxmlformats.org/officeDocument/2006/relationships/hyperlink" Target="https://github.com/JoshuaKGoldberg/flint/issues/473" TargetMode="External"/><Relationship Id="rId1795" Type="http://schemas.openxmlformats.org/officeDocument/2006/relationships/hyperlink" Target="https://github.com/Icinga/icinga2/issues/9893" TargetMode="External"/><Relationship Id="rId51" Type="http://schemas.openxmlformats.org/officeDocument/2006/relationships/hyperlink" Target="https://github.com/abey79/vpype/issues/808" TargetMode="External"/><Relationship Id="rId1785" Type="http://schemas.openxmlformats.org/officeDocument/2006/relationships/hyperlink" Target="https://drive.google.com/drive/folders/1F60IXSaVDvKuq9PRKiIy21iozit6__ln" TargetMode="External"/><Relationship Id="rId4811" Type="http://schemas.openxmlformats.org/officeDocument/2006/relationships/hyperlink" Target="https://github.com/josdejong/lossless-json/issues/271" TargetMode="External"/><Relationship Id="rId50" Type="http://schemas.openxmlformats.org/officeDocument/2006/relationships/hyperlink" Target="https://drive.google.com/drive/folders/1d-boWVsnod-51gnyeBD6ZGsdOqeNWyD1" TargetMode="External"/><Relationship Id="rId1786" Type="http://schemas.openxmlformats.org/officeDocument/2006/relationships/hyperlink" Target="https://github.com/IBM/terratorch/issues/527" TargetMode="External"/><Relationship Id="rId4810" Type="http://schemas.openxmlformats.org/officeDocument/2006/relationships/hyperlink" Target="https://drive.google.com/drive/folders/1vzEwEt-QD-qshRoXGfwhUULMDnuOFr5J" TargetMode="External"/><Relationship Id="rId53" Type="http://schemas.openxmlformats.org/officeDocument/2006/relationships/hyperlink" Target="https://github.com/aboutsip/pkts/issues/148" TargetMode="External"/><Relationship Id="rId1787" Type="http://schemas.openxmlformats.org/officeDocument/2006/relationships/hyperlink" Target="https://github.com/ical-org/ical.net/issues/794" TargetMode="External"/><Relationship Id="rId4813" Type="http://schemas.openxmlformats.org/officeDocument/2006/relationships/hyperlink" Target="https://github.com/JoshuaKGoldberg/flint/issues/461" TargetMode="External"/><Relationship Id="rId52" Type="http://schemas.openxmlformats.org/officeDocument/2006/relationships/hyperlink" Target="https://drive.google.com/drive/folders/1HUxKlQlzQQDihYv-DlYiO8ySWR2V-Tu7" TargetMode="External"/><Relationship Id="rId1788" Type="http://schemas.openxmlformats.org/officeDocument/2006/relationships/hyperlink" Target="https://drive.google.com/drive/folders/1X1e3-99jpG45B0prqWfud-6ee-Lv9jHa" TargetMode="External"/><Relationship Id="rId4812" Type="http://schemas.openxmlformats.org/officeDocument/2006/relationships/hyperlink" Target="https://drive.google.com/drive/folders/1OvG0rrehEAsEB_5RpksEwae2zk4_j3x2" TargetMode="External"/><Relationship Id="rId55" Type="http://schemas.openxmlformats.org/officeDocument/2006/relationships/hyperlink" Target="https://github.com/achimnol/aiotools/issues/79" TargetMode="External"/><Relationship Id="rId1789" Type="http://schemas.openxmlformats.org/officeDocument/2006/relationships/hyperlink" Target="https://drive.google.com/drive/folders/1YY1Ux9egcXIwzxjF3nB0vioavFzHyyQv" TargetMode="External"/><Relationship Id="rId4815" Type="http://schemas.openxmlformats.org/officeDocument/2006/relationships/hyperlink" Target="https://drive.google.com/drive/folders/1KqWgl8vr6auL-r1KnG2SNQZJ9904kgCo" TargetMode="External"/><Relationship Id="rId54" Type="http://schemas.openxmlformats.org/officeDocument/2006/relationships/hyperlink" Target="https://drive.google.com/drive/folders/1eN7gqY8XYaggV7u3XaCAfojC0AT68ERX" TargetMode="External"/><Relationship Id="rId4814" Type="http://schemas.openxmlformats.org/officeDocument/2006/relationships/hyperlink" Target="https://drive.google.com/drive/folders/1TjA3bsi-vhMrHTJG7sjVFfAxtqE7Z5l2" TargetMode="External"/><Relationship Id="rId57" Type="http://schemas.openxmlformats.org/officeDocument/2006/relationships/hyperlink" Target="https://drive.google.com/drive/folders/1WjFHu_02PpZ2e-VYbMWRcJMYIih8Wq-Y" TargetMode="External"/><Relationship Id="rId4817" Type="http://schemas.openxmlformats.org/officeDocument/2006/relationships/hyperlink" Target="https://drive.google.com/drive/folders/1U83BwF--PfkOX5Ag2e1ndVyUmlLYCD9k" TargetMode="External"/><Relationship Id="rId56" Type="http://schemas.openxmlformats.org/officeDocument/2006/relationships/hyperlink" Target="https://drive.google.com/drive/folders/1L7lOEDi0wfGy5yrrI6wtkWVspIac_FOE" TargetMode="External"/><Relationship Id="rId4816" Type="http://schemas.openxmlformats.org/officeDocument/2006/relationships/hyperlink" Target="https://github.com/JoshuaKGoldberg/flint/issues/551" TargetMode="External"/><Relationship Id="rId4819" Type="http://schemas.openxmlformats.org/officeDocument/2006/relationships/hyperlink" Target="https://drive.google.com/drive/folders/1l8KwrDq64UO5SNnEJMiKZoVF8IVAi8H9" TargetMode="External"/><Relationship Id="rId4818" Type="http://schemas.openxmlformats.org/officeDocument/2006/relationships/hyperlink" Target="https://github.com/JoshuaKGoldberg/flint/issues/472" TargetMode="External"/><Relationship Id="rId59" Type="http://schemas.openxmlformats.org/officeDocument/2006/relationships/hyperlink" Target="https://github.com/actions/download-artifact/issues/401" TargetMode="External"/><Relationship Id="rId58" Type="http://schemas.openxmlformats.org/officeDocument/2006/relationships/hyperlink" Target="https://github.com/acoular/acoular/issues/368" TargetMode="External"/><Relationship Id="rId1780" Type="http://schemas.openxmlformats.org/officeDocument/2006/relationships/hyperlink" Target="https://drive.google.com/drive/folders/11UrLOzEOe4BEBJ3MOlPe6h0tJ8PnV0KC" TargetMode="External"/><Relationship Id="rId1781" Type="http://schemas.openxmlformats.org/officeDocument/2006/relationships/hyperlink" Target="https://github.com/ia-toki/tcframe/issues/199" TargetMode="External"/><Relationship Id="rId1782" Type="http://schemas.openxmlformats.org/officeDocument/2006/relationships/hyperlink" Target="https://drive.google.com/drive/folders/1BOoZ-IIob-AqT0J21qttBahoiq7GQu7u" TargetMode="External"/><Relationship Id="rId1783" Type="http://schemas.openxmlformats.org/officeDocument/2006/relationships/hyperlink" Target="https://github.com/IBM/mcp-context-forge/issues/733" TargetMode="External"/><Relationship Id="rId1784" Type="http://schemas.openxmlformats.org/officeDocument/2006/relationships/hyperlink" Target="https://drive.google.com/drive/folders/1EOsEXk9TvvxR6E6N5qa4b1SBCW2xdbLs" TargetMode="External"/><Relationship Id="rId2269" Type="http://schemas.openxmlformats.org/officeDocument/2006/relationships/hyperlink" Target="https://drive.google.com/drive/folders/1OcMVa9YLruM-s55IMmZHDvbS5NwF2yGf" TargetMode="External"/><Relationship Id="rId349" Type="http://schemas.openxmlformats.org/officeDocument/2006/relationships/hyperlink" Target="https://github.com/aquasecurity/trivy/issues/8676" TargetMode="External"/><Relationship Id="rId348" Type="http://schemas.openxmlformats.org/officeDocument/2006/relationships/hyperlink" Target="https://drive.google.com/drive/folders/1X-g1HkwOzC18fW61Q1p-LUCTG7jbQYCU" TargetMode="External"/><Relationship Id="rId347" Type="http://schemas.openxmlformats.org/officeDocument/2006/relationships/hyperlink" Target="https://github.com/aquasecurity/trivy/issues/9681" TargetMode="External"/><Relationship Id="rId346" Type="http://schemas.openxmlformats.org/officeDocument/2006/relationships/hyperlink" Target="https://drive.google.com/drive/folders/1FqJ92ROH2fP-6jrPfLE-sRRvt10rFuxX" TargetMode="External"/><Relationship Id="rId3591" Type="http://schemas.openxmlformats.org/officeDocument/2006/relationships/hyperlink" Target="https://github.com/sul-dlss/SearchWorks/issues/5765" TargetMode="External"/><Relationship Id="rId2260" Type="http://schemas.openxmlformats.org/officeDocument/2006/relationships/hyperlink" Target="https://github.com/line/armeria/issues/6231" TargetMode="External"/><Relationship Id="rId3590" Type="http://schemas.openxmlformats.org/officeDocument/2006/relationships/hyperlink" Target="https://drive.google.com/drive/folders/1MpuQXBD1Iw-3Qwoh01OaNbPDMMlx2c_U" TargetMode="External"/><Relationship Id="rId341" Type="http://schemas.openxmlformats.org/officeDocument/2006/relationships/hyperlink" Target="https://drive.google.com/drive/folders/1y48oKG4Yy9WCNbPr37hHp8nplaR0yniE" TargetMode="External"/><Relationship Id="rId2261" Type="http://schemas.openxmlformats.org/officeDocument/2006/relationships/hyperlink" Target="https://drive.google.com/drive/folders/1QZWdSidZvDEIO8bqLtma8mH3TlEp8R11" TargetMode="External"/><Relationship Id="rId3593" Type="http://schemas.openxmlformats.org/officeDocument/2006/relationships/hyperlink" Target="https://github.com/sul-dlss/SearchWorks/issues/4840" TargetMode="External"/><Relationship Id="rId340" Type="http://schemas.openxmlformats.org/officeDocument/2006/relationships/hyperlink" Target="https://github.com/APIDevTools/json-schema-ref-parser/issues/369" TargetMode="External"/><Relationship Id="rId2262" Type="http://schemas.openxmlformats.org/officeDocument/2006/relationships/hyperlink" Target="https://github.com/line/centraldogma/issues/1094" TargetMode="External"/><Relationship Id="rId3592" Type="http://schemas.openxmlformats.org/officeDocument/2006/relationships/hyperlink" Target="https://drive.google.com/drive/folders/1xnJ47yLCp-ngmpB_NrVvi53_2PzHV0Jf" TargetMode="External"/><Relationship Id="rId2263" Type="http://schemas.openxmlformats.org/officeDocument/2006/relationships/hyperlink" Target="https://drive.google.com/drive/folders/19XqA8Nnm0s5MFh1DneRZusWfSt3cVPF0" TargetMode="External"/><Relationship Id="rId3595" Type="http://schemas.openxmlformats.org/officeDocument/2006/relationships/hyperlink" Target="https://github.com/sul-dlss/SearchWorks/issues/5160" TargetMode="External"/><Relationship Id="rId2264" Type="http://schemas.openxmlformats.org/officeDocument/2006/relationships/hyperlink" Target="https://github.com/line/decaton/issues/262" TargetMode="External"/><Relationship Id="rId3594" Type="http://schemas.openxmlformats.org/officeDocument/2006/relationships/hyperlink" Target="https://drive.google.com/drive/folders/186Mz_O628f7G1uF22_PeGWwjI33HgCJc" TargetMode="External"/><Relationship Id="rId345" Type="http://schemas.openxmlformats.org/officeDocument/2006/relationships/hyperlink" Target="https://github.com/appleboy/CodeGPT/issues/224" TargetMode="External"/><Relationship Id="rId2265" Type="http://schemas.openxmlformats.org/officeDocument/2006/relationships/hyperlink" Target="https://drive.google.com/drive/folders/1R9dLqLU_MVaCAnugGk4R776ZHRn9XIJ0" TargetMode="External"/><Relationship Id="rId3597" Type="http://schemas.openxmlformats.org/officeDocument/2006/relationships/hyperlink" Target="https://github.com/sunpy/sunpy/issues/8040" TargetMode="External"/><Relationship Id="rId344" Type="http://schemas.openxmlformats.org/officeDocument/2006/relationships/hyperlink" Target="https://github.com/appium/appium/issues/21175" TargetMode="External"/><Relationship Id="rId2266" Type="http://schemas.openxmlformats.org/officeDocument/2006/relationships/hyperlink" Target="https://github.com/line/line-bot-sdk-ruby/issues/505" TargetMode="External"/><Relationship Id="rId3596" Type="http://schemas.openxmlformats.org/officeDocument/2006/relationships/hyperlink" Target="https://drive.google.com/drive/folders/1LtaXBQ0k_WromLlxpKUrPq5mnzdtKtdS" TargetMode="External"/><Relationship Id="rId343" Type="http://schemas.openxmlformats.org/officeDocument/2006/relationships/hyperlink" Target="https://drive.google.com/drive/folders/1Sedx5FDZDQWoa8o_ElDfgjIdjgDN-bwy" TargetMode="External"/><Relationship Id="rId2267" Type="http://schemas.openxmlformats.org/officeDocument/2006/relationships/hyperlink" Target="https://drive.google.com/drive/folders/12qCAQCjIR8zW6ZV3fp-mhJ7lLM1mYBrn" TargetMode="External"/><Relationship Id="rId3599" Type="http://schemas.openxmlformats.org/officeDocument/2006/relationships/hyperlink" Target="https://drive.google.com/drive/folders/1U8mJGQqh2XZA_WQCqAcAybLtdL1alse1" TargetMode="External"/><Relationship Id="rId342" Type="http://schemas.openxmlformats.org/officeDocument/2006/relationships/hyperlink" Target="https://github.com/apify/apify-mcp-server/issues/63" TargetMode="External"/><Relationship Id="rId2268" Type="http://schemas.openxmlformats.org/officeDocument/2006/relationships/hyperlink" Target="https://github.com/line/line-fido2-server/issues/68" TargetMode="External"/><Relationship Id="rId3598" Type="http://schemas.openxmlformats.org/officeDocument/2006/relationships/hyperlink" Target="https://drive.google.com/drive/folders/1b1Ugf4IVtQ8Q9dCz39HYGzObNZcarFAl" TargetMode="External"/><Relationship Id="rId2258" Type="http://schemas.openxmlformats.org/officeDocument/2006/relationships/hyperlink" Target="https://drive.google.com/drive/folders/1fTJh7MwPSTjBtwgpeskvy8lXiUEtwG9e" TargetMode="External"/><Relationship Id="rId2259" Type="http://schemas.openxmlformats.org/officeDocument/2006/relationships/hyperlink" Target="https://github.com/line/armeria/issues/6115" TargetMode="External"/><Relationship Id="rId3589" Type="http://schemas.openxmlformats.org/officeDocument/2006/relationships/hyperlink" Target="https://github.com/sugyan/claude-code-webui/issues/39" TargetMode="External"/><Relationship Id="rId338" Type="http://schemas.openxmlformats.org/officeDocument/2006/relationships/hyperlink" Target="https://github.com/apache/skywalking/issues/12823" TargetMode="External"/><Relationship Id="rId337" Type="http://schemas.openxmlformats.org/officeDocument/2006/relationships/hyperlink" Target="https://drive.google.com/drive/folders/1NunnelosMZQ1RzhW-DItH2j0Zx86Go93" TargetMode="External"/><Relationship Id="rId336" Type="http://schemas.openxmlformats.org/officeDocument/2006/relationships/hyperlink" Target="https://drive.google.com/drive/folders/1hc9bJNCXZP5ZzA8IHAtGC6x2O9JBQyw1" TargetMode="External"/><Relationship Id="rId335" Type="http://schemas.openxmlformats.org/officeDocument/2006/relationships/hyperlink" Target="https://github.com/apache/shardingsphere/issues/35563" TargetMode="External"/><Relationship Id="rId3580" Type="http://schemas.openxmlformats.org/officeDocument/2006/relationships/hyperlink" Target="https://drive.google.com/drive/folders/1Q2wAOBmDjv5Hzf0TFaCREkzNhzogN3OQ" TargetMode="External"/><Relationship Id="rId339" Type="http://schemas.openxmlformats.org/officeDocument/2006/relationships/hyperlink" Target="https://drive.google.com/drive/folders/1dPjbSFJSIBzYYMIeI-JTbSb671w3guu9" TargetMode="External"/><Relationship Id="rId330" Type="http://schemas.openxmlformats.org/officeDocument/2006/relationships/hyperlink" Target="https://drive.google.com/drive/folders/1HMtbemqWXQMr6YKp1XRCfZSfoVZU56Qt" TargetMode="External"/><Relationship Id="rId2250" Type="http://schemas.openxmlformats.org/officeDocument/2006/relationships/hyperlink" Target="https://github.com/lightninglabs/taproot-assets/issues/1675" TargetMode="External"/><Relationship Id="rId3582" Type="http://schemas.openxmlformats.org/officeDocument/2006/relationships/hyperlink" Target="https://drive.google.com/drive/folders/1fme6JvpXgkIGZIr4zDUaB_UJqEPizAw3" TargetMode="External"/><Relationship Id="rId2251" Type="http://schemas.openxmlformats.org/officeDocument/2006/relationships/hyperlink" Target="https://drive.google.com/drive/folders/1YDt0sOw_Q6Bv5yWhXHDgoxQav_l_YPA4" TargetMode="External"/><Relationship Id="rId3581" Type="http://schemas.openxmlformats.org/officeDocument/2006/relationships/hyperlink" Target="https://github.com/strimzi/strimzi-kafka-operator/issues/11693" TargetMode="External"/><Relationship Id="rId2252" Type="http://schemas.openxmlformats.org/officeDocument/2006/relationships/hyperlink" Target="https://github.com/lima-vm/lima/issues/3699" TargetMode="External"/><Relationship Id="rId3584" Type="http://schemas.openxmlformats.org/officeDocument/2006/relationships/hyperlink" Target="https://github.com/stylelint/stylelint/issues/8668" TargetMode="External"/><Relationship Id="rId2253" Type="http://schemas.openxmlformats.org/officeDocument/2006/relationships/hyperlink" Target="https://drive.google.com/drive/folders/1sxUN78mLoHD4Lec-R1aYJ9sVzbdKE_mb" TargetMode="External"/><Relationship Id="rId3583" Type="http://schemas.openxmlformats.org/officeDocument/2006/relationships/hyperlink" Target="https://github.com/stumpy-dev/stumpy/issues/1078" TargetMode="External"/><Relationship Id="rId334" Type="http://schemas.openxmlformats.org/officeDocument/2006/relationships/hyperlink" Target="https://drive.google.com/drive/folders/1qmOsWztvwHAtJmT3VfB9RHXSUKAVecgW" TargetMode="External"/><Relationship Id="rId2254" Type="http://schemas.openxmlformats.org/officeDocument/2006/relationships/hyperlink" Target="https://drive.google.com/drive/folders/1Sdkmc0ozY3WIPgFIY19YjL76O9EFFQpU" TargetMode="External"/><Relationship Id="rId3586" Type="http://schemas.openxmlformats.org/officeDocument/2006/relationships/hyperlink" Target="https://drive.google.com/drive/folders/1FzXQoP-7vadTIfYzw5SGAFYEDrrv34G3" TargetMode="External"/><Relationship Id="rId333" Type="http://schemas.openxmlformats.org/officeDocument/2006/relationships/hyperlink" Target="https://github.com/apache/sedona/issues/2295" TargetMode="External"/><Relationship Id="rId2255" Type="http://schemas.openxmlformats.org/officeDocument/2006/relationships/hyperlink" Target="https://github.com/line/armeria/issues/5574" TargetMode="External"/><Relationship Id="rId3585" Type="http://schemas.openxmlformats.org/officeDocument/2006/relationships/hyperlink" Target="https://drive.google.com/drive/folders/1iq-QE_Uz-IBe_eKrWDEJtw2izk7Nu4d1" TargetMode="External"/><Relationship Id="rId332" Type="http://schemas.openxmlformats.org/officeDocument/2006/relationships/hyperlink" Target="https://drive.google.com/drive/folders/10Cojl6zuCCjhnIAOuDIKSDZCNr9VQZ1e" TargetMode="External"/><Relationship Id="rId2256" Type="http://schemas.openxmlformats.org/officeDocument/2006/relationships/hyperlink" Target="https://drive.google.com/drive/folders/14HQWiSCTFvmHx3yOuaf2aUOYqTT8hqqh" TargetMode="External"/><Relationship Id="rId3588" Type="http://schemas.openxmlformats.org/officeDocument/2006/relationships/hyperlink" Target="https://drive.google.com/drive/folders/1FMBlbPrjRF6Qh-0ukZoqNx8J2TN9JTwl" TargetMode="External"/><Relationship Id="rId331" Type="http://schemas.openxmlformats.org/officeDocument/2006/relationships/hyperlink" Target="https://github.com/apache/seatunnel/issues/8132" TargetMode="External"/><Relationship Id="rId2257" Type="http://schemas.openxmlformats.org/officeDocument/2006/relationships/hyperlink" Target="https://github.com/line/armeria/issues/6069" TargetMode="External"/><Relationship Id="rId3587" Type="http://schemas.openxmlformats.org/officeDocument/2006/relationships/hyperlink" Target="https://github.com/subquery/subql/issues/2622" TargetMode="External"/><Relationship Id="rId5318" Type="http://schemas.openxmlformats.org/officeDocument/2006/relationships/hyperlink" Target="https://drive.google.com/drive/folders/1SqVl_AJ2CYlfgHgX8F75aTJ44FmPiP_F" TargetMode="External"/><Relationship Id="rId5319" Type="http://schemas.openxmlformats.org/officeDocument/2006/relationships/hyperlink" Target="https://github.com/SAML-Toolkits/ruby-saml/issues/732" TargetMode="External"/><Relationship Id="rId5316" Type="http://schemas.openxmlformats.org/officeDocument/2006/relationships/hyperlink" Target="https://github.com/salvo-rs/salvo/issues/1174" TargetMode="External"/><Relationship Id="rId5317" Type="http://schemas.openxmlformats.org/officeDocument/2006/relationships/hyperlink" Target="https://drive.google.com/drive/folders/1BQAocGjtteKeuwMNfABTqLeo4hGjNnbu" TargetMode="External"/><Relationship Id="rId370" Type="http://schemas.openxmlformats.org/officeDocument/2006/relationships/hyperlink" Target="https://drive.google.com/drive/folders/1ssT_AtuWUan3-WiIP6fzfZivj9zHVMsH" TargetMode="External"/><Relationship Id="rId369" Type="http://schemas.openxmlformats.org/officeDocument/2006/relationships/hyperlink" Target="https://github.com/aregtech/areg-sdk/issues/365" TargetMode="External"/><Relationship Id="rId368" Type="http://schemas.openxmlformats.org/officeDocument/2006/relationships/hyperlink" Target="https://drive.google.com/drive/folders/1aM0OH6fDCU8L4j78WODH-AuHpiTbxvHl" TargetMode="External"/><Relationship Id="rId2280" Type="http://schemas.openxmlformats.org/officeDocument/2006/relationships/hyperlink" Target="https://drive.google.com/drive/folders/1_bV_-MZLQMvBPLT7pYOFANw211cCRGbK" TargetMode="External"/><Relationship Id="rId2281" Type="http://schemas.openxmlformats.org/officeDocument/2006/relationships/hyperlink" Target="https://github.com/liushuangls/go-anthropic/issues/52" TargetMode="External"/><Relationship Id="rId2282" Type="http://schemas.openxmlformats.org/officeDocument/2006/relationships/hyperlink" Target="https://drive.google.com/drive/folders/1-b3fMi2LV3ZpY-lXELLpyz3oW0dN6yoc" TargetMode="External"/><Relationship Id="rId363" Type="http://schemas.openxmlformats.org/officeDocument/2006/relationships/hyperlink" Target="https://github.com/arabold/docs-mcp-server/issues/322" TargetMode="External"/><Relationship Id="rId2283" Type="http://schemas.openxmlformats.org/officeDocument/2006/relationships/hyperlink" Target="https://github.com/liveloveapp/hashbrown/issues/137" TargetMode="External"/><Relationship Id="rId5310" Type="http://schemas.openxmlformats.org/officeDocument/2006/relationships/hyperlink" Target="https://github.com/rust-phf/rust-phf/issues/348" TargetMode="External"/><Relationship Id="rId362" Type="http://schemas.openxmlformats.org/officeDocument/2006/relationships/hyperlink" Target="https://drive.google.com/drive/folders/1ccbfVFg28dw8d8v7xLAynaf3xMUiVsAL" TargetMode="External"/><Relationship Id="rId2284" Type="http://schemas.openxmlformats.org/officeDocument/2006/relationships/hyperlink" Target="https://drive.google.com/drive/folders/1pDuP6UUeyGKBIwR19Tq5YCDSfgOVFKMn" TargetMode="External"/><Relationship Id="rId5311" Type="http://schemas.openxmlformats.org/officeDocument/2006/relationships/hyperlink" Target="https://drive.google.com/drive/folders/1L7YZeBbPrrtYTnWDZme10IkGIR0bSMNl" TargetMode="External"/><Relationship Id="rId361" Type="http://schemas.openxmlformats.org/officeDocument/2006/relationships/hyperlink" Target="https://github.com/arabold/docs-mcp-server/issues/320" TargetMode="External"/><Relationship Id="rId2285" Type="http://schemas.openxmlformats.org/officeDocument/2006/relationships/hyperlink" Target="https://github.com/livestorejs/livestore/issues/818" TargetMode="External"/><Relationship Id="rId360" Type="http://schemas.openxmlformats.org/officeDocument/2006/relationships/hyperlink" Target="https://drive.google.com/drive/folders/1xR5-_83GntyrYQk9mCzj_4w20GYWOflZ" TargetMode="External"/><Relationship Id="rId2286" Type="http://schemas.openxmlformats.org/officeDocument/2006/relationships/hyperlink" Target="https://github.com/llmrb/llm/issues/95" TargetMode="External"/><Relationship Id="rId367" Type="http://schemas.openxmlformats.org/officeDocument/2006/relationships/hyperlink" Target="https://github.com/ardalis/Specification/issues/441" TargetMode="External"/><Relationship Id="rId2287" Type="http://schemas.openxmlformats.org/officeDocument/2006/relationships/hyperlink" Target="https://drive.google.com/drive/folders/16NA_f33T6US7gcFl_JYv5Mb48sdsnkm8" TargetMode="External"/><Relationship Id="rId5314" Type="http://schemas.openxmlformats.org/officeDocument/2006/relationships/hyperlink" Target="https://github.com/saiv43/task-queue-rs/issues/17" TargetMode="External"/><Relationship Id="rId366" Type="http://schemas.openxmlformats.org/officeDocument/2006/relationships/hyperlink" Target="https://drive.google.com/drive/folders/1J44Hwa3b6Km72yuXZECvkZPqFUfhzfoR" TargetMode="External"/><Relationship Id="rId2288" Type="http://schemas.openxmlformats.org/officeDocument/2006/relationships/hyperlink" Target="https://github.com/LLNL/axom/issues/1627" TargetMode="External"/><Relationship Id="rId5315" Type="http://schemas.openxmlformats.org/officeDocument/2006/relationships/hyperlink" Target="https://drive.google.com/drive/folders/16_-gBQDzW3MrHrHFlGugljT681T6jNGe" TargetMode="External"/><Relationship Id="rId365" Type="http://schemas.openxmlformats.org/officeDocument/2006/relationships/hyperlink" Target="https://github.com/aramis-lab/clinica/issues/1474" TargetMode="External"/><Relationship Id="rId2289" Type="http://schemas.openxmlformats.org/officeDocument/2006/relationships/hyperlink" Target="https://drive.google.com/drive/folders/1BXksDL3BvP1yZeArNZ0-7u2Px2Kyo2-z" TargetMode="External"/><Relationship Id="rId5312" Type="http://schemas.openxmlformats.org/officeDocument/2006/relationships/hyperlink" Target="https://github.com/saiv43/task-queue-rs/issues/12" TargetMode="External"/><Relationship Id="rId364" Type="http://schemas.openxmlformats.org/officeDocument/2006/relationships/hyperlink" Target="https://drive.google.com/drive/folders/17eYfjEx_y9R2i1dmJGUnIWmXCu_OME_B" TargetMode="External"/><Relationship Id="rId5313" Type="http://schemas.openxmlformats.org/officeDocument/2006/relationships/hyperlink" Target="https://drive.google.com/drive/folders/1FmaRBmXwIQoGGiM8NqOdoA2--Dt0aBqd" TargetMode="External"/><Relationship Id="rId95" Type="http://schemas.openxmlformats.org/officeDocument/2006/relationships/hyperlink" Target="https://github.com/AFM-SPM/TopoStats/issues/1108" TargetMode="External"/><Relationship Id="rId5307" Type="http://schemas.openxmlformats.org/officeDocument/2006/relationships/hyperlink" Target="https://github.com/rubyforgood/human-essentials/issues/4609" TargetMode="External"/><Relationship Id="rId94" Type="http://schemas.openxmlformats.org/officeDocument/2006/relationships/hyperlink" Target="https://drive.google.com/drive/folders/1JV4o_J_zk2fyFzRpnUMsICfEyz79chOh" TargetMode="External"/><Relationship Id="rId5308" Type="http://schemas.openxmlformats.org/officeDocument/2006/relationships/hyperlink" Target="https://drive.google.com/drive/folders/1iohngwgTJTQc2ic5S6mLsY19UK-33m_u" TargetMode="External"/><Relationship Id="rId97" Type="http://schemas.openxmlformats.org/officeDocument/2006/relationships/hyperlink" Target="https://drive.google.com/drive/folders/1LQvrnsLMRs0nCkKB51bkQejWjK9DCtpN" TargetMode="External"/><Relationship Id="rId5305" Type="http://schemas.openxmlformats.org/officeDocument/2006/relationships/hyperlink" Target="https://drive.google.com/drive/folders/1jUa1n0MMM2Zher-jmue7OsE5wKX5X7Eq" TargetMode="External"/><Relationship Id="rId96" Type="http://schemas.openxmlformats.org/officeDocument/2006/relationships/hyperlink" Target="https://drive.google.com/drive/folders/15oCL7DKSMyQq00sajg0uZBd8jHdHIVKz" TargetMode="External"/><Relationship Id="rId5306" Type="http://schemas.openxmlformats.org/officeDocument/2006/relationships/hyperlink" Target="https://drive.google.com/drive/folders/1iRC27OkJCozKvDZ2z7iH5TLqN6JxuJ0B" TargetMode="External"/><Relationship Id="rId99" Type="http://schemas.openxmlformats.org/officeDocument/2006/relationships/hyperlink" Target="https://drive.google.com/drive/folders/157ZavLRozLV5jj-HydHSUrdJCeweM6R4" TargetMode="External"/><Relationship Id="rId98" Type="http://schemas.openxmlformats.org/officeDocument/2006/relationships/hyperlink" Target="https://github.com/ag2ai/ag2/issues/145" TargetMode="External"/><Relationship Id="rId5309" Type="http://schemas.openxmlformats.org/officeDocument/2006/relationships/hyperlink" Target="https://github.com/rust-phf/rust-phf/issues/342" TargetMode="External"/><Relationship Id="rId91" Type="http://schemas.openxmlformats.org/officeDocument/2006/relationships/hyperlink" Target="https://drive.google.com/drive/folders/1EIgLZD1N7sJO7Q_N8OW9l0F9Yod7IVmm" TargetMode="External"/><Relationship Id="rId90" Type="http://schemas.openxmlformats.org/officeDocument/2006/relationships/hyperlink" Target="https://drive.google.com/drive/folders/13YpbcrEH5vUQxF1ir-icECL5Ad_G_sZD" TargetMode="External"/><Relationship Id="rId93" Type="http://schemas.openxmlformats.org/officeDocument/2006/relationships/hyperlink" Target="https://drive.google.com/drive/folders/1QgHfO0jY-Hfi50jHKjKQqeNDKFNvQl_u" TargetMode="External"/><Relationship Id="rId92" Type="http://schemas.openxmlformats.org/officeDocument/2006/relationships/hyperlink" Target="https://github.com/adtzlr/felupe/issues/940" TargetMode="External"/><Relationship Id="rId359" Type="http://schemas.openxmlformats.org/officeDocument/2006/relationships/hyperlink" Target="https://github.com/arabold/docs-mcp-server/issues/298" TargetMode="External"/><Relationship Id="rId358" Type="http://schemas.openxmlformats.org/officeDocument/2006/relationships/hyperlink" Target="https://drive.google.com/drive/folders/1oXLtaC_ZBDG2TtCfZQAUsC-Y8Eg9SXVv" TargetMode="External"/><Relationship Id="rId357" Type="http://schemas.openxmlformats.org/officeDocument/2006/relationships/hyperlink" Target="https://github.com/arabold/docs-mcp-server/issues/230" TargetMode="External"/><Relationship Id="rId2270" Type="http://schemas.openxmlformats.org/officeDocument/2006/relationships/hyperlink" Target="https://github.com/linkedin/cruise-control/issues/1889" TargetMode="External"/><Relationship Id="rId2271" Type="http://schemas.openxmlformats.org/officeDocument/2006/relationships/hyperlink" Target="https://drive.google.com/drive/folders/1TA7JLc6QiNPO_FEDZpLVnWciA7UUXtdj" TargetMode="External"/><Relationship Id="rId352" Type="http://schemas.openxmlformats.org/officeDocument/2006/relationships/hyperlink" Target="https://github.com/aquasecurity/trivy/issues/8535" TargetMode="External"/><Relationship Id="rId2272" Type="http://schemas.openxmlformats.org/officeDocument/2006/relationships/hyperlink" Target="https://github.com/linkedin/cruise-control/issues/79" TargetMode="External"/><Relationship Id="rId351" Type="http://schemas.openxmlformats.org/officeDocument/2006/relationships/hyperlink" Target="https://drive.google.com/drive/folders/157Gzo0v4HmwX7rwsjWA8np0rqpp1VRCn" TargetMode="External"/><Relationship Id="rId2273" Type="http://schemas.openxmlformats.org/officeDocument/2006/relationships/hyperlink" Target="https://drive.google.com/drive/folders/1P32a_WRhS5ObGTFyLgTNrJdsq6Ht9QPw" TargetMode="External"/><Relationship Id="rId5300" Type="http://schemas.openxmlformats.org/officeDocument/2006/relationships/hyperlink" Target="https://drive.google.com/drive/folders/10tH-vU9utqatIfg-JIQebLv1vnFiWbRH" TargetMode="External"/><Relationship Id="rId350" Type="http://schemas.openxmlformats.org/officeDocument/2006/relationships/hyperlink" Target="https://drive.google.com/drive/folders/1eLzm6K_IOMm_ez31ZYsvOVmAdf_1jl9D" TargetMode="External"/><Relationship Id="rId2274" Type="http://schemas.openxmlformats.org/officeDocument/2006/relationships/hyperlink" Target="https://github.com/linkedin/cruise-control/issues/666" TargetMode="External"/><Relationship Id="rId2275" Type="http://schemas.openxmlformats.org/officeDocument/2006/relationships/hyperlink" Target="https://github.com/liquidos-ai/AutoAgents/issues/64" TargetMode="External"/><Relationship Id="rId356" Type="http://schemas.openxmlformats.org/officeDocument/2006/relationships/hyperlink" Target="https://drive.google.com/drive/folders/1aoAGTqR2IDAnF7gO0Rje8lL7BPz-NSuA" TargetMode="External"/><Relationship Id="rId2276" Type="http://schemas.openxmlformats.org/officeDocument/2006/relationships/hyperlink" Target="https://drive.google.com/drive/folders/1MyKutbJUx5Ic_yTmQqOLIVAMZMUcPbWW" TargetMode="External"/><Relationship Id="rId5303" Type="http://schemas.openxmlformats.org/officeDocument/2006/relationships/hyperlink" Target="https://drive.google.com/drive/folders/1sYLKt4awYc5R_i75aTV98kXJDFKqqO2_" TargetMode="External"/><Relationship Id="rId355" Type="http://schemas.openxmlformats.org/officeDocument/2006/relationships/hyperlink" Target="https://github.com/arabold/docs-mcp-server/issues/27" TargetMode="External"/><Relationship Id="rId2277" Type="http://schemas.openxmlformats.org/officeDocument/2006/relationships/hyperlink" Target="https://github.com/lirantal/ls-mcp/issues/75" TargetMode="External"/><Relationship Id="rId5304" Type="http://schemas.openxmlformats.org/officeDocument/2006/relationships/hyperlink" Target="https://github.com/ruby/logger/issues/56" TargetMode="External"/><Relationship Id="rId354" Type="http://schemas.openxmlformats.org/officeDocument/2006/relationships/hyperlink" Target="https://drive.google.com/drive/folders/1iZ5OSNGz90Eg1sRArO6rKsCk8eHd_FOz" TargetMode="External"/><Relationship Id="rId2278" Type="http://schemas.openxmlformats.org/officeDocument/2006/relationships/hyperlink" Target="https://drive.google.com/drive/folders/1KiMqio94ralEoJKXAI8087WRzX9SUfUT" TargetMode="External"/><Relationship Id="rId5301" Type="http://schemas.openxmlformats.org/officeDocument/2006/relationships/hyperlink" Target="https://drive.google.com/drive/folders/1xdwf9Sb-2-u3QY3PpQcYDUh14xDfrO-1" TargetMode="External"/><Relationship Id="rId353" Type="http://schemas.openxmlformats.org/officeDocument/2006/relationships/hyperlink" Target="https://drive.google.com/drive/folders/12XYlznnBi8qNtPx7AkBc66VlVzDQyL1T" TargetMode="External"/><Relationship Id="rId2279" Type="http://schemas.openxmlformats.org/officeDocument/2006/relationships/hyperlink" Target="https://github.com/lirantal/ls-mcp/issues/79" TargetMode="External"/><Relationship Id="rId5302" Type="http://schemas.openxmlformats.org/officeDocument/2006/relationships/hyperlink" Target="https://github.com/rubocop/rubocop-rails/issues/1438" TargetMode="External"/><Relationship Id="rId2225" Type="http://schemas.openxmlformats.org/officeDocument/2006/relationships/hyperlink" Target="https://drive.google.com/drive/folders/1iZ0Sd77TQElEwFsIp8LsGZyAMHOauuwF" TargetMode="External"/><Relationship Id="rId3557" Type="http://schemas.openxmlformats.org/officeDocument/2006/relationships/hyperlink" Target="https://drive.google.com/drive/folders/1-E34k4zq8_NvqMIPfPmHmNdt0VTRY5Ki" TargetMode="External"/><Relationship Id="rId4888" Type="http://schemas.openxmlformats.org/officeDocument/2006/relationships/hyperlink" Target="https://github.com/langchain4j/langchain4j/issues/4456" TargetMode="External"/><Relationship Id="rId2226" Type="http://schemas.openxmlformats.org/officeDocument/2006/relationships/hyperlink" Target="https://github.com/lemonsaurus/blackbox/issues/159" TargetMode="External"/><Relationship Id="rId3556" Type="http://schemas.openxmlformats.org/officeDocument/2006/relationships/hyperlink" Target="https://github.com/Stebalien/tempfile/issues/355" TargetMode="External"/><Relationship Id="rId4887" Type="http://schemas.openxmlformats.org/officeDocument/2006/relationships/hyperlink" Target="https://drive.google.com/drive/folders/1Egpk4EwXZeSLGTEW0m0maEb-rs25psAG" TargetMode="External"/><Relationship Id="rId2227" Type="http://schemas.openxmlformats.org/officeDocument/2006/relationships/hyperlink" Target="https://drive.google.com/drive/folders/1UVitEpTnYxnrjUs-nP1v7VqULNOkzB0g" TargetMode="External"/><Relationship Id="rId3559" Type="http://schemas.openxmlformats.org/officeDocument/2006/relationships/hyperlink" Target="https://drive.google.com/drive/folders/1hZ6IVmcru5qsxaZvVqdcXSTIFnPOvzMh" TargetMode="External"/><Relationship Id="rId2228" Type="http://schemas.openxmlformats.org/officeDocument/2006/relationships/hyperlink" Target="https://drive.google.com/drive/folders/1aC67nc5e73KBXkVdHu1uc_D3xIiaqurM" TargetMode="External"/><Relationship Id="rId3558" Type="http://schemas.openxmlformats.org/officeDocument/2006/relationships/hyperlink" Target="https://github.com/stellar/laboratory/issues/1101" TargetMode="External"/><Relationship Id="rId4889" Type="http://schemas.openxmlformats.org/officeDocument/2006/relationships/hyperlink" Target="https://drive.google.com/drive/folders/14ew15-MJQCir2_9mGxfUjM6rpZErRT8Z" TargetMode="External"/><Relationship Id="rId2229" Type="http://schemas.openxmlformats.org/officeDocument/2006/relationships/hyperlink" Target="https://github.com/lenskit/lkpy/issues/744" TargetMode="External"/><Relationship Id="rId305" Type="http://schemas.openxmlformats.org/officeDocument/2006/relationships/hyperlink" Target="https://drive.google.com/drive/folders/10dJHIoNxbRdQRdy3rKBqB0Yp3CPdmeCc" TargetMode="External"/><Relationship Id="rId304" Type="http://schemas.openxmlformats.org/officeDocument/2006/relationships/hyperlink" Target="https://github.com/apache/iceberg-python/issues/1642" TargetMode="External"/><Relationship Id="rId303" Type="http://schemas.openxmlformats.org/officeDocument/2006/relationships/hyperlink" Target="https://drive.google.com/drive/folders/1SACy6F0ouaFFIhyS_NVv-huoz_ANwquv" TargetMode="External"/><Relationship Id="rId302" Type="http://schemas.openxmlformats.org/officeDocument/2006/relationships/hyperlink" Target="https://github.com/apache/hudi/issues/17581" TargetMode="External"/><Relationship Id="rId309" Type="http://schemas.openxmlformats.org/officeDocument/2006/relationships/hyperlink" Target="https://drive.google.com/drive/folders/1vDwuuPIbXxnAv7Yzo9TXaTCMVS_STNV-" TargetMode="External"/><Relationship Id="rId308" Type="http://schemas.openxmlformats.org/officeDocument/2006/relationships/hyperlink" Target="https://drive.google.com/drive/folders/1BYBxBdOD_UihoputHiyJhvO-X5eXaYlS" TargetMode="External"/><Relationship Id="rId307" Type="http://schemas.openxmlformats.org/officeDocument/2006/relationships/hyperlink" Target="https://github.com/apache/inlong/issues/10155" TargetMode="External"/><Relationship Id="rId306" Type="http://schemas.openxmlformats.org/officeDocument/2006/relationships/hyperlink" Target="https://drive.google.com/drive/folders/1UMwZ9L5F8NG0--63z86kOLzr6pacsSwb" TargetMode="External"/><Relationship Id="rId4880" Type="http://schemas.openxmlformats.org/officeDocument/2006/relationships/hyperlink" Target="https://github.com/kolide/launcher/issues/2352" TargetMode="External"/><Relationship Id="rId3551" Type="http://schemas.openxmlformats.org/officeDocument/2006/relationships/hyperlink" Target="https://drive.google.com/drive/folders/1yG2zYmlQ3mHI1YUjVb8LV3Ap87QeFQey" TargetMode="External"/><Relationship Id="rId4882" Type="http://schemas.openxmlformats.org/officeDocument/2006/relationships/hyperlink" Target="https://github.com/koto-lang/koto/issues/478" TargetMode="External"/><Relationship Id="rId2220" Type="http://schemas.openxmlformats.org/officeDocument/2006/relationships/hyperlink" Target="https://drive.google.com/drive/folders/13elGUW2ZhfCypOw0PcV-LKtClm-GlVb0" TargetMode="External"/><Relationship Id="rId3550" Type="http://schemas.openxmlformats.org/officeDocument/2006/relationships/hyperlink" Target="https://github.com/StarRocks/starrocks/issues/53819" TargetMode="External"/><Relationship Id="rId4881" Type="http://schemas.openxmlformats.org/officeDocument/2006/relationships/hyperlink" Target="https://drive.google.com/drive/folders/1bzC3NzoNUQ4qVJxXuzyrw4xU9sGJCpDG" TargetMode="External"/><Relationship Id="rId301" Type="http://schemas.openxmlformats.org/officeDocument/2006/relationships/hyperlink" Target="https://drive.google.com/drive/folders/1L1AOtl3wj44gC12WFzh9gePv0N15w1gV" TargetMode="External"/><Relationship Id="rId2221" Type="http://schemas.openxmlformats.org/officeDocument/2006/relationships/hyperlink" Target="https://github.com/Lemick/open-iframe-resizer/issues/8" TargetMode="External"/><Relationship Id="rId3553" Type="http://schemas.openxmlformats.org/officeDocument/2006/relationships/hyperlink" Target="https://drive.google.com/drive/folders/15GDs32WdJhGEPpG1VZxNRwrA40CZeb2V" TargetMode="External"/><Relationship Id="rId4884" Type="http://schemas.openxmlformats.org/officeDocument/2006/relationships/hyperlink" Target="https://github.com/kubernetes-sigs/azuredisk-csi-driver/issues/3256" TargetMode="External"/><Relationship Id="rId300" Type="http://schemas.openxmlformats.org/officeDocument/2006/relationships/hyperlink" Target="https://github.com/apache/helix/issues/2986" TargetMode="External"/><Relationship Id="rId2222" Type="http://schemas.openxmlformats.org/officeDocument/2006/relationships/hyperlink" Target="https://drive.google.com/drive/folders/1nHhGR83HvMEUPuylQ2Vhv4sC1uUrIOPc" TargetMode="External"/><Relationship Id="rId3552" Type="http://schemas.openxmlformats.org/officeDocument/2006/relationships/hyperlink" Target="https://github.com/state-machines/state_machines/issues/132" TargetMode="External"/><Relationship Id="rId4883" Type="http://schemas.openxmlformats.org/officeDocument/2006/relationships/hyperlink" Target="https://drive.google.com/drive/folders/1zRqWuHCmi9IrFNDmf1npBwuCVaMjiPkk" TargetMode="External"/><Relationship Id="rId2223" Type="http://schemas.openxmlformats.org/officeDocument/2006/relationships/hyperlink" Target="https://github.com/lemonade-sdk/lemonade/issues/383" TargetMode="External"/><Relationship Id="rId3555" Type="http://schemas.openxmlformats.org/officeDocument/2006/relationships/hyperlink" Target="https://drive.google.com/drive/folders/1D-RT2FYWqqQioG6Bpx1eZ_pNWOLYAEOF" TargetMode="External"/><Relationship Id="rId4886" Type="http://schemas.openxmlformats.org/officeDocument/2006/relationships/hyperlink" Target="https://github.com/labgrid-project/labgrid/issues/1558" TargetMode="External"/><Relationship Id="rId2224" Type="http://schemas.openxmlformats.org/officeDocument/2006/relationships/hyperlink" Target="https://drive.google.com/drive/folders/1Zv0-tB4RGZUMSGWlOSvJiNjoHffcDK31" TargetMode="External"/><Relationship Id="rId3554" Type="http://schemas.openxmlformats.org/officeDocument/2006/relationships/hyperlink" Target="https://github.com/stdlib-js/stdlib/issues/5998" TargetMode="External"/><Relationship Id="rId4885" Type="http://schemas.openxmlformats.org/officeDocument/2006/relationships/hyperlink" Target="https://drive.google.com/drive/folders/1jp9iPU2wSmf-2d33b-Pt8rjB5lgHlOQw" TargetMode="External"/><Relationship Id="rId2214" Type="http://schemas.openxmlformats.org/officeDocument/2006/relationships/hyperlink" Target="https://drive.google.com/drive/folders/1eShaCvguULAhoTurZQ9s7oEevqufpAEL" TargetMode="External"/><Relationship Id="rId3546" Type="http://schemas.openxmlformats.org/officeDocument/2006/relationships/hyperlink" Target="https://github.com/stacklok/toolhive/issues/1266" TargetMode="External"/><Relationship Id="rId4877" Type="http://schemas.openxmlformats.org/officeDocument/2006/relationships/hyperlink" Target="https://github.com/knative/func/issues/2746" TargetMode="External"/><Relationship Id="rId2215" Type="http://schemas.openxmlformats.org/officeDocument/2006/relationships/hyperlink" Target="https://github.com/langchain4j/langchain4j/issues/4240" TargetMode="External"/><Relationship Id="rId3545" Type="http://schemas.openxmlformats.org/officeDocument/2006/relationships/hyperlink" Target="https://drive.google.com/drive/folders/1nxip8suEwWz3BX4vs1D7DcR_gIMMVu1P" TargetMode="External"/><Relationship Id="rId4876" Type="http://schemas.openxmlformats.org/officeDocument/2006/relationships/hyperlink" Target="https://drive.google.com/drive/folders/1ieG5VQ2RkPCwTDRnTClSqmJjJLMMM7XB" TargetMode="External"/><Relationship Id="rId2216" Type="http://schemas.openxmlformats.org/officeDocument/2006/relationships/hyperlink" Target="https://drive.google.com/drive/folders/152znIYmoPgBbqj3IogHL7cnLxH1iSIyb" TargetMode="External"/><Relationship Id="rId3548" Type="http://schemas.openxmlformats.org/officeDocument/2006/relationships/hyperlink" Target="https://github.com/StarRocks/starrocks/issues/59024" TargetMode="External"/><Relationship Id="rId4879" Type="http://schemas.openxmlformats.org/officeDocument/2006/relationships/hyperlink" Target="https://drive.google.com/drive/folders/1Sju7Vepi5_5CSEBX8kVWQi5BHubZ9Mjy" TargetMode="External"/><Relationship Id="rId2217" Type="http://schemas.openxmlformats.org/officeDocument/2006/relationships/hyperlink" Target="https://github.com/langchain4j/langchain4j/issues/4483" TargetMode="External"/><Relationship Id="rId3547" Type="http://schemas.openxmlformats.org/officeDocument/2006/relationships/hyperlink" Target="https://drive.google.com/drive/folders/13MdEo7G6pVUbJOFQ74xMTrrxsgY1Z-S6" TargetMode="External"/><Relationship Id="rId4878" Type="http://schemas.openxmlformats.org/officeDocument/2006/relationships/hyperlink" Target="https://drive.google.com/drive/folders/15PEo8aT_gaOic-stKGTEqPTHSMjFWxW9" TargetMode="External"/><Relationship Id="rId2218" Type="http://schemas.openxmlformats.org/officeDocument/2006/relationships/hyperlink" Target="https://drive.google.com/drive/folders/1j11KaIl1AKob3tLeqp5xsJWNXMv8tf33" TargetMode="External"/><Relationship Id="rId2219" Type="http://schemas.openxmlformats.org/officeDocument/2006/relationships/hyperlink" Target="https://github.com/LearningCircuit/local-deep-research/issues/651" TargetMode="External"/><Relationship Id="rId3549" Type="http://schemas.openxmlformats.org/officeDocument/2006/relationships/hyperlink" Target="https://drive.google.com/drive/folders/1ILq6kgNQx28EvmpRB6RcuudFaXMYqLyV" TargetMode="External"/><Relationship Id="rId3540" Type="http://schemas.openxmlformats.org/officeDocument/2006/relationships/hyperlink" Target="https://github.com/stacklok/toolhive/issues/483" TargetMode="External"/><Relationship Id="rId4871" Type="http://schemas.openxmlformats.org/officeDocument/2006/relationships/hyperlink" Target="https://github.com/keycloak/keycloak/issues/37489" TargetMode="External"/><Relationship Id="rId4870" Type="http://schemas.openxmlformats.org/officeDocument/2006/relationships/hyperlink" Target="https://github.com/keycloak/keycloak/issues/41194" TargetMode="External"/><Relationship Id="rId2210" Type="http://schemas.openxmlformats.org/officeDocument/2006/relationships/hyperlink" Target="https://github.com/lammps/lammps/issues/4380" TargetMode="External"/><Relationship Id="rId3542" Type="http://schemas.openxmlformats.org/officeDocument/2006/relationships/hyperlink" Target="https://github.com/stacklok/toolhive/issues/632" TargetMode="External"/><Relationship Id="rId4873" Type="http://schemas.openxmlformats.org/officeDocument/2006/relationships/hyperlink" Target="https://github.com/keycloak/keycloak/issues/38851" TargetMode="External"/><Relationship Id="rId2211" Type="http://schemas.openxmlformats.org/officeDocument/2006/relationships/hyperlink" Target="https://drive.google.com/drive/folders/1U--wxiszJ5zwAydBhlY30OJyfWG8KaJ9" TargetMode="External"/><Relationship Id="rId3541" Type="http://schemas.openxmlformats.org/officeDocument/2006/relationships/hyperlink" Target="https://drive.google.com/drive/folders/1sCr4tdEiBlw8RKQxAMPO8xWvpfdWSU55" TargetMode="External"/><Relationship Id="rId4872" Type="http://schemas.openxmlformats.org/officeDocument/2006/relationships/hyperlink" Target="https://drive.google.com/drive/folders/1kO7TyNdCdM9iV-eXjVLi_T4wgaNgdfIL" TargetMode="External"/><Relationship Id="rId2212" Type="http://schemas.openxmlformats.org/officeDocument/2006/relationships/hyperlink" Target="https://github.com/langchain-ai/langchain-aws/issues/340" TargetMode="External"/><Relationship Id="rId3544" Type="http://schemas.openxmlformats.org/officeDocument/2006/relationships/hyperlink" Target="https://github.com/stacklok/toolhive/issues/811" TargetMode="External"/><Relationship Id="rId4875" Type="http://schemas.openxmlformats.org/officeDocument/2006/relationships/hyperlink" Target="https://drive.google.com/drive/folders/1wvf3S4pU-WNjuq31kQZCUfOfwGJyP8xO" TargetMode="External"/><Relationship Id="rId2213" Type="http://schemas.openxmlformats.org/officeDocument/2006/relationships/hyperlink" Target="https://drive.google.com/drive/folders/1kASzc-rlDcrQRCipYSggftcFqETyOJZ_" TargetMode="External"/><Relationship Id="rId3543" Type="http://schemas.openxmlformats.org/officeDocument/2006/relationships/hyperlink" Target="https://drive.google.com/drive/folders/1oAw5y23gNQ1zc4LIqVgiBycU2_eLsUH6" TargetMode="External"/><Relationship Id="rId4874" Type="http://schemas.openxmlformats.org/officeDocument/2006/relationships/hyperlink" Target="https://github.com/kkomelin/isomorphic-dompurify/issues/389" TargetMode="External"/><Relationship Id="rId2247" Type="http://schemas.openxmlformats.org/officeDocument/2006/relationships/hyperlink" Target="https://drive.google.com/drive/folders/1vwMHnsuLNYift2A0U8wIfhpEUVjIsrYO" TargetMode="External"/><Relationship Id="rId3579" Type="http://schemas.openxmlformats.org/officeDocument/2006/relationships/hyperlink" Target="https://drive.google.com/drive/folders/1QmG1CvklkMFuMFpsEG-Q5uDrbWa6bPgg" TargetMode="External"/><Relationship Id="rId2248" Type="http://schemas.openxmlformats.org/officeDocument/2006/relationships/hyperlink" Target="https://github.com/lightninglabs/taproot-assets/issues/1748" TargetMode="External"/><Relationship Id="rId3578" Type="http://schemas.openxmlformats.org/officeDocument/2006/relationships/hyperlink" Target="https://github.com/streamlit/streamlit/issues/12313" TargetMode="External"/><Relationship Id="rId2249" Type="http://schemas.openxmlformats.org/officeDocument/2006/relationships/hyperlink" Target="https://drive.google.com/drive/folders/11zEfpN3a9QrNel8S-nTAm3XVLxm7x1Pd" TargetMode="External"/><Relationship Id="rId327" Type="http://schemas.openxmlformats.org/officeDocument/2006/relationships/hyperlink" Target="https://github.com/apache/rocketmq/issues/9048" TargetMode="External"/><Relationship Id="rId326" Type="http://schemas.openxmlformats.org/officeDocument/2006/relationships/hyperlink" Target="https://drive.google.com/drive/folders/1oaHfqeU_vtZARuRhjBpNY4PJtR6gC9_n" TargetMode="External"/><Relationship Id="rId325" Type="http://schemas.openxmlformats.org/officeDocument/2006/relationships/hyperlink" Target="https://github.com/apache/polaris/issues/1353" TargetMode="External"/><Relationship Id="rId324" Type="http://schemas.openxmlformats.org/officeDocument/2006/relationships/hyperlink" Target="https://github.com/apache/paimon/issues/5342" TargetMode="External"/><Relationship Id="rId329" Type="http://schemas.openxmlformats.org/officeDocument/2006/relationships/hyperlink" Target="https://github.com/apache/seatunnel/issues/9095" TargetMode="External"/><Relationship Id="rId328" Type="http://schemas.openxmlformats.org/officeDocument/2006/relationships/hyperlink" Target="https://drive.google.com/drive/folders/1bQmPwAq7lodFin1sqdYXN7w07OGLjDCh" TargetMode="External"/><Relationship Id="rId3571" Type="http://schemas.openxmlformats.org/officeDocument/2006/relationships/hyperlink" Target="https://drive.google.com/drive/folders/1X2ky5eR7VObxT_S_oVOICQupP6W_xuNV" TargetMode="External"/><Relationship Id="rId2240" Type="http://schemas.openxmlformats.org/officeDocument/2006/relationships/hyperlink" Target="https://drive.google.com/drive/folders/1YhgWaE4VwS16L88WBjG2cQyMoPEcnOru" TargetMode="External"/><Relationship Id="rId3570" Type="http://schemas.openxmlformats.org/officeDocument/2006/relationships/hyperlink" Target="https://github.com/strands-agents/sdk-python/issues/819" TargetMode="External"/><Relationship Id="rId2241" Type="http://schemas.openxmlformats.org/officeDocument/2006/relationships/hyperlink" Target="https://drive.google.com/drive/folders/1qlWhxdfMHL9HxS1YVWO3SGbp427PYfHb" TargetMode="External"/><Relationship Id="rId3573" Type="http://schemas.openxmlformats.org/officeDocument/2006/relationships/hyperlink" Target="https://drive.google.com/drive/folders/1KGO2rffdT-i0Z3o-VB4F-nlOKYMP1gJw" TargetMode="External"/><Relationship Id="rId2242" Type="http://schemas.openxmlformats.org/officeDocument/2006/relationships/hyperlink" Target="https://github.com/Lightning-AI/litgpt/issues/2036" TargetMode="External"/><Relationship Id="rId3572" Type="http://schemas.openxmlformats.org/officeDocument/2006/relationships/hyperlink" Target="https://github.com/strapi/client/issues/104" TargetMode="External"/><Relationship Id="rId323" Type="http://schemas.openxmlformats.org/officeDocument/2006/relationships/hyperlink" Target="https://drive.google.com/drive/folders/1ScPmv8u-wpZNhjJV-4FWdjNVEKIG2Frn" TargetMode="External"/><Relationship Id="rId2243" Type="http://schemas.openxmlformats.org/officeDocument/2006/relationships/hyperlink" Target="https://drive.google.com/drive/folders/1pw2dkM3bMGh0_qRRENCzVyFZnl2j3dTl" TargetMode="External"/><Relationship Id="rId3575" Type="http://schemas.openxmlformats.org/officeDocument/2006/relationships/hyperlink" Target="https://drive.google.com/drive/folders/1fWPzW1AGnoG2kFTwyFfe479rKfwlk7b_" TargetMode="External"/><Relationship Id="rId322" Type="http://schemas.openxmlformats.org/officeDocument/2006/relationships/hyperlink" Target="https://github.com/apache/paimon/issues/5062" TargetMode="External"/><Relationship Id="rId2244" Type="http://schemas.openxmlformats.org/officeDocument/2006/relationships/hyperlink" Target="https://drive.google.com/drive/folders/1Gily_i0seroXQ_87Se8hdfxKaK3ei_AC" TargetMode="External"/><Relationship Id="rId3574" Type="http://schemas.openxmlformats.org/officeDocument/2006/relationships/hyperlink" Target="https://github.com/strapi/strapi/issues/22617" TargetMode="External"/><Relationship Id="rId321" Type="http://schemas.openxmlformats.org/officeDocument/2006/relationships/hyperlink" Target="https://drive.google.com/drive/folders/1HvMSaZ1PvAelJmxhwtffRXCqLXJLNcE4" TargetMode="External"/><Relationship Id="rId2245" Type="http://schemas.openxmlformats.org/officeDocument/2006/relationships/hyperlink" Target="https://github.com/Lightning-AI/pytorch-lightning/issues/21071" TargetMode="External"/><Relationship Id="rId3577" Type="http://schemas.openxmlformats.org/officeDocument/2006/relationships/hyperlink" Target="https://drive.google.com/drive/folders/16iobyGph2GkM_jzeSGE2Qmpc6SSaQzSX" TargetMode="External"/><Relationship Id="rId320" Type="http://schemas.openxmlformats.org/officeDocument/2006/relationships/hyperlink" Target="https://github.com/apache/netbeans/issues/6896" TargetMode="External"/><Relationship Id="rId2246" Type="http://schemas.openxmlformats.org/officeDocument/2006/relationships/hyperlink" Target="https://github.com/lightninglabs/taproot-assets/issues/1335" TargetMode="External"/><Relationship Id="rId3576" Type="http://schemas.openxmlformats.org/officeDocument/2006/relationships/hyperlink" Target="https://github.com/streamich/json-joy/issues/832" TargetMode="External"/><Relationship Id="rId2236" Type="http://schemas.openxmlformats.org/officeDocument/2006/relationships/hyperlink" Target="https://drive.google.com/drive/folders/1498_BQlzFPhBmz70bwfXfcOe8YmauTg5" TargetMode="External"/><Relationship Id="rId3568" Type="http://schemas.openxmlformats.org/officeDocument/2006/relationships/hyperlink" Target="https://github.com/Stirling-Tools/Stirling-PDF/issues/3781" TargetMode="External"/><Relationship Id="rId4899" Type="http://schemas.openxmlformats.org/officeDocument/2006/relationships/hyperlink" Target="https://github.com/Lightning-AI/pytorch-lightning/issues/20771" TargetMode="External"/><Relationship Id="rId2237" Type="http://schemas.openxmlformats.org/officeDocument/2006/relationships/hyperlink" Target="https://github.com/LiamMorrow/LiftLog/issues/664" TargetMode="External"/><Relationship Id="rId3567" Type="http://schemas.openxmlformats.org/officeDocument/2006/relationships/hyperlink" Target="https://drive.google.com/drive/folders/1yYHKkBRvCBagxqc4N61xfvfDOxqFvqA7" TargetMode="External"/><Relationship Id="rId4898" Type="http://schemas.openxmlformats.org/officeDocument/2006/relationships/hyperlink" Target="https://drive.google.com/drive/folders/1P2YL6zGnLpJZIPCTS8Qa-wPbzGkIsccC" TargetMode="External"/><Relationship Id="rId2238" Type="http://schemas.openxmlformats.org/officeDocument/2006/relationships/hyperlink" Target="https://drive.google.com/drive/folders/1RL6X3VJ_FjGrslJwwqYIZIuSDOS9dQFH" TargetMode="External"/><Relationship Id="rId2239" Type="http://schemas.openxmlformats.org/officeDocument/2006/relationships/hyperlink" Target="https://github.com/libp2p/py-libp2p/issues/631" TargetMode="External"/><Relationship Id="rId3569" Type="http://schemas.openxmlformats.org/officeDocument/2006/relationships/hyperlink" Target="https://drive.google.com/drive/folders/1lJ1m-osMiwuTphvjMCa3yoow0_pw4wVc" TargetMode="External"/><Relationship Id="rId316" Type="http://schemas.openxmlformats.org/officeDocument/2006/relationships/hyperlink" Target="https://github.com/apache/maven-build-cache-extension/issues/392" TargetMode="External"/><Relationship Id="rId315" Type="http://schemas.openxmlformats.org/officeDocument/2006/relationships/hyperlink" Target="https://drive.google.com/drive/folders/1oLcqu3Kv_3tVzoB6H2sLUyIQJpCJv8zQ" TargetMode="External"/><Relationship Id="rId314" Type="http://schemas.openxmlformats.org/officeDocument/2006/relationships/hyperlink" Target="https://github.com/apache/logging-log4j2/issues/1836" TargetMode="External"/><Relationship Id="rId313" Type="http://schemas.openxmlformats.org/officeDocument/2006/relationships/hyperlink" Target="https://drive.google.com/drive/folders/1QXPNXiP5xacxS5C6c7JQd265DJcK8zYY" TargetMode="External"/><Relationship Id="rId319" Type="http://schemas.openxmlformats.org/officeDocument/2006/relationships/hyperlink" Target="https://drive.google.com/drive/folders/1D99jezBKJmkdPsaJnTH1yFUQWunxV1TC" TargetMode="External"/><Relationship Id="rId318" Type="http://schemas.openxmlformats.org/officeDocument/2006/relationships/hyperlink" Target="https://github.com/apache/maven-enforcer/issues/368" TargetMode="External"/><Relationship Id="rId317" Type="http://schemas.openxmlformats.org/officeDocument/2006/relationships/hyperlink" Target="https://drive.google.com/drive/folders/10EvOWoA0DIvoZwqAizk7do3SO_hurxNJ" TargetMode="External"/><Relationship Id="rId3560" Type="http://schemas.openxmlformats.org/officeDocument/2006/relationships/hyperlink" Target="https://github.com/stellar/laboratory/issues/1178" TargetMode="External"/><Relationship Id="rId4891" Type="http://schemas.openxmlformats.org/officeDocument/2006/relationships/hyperlink" Target="https://drive.google.com/drive/folders/1_ycVLVif_tFUWTHGMlYnLulMq-VfyoR1" TargetMode="External"/><Relationship Id="rId4890" Type="http://schemas.openxmlformats.org/officeDocument/2006/relationships/hyperlink" Target="https://github.com/Lightning-AI/litData/issues/453" TargetMode="External"/><Relationship Id="rId2230" Type="http://schemas.openxmlformats.org/officeDocument/2006/relationships/hyperlink" Target="https://drive.google.com/drive/folders/1zANVnun9otba48kE0iGB7fRbLnbqDyie" TargetMode="External"/><Relationship Id="rId3562" Type="http://schemas.openxmlformats.org/officeDocument/2006/relationships/hyperlink" Target="https://drive.google.com/drive/folders/1yMO00VOKbkmR-OjRwixQJxuOMND3vdOx" TargetMode="External"/><Relationship Id="rId4893" Type="http://schemas.openxmlformats.org/officeDocument/2006/relationships/hyperlink" Target="https://github.com/Lightning-AI/litData/issues/425" TargetMode="External"/><Relationship Id="rId2231" Type="http://schemas.openxmlformats.org/officeDocument/2006/relationships/hyperlink" Target="https://github.com/letsencrypt/boulder/issues/8181" TargetMode="External"/><Relationship Id="rId3561" Type="http://schemas.openxmlformats.org/officeDocument/2006/relationships/hyperlink" Target="https://drive.google.com/drive/folders/1ZHkwjk1DGe48Uai2Ai3xeogz6UdOgxiI" TargetMode="External"/><Relationship Id="rId4892" Type="http://schemas.openxmlformats.org/officeDocument/2006/relationships/hyperlink" Target="https://drive.google.com/drive/folders/137Qbtp37DubX6GgqWZKvzhH9i_5qOQs5" TargetMode="External"/><Relationship Id="rId312" Type="http://schemas.openxmlformats.org/officeDocument/2006/relationships/hyperlink" Target="https://github.com/apache/logging-log4cxx/issues/441" TargetMode="External"/><Relationship Id="rId2232" Type="http://schemas.openxmlformats.org/officeDocument/2006/relationships/hyperlink" Target="https://drive.google.com/drive/folders/1FU-5t2vd-c6rgNOBjpEzF64YmNI3Ve9C" TargetMode="External"/><Relationship Id="rId3564" Type="http://schemas.openxmlformats.org/officeDocument/2006/relationships/hyperlink" Target="https://drive.google.com/drive/folders/1HStSc5TSdG32shjuUcpJ3nkdoe8Jppf2" TargetMode="External"/><Relationship Id="rId4895" Type="http://schemas.openxmlformats.org/officeDocument/2006/relationships/hyperlink" Target="https://drive.google.com/drive/folders/1_x6ymPNZY0hfSbAFQGQwBVTJHTpmwTto" TargetMode="External"/><Relationship Id="rId311" Type="http://schemas.openxmlformats.org/officeDocument/2006/relationships/hyperlink" Target="https://drive.google.com/drive/folders/1VpFdynvO4tIqUdQ3nxEyhcyrK1iHcsip" TargetMode="External"/><Relationship Id="rId2233" Type="http://schemas.openxmlformats.org/officeDocument/2006/relationships/hyperlink" Target="https://drive.google.com/drive/folders/1tv4M3HlIPi5l0JfRkvehryKecSqidqaH" TargetMode="External"/><Relationship Id="rId3563" Type="http://schemas.openxmlformats.org/officeDocument/2006/relationships/hyperlink" Target="https://github.com/stephenberry/glaze/issues/1729" TargetMode="External"/><Relationship Id="rId4894" Type="http://schemas.openxmlformats.org/officeDocument/2006/relationships/hyperlink" Target="https://drive.google.com/drive/folders/1GpaXX_2C8pP0dltdlAWVI7gEu-1jZnP1" TargetMode="External"/><Relationship Id="rId310" Type="http://schemas.openxmlformats.org/officeDocument/2006/relationships/hyperlink" Target="https://github.com/apache/jena/issues/1805" TargetMode="External"/><Relationship Id="rId2234" Type="http://schemas.openxmlformats.org/officeDocument/2006/relationships/hyperlink" Target="https://github.com/LFDT-web3j/web3j/issues/2192" TargetMode="External"/><Relationship Id="rId3566" Type="http://schemas.openxmlformats.org/officeDocument/2006/relationships/hyperlink" Target="https://drive.google.com/drive/folders/1tPnca94nezDOcKw8jzJz8KNoiwfrhGBD" TargetMode="External"/><Relationship Id="rId4897" Type="http://schemas.openxmlformats.org/officeDocument/2006/relationships/hyperlink" Target="https://drive.google.com/drive/folders/1klM4Bls-c3tYHSBxDMU98RgGY761A7Tk" TargetMode="External"/><Relationship Id="rId2235" Type="http://schemas.openxmlformats.org/officeDocument/2006/relationships/hyperlink" Target="https://drive.google.com/drive/folders/1DY3DpHShxpcV4q3G9LfHKGoubr722mQu" TargetMode="External"/><Relationship Id="rId3565" Type="http://schemas.openxmlformats.org/officeDocument/2006/relationships/hyperlink" Target="https://github.com/stephenh/ts-proto/issues/1085" TargetMode="External"/><Relationship Id="rId4896" Type="http://schemas.openxmlformats.org/officeDocument/2006/relationships/hyperlink" Target="https://github.com/Lightning-AI/LitServe/issues/582" TargetMode="External"/><Relationship Id="rId4040" Type="http://schemas.openxmlformats.org/officeDocument/2006/relationships/hyperlink" Target="https://github.com/zeta-chain/node/issues/4097" TargetMode="External"/><Relationship Id="rId5372" Type="http://schemas.openxmlformats.org/officeDocument/2006/relationships/hyperlink" Target="https://drive.google.com/drive/folders/1038_VfDCLVcA6jvev8dGlKRwERTsK9X2" TargetMode="External"/><Relationship Id="rId5373" Type="http://schemas.openxmlformats.org/officeDocument/2006/relationships/hyperlink" Target="https://github.com/simgine/bevy_enhanced_input/issues/114" TargetMode="External"/><Relationship Id="rId4042" Type="http://schemas.openxmlformats.org/officeDocument/2006/relationships/hyperlink" Target="https://github.com/zeta-chain/node/issues/3765" TargetMode="External"/><Relationship Id="rId5370" Type="http://schemas.openxmlformats.org/officeDocument/2006/relationships/hyperlink" Target="https://github.com/sigstore/cosign/issues/4285" TargetMode="External"/><Relationship Id="rId4041" Type="http://schemas.openxmlformats.org/officeDocument/2006/relationships/hyperlink" Target="https://drive.google.com/drive/folders/1isIWhSKTsbeeyATeP8KBWsZ_JG9hhF4j" TargetMode="External"/><Relationship Id="rId5371" Type="http://schemas.openxmlformats.org/officeDocument/2006/relationships/hyperlink" Target="https://drive.google.com/drive/folders/1sjdElhLMjAP3URAk-NGv8-geJML6BiJJ" TargetMode="External"/><Relationship Id="rId4044" Type="http://schemas.openxmlformats.org/officeDocument/2006/relationships/hyperlink" Target="https://github.com/zeta-chain/node/issues/3455" TargetMode="External"/><Relationship Id="rId5376" Type="http://schemas.openxmlformats.org/officeDocument/2006/relationships/hyperlink" Target="https://drive.google.com/drive/folders/1D77T1wJWrxpqzZd7qhJ_ot_OSTk_nJCa" TargetMode="External"/><Relationship Id="rId4043" Type="http://schemas.openxmlformats.org/officeDocument/2006/relationships/hyperlink" Target="https://drive.google.com/drive/folders/1QmiXyEwJI3MPOfyvew1IQP5w5ZWDB0v5" TargetMode="External"/><Relationship Id="rId5377" Type="http://schemas.openxmlformats.org/officeDocument/2006/relationships/hyperlink" Target="https://github.com/simonw/llm/issues/846" TargetMode="External"/><Relationship Id="rId4046" Type="http://schemas.openxmlformats.org/officeDocument/2006/relationships/hyperlink" Target="https://github.com/zeta-chain/toolkit/issues/235" TargetMode="External"/><Relationship Id="rId5374" Type="http://schemas.openxmlformats.org/officeDocument/2006/relationships/hyperlink" Target="https://drive.google.com/drive/folders/1dK8VcEnPiOVxFfpJOf6_GrVwxMVdiBnG" TargetMode="External"/><Relationship Id="rId4045" Type="http://schemas.openxmlformats.org/officeDocument/2006/relationships/hyperlink" Target="https://drive.google.com/drive/folders/1CyvB3UjR0dxGRopsW1jpnlG-M8CyPgso" TargetMode="External"/><Relationship Id="rId5375" Type="http://schemas.openxmlformats.org/officeDocument/2006/relationships/hyperlink" Target="https://github.com/simnalamburt/obj-rs/issues/78" TargetMode="External"/><Relationship Id="rId4048" Type="http://schemas.openxmlformats.org/officeDocument/2006/relationships/hyperlink" Target="https://github.com/zitadel/zitadel/issues/8822" TargetMode="External"/><Relationship Id="rId4047" Type="http://schemas.openxmlformats.org/officeDocument/2006/relationships/hyperlink" Target="https://drive.google.com/drive/folders/1HOaq7UJJee79XYbqPXnItulEbfuMezI9" TargetMode="External"/><Relationship Id="rId5378" Type="http://schemas.openxmlformats.org/officeDocument/2006/relationships/hyperlink" Target="https://drive.google.com/drive/folders/1KBL8i7SQWDjCSnsx11l2SAnslQusxUGx" TargetMode="External"/><Relationship Id="rId4049" Type="http://schemas.openxmlformats.org/officeDocument/2006/relationships/hyperlink" Target="https://drive.google.com/drive/folders/1eIVK2ZO0k90IaDGgcOWj5hxFuIcbTlhs" TargetMode="External"/><Relationship Id="rId5379" Type="http://schemas.openxmlformats.org/officeDocument/2006/relationships/hyperlink" Target="https://drive.google.com/drive/folders/1hUtn_bhX_p28ISVJwlsTVKlDPHGpSMh5" TargetMode="External"/><Relationship Id="rId5361" Type="http://schemas.openxmlformats.org/officeDocument/2006/relationships/hyperlink" Target="https://github.com/Shopify/tapioca/issues/2129" TargetMode="External"/><Relationship Id="rId5362" Type="http://schemas.openxmlformats.org/officeDocument/2006/relationships/hyperlink" Target="https://drive.google.com/drive/folders/18AbfjoiFpAGGKGogafGPnIqblDuE_mI4" TargetMode="External"/><Relationship Id="rId4031" Type="http://schemas.openxmlformats.org/officeDocument/2006/relationships/hyperlink" Target="https://github.com/zeroc-ice/ice/issues/4093" TargetMode="External"/><Relationship Id="rId4030" Type="http://schemas.openxmlformats.org/officeDocument/2006/relationships/hyperlink" Target="https://drive.google.com/drive/folders/1h3jE91QZDIb_h0PncKh7vd1TFJ7p3QAt" TargetMode="External"/><Relationship Id="rId5360" Type="http://schemas.openxmlformats.org/officeDocument/2006/relationships/hyperlink" Target="https://drive.google.com/drive/folders/12UlgZm_FofxJel8ucIrlpvlQA5hNLXXd" TargetMode="External"/><Relationship Id="rId297" Type="http://schemas.openxmlformats.org/officeDocument/2006/relationships/hyperlink" Target="https://github.com/apache/gravitino/issues/9779" TargetMode="External"/><Relationship Id="rId4033" Type="http://schemas.openxmlformats.org/officeDocument/2006/relationships/hyperlink" Target="https://drive.google.com/drive/folders/1NFks-pe5kuNDDbAMXaSHhO8ZRDiEzAvS" TargetMode="External"/><Relationship Id="rId5365" Type="http://schemas.openxmlformats.org/officeDocument/2006/relationships/hyperlink" Target="https://drive.google.com/drive/folders/1xrwNajtP3IInfq-R4VjI7F-Hh-_kQ0qG" TargetMode="External"/><Relationship Id="rId296" Type="http://schemas.openxmlformats.org/officeDocument/2006/relationships/hyperlink" Target="https://drive.google.com/drive/folders/14HDoNZ2JfM8b6AFAHQFzh1qkwM3oLv1M" TargetMode="External"/><Relationship Id="rId4032" Type="http://schemas.openxmlformats.org/officeDocument/2006/relationships/hyperlink" Target="https://drive.google.com/drive/folders/1zUVRTpFx0PeyyfvFvphGQHVkKLPdCmoE" TargetMode="External"/><Relationship Id="rId5366" Type="http://schemas.openxmlformats.org/officeDocument/2006/relationships/hyperlink" Target="https://drive.google.com/drive/folders/1cDizaFbPVByR9IwrHAGWzGCzwtFRuA_P" TargetMode="External"/><Relationship Id="rId295" Type="http://schemas.openxmlformats.org/officeDocument/2006/relationships/hyperlink" Target="https://github.com/apache/gravitino/issues/8635" TargetMode="External"/><Relationship Id="rId4035" Type="http://schemas.openxmlformats.org/officeDocument/2006/relationships/hyperlink" Target="https://drive.google.com/drive/folders/1Gw-87fKUfsvdmjHIqoRIj3HRH5VHdXIF" TargetMode="External"/><Relationship Id="rId5363" Type="http://schemas.openxmlformats.org/officeDocument/2006/relationships/hyperlink" Target="https://drive.google.com/drive/folders/1tCGycbuwvyoRs1x-kP3HUdfeLu889r3K" TargetMode="External"/><Relationship Id="rId294" Type="http://schemas.openxmlformats.org/officeDocument/2006/relationships/hyperlink" Target="https://drive.google.com/drive/folders/1DjmOOkSp8TLntoPdKZ--VOxiQDvn8RNG" TargetMode="External"/><Relationship Id="rId4034" Type="http://schemas.openxmlformats.org/officeDocument/2006/relationships/hyperlink" Target="https://github.com/zeta-chain/node/issues/3553" TargetMode="External"/><Relationship Id="rId5364" Type="http://schemas.openxmlformats.org/officeDocument/2006/relationships/hyperlink" Target="https://github.com/Shopify/theme-tools/issues/923" TargetMode="External"/><Relationship Id="rId4037" Type="http://schemas.openxmlformats.org/officeDocument/2006/relationships/hyperlink" Target="https://drive.google.com/drive/folders/1RFQXiK2GFocHR5_8X3W_moqEvzmV8Lst" TargetMode="External"/><Relationship Id="rId5369" Type="http://schemas.openxmlformats.org/officeDocument/2006/relationships/hyperlink" Target="https://drive.google.com/drive/folders/1XdOAukSIkGfZ8Anj8oa_o5-fnHyesTdk" TargetMode="External"/><Relationship Id="rId4036" Type="http://schemas.openxmlformats.org/officeDocument/2006/relationships/hyperlink" Target="https://github.com/zeta-chain/node/issues/3326" TargetMode="External"/><Relationship Id="rId299" Type="http://schemas.openxmlformats.org/officeDocument/2006/relationships/hyperlink" Target="https://drive.google.com/drive/folders/13tjz5C23UU2yFfdWCiqOKRojP-2tAVkh" TargetMode="External"/><Relationship Id="rId4039" Type="http://schemas.openxmlformats.org/officeDocument/2006/relationships/hyperlink" Target="https://drive.google.com/drive/folders/193tqzTy7uQnErfm16PbYTVvW0zHPMhgh" TargetMode="External"/><Relationship Id="rId5367" Type="http://schemas.openxmlformats.org/officeDocument/2006/relationships/hyperlink" Target="https://github.com/sidekiq/sidekiq/issues/6522" TargetMode="External"/><Relationship Id="rId298" Type="http://schemas.openxmlformats.org/officeDocument/2006/relationships/hyperlink" Target="https://github.com/apache/gravitino/issues/7502" TargetMode="External"/><Relationship Id="rId4038" Type="http://schemas.openxmlformats.org/officeDocument/2006/relationships/hyperlink" Target="https://github.com/zeta-chain/node/issues/3278" TargetMode="External"/><Relationship Id="rId5368" Type="http://schemas.openxmlformats.org/officeDocument/2006/relationships/hyperlink" Target="https://drive.google.com/drive/folders/1fQ-u4YwtvxDA7p8JJ_dS_0GXY1uHLsYs" TargetMode="External"/><Relationship Id="rId5390" Type="http://schemas.openxmlformats.org/officeDocument/2006/relationships/hyperlink" Target="https://drive.google.com/drive/folders/17l7IqgFHPfOYVT2TnJaYELzzv7oSUPHJ" TargetMode="External"/><Relationship Id="rId5391" Type="http://schemas.openxmlformats.org/officeDocument/2006/relationships/hyperlink" Target="https://drive.google.com/drive/folders/1zq-cxtYdMDf2HHiTlC0JDiOBFJ09spgD" TargetMode="External"/><Relationship Id="rId4060" Type="http://schemas.openxmlformats.org/officeDocument/2006/relationships/hyperlink" Target="https://drive.google.com/drive/folders/10ESmICg53p5aCezkQcQBoyCzIdFiMHzJ" TargetMode="External"/><Relationship Id="rId4062" Type="http://schemas.openxmlformats.org/officeDocument/2006/relationships/hyperlink" Target="https://drive.google.com/drive/folders/1I37mr8BpbcumMjC_rkvAuDKnFplE5xPr" TargetMode="External"/><Relationship Id="rId5394" Type="http://schemas.openxmlformats.org/officeDocument/2006/relationships/hyperlink" Target="https://github.com/spack/spack/issues/50019" TargetMode="External"/><Relationship Id="rId4061" Type="http://schemas.openxmlformats.org/officeDocument/2006/relationships/hyperlink" Target="https://github.com/a2aproject/a2a-dotnet/issues/110" TargetMode="External"/><Relationship Id="rId5395" Type="http://schemas.openxmlformats.org/officeDocument/2006/relationships/hyperlink" Target="https://drive.google.com/drive/folders/1OHuhoYsIqiawqSg87iJopQuF0PrzEuqM" TargetMode="External"/><Relationship Id="rId4064" Type="http://schemas.openxmlformats.org/officeDocument/2006/relationships/hyperlink" Target="https://drive.google.com/drive/folders/1H6jiry7K81frP9sbS2daNxi0NZjfQ9fy" TargetMode="External"/><Relationship Id="rId5392" Type="http://schemas.openxmlformats.org/officeDocument/2006/relationships/hyperlink" Target="https://github.com/smithy-lang/smithy/issues/2449" TargetMode="External"/><Relationship Id="rId4063" Type="http://schemas.openxmlformats.org/officeDocument/2006/relationships/hyperlink" Target="https://github.com/a2aproject/a2a-python/issues/394" TargetMode="External"/><Relationship Id="rId5393" Type="http://schemas.openxmlformats.org/officeDocument/2006/relationships/hyperlink" Target="https://drive.google.com/drive/folders/1aOEzQUeS8uspExHZbbifeaN2VK_OOSZA" TargetMode="External"/><Relationship Id="rId4066" Type="http://schemas.openxmlformats.org/officeDocument/2006/relationships/hyperlink" Target="https://drive.google.com/drive/folders/1v535Ws1YEJN5OoEZ6QLxkglhGd9Q9pbX" TargetMode="External"/><Relationship Id="rId5398" Type="http://schemas.openxmlformats.org/officeDocument/2006/relationships/hyperlink" Target="https://github.com/spyder-ide/spyder/issues/24540" TargetMode="External"/><Relationship Id="rId4065" Type="http://schemas.openxmlformats.org/officeDocument/2006/relationships/hyperlink" Target="https://github.com/abpframework/abp/issues/23701" TargetMode="External"/><Relationship Id="rId5399" Type="http://schemas.openxmlformats.org/officeDocument/2006/relationships/hyperlink" Target="https://drive.google.com/drive/folders/1bVM-Yx7BFAk8o6h5tyAc1BhvhHLfjwVm" TargetMode="External"/><Relationship Id="rId4068" Type="http://schemas.openxmlformats.org/officeDocument/2006/relationships/hyperlink" Target="https://github.com/ABRG-Models/morphologica/issues/251" TargetMode="External"/><Relationship Id="rId5396" Type="http://schemas.openxmlformats.org/officeDocument/2006/relationships/hyperlink" Target="https://drive.google.com/drive/folders/1oxb76Abd8_NYwHe8eBHhPMAs_E2O3oof" TargetMode="External"/><Relationship Id="rId4067" Type="http://schemas.openxmlformats.org/officeDocument/2006/relationships/hyperlink" Target="https://drive.google.com/drive/folders/12XZY6ECxVEjD1i5Azl1gSb493jd1B7gi" TargetMode="External"/><Relationship Id="rId5397" Type="http://schemas.openxmlformats.org/officeDocument/2006/relationships/hyperlink" Target="https://github.com/spring-projects/spring-integration/issues/9429" TargetMode="External"/><Relationship Id="rId4069" Type="http://schemas.openxmlformats.org/officeDocument/2006/relationships/hyperlink" Target="https://drive.google.com/drive/folders/1t5f5MhEsh7ZQoGxZdtAI9lz9uPnAGBfd" TargetMode="External"/><Relationship Id="rId5380" Type="http://schemas.openxmlformats.org/officeDocument/2006/relationships/hyperlink" Target="https://github.com/sindresorhus/eslint-plugin-unicorn/issues/2780" TargetMode="External"/><Relationship Id="rId4051" Type="http://schemas.openxmlformats.org/officeDocument/2006/relationships/hyperlink" Target="https://github.com/zizmorcore/zizmor/issues/133" TargetMode="External"/><Relationship Id="rId5383" Type="http://schemas.openxmlformats.org/officeDocument/2006/relationships/hyperlink" Target="https://drive.google.com/drive/folders/16WPPF7cA4uCZiBrAPrNYCwkl1Xree9PL" TargetMode="External"/><Relationship Id="rId4050" Type="http://schemas.openxmlformats.org/officeDocument/2006/relationships/hyperlink" Target="https://drive.google.com/drive/folders/1tAldCN7bLUG2vpChJbk46euavXPXffGf" TargetMode="External"/><Relationship Id="rId5384" Type="http://schemas.openxmlformats.org/officeDocument/2006/relationships/hyperlink" Target="https://github.com/sindresorhus/ky/issues/763" TargetMode="External"/><Relationship Id="rId4053" Type="http://schemas.openxmlformats.org/officeDocument/2006/relationships/hyperlink" Target="https://drive.google.com/drive/folders/1JbeMIBxMwblMBfG_7dwyJ-znJTEuFEf3" TargetMode="External"/><Relationship Id="rId5381" Type="http://schemas.openxmlformats.org/officeDocument/2006/relationships/hyperlink" Target="https://drive.google.com/drive/folders/1iURQ_XjuPROyHtwYDkD9mqwDhWMZFVhW" TargetMode="External"/><Relationship Id="rId4052" Type="http://schemas.openxmlformats.org/officeDocument/2006/relationships/hyperlink" Target="https://drive.google.com/drive/folders/1tI8qXSdTCAvECLPu7cttjMl-XPAoPdKi" TargetMode="External"/><Relationship Id="rId5382" Type="http://schemas.openxmlformats.org/officeDocument/2006/relationships/hyperlink" Target="https://github.com/sindresorhus/file-type/issues/783" TargetMode="External"/><Relationship Id="rId4055" Type="http://schemas.openxmlformats.org/officeDocument/2006/relationships/hyperlink" Target="https://drive.google.com/drive/folders/1cvhIpM_xMBrOmKfDYg_y9b00p9eoSAYV" TargetMode="External"/><Relationship Id="rId5387" Type="http://schemas.openxmlformats.org/officeDocument/2006/relationships/hyperlink" Target="https://github.com/skrub-data/skrub/issues/1215" TargetMode="External"/><Relationship Id="rId4054" Type="http://schemas.openxmlformats.org/officeDocument/2006/relationships/hyperlink" Target="https://github.com/zizmorcore/zizmor/issues/670" TargetMode="External"/><Relationship Id="rId5388" Type="http://schemas.openxmlformats.org/officeDocument/2006/relationships/hyperlink" Target="https://drive.google.com/drive/folders/1lkcaHMsu4PS7O_JyIagUIMQC67aLFR-G" TargetMode="External"/><Relationship Id="rId4057" Type="http://schemas.openxmlformats.org/officeDocument/2006/relationships/hyperlink" Target="https://github.com/zizmorcore/zizmor/issues/294" TargetMode="External"/><Relationship Id="rId5385" Type="http://schemas.openxmlformats.org/officeDocument/2006/relationships/hyperlink" Target="https://drive.google.com/drive/folders/1tbpVT-Hb5F3fqAP64b5RESzQLTupYXls" TargetMode="External"/><Relationship Id="rId4056" Type="http://schemas.openxmlformats.org/officeDocument/2006/relationships/hyperlink" Target="https://drive.google.com/drive/folders/1OM0v1LbXl-zrv-567PBvjXmLd_HPxwOJ" TargetMode="External"/><Relationship Id="rId5386" Type="http://schemas.openxmlformats.org/officeDocument/2006/relationships/hyperlink" Target="https://drive.google.com/drive/folders/1ukS7P2i_xrb9-hmIywggUJyQjkwQn1J1" TargetMode="External"/><Relationship Id="rId4059" Type="http://schemas.openxmlformats.org/officeDocument/2006/relationships/hyperlink" Target="https://drive.google.com/drive/folders/1Q5032tvEX-g-ilz6_53LA10y1u2O-oGC" TargetMode="External"/><Relationship Id="rId4058" Type="http://schemas.openxmlformats.org/officeDocument/2006/relationships/hyperlink" Target="https://github.com/0xMiden/miden-vm/issues/1971" TargetMode="External"/><Relationship Id="rId5389" Type="http://schemas.openxmlformats.org/officeDocument/2006/relationships/hyperlink" Target="https://github.com/skypilot-org/skypilot/issues/6566" TargetMode="External"/><Relationship Id="rId4008" Type="http://schemas.openxmlformats.org/officeDocument/2006/relationships/hyperlink" Target="https://github.com/ytti/oxidized/issues/3550" TargetMode="External"/><Relationship Id="rId4007" Type="http://schemas.openxmlformats.org/officeDocument/2006/relationships/hyperlink" Target="https://drive.google.com/drive/folders/10jBQyUg0MA7dcMJPFtCcIkxRmw2bPzYi" TargetMode="External"/><Relationship Id="rId5338" Type="http://schemas.openxmlformats.org/officeDocument/2006/relationships/hyperlink" Target="https://drive.google.com/drive/folders/1IakAQpNTGc362nisnp-yKQq7m_b0KPuZ" TargetMode="External"/><Relationship Id="rId4009" Type="http://schemas.openxmlformats.org/officeDocument/2006/relationships/hyperlink" Target="https://drive.google.com/drive/folders/10uHDMENXKF7B7SKBOAoShAqxihUGk-nY" TargetMode="External"/><Relationship Id="rId5339" Type="http://schemas.openxmlformats.org/officeDocument/2006/relationships/hyperlink" Target="https://github.com/screwdriver-cd/screwdriver/issues/3364" TargetMode="External"/><Relationship Id="rId271" Type="http://schemas.openxmlformats.org/officeDocument/2006/relationships/hyperlink" Target="https://github.com/apache/druid/issues/18281" TargetMode="External"/><Relationship Id="rId270" Type="http://schemas.openxmlformats.org/officeDocument/2006/relationships/hyperlink" Target="https://drive.google.com/drive/folders/11CQdhDTrltr8NP67Zu4Lxt0sSPuVoy90" TargetMode="External"/><Relationship Id="rId269" Type="http://schemas.openxmlformats.org/officeDocument/2006/relationships/hyperlink" Target="https://drive.google.com/drive/folders/1sTpabhY43Iu8RT0NX-rRdo_LNkuTvsBf" TargetMode="External"/><Relationship Id="rId264" Type="http://schemas.openxmlformats.org/officeDocument/2006/relationships/hyperlink" Target="https://github.com/apache/camel-quarkus/issues/7227" TargetMode="External"/><Relationship Id="rId4000" Type="http://schemas.openxmlformats.org/officeDocument/2006/relationships/hyperlink" Target="https://github.com/yjacquin/fast-mcp/issues/96" TargetMode="External"/><Relationship Id="rId5332" Type="http://schemas.openxmlformats.org/officeDocument/2006/relationships/hyperlink" Target="https://drive.google.com/drive/folders/1fC54-Wd8-EH16VWSMSABgMZVPnAIUlW-" TargetMode="External"/><Relationship Id="rId263" Type="http://schemas.openxmlformats.org/officeDocument/2006/relationships/hyperlink" Target="https://drive.google.com/drive/folders/1CXdqgqK8uF9l9oP0WjFOWMYRDZZhXYo_" TargetMode="External"/><Relationship Id="rId5333" Type="http://schemas.openxmlformats.org/officeDocument/2006/relationships/hyperlink" Target="https://github.com/scikit-learn/scikit-learn/issues/30443" TargetMode="External"/><Relationship Id="rId262" Type="http://schemas.openxmlformats.org/officeDocument/2006/relationships/hyperlink" Target="https://github.com/apache/camel-quarkus/issues/7982" TargetMode="External"/><Relationship Id="rId4002" Type="http://schemas.openxmlformats.org/officeDocument/2006/relationships/hyperlink" Target="https://github.com/yolk/valvat/issues/138" TargetMode="External"/><Relationship Id="rId5330" Type="http://schemas.openxmlformats.org/officeDocument/2006/relationships/hyperlink" Target="https://github.com/scikit-learn/scikit-learn/issues/31227" TargetMode="External"/><Relationship Id="rId261" Type="http://schemas.openxmlformats.org/officeDocument/2006/relationships/hyperlink" Target="https://drive.google.com/drive/folders/1H-nJWzzxaDhsOj4SfFWbrMzcuOZJTYWP" TargetMode="External"/><Relationship Id="rId4001" Type="http://schemas.openxmlformats.org/officeDocument/2006/relationships/hyperlink" Target="https://drive.google.com/drive/folders/1kteLXVIqmy7YxPDneRniI63Wif2oiHiz" TargetMode="External"/><Relationship Id="rId5331" Type="http://schemas.openxmlformats.org/officeDocument/2006/relationships/hyperlink" Target="https://drive.google.com/drive/folders/1CFVTg23qxgNkX2az11nlyNxCnVtKej9b" TargetMode="External"/><Relationship Id="rId268" Type="http://schemas.openxmlformats.org/officeDocument/2006/relationships/hyperlink" Target="https://github.com/apache/dolphinscheduler/issues/16121" TargetMode="External"/><Relationship Id="rId4004" Type="http://schemas.openxmlformats.org/officeDocument/2006/relationships/hyperlink" Target="https://github.com/yonahd/kor/issues/473" TargetMode="External"/><Relationship Id="rId5336" Type="http://schemas.openxmlformats.org/officeDocument/2006/relationships/hyperlink" Target="https://github.com/scrapy/scrapy/issues/6804" TargetMode="External"/><Relationship Id="rId267" Type="http://schemas.openxmlformats.org/officeDocument/2006/relationships/hyperlink" Target="https://github.com/apache/dolphinscheduler/issues/17159" TargetMode="External"/><Relationship Id="rId4003" Type="http://schemas.openxmlformats.org/officeDocument/2006/relationships/hyperlink" Target="https://drive.google.com/drive/folders/1Eew9QvyX9CT9Wyxno74zKyEymGR8Y4gM" TargetMode="External"/><Relationship Id="rId5337" Type="http://schemas.openxmlformats.org/officeDocument/2006/relationships/hyperlink" Target="https://drive.google.com/drive/folders/1ap4TZtJu9ITlLdbUIptsYY4Y7tCeVBBj" TargetMode="External"/><Relationship Id="rId266" Type="http://schemas.openxmlformats.org/officeDocument/2006/relationships/hyperlink" Target="https://github.com/apache/datafusion-sqlparser-rs/issues/1869" TargetMode="External"/><Relationship Id="rId4006" Type="http://schemas.openxmlformats.org/officeDocument/2006/relationships/hyperlink" Target="https://github.com/ysugimoto/falco/issues/405" TargetMode="External"/><Relationship Id="rId5334" Type="http://schemas.openxmlformats.org/officeDocument/2006/relationships/hyperlink" Target="https://drive.google.com/drive/folders/1qs8QhxqGCykKPWsAY6OJuETkSUvjO24y" TargetMode="External"/><Relationship Id="rId265" Type="http://schemas.openxmlformats.org/officeDocument/2006/relationships/hyperlink" Target="https://drive.google.com/drive/folders/1aBL2kLWQv6zK4m0Vff7PX2MuPl4INnEl" TargetMode="External"/><Relationship Id="rId4005" Type="http://schemas.openxmlformats.org/officeDocument/2006/relationships/hyperlink" Target="https://drive.google.com/drive/folders/1ti5qV7KXer2zWKoaWm0cYSA6igFuUg6H" TargetMode="External"/><Relationship Id="rId5335" Type="http://schemas.openxmlformats.org/officeDocument/2006/relationships/hyperlink" Target="https://drive.google.com/drive/folders/1saMWmbRTpaEXEdg_HVIikjNzV86a2Q2q" TargetMode="External"/><Relationship Id="rId5329" Type="http://schemas.openxmlformats.org/officeDocument/2006/relationships/hyperlink" Target="https://drive.google.com/drive/folders/10-mwHnQZA4hRGUG-AGdSjgsIIHMQvahq" TargetMode="External"/><Relationship Id="rId5327" Type="http://schemas.openxmlformats.org/officeDocument/2006/relationships/hyperlink" Target="https://github.com/scikit-learn/scikit-learn/issues/30616" TargetMode="External"/><Relationship Id="rId5328" Type="http://schemas.openxmlformats.org/officeDocument/2006/relationships/hyperlink" Target="https://drive.google.com/drive/folders/1FPUvZppGevSjngGlWJLkJTFGsBbKtPKG" TargetMode="External"/><Relationship Id="rId260" Type="http://schemas.openxmlformats.org/officeDocument/2006/relationships/hyperlink" Target="https://github.com/apache/camel-quarkus/issues/8171" TargetMode="External"/><Relationship Id="rId259" Type="http://schemas.openxmlformats.org/officeDocument/2006/relationships/hyperlink" Target="https://drive.google.com/drive/folders/1iiZ0v5TaTeH2v9N9J5NCiZZJRxB_nRWz" TargetMode="External"/><Relationship Id="rId258" Type="http://schemas.openxmlformats.org/officeDocument/2006/relationships/hyperlink" Target="https://github.com/apache/camel-k/issues/6269" TargetMode="External"/><Relationship Id="rId2290" Type="http://schemas.openxmlformats.org/officeDocument/2006/relationships/hyperlink" Target="https://github.com/LLNL/conduit/issues/1477" TargetMode="External"/><Relationship Id="rId2291" Type="http://schemas.openxmlformats.org/officeDocument/2006/relationships/hyperlink" Target="https://drive.google.com/drive/folders/1MyRhmGKiDXY5uHjv5OZ9nD_8d4vbEwM-" TargetMode="External"/><Relationship Id="rId2292" Type="http://schemas.openxmlformats.org/officeDocument/2006/relationships/hyperlink" Target="https://github.com/lmstudio-ai/venvstacks/issues/236" TargetMode="External"/><Relationship Id="rId2293" Type="http://schemas.openxmlformats.org/officeDocument/2006/relationships/hyperlink" Target="https://drive.google.com/drive/folders/1FHiQqYCpSPw4IlylDkxOwbfz47SSULku" TargetMode="External"/><Relationship Id="rId253" Type="http://schemas.openxmlformats.org/officeDocument/2006/relationships/hyperlink" Target="https://drive.google.com/drive/folders/1qWFzB9eFT4nCRcsD1NJ-Wcf0ffYdCHEg" TargetMode="External"/><Relationship Id="rId2294" Type="http://schemas.openxmlformats.org/officeDocument/2006/relationships/hyperlink" Target="https://github.com/lmstudio-ai/venvstacks/issues/206" TargetMode="External"/><Relationship Id="rId5321" Type="http://schemas.openxmlformats.org/officeDocument/2006/relationships/hyperlink" Target="https://drive.google.com/drive/folders/1knYhs6ReEDrWE1BHDADIzZ5En76RAREa" TargetMode="External"/><Relationship Id="rId252" Type="http://schemas.openxmlformats.org/officeDocument/2006/relationships/hyperlink" Target="https://github.com/apache/arrow/issues/46180" TargetMode="External"/><Relationship Id="rId2295" Type="http://schemas.openxmlformats.org/officeDocument/2006/relationships/hyperlink" Target="https://drive.google.com/drive/folders/18el7K4PEFFFdD4X9YuU46yh4HUMGmreQ" TargetMode="External"/><Relationship Id="rId5322" Type="http://schemas.openxmlformats.org/officeDocument/2006/relationships/hyperlink" Target="https://github.com/sanger/sequencescape/issues/4839" TargetMode="External"/><Relationship Id="rId251" Type="http://schemas.openxmlformats.org/officeDocument/2006/relationships/hyperlink" Target="https://drive.google.com/drive/folders/1oQrV_iscZ1EJkn_VbXBAAbSRzI2-9PAg" TargetMode="External"/><Relationship Id="rId2296" Type="http://schemas.openxmlformats.org/officeDocument/2006/relationships/hyperlink" Target="https://drive.google.com/drive/folders/10ujMl_KGXJfh9gf0l2kybrSecr36qddR" TargetMode="External"/><Relationship Id="rId250" Type="http://schemas.openxmlformats.org/officeDocument/2006/relationships/hyperlink" Target="https://github.com/apache/arrow/issues/46779" TargetMode="External"/><Relationship Id="rId2297" Type="http://schemas.openxmlformats.org/officeDocument/2006/relationships/hyperlink" Target="https://github.com/lobehub/lobe-chat/issues/6331" TargetMode="External"/><Relationship Id="rId5320" Type="http://schemas.openxmlformats.org/officeDocument/2006/relationships/hyperlink" Target="https://drive.google.com/drive/folders/1lnD9HYis50xHig2la8_n49aNSLcpH6CK" TargetMode="External"/><Relationship Id="rId257" Type="http://schemas.openxmlformats.org/officeDocument/2006/relationships/hyperlink" Target="https://drive.google.com/drive/folders/1ZdITiQbA7Bk56GefDiCiDAckN_vwxtPE" TargetMode="External"/><Relationship Id="rId2298" Type="http://schemas.openxmlformats.org/officeDocument/2006/relationships/hyperlink" Target="https://drive.google.com/drive/folders/1YGtyBxjKnHECfE3mt-yHz22xLxRYvLrw" TargetMode="External"/><Relationship Id="rId5325" Type="http://schemas.openxmlformats.org/officeDocument/2006/relationships/hyperlink" Target="https://drive.google.com/drive/folders/13ZGGXmkmJOAxPMMEF2f945z0L1AhPnut" TargetMode="External"/><Relationship Id="rId256" Type="http://schemas.openxmlformats.org/officeDocument/2006/relationships/hyperlink" Target="https://github.com/apache/arrow/issues/45259" TargetMode="External"/><Relationship Id="rId2299" Type="http://schemas.openxmlformats.org/officeDocument/2006/relationships/hyperlink" Target="https://drive.google.com/drive/folders/1CyteJsRE3XZYkEFNzDPt_DxLwjUYrQVx" TargetMode="External"/><Relationship Id="rId5326" Type="http://schemas.openxmlformats.org/officeDocument/2006/relationships/hyperlink" Target="https://drive.google.com/drive/folders/186X8JaH9XpyARb7t4077ATSSbamoQl4c" TargetMode="External"/><Relationship Id="rId255" Type="http://schemas.openxmlformats.org/officeDocument/2006/relationships/hyperlink" Target="https://drive.google.com/drive/folders/17v1r2ZJz_n6keRDxRuf_9TWUkT3-FKoP" TargetMode="External"/><Relationship Id="rId5323" Type="http://schemas.openxmlformats.org/officeDocument/2006/relationships/hyperlink" Target="https://drive.google.com/drive/folders/1Bwen2j-BneziQBvydizxdRK3Vc6ZavQP" TargetMode="External"/><Relationship Id="rId254" Type="http://schemas.openxmlformats.org/officeDocument/2006/relationships/hyperlink" Target="https://github.com/apache/arrow/issues/45677" TargetMode="External"/><Relationship Id="rId5324" Type="http://schemas.openxmlformats.org/officeDocument/2006/relationships/hyperlink" Target="https://github.com/scikit-learn/scikit-learn/issues/28043" TargetMode="External"/><Relationship Id="rId4029" Type="http://schemas.openxmlformats.org/officeDocument/2006/relationships/hyperlink" Target="https://drive.google.com/drive/folders/1hSor1fWHHNeSxlrpQ5KkFnJQQbtGmid6" TargetMode="External"/><Relationship Id="rId293" Type="http://schemas.openxmlformats.org/officeDocument/2006/relationships/hyperlink" Target="https://github.com/apache/gravitino/issues/7820" TargetMode="External"/><Relationship Id="rId292" Type="http://schemas.openxmlformats.org/officeDocument/2006/relationships/hyperlink" Target="https://drive.google.com/drive/folders/1y_C2d4NhOLmIGeBljpMALHC4rHyBG1bM" TargetMode="External"/><Relationship Id="rId291" Type="http://schemas.openxmlformats.org/officeDocument/2006/relationships/hyperlink" Target="https://github.com/apache/gravitino/issues/7329" TargetMode="External"/><Relationship Id="rId290" Type="http://schemas.openxmlformats.org/officeDocument/2006/relationships/hyperlink" Target="https://drive.google.com/drive/folders/19zHB-6QNTs3n7JH-Bj93zm4wQwqbOwQ6" TargetMode="External"/><Relationship Id="rId5350" Type="http://schemas.openxmlformats.org/officeDocument/2006/relationships/hyperlink" Target="https://github.com/SeaQL/sea-query/issues/1008" TargetMode="External"/><Relationship Id="rId5351" Type="http://schemas.openxmlformats.org/officeDocument/2006/relationships/hyperlink" Target="https://drive.google.com/drive/folders/11mONTQB6b5r3X8YzdS_xQzL2tGebYq3G" TargetMode="External"/><Relationship Id="rId4020" Type="http://schemas.openxmlformats.org/officeDocument/2006/relationships/hyperlink" Target="https://drive.google.com/drive/folders/1BaMqBOx2GHRoexlgGLg4EXr7QXM6a_Vy" TargetMode="External"/><Relationship Id="rId286" Type="http://schemas.openxmlformats.org/officeDocument/2006/relationships/hyperlink" Target="https://drive.google.com/drive/folders/1OZQbHDeG47zUSDYLU9u6R-IIWt66bFD8" TargetMode="External"/><Relationship Id="rId4022" Type="http://schemas.openxmlformats.org/officeDocument/2006/relationships/hyperlink" Target="https://drive.google.com/drive/folders/13vFziMFadaIALIy0lrH9vLsDpwBEPAWU" TargetMode="External"/><Relationship Id="rId5354" Type="http://schemas.openxmlformats.org/officeDocument/2006/relationships/hyperlink" Target="https://drive.google.com/drive/folders/1UeXF1jN3s0hC9I1nneEQB8RGO8lzcbC-" TargetMode="External"/><Relationship Id="rId285" Type="http://schemas.openxmlformats.org/officeDocument/2006/relationships/hyperlink" Target="https://github.com/apache/gravitino/issues/6670" TargetMode="External"/><Relationship Id="rId4021" Type="http://schemas.openxmlformats.org/officeDocument/2006/relationships/hyperlink" Target="https://github.com/zarr-developers/VirtualiZarr/issues/677" TargetMode="External"/><Relationship Id="rId5355" Type="http://schemas.openxmlformats.org/officeDocument/2006/relationships/hyperlink" Target="https://github.com/servo/rust-smallvec/issues/382" TargetMode="External"/><Relationship Id="rId284" Type="http://schemas.openxmlformats.org/officeDocument/2006/relationships/hyperlink" Target="https://drive.google.com/drive/folders/1WrtfFvQjkOg35xjOMi3lkIC7jclkgEiG" TargetMode="External"/><Relationship Id="rId4024" Type="http://schemas.openxmlformats.org/officeDocument/2006/relationships/hyperlink" Target="https://drive.google.com/drive/folders/13O_Y9CgiuY_Y7JcPXP7p3WKGPS4tFe7p" TargetMode="External"/><Relationship Id="rId5352" Type="http://schemas.openxmlformats.org/officeDocument/2006/relationships/hyperlink" Target="https://github.com/seddonym/import-linter/issues/229" TargetMode="External"/><Relationship Id="rId283" Type="http://schemas.openxmlformats.org/officeDocument/2006/relationships/hyperlink" Target="https://drive.google.com/drive/folders/1Cgn2dqdNqSwhKSm2gIdff_lcvpmGlAtK" TargetMode="External"/><Relationship Id="rId4023" Type="http://schemas.openxmlformats.org/officeDocument/2006/relationships/hyperlink" Target="https://github.com/zarr-developers/VirtualiZarr/issues/243" TargetMode="External"/><Relationship Id="rId5353" Type="http://schemas.openxmlformats.org/officeDocument/2006/relationships/hyperlink" Target="https://drive.google.com/drive/folders/1iHIFsMIcCVtuVmvITYAA2_Sc8pOvl594" TargetMode="External"/><Relationship Id="rId4026" Type="http://schemas.openxmlformats.org/officeDocument/2006/relationships/hyperlink" Target="https://github.com/zeek/broker/issues/395" TargetMode="External"/><Relationship Id="rId5358" Type="http://schemas.openxmlformats.org/officeDocument/2006/relationships/hyperlink" Target="https://drive.google.com/drive/folders/1o9AojzFxZ3ufsvzr7iegCeJ7FKaeJMDb" TargetMode="External"/><Relationship Id="rId289" Type="http://schemas.openxmlformats.org/officeDocument/2006/relationships/hyperlink" Target="https://drive.google.com/drive/folders/1vwtwrw5bPftgCL84brjw6A3UsGhnWRrO" TargetMode="External"/><Relationship Id="rId4025" Type="http://schemas.openxmlformats.org/officeDocument/2006/relationships/hyperlink" Target="https://drive.google.com/drive/folders/1HAjdZUkUG_z8QIJHyWybPIXt00vQ3h6k" TargetMode="External"/><Relationship Id="rId5359" Type="http://schemas.openxmlformats.org/officeDocument/2006/relationships/hyperlink" Target="https://github.com/Shopify/ruby-lsp/issues/3429" TargetMode="External"/><Relationship Id="rId288" Type="http://schemas.openxmlformats.org/officeDocument/2006/relationships/hyperlink" Target="https://github.com/apache/gravitino/issues/7695" TargetMode="External"/><Relationship Id="rId4028" Type="http://schemas.openxmlformats.org/officeDocument/2006/relationships/hyperlink" Target="https://github.com/ZenPrivacy/zen-desktop/issues/139" TargetMode="External"/><Relationship Id="rId5356" Type="http://schemas.openxmlformats.org/officeDocument/2006/relationships/hyperlink" Target="https://drive.google.com/drive/folders/1DzlB8fPxeDNcIvhUvpiziitPw-dwya1W" TargetMode="External"/><Relationship Id="rId287" Type="http://schemas.openxmlformats.org/officeDocument/2006/relationships/hyperlink" Target="https://drive.google.com/drive/folders/1bnJ5x1R_a3hmZy7iNPVRXL_YOGaLiEQ4" TargetMode="External"/><Relationship Id="rId4027" Type="http://schemas.openxmlformats.org/officeDocument/2006/relationships/hyperlink" Target="https://drive.google.com/drive/folders/1NUcICOLP7hhPTSD_SQCDfJeaPJaWSFT6" TargetMode="External"/><Relationship Id="rId5357" Type="http://schemas.openxmlformats.org/officeDocument/2006/relationships/hyperlink" Target="https://github.com/shentao/vue-multiselect/issues/1824" TargetMode="External"/><Relationship Id="rId4019" Type="http://schemas.openxmlformats.org/officeDocument/2006/relationships/hyperlink" Target="https://github.com/zard-ui/zardui/issues/122" TargetMode="External"/><Relationship Id="rId4018" Type="http://schemas.openxmlformats.org/officeDocument/2006/relationships/hyperlink" Target="https://drive.google.com/drive/folders/1jSdslpTEDH0HzhzWfjMRpA7MV4UCIcb6" TargetMode="External"/><Relationship Id="rId5349" Type="http://schemas.openxmlformats.org/officeDocument/2006/relationships/hyperlink" Target="https://drive.google.com/drive/folders/1IDfTlopwSwnCaDmC6AnvR5HpQpEpGigO" TargetMode="External"/><Relationship Id="rId282" Type="http://schemas.openxmlformats.org/officeDocument/2006/relationships/hyperlink" Target="https://github.com/apache/gravitino/issues/7883" TargetMode="External"/><Relationship Id="rId281" Type="http://schemas.openxmlformats.org/officeDocument/2006/relationships/hyperlink" Target="https://github.com/apache/fluss/issues/2080" TargetMode="External"/><Relationship Id="rId280" Type="http://schemas.openxmlformats.org/officeDocument/2006/relationships/hyperlink" Target="https://drive.google.com/drive/folders/1euRpv6u752ocwlw1C7CI_LOOZPWdkCdC" TargetMode="External"/><Relationship Id="rId5340" Type="http://schemas.openxmlformats.org/officeDocument/2006/relationships/hyperlink" Target="https://drive.google.com/drive/folders/1rgV1cnOhlJ1AsfV5HCkfzyyvX_1c3WVQ" TargetMode="External"/><Relationship Id="rId275" Type="http://schemas.openxmlformats.org/officeDocument/2006/relationships/hyperlink" Target="https://github.com/apache/fluss/issues/1024" TargetMode="External"/><Relationship Id="rId4011" Type="http://schemas.openxmlformats.org/officeDocument/2006/relationships/hyperlink" Target="https://github.com/YuminosukeSato/pyproc/issues/15" TargetMode="External"/><Relationship Id="rId5343" Type="http://schemas.openxmlformats.org/officeDocument/2006/relationships/hyperlink" Target="https://drive.google.com/drive/folders/1bDQ5e2x8yBFMkXCJ_eXchTRE09RNWLAz" TargetMode="External"/><Relationship Id="rId274" Type="http://schemas.openxmlformats.org/officeDocument/2006/relationships/hyperlink" Target="https://drive.google.com/drive/folders/1h3YWwPwrS936wjUTjBaNnLEzJdBb1n5B" TargetMode="External"/><Relationship Id="rId4010" Type="http://schemas.openxmlformats.org/officeDocument/2006/relationships/hyperlink" Target="https://drive.google.com/drive/folders/1-mMaPD0guyi0O5ifIoGUhDbTaZYDXcEG" TargetMode="External"/><Relationship Id="rId5344" Type="http://schemas.openxmlformats.org/officeDocument/2006/relationships/hyperlink" Target="https://drive.google.com/drive/folders/1Y4mToxMLyxWzmUkPtHCue9yTFwPP5jBw" TargetMode="External"/><Relationship Id="rId273" Type="http://schemas.openxmlformats.org/officeDocument/2006/relationships/hyperlink" Target="https://github.com/apache/fesod/issues/567" TargetMode="External"/><Relationship Id="rId4013" Type="http://schemas.openxmlformats.org/officeDocument/2006/relationships/hyperlink" Target="https://github.com/zalando-incubator/kube-ingress-aws-controller/issues/742" TargetMode="External"/><Relationship Id="rId5341" Type="http://schemas.openxmlformats.org/officeDocument/2006/relationships/hyperlink" Target="https://drive.google.com/drive/folders/15f7bFbsjpC5tjqMSYiSrnPgbM_V1EbuV" TargetMode="External"/><Relationship Id="rId272" Type="http://schemas.openxmlformats.org/officeDocument/2006/relationships/hyperlink" Target="https://drive.google.com/drive/folders/1kmQNlru1vVoFafpbHGHeZNqV4O7bcStW" TargetMode="External"/><Relationship Id="rId4012" Type="http://schemas.openxmlformats.org/officeDocument/2006/relationships/hyperlink" Target="https://drive.google.com/drive/folders/1sr4gxfYS13b2EV26mCbHfqKUgwoN3TxK" TargetMode="External"/><Relationship Id="rId5342" Type="http://schemas.openxmlformats.org/officeDocument/2006/relationships/hyperlink" Target="https://github.com/sdv-dev/SDGym/issues/377" TargetMode="External"/><Relationship Id="rId279" Type="http://schemas.openxmlformats.org/officeDocument/2006/relationships/hyperlink" Target="https://github.com/apache/fluss/issues/2523" TargetMode="External"/><Relationship Id="rId4015" Type="http://schemas.openxmlformats.org/officeDocument/2006/relationships/hyperlink" Target="https://github.com/zalando/logbook/issues/513" TargetMode="External"/><Relationship Id="rId5347" Type="http://schemas.openxmlformats.org/officeDocument/2006/relationships/hyperlink" Target="https://github.com/sdv-dev/SDV/issues/2502" TargetMode="External"/><Relationship Id="rId278" Type="http://schemas.openxmlformats.org/officeDocument/2006/relationships/hyperlink" Target="https://drive.google.com/drive/folders/1NdCVZ6r3lzj176hLb3_EoNOvghKc-8UV" TargetMode="External"/><Relationship Id="rId4014" Type="http://schemas.openxmlformats.org/officeDocument/2006/relationships/hyperlink" Target="https://drive.google.com/drive/folders/1KmcklJ9qVYuNuGReyK0klxHplJEb9dxs" TargetMode="External"/><Relationship Id="rId5348" Type="http://schemas.openxmlformats.org/officeDocument/2006/relationships/hyperlink" Target="https://drive.google.com/drive/folders/17mOFV-A6u6Hw0qPypnSC663xOBrqCgew" TargetMode="External"/><Relationship Id="rId277" Type="http://schemas.openxmlformats.org/officeDocument/2006/relationships/hyperlink" Target="https://github.com/apache/fluss/issues/1159" TargetMode="External"/><Relationship Id="rId4017" Type="http://schemas.openxmlformats.org/officeDocument/2006/relationships/hyperlink" Target="https://github.com/zalando/logbook/issues/2188" TargetMode="External"/><Relationship Id="rId5345" Type="http://schemas.openxmlformats.org/officeDocument/2006/relationships/hyperlink" Target="https://github.com/sdv-dev/SDMetrics/issues/771" TargetMode="External"/><Relationship Id="rId276" Type="http://schemas.openxmlformats.org/officeDocument/2006/relationships/hyperlink" Target="https://drive.google.com/drive/folders/1m0XfVDCRTJH07BTs0iisS5nzQp8JNI_7" TargetMode="External"/><Relationship Id="rId4016" Type="http://schemas.openxmlformats.org/officeDocument/2006/relationships/hyperlink" Target="https://drive.google.com/drive/folders/1mLQzHKxpTbsinVCW64qydM5GFbwENfBc" TargetMode="External"/><Relationship Id="rId5346" Type="http://schemas.openxmlformats.org/officeDocument/2006/relationships/hyperlink" Target="https://drive.google.com/drive/folders/1qNh_FKb33DsicULxMHd4rHRChnwiNXbq" TargetMode="External"/><Relationship Id="rId1851" Type="http://schemas.openxmlformats.org/officeDocument/2006/relationships/hyperlink" Target="https://github.com/internetarchive/openlibrary/issues/10110" TargetMode="External"/><Relationship Id="rId1852" Type="http://schemas.openxmlformats.org/officeDocument/2006/relationships/hyperlink" Target="https://drive.google.com/drive/folders/1khnCDs83sIGyAULQi8O8BYuCdZZGgb__" TargetMode="External"/><Relationship Id="rId1853" Type="http://schemas.openxmlformats.org/officeDocument/2006/relationships/hyperlink" Target="https://drive.google.com/drive/folders/1JGlXHPkz5EZXmlDHXwAToB58-pDiPeNK" TargetMode="External"/><Relationship Id="rId1854" Type="http://schemas.openxmlformats.org/officeDocument/2006/relationships/hyperlink" Target="https://github.com/intershop/intershop-pwa/issues/1804" TargetMode="External"/><Relationship Id="rId1855" Type="http://schemas.openxmlformats.org/officeDocument/2006/relationships/hyperlink" Target="https://drive.google.com/drive/folders/1ZcDUNp-5ykFkoor_sSajidNYet8xRdJE" TargetMode="External"/><Relationship Id="rId1856" Type="http://schemas.openxmlformats.org/officeDocument/2006/relationships/hyperlink" Target="https://github.com/iota-uz/iota-sdk/issues/339" TargetMode="External"/><Relationship Id="rId1857" Type="http://schemas.openxmlformats.org/officeDocument/2006/relationships/hyperlink" Target="https://drive.google.com/drive/folders/15SdFESaDwiFoKoL3OCVVB0JygUShXDUW" TargetMode="External"/><Relationship Id="rId1858" Type="http://schemas.openxmlformats.org/officeDocument/2006/relationships/hyperlink" Target="https://github.com/IQSS/dataverse/issues/10972" TargetMode="External"/><Relationship Id="rId1859" Type="http://schemas.openxmlformats.org/officeDocument/2006/relationships/hyperlink" Target="https://drive.google.com/drive/folders/1ltMrsuAgSXcJg3jrTz21jtuqPVsbajGW" TargetMode="External"/><Relationship Id="rId1850" Type="http://schemas.openxmlformats.org/officeDocument/2006/relationships/hyperlink" Target="https://drive.google.com/drive/folders/16-7FVraVi5vlPODwpKJGrhRk_cP8zXWp" TargetMode="External"/><Relationship Id="rId1840" Type="http://schemas.openxmlformats.org/officeDocument/2006/relationships/hyperlink" Target="https://github.com/inspectIT/inspectit-ocelot/issues/1719" TargetMode="External"/><Relationship Id="rId1841" Type="http://schemas.openxmlformats.org/officeDocument/2006/relationships/hyperlink" Target="https://drive.google.com/drive/folders/1-39ODsL6FLah2y4LcZZxxqQTRw0yiBF0" TargetMode="External"/><Relationship Id="rId1842" Type="http://schemas.openxmlformats.org/officeDocument/2006/relationships/hyperlink" Target="https://github.com/inspectIT/inspectit-ocelot/issues/1753" TargetMode="External"/><Relationship Id="rId1843" Type="http://schemas.openxmlformats.org/officeDocument/2006/relationships/hyperlink" Target="https://drive.google.com/drive/folders/1pgL_e92nuGDvjsdrc0-8l7-Pn0I2mjaE" TargetMode="External"/><Relationship Id="rId1844" Type="http://schemas.openxmlformats.org/officeDocument/2006/relationships/hyperlink" Target="https://github.com/instructlab/instructlab/issues/2886" TargetMode="External"/><Relationship Id="rId1845" Type="http://schemas.openxmlformats.org/officeDocument/2006/relationships/hyperlink" Target="https://drive.google.com/drive/folders/176cFeks0e4pr2wABS7cmcFaM6jx1wGW-" TargetMode="External"/><Relationship Id="rId1846" Type="http://schemas.openxmlformats.org/officeDocument/2006/relationships/hyperlink" Target="https://github.com/intellectronica/ruler/issues/139" TargetMode="External"/><Relationship Id="rId1847" Type="http://schemas.openxmlformats.org/officeDocument/2006/relationships/hyperlink" Target="https://drive.google.com/drive/folders/1pn2oxlSGdvazURKM_C9Dv4Bs6wLZNxQX" TargetMode="External"/><Relationship Id="rId1848" Type="http://schemas.openxmlformats.org/officeDocument/2006/relationships/hyperlink" Target="https://github.com/interledger/web-monetization-extension/issues/1027" TargetMode="External"/><Relationship Id="rId1849" Type="http://schemas.openxmlformats.org/officeDocument/2006/relationships/hyperlink" Target="https://drive.google.com/drive/folders/1kbxtWsPLcL6o-UwvXEglecCY8qBFlFK6" TargetMode="External"/><Relationship Id="rId1873" Type="http://schemas.openxmlformats.org/officeDocument/2006/relationships/hyperlink" Target="https://drive.google.com/drive/folders/1XMAp5h7ZB7WXtWCdDvDtzlznnExZg3oi" TargetMode="External"/><Relationship Id="rId1874" Type="http://schemas.openxmlformats.org/officeDocument/2006/relationships/hyperlink" Target="https://github.com/ita-social-projects/GreenCity/issues/7748" TargetMode="External"/><Relationship Id="rId1875" Type="http://schemas.openxmlformats.org/officeDocument/2006/relationships/hyperlink" Target="https://drive.google.com/drive/folders/1GixEPzXEOh6--4rTqsfQ4hakIpi6Est_" TargetMode="External"/><Relationship Id="rId4901" Type="http://schemas.openxmlformats.org/officeDocument/2006/relationships/hyperlink" Target="https://drive.google.com/drive/folders/1rWcqswBx9oG-qoTBrvs9wHoKSjcBwE3H" TargetMode="External"/><Relationship Id="rId1876" Type="http://schemas.openxmlformats.org/officeDocument/2006/relationships/hyperlink" Target="https://github.com/ithacaxyz/odyssey/issues/97" TargetMode="External"/><Relationship Id="rId4900" Type="http://schemas.openxmlformats.org/officeDocument/2006/relationships/hyperlink" Target="https://drive.google.com/drive/folders/153BKePFk9XQ3Z1inD0sS8Z3L2uzF6nfs" TargetMode="External"/><Relationship Id="rId1877" Type="http://schemas.openxmlformats.org/officeDocument/2006/relationships/hyperlink" Target="https://drive.google.com/drive/folders/10U-di6m2nWksGkl7zkJlbRkASOKxGA_k" TargetMode="External"/><Relationship Id="rId4903" Type="http://schemas.openxmlformats.org/officeDocument/2006/relationships/hyperlink" Target="https://drive.google.com/drive/folders/1p41EU7LuMmtx3vGl5DqwTcEwL7lRoZi5" TargetMode="External"/><Relationship Id="rId1878" Type="http://schemas.openxmlformats.org/officeDocument/2006/relationships/hyperlink" Target="https://github.com/itwin/itwinjs-core/issues/8110" TargetMode="External"/><Relationship Id="rId4902" Type="http://schemas.openxmlformats.org/officeDocument/2006/relationships/hyperlink" Target="https://github.com/Lightning-AI/pytorch-lightning/issues/20538" TargetMode="External"/><Relationship Id="rId1879" Type="http://schemas.openxmlformats.org/officeDocument/2006/relationships/hyperlink" Target="https://drive.google.com/drive/folders/17zNNZVqCQlz2FJYbw5GmqNNEDzgMyJuz" TargetMode="External"/><Relationship Id="rId4905" Type="http://schemas.openxmlformats.org/officeDocument/2006/relationships/hyperlink" Target="https://github.com/linebender/parley/issues/312" TargetMode="External"/><Relationship Id="rId4904" Type="http://schemas.openxmlformats.org/officeDocument/2006/relationships/hyperlink" Target="https://drive.google.com/drive/folders/17acuo6Y86hQJtKUeTyydShFpTDLPd28L" TargetMode="External"/><Relationship Id="rId4907" Type="http://schemas.openxmlformats.org/officeDocument/2006/relationships/hyperlink" Target="https://drive.google.com/drive/folders/1lhWXoV4YlGoOIb7FvvebDKsIAcsCIcSw" TargetMode="External"/><Relationship Id="rId4906" Type="http://schemas.openxmlformats.org/officeDocument/2006/relationships/hyperlink" Target="https://drive.google.com/drive/folders/14YOUT6smB-NMgkeBWspC_K3hacpsXzKW" TargetMode="External"/><Relationship Id="rId4909" Type="http://schemas.openxmlformats.org/officeDocument/2006/relationships/hyperlink" Target="https://drive.google.com/drive/folders/1zaeCT3qGLR1zpGIILkRoWPQS4-1XR94Q" TargetMode="External"/><Relationship Id="rId4908" Type="http://schemas.openxmlformats.org/officeDocument/2006/relationships/hyperlink" Target="https://github.com/lingualdev/i18n-check/issues/57" TargetMode="External"/><Relationship Id="rId1870" Type="http://schemas.openxmlformats.org/officeDocument/2006/relationships/hyperlink" Target="https://drive.google.com/drive/folders/1PIpozIWuAmwTJN-7bEzSjiaa5NdrWAYi" TargetMode="External"/><Relationship Id="rId1871" Type="http://schemas.openxmlformats.org/officeDocument/2006/relationships/hyperlink" Target="https://github.com/ispc/ispc/issues/3162" TargetMode="External"/><Relationship Id="rId1872" Type="http://schemas.openxmlformats.org/officeDocument/2006/relationships/hyperlink" Target="https://drive.google.com/drive/folders/1KhNV20-S6N5Go0GF2W3Lcuvu4rDIHJls" TargetMode="External"/><Relationship Id="rId1862" Type="http://schemas.openxmlformats.org/officeDocument/2006/relationships/hyperlink" Target="https://github.com/IQSS/dataverse/issues/11520" TargetMode="External"/><Relationship Id="rId1863" Type="http://schemas.openxmlformats.org/officeDocument/2006/relationships/hyperlink" Target="https://drive.google.com/drive/folders/1tGHITWrNZLyakA-jmUQP0FbVrGIR_tGi" TargetMode="External"/><Relationship Id="rId1864" Type="http://schemas.openxmlformats.org/officeDocument/2006/relationships/hyperlink" Target="https://github.com/isl-org/Open3D/issues/7191" TargetMode="External"/><Relationship Id="rId1865" Type="http://schemas.openxmlformats.org/officeDocument/2006/relationships/hyperlink" Target="https://drive.google.com/drive/folders/1WEuhYnkOz_f9Uwe2RLcE33VemcjE6B4g" TargetMode="External"/><Relationship Id="rId1866" Type="http://schemas.openxmlformats.org/officeDocument/2006/relationships/hyperlink" Target="https://github.com/isledecomp/reccmp/issues/91" TargetMode="External"/><Relationship Id="rId1867" Type="http://schemas.openxmlformats.org/officeDocument/2006/relationships/hyperlink" Target="https://drive.google.com/drive/folders/1dQOcS7EAxfjlAVJOvoImreZUBA1UC7C9" TargetMode="External"/><Relationship Id="rId1868" Type="http://schemas.openxmlformats.org/officeDocument/2006/relationships/hyperlink" Target="https://github.com/ispc/ispc/issues/3243" TargetMode="External"/><Relationship Id="rId1869" Type="http://schemas.openxmlformats.org/officeDocument/2006/relationships/hyperlink" Target="https://drive.google.com/drive/folders/1lJOn4F0pissQmIEfZ_BesVqD5FAnfd9H" TargetMode="External"/><Relationship Id="rId1860" Type="http://schemas.openxmlformats.org/officeDocument/2006/relationships/hyperlink" Target="https://github.com/IQSS/dataverse/issues/11622" TargetMode="External"/><Relationship Id="rId1861" Type="http://schemas.openxmlformats.org/officeDocument/2006/relationships/hyperlink" Target="https://drive.google.com/drive/folders/1CyPl9m13jcran7thCI7WJTWZd81dU5Cq" TargetMode="External"/><Relationship Id="rId1810" Type="http://schemas.openxmlformats.org/officeDocument/2006/relationships/hyperlink" Target="https://drive.google.com/drive/folders/1Oh13zCHsJvp571V-xc8rGXQJCt5erUSj" TargetMode="External"/><Relationship Id="rId1811" Type="http://schemas.openxmlformats.org/officeDocument/2006/relationships/hyperlink" Target="https://github.com/imap-science-operations-center/imap_processing/issues/1584" TargetMode="External"/><Relationship Id="rId1812" Type="http://schemas.openxmlformats.org/officeDocument/2006/relationships/hyperlink" Target="https://drive.google.com/drive/folders/1SjqK5NpPvANXUyndUD6xl0TwjjLGBsJL" TargetMode="External"/><Relationship Id="rId1813" Type="http://schemas.openxmlformats.org/officeDocument/2006/relationships/hyperlink" Target="https://drive.google.com/drive/folders/1r78luYEb-_UxVbRAODkSyHjW0lj1ftRa" TargetMode="External"/><Relationship Id="rId1814" Type="http://schemas.openxmlformats.org/officeDocument/2006/relationships/hyperlink" Target="https://github.com/immutables/immutables/issues/1615" TargetMode="External"/><Relationship Id="rId1815" Type="http://schemas.openxmlformats.org/officeDocument/2006/relationships/hyperlink" Target="https://drive.google.com/drive/folders/1Uo8FXhlrVZ0RgQvaYkq9vWRgpSfISyq6" TargetMode="External"/><Relationship Id="rId1816" Type="http://schemas.openxmlformats.org/officeDocument/2006/relationships/hyperlink" Target="https://github.com/InboxWhiz/gmail-declutter-extension/issues/71" TargetMode="External"/><Relationship Id="rId1817" Type="http://schemas.openxmlformats.org/officeDocument/2006/relationships/hyperlink" Target="https://drive.google.com/drive/folders/1FkAvjSiTq-jULwxBLIiwjjo-y9dfa0oE" TargetMode="External"/><Relationship Id="rId1818" Type="http://schemas.openxmlformats.org/officeDocument/2006/relationships/hyperlink" Target="https://github.com/infinispan/infinispan-operator/issues/2236" TargetMode="External"/><Relationship Id="rId1819" Type="http://schemas.openxmlformats.org/officeDocument/2006/relationships/hyperlink" Target="https://drive.google.com/drive/folders/17TYdZe6UE_0tY7AhKaFv2lcT_jCmrqrk" TargetMode="External"/><Relationship Id="rId4080" Type="http://schemas.openxmlformats.org/officeDocument/2006/relationships/hyperlink" Target="https://drive.google.com/drive/folders/1JjN5rJfTGvCy4q83vttxYBC1I_Tau5Y4" TargetMode="External"/><Relationship Id="rId4082" Type="http://schemas.openxmlformats.org/officeDocument/2006/relationships/hyperlink" Target="https://drive.google.com/drive/folders/11qyRKug5TIAu8P4e9FGqLFB_OA85A3LW" TargetMode="External"/><Relationship Id="rId4081" Type="http://schemas.openxmlformats.org/officeDocument/2006/relationships/hyperlink" Target="https://github.com/ag2ai/ag2/issues/1347" TargetMode="External"/><Relationship Id="rId4084" Type="http://schemas.openxmlformats.org/officeDocument/2006/relationships/hyperlink" Target="https://github.com/ag2ai/ag2/issues/358" TargetMode="External"/><Relationship Id="rId4083" Type="http://schemas.openxmlformats.org/officeDocument/2006/relationships/hyperlink" Target="https://drive.google.com/drive/folders/10gpoorqAqn2Xugz4cwlMab2DbBqAaiEB" TargetMode="External"/><Relationship Id="rId4086" Type="http://schemas.openxmlformats.org/officeDocument/2006/relationships/hyperlink" Target="https://drive.google.com/drive/folders/1T8hJquop6iD0Ps2RB66oz1qufh7Ucoxn" TargetMode="External"/><Relationship Id="rId4085" Type="http://schemas.openxmlformats.org/officeDocument/2006/relationships/hyperlink" Target="https://drive.google.com/drive/folders/1yl4znoVwz6Ux6lKomY36pamndw4KJeCf" TargetMode="External"/><Relationship Id="rId4088" Type="http://schemas.openxmlformats.org/officeDocument/2006/relationships/hyperlink" Target="https://drive.google.com/drive/folders/1iD5ajQuBcEUYNjKNT59wmXtkAMyYKk0S" TargetMode="External"/><Relationship Id="rId4087" Type="http://schemas.openxmlformats.org/officeDocument/2006/relationships/hyperlink" Target="https://github.com/aimclub/OSA/issues/126" TargetMode="External"/><Relationship Id="rId4089" Type="http://schemas.openxmlformats.org/officeDocument/2006/relationships/hyperlink" Target="https://github.com/akkadotnet/Akka.Hosting/issues/520" TargetMode="External"/><Relationship Id="rId1800" Type="http://schemas.openxmlformats.org/officeDocument/2006/relationships/hyperlink" Target="https://drive.google.com/drive/folders/12469inaQ3g45R7Zjo1lGr2kT7tgzeSmW" TargetMode="External"/><Relationship Id="rId1801" Type="http://schemas.openxmlformats.org/officeDocument/2006/relationships/hyperlink" Target="https://github.com/igorkasyanchuk/active_storage_validations/issues/294" TargetMode="External"/><Relationship Id="rId1802" Type="http://schemas.openxmlformats.org/officeDocument/2006/relationships/hyperlink" Target="https://drive.google.com/drive/folders/1HXHGhGrBhyHMcpb3m3HsafbhnvO1yrPf" TargetMode="External"/><Relationship Id="rId1803" Type="http://schemas.openxmlformats.org/officeDocument/2006/relationships/hyperlink" Target="https://github.com/image-rs/image-webp/issues/147" TargetMode="External"/><Relationship Id="rId1804" Type="http://schemas.openxmlformats.org/officeDocument/2006/relationships/hyperlink" Target="https://drive.google.com/drive/folders/1Sv5mDksSmZsOPTSFpPdEKCspIygpHaQ0" TargetMode="External"/><Relationship Id="rId1805" Type="http://schemas.openxmlformats.org/officeDocument/2006/relationships/hyperlink" Target="https://drive.google.com/drive/folders/19Wc7kBRGdRrLzon8nTKAtmOftK54edXT" TargetMode="External"/><Relationship Id="rId1806" Type="http://schemas.openxmlformats.org/officeDocument/2006/relationships/hyperlink" Target="https://github.com/ImagingDataCommons/slim/issues/326" TargetMode="External"/><Relationship Id="rId1807" Type="http://schemas.openxmlformats.org/officeDocument/2006/relationships/hyperlink" Target="https://drive.google.com/drive/folders/1ed3Yo5irW1kO5CVtGvrwZC2ixPwh3492" TargetMode="External"/><Relationship Id="rId1808" Type="http://schemas.openxmlformats.org/officeDocument/2006/relationships/hyperlink" Target="https://github.com/imap-science-operations-center/imap_processing/issues/1357" TargetMode="External"/><Relationship Id="rId1809" Type="http://schemas.openxmlformats.org/officeDocument/2006/relationships/hyperlink" Target="https://drive.google.com/drive/folders/1Vo-QgGblkPI-7jzS19btd5nWHwIT3zIT" TargetMode="External"/><Relationship Id="rId4071" Type="http://schemas.openxmlformats.org/officeDocument/2006/relationships/hyperlink" Target="https://drive.google.com/drive/folders/1tOtP3XbtXK9zr4nhPywT_XJO0QQdYrJ4" TargetMode="External"/><Relationship Id="rId4070" Type="http://schemas.openxmlformats.org/officeDocument/2006/relationships/hyperlink" Target="https://github.com/accomplish-ai/accomplish/issues/156" TargetMode="External"/><Relationship Id="rId4073" Type="http://schemas.openxmlformats.org/officeDocument/2006/relationships/hyperlink" Target="https://drive.google.com/drive/folders/1Jhx3p33KzC4crKbjG1LMvugiH0LrDQJO" TargetMode="External"/><Relationship Id="rId4072" Type="http://schemas.openxmlformats.org/officeDocument/2006/relationships/hyperlink" Target="https://github.com/activerecord-hackery/ransack/issues/1611" TargetMode="External"/><Relationship Id="rId4075" Type="http://schemas.openxmlformats.org/officeDocument/2006/relationships/hyperlink" Target="https://drive.google.com/drive/folders/1i6N7kdjnP76fPNIa0yC7UlHlGsQ43doU" TargetMode="External"/><Relationship Id="rId4074" Type="http://schemas.openxmlformats.org/officeDocument/2006/relationships/hyperlink" Target="https://github.com/adventuregamestudio/ags/issues/2629" TargetMode="External"/><Relationship Id="rId4077" Type="http://schemas.openxmlformats.org/officeDocument/2006/relationships/hyperlink" Target="https://drive.google.com/drive/folders/1ZPgopqaa7cTJdQ1_20d4LvYvfiQiv4Jv" TargetMode="External"/><Relationship Id="rId4076" Type="http://schemas.openxmlformats.org/officeDocument/2006/relationships/hyperlink" Target="https://github.com/advplyr/audiobookshelf/issues/4319" TargetMode="External"/><Relationship Id="rId4079" Type="http://schemas.openxmlformats.org/officeDocument/2006/relationships/hyperlink" Target="https://github.com/aehrc/pathling/issues/2435" TargetMode="External"/><Relationship Id="rId4078" Type="http://schemas.openxmlformats.org/officeDocument/2006/relationships/hyperlink" Target="https://drive.google.com/drive/folders/121JEc2OTMVaVAl1LBFt2KWiM7YxeSTtv" TargetMode="External"/><Relationship Id="rId1830" Type="http://schemas.openxmlformats.org/officeDocument/2006/relationships/hyperlink" Target="https://github.com/influxdata/influxdb/issues/25793" TargetMode="External"/><Relationship Id="rId1831" Type="http://schemas.openxmlformats.org/officeDocument/2006/relationships/hyperlink" Target="https://drive.google.com/drive/folders/1mzu3OrJ51iGehTGXAjuX0MDtILpiHqRT" TargetMode="External"/><Relationship Id="rId1832" Type="http://schemas.openxmlformats.org/officeDocument/2006/relationships/hyperlink" Target="https://drive.google.com/drive/folders/1UrMs-8eF4bFaV1CbWe5gZOpGwgAGwtVp" TargetMode="External"/><Relationship Id="rId1833" Type="http://schemas.openxmlformats.org/officeDocument/2006/relationships/hyperlink" Target="https://github.com/influxdata/influxdb/issues/25803" TargetMode="External"/><Relationship Id="rId1834" Type="http://schemas.openxmlformats.org/officeDocument/2006/relationships/hyperlink" Target="https://drive.google.com/drive/folders/1tG8Y-reYZUJNUAUjRGIfkgeY5j2AP2Qf" TargetMode="External"/><Relationship Id="rId1835" Type="http://schemas.openxmlformats.org/officeDocument/2006/relationships/hyperlink" Target="https://drive.google.com/drive/folders/1uNE3FzEzypaijMCVW8HkXwDjEMD440TR" TargetMode="External"/><Relationship Id="rId1836" Type="http://schemas.openxmlformats.org/officeDocument/2006/relationships/hyperlink" Target="https://github.com/Inist-CNRS/lodex/issues/2742" TargetMode="External"/><Relationship Id="rId1837" Type="http://schemas.openxmlformats.org/officeDocument/2006/relationships/hyperlink" Target="https://drive.google.com/drive/folders/1En9ZN-83IhBeRLq1dUlRQZ9vgF1PHOma" TargetMode="External"/><Relationship Id="rId1838" Type="http://schemas.openxmlformats.org/officeDocument/2006/relationships/hyperlink" Target="https://github.com/inocan-group/vue3-google-map/issues/351" TargetMode="External"/><Relationship Id="rId1839" Type="http://schemas.openxmlformats.org/officeDocument/2006/relationships/hyperlink" Target="https://drive.google.com/drive/folders/1VsICMzShw2KNjpQRMLoQJ6i3Z_0wTTxK" TargetMode="External"/><Relationship Id="rId1820" Type="http://schemas.openxmlformats.org/officeDocument/2006/relationships/hyperlink" Target="https://github.com/InfluxCommunity/influxdb3-go/issues/131" TargetMode="External"/><Relationship Id="rId1821" Type="http://schemas.openxmlformats.org/officeDocument/2006/relationships/hyperlink" Target="https://drive.google.com/drive/folders/1Wk8_pu4vTWb5_rQ4GyeAm1iSl-XuBJBc" TargetMode="External"/><Relationship Id="rId1822" Type="http://schemas.openxmlformats.org/officeDocument/2006/relationships/hyperlink" Target="https://github.com/InfluxCommunity/influxdb3-go/issues/112" TargetMode="External"/><Relationship Id="rId1823" Type="http://schemas.openxmlformats.org/officeDocument/2006/relationships/hyperlink" Target="https://drive.google.com/drive/folders/1fMpMQtkIW3nkh2zK0UdhDNT3BVWjBUDz" TargetMode="External"/><Relationship Id="rId1824" Type="http://schemas.openxmlformats.org/officeDocument/2006/relationships/hyperlink" Target="https://github.com/InfluxCommunity/influxdb3-python/issues/140" TargetMode="External"/><Relationship Id="rId1825" Type="http://schemas.openxmlformats.org/officeDocument/2006/relationships/hyperlink" Target="https://drive.google.com/drive/folders/1bZLW4PWCagBV1Ecwf43n2Ru4P_RAa7RY" TargetMode="External"/><Relationship Id="rId1826" Type="http://schemas.openxmlformats.org/officeDocument/2006/relationships/hyperlink" Target="https://drive.google.com/drive/folders/1QKNPP7Qvs2JfrGNkgeah3Dl_yJVOb4KZ" TargetMode="External"/><Relationship Id="rId1827" Type="http://schemas.openxmlformats.org/officeDocument/2006/relationships/hyperlink" Target="https://github.com/influxdata/influxdb/issues/25914" TargetMode="External"/><Relationship Id="rId1828" Type="http://schemas.openxmlformats.org/officeDocument/2006/relationships/hyperlink" Target="https://drive.google.com/drive/folders/1y4eTCGTMtonXFIAoCTFlxq37zDNtnmL_" TargetMode="External"/><Relationship Id="rId1829" Type="http://schemas.openxmlformats.org/officeDocument/2006/relationships/hyperlink" Target="https://drive.google.com/drive/folders/1ZoI_KthPqGbkO2ZwuyETadnDV-Ac6amA" TargetMode="External"/><Relationship Id="rId4091" Type="http://schemas.openxmlformats.org/officeDocument/2006/relationships/hyperlink" Target="https://github.com/akkadotnet/akka.net/issues/7444" TargetMode="External"/><Relationship Id="rId4090" Type="http://schemas.openxmlformats.org/officeDocument/2006/relationships/hyperlink" Target="https://drive.google.com/drive/folders/1S5ukcGJwXZUWkAMBFb8OUeeD_h9k9NLE" TargetMode="External"/><Relationship Id="rId4093" Type="http://schemas.openxmlformats.org/officeDocument/2006/relationships/hyperlink" Target="https://drive.google.com/drive/folders/1TEK4hUKn_AW94ntovYadxDXZdxwlrAqm" TargetMode="External"/><Relationship Id="rId4092" Type="http://schemas.openxmlformats.org/officeDocument/2006/relationships/hyperlink" Target="https://drive.google.com/drive/folders/1KBzqNnl02pikqkDvHEZDjik6gqElCSV6" TargetMode="External"/><Relationship Id="rId4095" Type="http://schemas.openxmlformats.org/officeDocument/2006/relationships/hyperlink" Target="https://drive.google.com/drive/folders/1iyocNd3hyXnNlAoc9K_PdVTQlIfGUgwW" TargetMode="External"/><Relationship Id="rId4094" Type="http://schemas.openxmlformats.org/officeDocument/2006/relationships/hyperlink" Target="https://github.com/akrherz/pyIEM/issues/1112" TargetMode="External"/><Relationship Id="rId4097" Type="http://schemas.openxmlformats.org/officeDocument/2006/relationships/hyperlink" Target="https://github.com/albumentations-team/albumentations/issues/2129" TargetMode="External"/><Relationship Id="rId4096" Type="http://schemas.openxmlformats.org/officeDocument/2006/relationships/hyperlink" Target="https://drive.google.com/drive/folders/1SaeMaWcG221X0Y2oo8lp8VHsMvAnEXA5" TargetMode="External"/><Relationship Id="rId4099" Type="http://schemas.openxmlformats.org/officeDocument/2006/relationships/hyperlink" Target="https://github.com/albumentations-team/albumentations/issues/2123" TargetMode="External"/><Relationship Id="rId4098" Type="http://schemas.openxmlformats.org/officeDocument/2006/relationships/hyperlink" Target="https://github.com/albumentations-team/albumentations/issues/2131" TargetMode="External"/><Relationship Id="rId2302" Type="http://schemas.openxmlformats.org/officeDocument/2006/relationships/hyperlink" Target="https://github.com/logchange/hofund/issues/107" TargetMode="External"/><Relationship Id="rId3634" Type="http://schemas.openxmlformats.org/officeDocument/2006/relationships/hyperlink" Target="https://drive.google.com/drive/folders/1iG3QPYnyAaE6DBmePRExX-VqX5cEn46m" TargetMode="External"/><Relationship Id="rId4965" Type="http://schemas.openxmlformats.org/officeDocument/2006/relationships/hyperlink" Target="https://drive.google.com/drive/folders/1qkBR7u0b-Ty1RWYWJtLo5KYoKm9olwil" TargetMode="External"/><Relationship Id="rId2303" Type="http://schemas.openxmlformats.org/officeDocument/2006/relationships/hyperlink" Target="https://drive.google.com/drive/folders/14jZ_BGw3-i8YmGbDmabB1Ggz9z8sNwtx" TargetMode="External"/><Relationship Id="rId3633" Type="http://schemas.openxmlformats.org/officeDocument/2006/relationships/hyperlink" Target="https://github.com/tamatebako/tebako/issues/256" TargetMode="External"/><Relationship Id="rId4964" Type="http://schemas.openxmlformats.org/officeDocument/2006/relationships/hyperlink" Target="https://github.com/mem0ai/mem0/issues/2372" TargetMode="External"/><Relationship Id="rId2304" Type="http://schemas.openxmlformats.org/officeDocument/2006/relationships/hyperlink" Target="https://github.com/logchange/logchange/issues/663" TargetMode="External"/><Relationship Id="rId3636" Type="http://schemas.openxmlformats.org/officeDocument/2006/relationships/hyperlink" Target="https://drive.google.com/drive/folders/1Hnxyqj6u53HyXZOp_b5aDTJXW5Y1UvFx" TargetMode="External"/><Relationship Id="rId4967" Type="http://schemas.openxmlformats.org/officeDocument/2006/relationships/hyperlink" Target="https://github.com/microlinkhq/react-json-view/issues/51" TargetMode="External"/><Relationship Id="rId2305" Type="http://schemas.openxmlformats.org/officeDocument/2006/relationships/hyperlink" Target="https://drive.google.com/drive/folders/1XfNLewG2KsURUOI1KM0MbNGSpDVihASY" TargetMode="External"/><Relationship Id="rId3635" Type="http://schemas.openxmlformats.org/officeDocument/2006/relationships/hyperlink" Target="https://github.com/TanStack/db/issues/270" TargetMode="External"/><Relationship Id="rId4966" Type="http://schemas.openxmlformats.org/officeDocument/2006/relationships/hyperlink" Target="https://drive.google.com/drive/folders/19YKaelly6pv34VzaKDO1_exlvBmFyUUY" TargetMode="External"/><Relationship Id="rId2306" Type="http://schemas.openxmlformats.org/officeDocument/2006/relationships/hyperlink" Target="https://github.com/logtail/logtail-js/issues/130" TargetMode="External"/><Relationship Id="rId3638" Type="http://schemas.openxmlformats.org/officeDocument/2006/relationships/hyperlink" Target="https://github.com/TanStack/db/issues/12" TargetMode="External"/><Relationship Id="rId4969" Type="http://schemas.openxmlformats.org/officeDocument/2006/relationships/hyperlink" Target="https://github.com/micrometer-metrics/micrometer/issues/6102" TargetMode="External"/><Relationship Id="rId2307" Type="http://schemas.openxmlformats.org/officeDocument/2006/relationships/hyperlink" Target="https://drive.google.com/drive/folders/1VyvN8_0DwQQ9UJa73tD2zRug9OMFOndv" TargetMode="External"/><Relationship Id="rId3637" Type="http://schemas.openxmlformats.org/officeDocument/2006/relationships/hyperlink" Target="https://drive.google.com/drive/folders/1l4mdMujU8aFPkHjxLzo-sn1rwxH95-fG" TargetMode="External"/><Relationship Id="rId4968" Type="http://schemas.openxmlformats.org/officeDocument/2006/relationships/hyperlink" Target="https://drive.google.com/drive/folders/1QZD4hAWZ2WXW6FzTwL4et-xk1kLK_NXD" TargetMode="External"/><Relationship Id="rId2308" Type="http://schemas.openxmlformats.org/officeDocument/2006/relationships/hyperlink" Target="https://github.com/loro-dev/loro/issues/862" TargetMode="External"/><Relationship Id="rId2309" Type="http://schemas.openxmlformats.org/officeDocument/2006/relationships/hyperlink" Target="https://drive.google.com/drive/folders/1_r_KWs_pnoBA0wE-lhHnmso03V6kl35R" TargetMode="External"/><Relationship Id="rId3639" Type="http://schemas.openxmlformats.org/officeDocument/2006/relationships/hyperlink" Target="https://drive.google.com/drive/folders/1F4Ev1Ijc3HlsvG1SmOCc4ZHWwO3vFKTR" TargetMode="External"/><Relationship Id="rId3630" Type="http://schemas.openxmlformats.org/officeDocument/2006/relationships/hyperlink" Target="https://drive.google.com/drive/folders/1-eIwoYm6buIYKrA2sQ2RMJJgRcchp3xb" TargetMode="External"/><Relationship Id="rId4961" Type="http://schemas.openxmlformats.org/officeDocument/2006/relationships/hyperlink" Target="https://github.com/meltano/meltano/issues/9328" TargetMode="External"/><Relationship Id="rId4960" Type="http://schemas.openxmlformats.org/officeDocument/2006/relationships/hyperlink" Target="https://drive.google.com/drive/folders/1i9emUVcMXxrnkcd40fMSjnA9DNRW1iIa" TargetMode="External"/><Relationship Id="rId2300" Type="http://schemas.openxmlformats.org/officeDocument/2006/relationships/hyperlink" Target="https://github.com/logchange/hofund/issues/95" TargetMode="External"/><Relationship Id="rId3632" Type="http://schemas.openxmlformats.org/officeDocument/2006/relationships/hyperlink" Target="https://drive.google.com/drive/folders/1vWId7X56OXJ5_2qiBu0X-y1Fy3nACr5N" TargetMode="External"/><Relationship Id="rId4963" Type="http://schemas.openxmlformats.org/officeDocument/2006/relationships/hyperlink" Target="https://drive.google.com/drive/folders/17NPSdp27N_X2IN0EaPmOtdbrxcDq510E" TargetMode="External"/><Relationship Id="rId2301" Type="http://schemas.openxmlformats.org/officeDocument/2006/relationships/hyperlink" Target="https://drive.google.com/drive/folders/1BxST-hbS0yyey3BqAFz0X-cdo4wykKmy" TargetMode="External"/><Relationship Id="rId3631" Type="http://schemas.openxmlformats.org/officeDocument/2006/relationships/hyperlink" Target="https://github.com/tamatebako/tebako/issues/239" TargetMode="External"/><Relationship Id="rId4962" Type="http://schemas.openxmlformats.org/officeDocument/2006/relationships/hyperlink" Target="https://drive.google.com/drive/folders/17te9OS2QVUuAyFfufX9WpU3EQ0-f32OV" TargetMode="External"/><Relationship Id="rId3623" Type="http://schemas.openxmlformats.org/officeDocument/2006/relationships/hyperlink" Target="https://drive.google.com/drive/folders/1tU5byvl_5NHfHNo2j3JapfRJI3NmtAyX" TargetMode="External"/><Relationship Id="rId4954" Type="http://schemas.openxmlformats.org/officeDocument/2006/relationships/hyperlink" Target="https://github.com/MegaMek/megamek/issues/7942" TargetMode="External"/><Relationship Id="rId3622" Type="http://schemas.openxmlformats.org/officeDocument/2006/relationships/hyperlink" Target="https://github.com/Synoptiq/go-fluxus/issues/5" TargetMode="External"/><Relationship Id="rId4953" Type="http://schemas.openxmlformats.org/officeDocument/2006/relationships/hyperlink" Target="https://drive.google.com/drive/folders/1HBU681IN9NJMsri3--BdagtTx8vQ1ZOY" TargetMode="External"/><Relationship Id="rId3625" Type="http://schemas.openxmlformats.org/officeDocument/2006/relationships/hyperlink" Target="https://drive.google.com/drive/folders/18CG-dAKHewAXzf16glaMxTETzVpqZvrC" TargetMode="External"/><Relationship Id="rId4956" Type="http://schemas.openxmlformats.org/officeDocument/2006/relationships/hyperlink" Target="https://github.com/mehrandvd/skunit/issues/30" TargetMode="External"/><Relationship Id="rId3624" Type="http://schemas.openxmlformats.org/officeDocument/2006/relationships/hyperlink" Target="https://github.com/Synoptiq/go-fluxus/issues/24" TargetMode="External"/><Relationship Id="rId4955" Type="http://schemas.openxmlformats.org/officeDocument/2006/relationships/hyperlink" Target="https://drive.google.com/drive/folders/1Bl7alDJeiv78-pCTTqWyaibzmOUXgM0C" TargetMode="External"/><Relationship Id="rId3627" Type="http://schemas.openxmlformats.org/officeDocument/2006/relationships/hyperlink" Target="https://drive.google.com/drive/folders/1jllruBBtuNfXGTRnmheUTsYoiF9zacxR" TargetMode="External"/><Relationship Id="rId4958" Type="http://schemas.openxmlformats.org/officeDocument/2006/relationships/hyperlink" Target="https://github.com/meltano/meltano/issues/9266" TargetMode="External"/><Relationship Id="rId3626" Type="http://schemas.openxmlformats.org/officeDocument/2006/relationships/hyperlink" Target="https://github.com/ta4j/ta4j/issues/1439" TargetMode="External"/><Relationship Id="rId4957" Type="http://schemas.openxmlformats.org/officeDocument/2006/relationships/hyperlink" Target="https://drive.google.com/drive/folders/1crKTMYp4OUus0Y6EXTxMlHVmc-E83sZh" TargetMode="External"/><Relationship Id="rId3629" Type="http://schemas.openxmlformats.org/officeDocument/2006/relationships/hyperlink" Target="https://drive.google.com/drive/folders/1MJe-1IE7R7Kh1Mwq2qvpipKCDX-NWKTl" TargetMode="External"/><Relationship Id="rId3628" Type="http://schemas.openxmlformats.org/officeDocument/2006/relationships/hyperlink" Target="https://github.com/tailwindlabs/tailwindcss/issues/15228" TargetMode="External"/><Relationship Id="rId4959" Type="http://schemas.openxmlformats.org/officeDocument/2006/relationships/hyperlink" Target="https://drive.google.com/drive/folders/1t-AAv7E8PG02roiqTtU08JM0COZRuw-b" TargetMode="External"/><Relationship Id="rId4950" Type="http://schemas.openxmlformats.org/officeDocument/2006/relationships/hyperlink" Target="https://drive.google.com/drive/folders/16hPZCk4fA8YmcfIlEJ4LIMZRRUogstu7" TargetMode="External"/><Relationship Id="rId3621" Type="http://schemas.openxmlformats.org/officeDocument/2006/relationships/hyperlink" Target="https://github.com/symfony/symfony/issues/60681" TargetMode="External"/><Relationship Id="rId4952" Type="http://schemas.openxmlformats.org/officeDocument/2006/relationships/hyperlink" Target="https://drive.google.com/drive/folders/1LVNdvtmUXIkjoOv_kvA4v6Pgtg1e5Ghr" TargetMode="External"/><Relationship Id="rId3620" Type="http://schemas.openxmlformats.org/officeDocument/2006/relationships/hyperlink" Target="https://drive.google.com/drive/folders/1tA1UuUo4Mij9Q40QPaULt5y4pqd5pUIj" TargetMode="External"/><Relationship Id="rId4951" Type="http://schemas.openxmlformats.org/officeDocument/2006/relationships/hyperlink" Target="https://github.com/mdshw5/pyfaidx/issues/237" TargetMode="External"/><Relationship Id="rId2324" Type="http://schemas.openxmlformats.org/officeDocument/2006/relationships/hyperlink" Target="https://github.com/ls1intum/Artemis/issues/11054" TargetMode="External"/><Relationship Id="rId3656" Type="http://schemas.openxmlformats.org/officeDocument/2006/relationships/hyperlink" Target="https://drive.google.com/drive/folders/122xESqy_d8RZS1hop6I2Su_cZQoMuNMX" TargetMode="External"/><Relationship Id="rId4987" Type="http://schemas.openxmlformats.org/officeDocument/2006/relationships/hyperlink" Target="https://github.com/microsoft/tsyringe/issues/252" TargetMode="External"/><Relationship Id="rId2325" Type="http://schemas.openxmlformats.org/officeDocument/2006/relationships/hyperlink" Target="https://github.com/ltwlf/json-diff-ts/issues/243" TargetMode="External"/><Relationship Id="rId3655" Type="http://schemas.openxmlformats.org/officeDocument/2006/relationships/hyperlink" Target="https://github.com/TecharoHQ/anubis/issues/393" TargetMode="External"/><Relationship Id="rId4986" Type="http://schemas.openxmlformats.org/officeDocument/2006/relationships/hyperlink" Target="https://drive.google.com/drive/folders/1KWqUb3Pz2bPKeZ3N9sYWsQGk1sfAc5c4" TargetMode="External"/><Relationship Id="rId2326" Type="http://schemas.openxmlformats.org/officeDocument/2006/relationships/hyperlink" Target="https://drive.google.com/drive/folders/1BySe4xE8ZwuYfHl0ykqt1Nk77qpmGRGA" TargetMode="External"/><Relationship Id="rId3658" Type="http://schemas.openxmlformats.org/officeDocument/2006/relationships/hyperlink" Target="https://github.com/TedDriggs/darling/issues/350" TargetMode="External"/><Relationship Id="rId4989" Type="http://schemas.openxmlformats.org/officeDocument/2006/relationships/hyperlink" Target="https://drive.google.com/drive/folders/1db5ADGTGF9kmKocBouhsJ7SILDqr37Gd" TargetMode="External"/><Relationship Id="rId2327" Type="http://schemas.openxmlformats.org/officeDocument/2006/relationships/hyperlink" Target="https://github.com/macieklamberski/feedsmith/issues/159" TargetMode="External"/><Relationship Id="rId3657" Type="http://schemas.openxmlformats.org/officeDocument/2006/relationships/hyperlink" Target="https://drive.google.com/drive/folders/1jcYI0KYtZbCU1xo5pMiZJPmO_-KXMzDK" TargetMode="External"/><Relationship Id="rId4988" Type="http://schemas.openxmlformats.org/officeDocument/2006/relationships/hyperlink" Target="https://drive.google.com/drive/folders/1GmA0pp6pjN32eMJo9TtmlBWD1O5gofuv" TargetMode="External"/><Relationship Id="rId2328" Type="http://schemas.openxmlformats.org/officeDocument/2006/relationships/hyperlink" Target="https://drive.google.com/drive/folders/1yB4Ag_dTh_QLIxn79aeRaTa-HGFcjwnz" TargetMode="External"/><Relationship Id="rId2329" Type="http://schemas.openxmlformats.org/officeDocument/2006/relationships/hyperlink" Target="https://github.com/macieklamberski/feedsmith/issues/23" TargetMode="External"/><Relationship Id="rId3659" Type="http://schemas.openxmlformats.org/officeDocument/2006/relationships/hyperlink" Target="https://drive.google.com/drive/folders/1LpvBQJdTOcyzUkmI8dr7dLYNtWk7i-q5" TargetMode="External"/><Relationship Id="rId3650" Type="http://schemas.openxmlformats.org/officeDocument/2006/relationships/hyperlink" Target="https://github.com/taskflow/taskflow/issues/505" TargetMode="External"/><Relationship Id="rId4981" Type="http://schemas.openxmlformats.org/officeDocument/2006/relationships/hyperlink" Target="https://github.com/microsoft/kiota/issues/6471" TargetMode="External"/><Relationship Id="rId4980" Type="http://schemas.openxmlformats.org/officeDocument/2006/relationships/hyperlink" Target="https://drive.google.com/drive/folders/1Ok6jDf7LEHuIIBWy60BGrkaLoNZ4e858" TargetMode="External"/><Relationship Id="rId2320" Type="http://schemas.openxmlformats.org/officeDocument/2006/relationships/hyperlink" Target="https://github.com/louis-langholtz/PlayRho/issues/551" TargetMode="External"/><Relationship Id="rId3652" Type="http://schemas.openxmlformats.org/officeDocument/2006/relationships/hyperlink" Target="https://github.com/TecharoHQ/anubis/issues/120" TargetMode="External"/><Relationship Id="rId4983" Type="http://schemas.openxmlformats.org/officeDocument/2006/relationships/hyperlink" Target="https://drive.google.com/drive/folders/19PN3lNophuuhNAqGrKUzWvK_nDtCVzOq" TargetMode="External"/><Relationship Id="rId2321" Type="http://schemas.openxmlformats.org/officeDocument/2006/relationships/hyperlink" Target="https://drive.google.com/drive/folders/1MJ1vXmMVs8Qen-aR3SHGNGUcng53oz6v" TargetMode="External"/><Relationship Id="rId3651" Type="http://schemas.openxmlformats.org/officeDocument/2006/relationships/hyperlink" Target="https://drive.google.com/drive/folders/1sw-IyrfdGGCTs9gi9lRXFvWRFH6uGTSR" TargetMode="External"/><Relationship Id="rId4982" Type="http://schemas.openxmlformats.org/officeDocument/2006/relationships/hyperlink" Target="https://github.com/microsoft/Qcodes/issues/6931" TargetMode="External"/><Relationship Id="rId2322" Type="http://schemas.openxmlformats.org/officeDocument/2006/relationships/hyperlink" Target="https://github.com/louis-langholtz/PlayRho/issues/577" TargetMode="External"/><Relationship Id="rId3654" Type="http://schemas.openxmlformats.org/officeDocument/2006/relationships/hyperlink" Target="https://drive.google.com/drive/folders/1SdSypPUZhByPU0rUmyePMERsM1O6CQGz" TargetMode="External"/><Relationship Id="rId4985" Type="http://schemas.openxmlformats.org/officeDocument/2006/relationships/hyperlink" Target="https://github.com/microsoft/testfx/issues/5313" TargetMode="External"/><Relationship Id="rId2323" Type="http://schemas.openxmlformats.org/officeDocument/2006/relationships/hyperlink" Target="https://drive.google.com/drive/folders/1-rk4-eW7SkhjCiPYJfBWTzJVG1tLafbQ" TargetMode="External"/><Relationship Id="rId3653" Type="http://schemas.openxmlformats.org/officeDocument/2006/relationships/hyperlink" Target="https://drive.google.com/drive/folders/1maTSklMTwUecyVMSpQqW-TdEDE7gmh-x" TargetMode="External"/><Relationship Id="rId4984" Type="http://schemas.openxmlformats.org/officeDocument/2006/relationships/hyperlink" Target="https://drive.google.com/drive/folders/1-8CaxP7bK2cUrDKgZBiEBMPvhORqL33f" TargetMode="External"/><Relationship Id="rId2313" Type="http://schemas.openxmlformats.org/officeDocument/2006/relationships/hyperlink" Target="https://drive.google.com/drive/folders/1wH3fbwkgMH1EnIaqxu867v-S-dGtF2-2" TargetMode="External"/><Relationship Id="rId3645" Type="http://schemas.openxmlformats.org/officeDocument/2006/relationships/hyperlink" Target="https://drive.google.com/drive/folders/1B-d-Yr6-DDdV5bzoxWlJNCln6GWsoWIt" TargetMode="External"/><Relationship Id="rId4976" Type="http://schemas.openxmlformats.org/officeDocument/2006/relationships/hyperlink" Target="https://drive.google.com/drive/folders/17SD39LYOQqXytT4Z87LhUP_JyS4XnhTM" TargetMode="External"/><Relationship Id="rId2314" Type="http://schemas.openxmlformats.org/officeDocument/2006/relationships/hyperlink" Target="https://github.com/losisin/helm-values-schema-json/issues/167" TargetMode="External"/><Relationship Id="rId3644" Type="http://schemas.openxmlformats.org/officeDocument/2006/relationships/hyperlink" Target="https://github.com/TanStack/db/issues/186" TargetMode="External"/><Relationship Id="rId4975" Type="http://schemas.openxmlformats.org/officeDocument/2006/relationships/hyperlink" Target="https://github.com/microsoft/azure-devops-mcp/issues/377" TargetMode="External"/><Relationship Id="rId2315" Type="http://schemas.openxmlformats.org/officeDocument/2006/relationships/hyperlink" Target="https://drive.google.com/drive/folders/1NXiluuruxzkUzC8wZA7uC0KvZxZcitPi" TargetMode="External"/><Relationship Id="rId3647" Type="http://schemas.openxmlformats.org/officeDocument/2006/relationships/hyperlink" Target="https://github.com/TanStack/db/issues/62" TargetMode="External"/><Relationship Id="rId4978" Type="http://schemas.openxmlformats.org/officeDocument/2006/relationships/hyperlink" Target="https://drive.google.com/drive/folders/1VrYO-Exqm6TRgZQXbl5DJ0I1TFI_5g_B" TargetMode="External"/><Relationship Id="rId2316" Type="http://schemas.openxmlformats.org/officeDocument/2006/relationships/hyperlink" Target="https://github.com/losisin/helm-values-schema-json/issues/215" TargetMode="External"/><Relationship Id="rId3646" Type="http://schemas.openxmlformats.org/officeDocument/2006/relationships/hyperlink" Target="https://drive.google.com/drive/folders/1KqCT3BDKRTO-DlOCg7eHNbGdDtUC_lMW" TargetMode="External"/><Relationship Id="rId4977" Type="http://schemas.openxmlformats.org/officeDocument/2006/relationships/hyperlink" Target="https://github.com/microsoft/azure-devops-mcp/issues/365" TargetMode="External"/><Relationship Id="rId2317" Type="http://schemas.openxmlformats.org/officeDocument/2006/relationships/hyperlink" Target="https://drive.google.com/drive/folders/1Joyz2c5ivtBB9dHibZsiXerSDVZwYJJ1" TargetMode="External"/><Relationship Id="rId3649" Type="http://schemas.openxmlformats.org/officeDocument/2006/relationships/hyperlink" Target="https://drive.google.com/drive/folders/1TWeieQ0tcUOJGZfMK5nM-D4Yhi-GPQje" TargetMode="External"/><Relationship Id="rId2318" Type="http://schemas.openxmlformats.org/officeDocument/2006/relationships/hyperlink" Target="https://github.com/losisin/helm-values-schema-json/issues/111" TargetMode="External"/><Relationship Id="rId3648" Type="http://schemas.openxmlformats.org/officeDocument/2006/relationships/hyperlink" Target="https://drive.google.com/drive/folders/113DWpDq-mv83VHoCxHCuJ_R1eLWVGLOD" TargetMode="External"/><Relationship Id="rId4979" Type="http://schemas.openxmlformats.org/officeDocument/2006/relationships/hyperlink" Target="https://github.com/microsoft/genaiscript/issues/918" TargetMode="External"/><Relationship Id="rId2319" Type="http://schemas.openxmlformats.org/officeDocument/2006/relationships/hyperlink" Target="https://drive.google.com/drive/folders/1cbgl2rK2-94pSKUEeIGhUPpBUq-EEWdP" TargetMode="External"/><Relationship Id="rId4970" Type="http://schemas.openxmlformats.org/officeDocument/2006/relationships/hyperlink" Target="https://drive.google.com/drive/folders/1dQ3OprH0YABoCHwn1ofu_bC8ZB0SJQUD" TargetMode="External"/><Relationship Id="rId3641" Type="http://schemas.openxmlformats.org/officeDocument/2006/relationships/hyperlink" Target="https://github.com/TanStack/db/issues/210" TargetMode="External"/><Relationship Id="rId4972" Type="http://schemas.openxmlformats.org/officeDocument/2006/relationships/hyperlink" Target="https://drive.google.com/drive/folders/1iqbockcyNXZKGryiabjczMCk2JrgQ1bE" TargetMode="External"/><Relationship Id="rId2310" Type="http://schemas.openxmlformats.org/officeDocument/2006/relationships/hyperlink" Target="https://github.com/losisin/helm-values-schema-json/issues/178" TargetMode="External"/><Relationship Id="rId3640" Type="http://schemas.openxmlformats.org/officeDocument/2006/relationships/hyperlink" Target="https://drive.google.com/drive/folders/1nPkmCEvc-k0Sw5CkXpeb3SO8_7jGosjv" TargetMode="External"/><Relationship Id="rId4971" Type="http://schemas.openxmlformats.org/officeDocument/2006/relationships/hyperlink" Target="https://github.com/micrometer-metrics/micrometer/issues/6825" TargetMode="External"/><Relationship Id="rId2311" Type="http://schemas.openxmlformats.org/officeDocument/2006/relationships/hyperlink" Target="https://drive.google.com/drive/folders/1i-I-NqALq-FDfJQ0Trjoj6QmFFB2AzaK" TargetMode="External"/><Relationship Id="rId3643" Type="http://schemas.openxmlformats.org/officeDocument/2006/relationships/hyperlink" Target="https://drive.google.com/drive/folders/1Ii3iBAin7nTkpOtfjPqboQHS2yZfaaFR" TargetMode="External"/><Relationship Id="rId4974" Type="http://schemas.openxmlformats.org/officeDocument/2006/relationships/hyperlink" Target="https://drive.google.com/drive/folders/1ClzN5QcXm0GYlO1YVYCEukZuJEz18F6k" TargetMode="External"/><Relationship Id="rId2312" Type="http://schemas.openxmlformats.org/officeDocument/2006/relationships/hyperlink" Target="https://github.com/losisin/helm-values-schema-json/issues/177" TargetMode="External"/><Relationship Id="rId3642" Type="http://schemas.openxmlformats.org/officeDocument/2006/relationships/hyperlink" Target="https://drive.google.com/drive/folders/1DyagarWybBoTaW5tnhC5MCZi8Ia9zqd7" TargetMode="External"/><Relationship Id="rId4973" Type="http://schemas.openxmlformats.org/officeDocument/2006/relationships/hyperlink" Target="https://github.com/microsoft/Agents-for-net/issues/320" TargetMode="External"/><Relationship Id="rId1895" Type="http://schemas.openxmlformats.org/officeDocument/2006/relationships/hyperlink" Target="https://github.com/JabRef/jabref/issues/13694" TargetMode="External"/><Relationship Id="rId4921" Type="http://schemas.openxmlformats.org/officeDocument/2006/relationships/hyperlink" Target="https://drive.google.com/drive/folders/1isIr9iu42VPjtC4VgM-grRymapsmucB8" TargetMode="External"/><Relationship Id="rId1896" Type="http://schemas.openxmlformats.org/officeDocument/2006/relationships/hyperlink" Target="https://drive.google.com/drive/folders/1tTyaKTZnprjrVAJViWCOs7AoVD_ShGpc" TargetMode="External"/><Relationship Id="rId4920" Type="http://schemas.openxmlformats.org/officeDocument/2006/relationships/hyperlink" Target="https://github.com/LLNL/axom/issues/1369" TargetMode="External"/><Relationship Id="rId1897" Type="http://schemas.openxmlformats.org/officeDocument/2006/relationships/hyperlink" Target="https://github.com/jaegertracing/jaeger/issues/5922" TargetMode="External"/><Relationship Id="rId4923" Type="http://schemas.openxmlformats.org/officeDocument/2006/relationships/hyperlink" Target="https://drive.google.com/drive/folders/13-AQV9oJVKf67PxGvdJeRcw5iu8bLjXF" TargetMode="External"/><Relationship Id="rId1898" Type="http://schemas.openxmlformats.org/officeDocument/2006/relationships/hyperlink" Target="https://drive.google.com/drive/folders/1JIfC8sQe5d1h6CGMngIuvGGr4-52z_uD" TargetMode="External"/><Relationship Id="rId4922" Type="http://schemas.openxmlformats.org/officeDocument/2006/relationships/hyperlink" Target="https://github.com/LMCache/LMCache/issues/209" TargetMode="External"/><Relationship Id="rId1899" Type="http://schemas.openxmlformats.org/officeDocument/2006/relationships/hyperlink" Target="https://drive.google.com/drive/folders/1-iR3YKS7cFXkqAGbiCi5Yhru4N2YM0I4" TargetMode="External"/><Relationship Id="rId4925" Type="http://schemas.openxmlformats.org/officeDocument/2006/relationships/hyperlink" Target="https://github.com/logfellow/logstash-logback-encoder/issues/1104" TargetMode="External"/><Relationship Id="rId4924" Type="http://schemas.openxmlformats.org/officeDocument/2006/relationships/hyperlink" Target="https://drive.google.com/drive/folders/1hcZKftsrOBu8zzL6b5aYYV14TSt-urxM" TargetMode="External"/><Relationship Id="rId4927" Type="http://schemas.openxmlformats.org/officeDocument/2006/relationships/hyperlink" Target="https://drive.google.com/drive/folders/1sRjGmjzWyQJ1M5M1HnGgTySG9xCwVVU6" TargetMode="External"/><Relationship Id="rId4926" Type="http://schemas.openxmlformats.org/officeDocument/2006/relationships/hyperlink" Target="https://drive.google.com/drive/folders/1hmHZ8c7YVreznFGRiTv8uW3ZsEsX2l4P" TargetMode="External"/><Relationship Id="rId4929" Type="http://schemas.openxmlformats.org/officeDocument/2006/relationships/hyperlink" Target="https://drive.google.com/drive/folders/1X72vznK525hQ6iznfjhxY3YDH69r3uW4" TargetMode="External"/><Relationship Id="rId4928" Type="http://schemas.openxmlformats.org/officeDocument/2006/relationships/hyperlink" Target="https://github.com/M0r13n/pyais/issues/176" TargetMode="External"/><Relationship Id="rId1890" Type="http://schemas.openxmlformats.org/officeDocument/2006/relationships/hyperlink" Target="https://drive.google.com/drive/folders/1O4KE4AIsTuTXHuP_pntt3_T_cZyUn94M" TargetMode="External"/><Relationship Id="rId1891" Type="http://schemas.openxmlformats.org/officeDocument/2006/relationships/hyperlink" Target="https://github.com/j178/prek/issues/1129" TargetMode="External"/><Relationship Id="rId1892" Type="http://schemas.openxmlformats.org/officeDocument/2006/relationships/hyperlink" Target="https://drive.google.com/drive/folders/10MdccikFyS2RRWeriLQ-6UQVp43-LFPW" TargetMode="External"/><Relationship Id="rId1893" Type="http://schemas.openxmlformats.org/officeDocument/2006/relationships/hyperlink" Target="https://github.com/j178/prek/issues/1185" TargetMode="External"/><Relationship Id="rId1894" Type="http://schemas.openxmlformats.org/officeDocument/2006/relationships/hyperlink" Target="https://drive.google.com/drive/folders/1NBnWTeew8k6J0NRLLm2sqXd3803uphUZ" TargetMode="External"/><Relationship Id="rId1884" Type="http://schemas.openxmlformats.org/officeDocument/2006/relationships/hyperlink" Target="https://github.com/iTwin/itwinjs-core/issues/7637" TargetMode="External"/><Relationship Id="rId4910" Type="http://schemas.openxmlformats.org/officeDocument/2006/relationships/hyperlink" Target="https://github.com/lingui/js-lingui/issues/2394" TargetMode="External"/><Relationship Id="rId1885" Type="http://schemas.openxmlformats.org/officeDocument/2006/relationships/hyperlink" Target="https://drive.google.com/drive/folders/1ek9gQtuZxWegvipss9Z_oWVDS8XuQ50w" TargetMode="External"/><Relationship Id="rId1886" Type="http://schemas.openxmlformats.org/officeDocument/2006/relationships/hyperlink" Target="https://github.com/itzg/mc-router/issues/397" TargetMode="External"/><Relationship Id="rId4912" Type="http://schemas.openxmlformats.org/officeDocument/2006/relationships/hyperlink" Target="https://github.com/lirantal/npq/issues/318" TargetMode="External"/><Relationship Id="rId1887" Type="http://schemas.openxmlformats.org/officeDocument/2006/relationships/hyperlink" Target="https://drive.google.com/drive/folders/1ZHGYtnuK_f6sqlVc6WKYKtr91W92LJtE" TargetMode="External"/><Relationship Id="rId4911" Type="http://schemas.openxmlformats.org/officeDocument/2006/relationships/hyperlink" Target="https://drive.google.com/drive/folders/1zjpTqq63C2IRcCuwsqncmEbz7Jp_42C0" TargetMode="External"/><Relationship Id="rId1888" Type="http://schemas.openxmlformats.org/officeDocument/2006/relationships/hyperlink" Target="https://github.com/ivo-toby/mcp-openapi-server/issues/27" TargetMode="External"/><Relationship Id="rId4914" Type="http://schemas.openxmlformats.org/officeDocument/2006/relationships/hyperlink" Target="https://github.com/litedb-org/LiteDB/issues/2701" TargetMode="External"/><Relationship Id="rId1889" Type="http://schemas.openxmlformats.org/officeDocument/2006/relationships/hyperlink" Target="https://drive.google.com/drive/folders/1SsloIXnj58gkK8ej8-cN6PDcn2S0gfTc" TargetMode="External"/><Relationship Id="rId4913" Type="http://schemas.openxmlformats.org/officeDocument/2006/relationships/hyperlink" Target="https://drive.google.com/drive/folders/16a17My6zvyHsgiY3HicAzm63SBbhh3UG" TargetMode="External"/><Relationship Id="rId4916" Type="http://schemas.openxmlformats.org/officeDocument/2006/relationships/hyperlink" Target="https://drive.google.com/drive/folders/1ZoveV-ULq3PJEmNIv5RsUZv6ZQt5Xa8G" TargetMode="External"/><Relationship Id="rId4915" Type="http://schemas.openxmlformats.org/officeDocument/2006/relationships/hyperlink" Target="https://drive.google.com/drive/folders/1TXYHdKskuTOLoMGoAdVFmofNzUh4hjsz" TargetMode="External"/><Relationship Id="rId4918" Type="http://schemas.openxmlformats.org/officeDocument/2006/relationships/hyperlink" Target="https://drive.google.com/drive/folders/1Ar-aMgkM6FeVMvbUwxh6g6UW2s-4qsp9" TargetMode="External"/><Relationship Id="rId4917" Type="http://schemas.openxmlformats.org/officeDocument/2006/relationships/hyperlink" Target="https://github.com/ljharb/qs/issues/517" TargetMode="External"/><Relationship Id="rId4919" Type="http://schemas.openxmlformats.org/officeDocument/2006/relationships/hyperlink" Target="https://drive.google.com/drive/folders/1B5xjp5ZCZVc9oz4Dk8dcz_xqxj0PbAwd" TargetMode="External"/><Relationship Id="rId1880" Type="http://schemas.openxmlformats.org/officeDocument/2006/relationships/hyperlink" Target="https://github.com/iTwin/itwinjs-core/issues/8683" TargetMode="External"/><Relationship Id="rId1881" Type="http://schemas.openxmlformats.org/officeDocument/2006/relationships/hyperlink" Target="https://drive.google.com/drive/folders/1IQzRDTyXxli9hRhzm-f441yunHBq69f2" TargetMode="External"/><Relationship Id="rId1882" Type="http://schemas.openxmlformats.org/officeDocument/2006/relationships/hyperlink" Target="https://github.com/iTwin/itwinjs-core/issues/7435" TargetMode="External"/><Relationship Id="rId1883" Type="http://schemas.openxmlformats.org/officeDocument/2006/relationships/hyperlink" Target="https://drive.google.com/drive/folders/1s1u2PIlFvOpIS1lCX2fEklctdx-MAII5" TargetMode="External"/><Relationship Id="rId3612" Type="http://schemas.openxmlformats.org/officeDocument/2006/relationships/hyperlink" Target="https://github.com/sveneisenschmidt/n8n-openai-bridge/issues/36" TargetMode="External"/><Relationship Id="rId4943" Type="http://schemas.openxmlformats.org/officeDocument/2006/relationships/hyperlink" Target="https://github.com/mattleibow/DeviceRunners/issues/59" TargetMode="External"/><Relationship Id="rId3611" Type="http://schemas.openxmlformats.org/officeDocument/2006/relationships/hyperlink" Target="https://drive.google.com/drive/folders/1AOw0jot1UsFHrACERGJ8V5Vs-og8l1i3" TargetMode="External"/><Relationship Id="rId4942" Type="http://schemas.openxmlformats.org/officeDocument/2006/relationships/hyperlink" Target="https://drive.google.com/drive/folders/1dKolIJmWyRNd27OvJbmq6p9j13bCy8kM" TargetMode="External"/><Relationship Id="rId3614" Type="http://schemas.openxmlformats.org/officeDocument/2006/relationships/hyperlink" Target="https://github.com/sverweij/dependency-cruiser/issues/975" TargetMode="External"/><Relationship Id="rId4945" Type="http://schemas.openxmlformats.org/officeDocument/2006/relationships/hyperlink" Target="https://github.com/mdabrowski1990/uds/issues/303" TargetMode="External"/><Relationship Id="rId3613" Type="http://schemas.openxmlformats.org/officeDocument/2006/relationships/hyperlink" Target="https://drive.google.com/drive/folders/1zp3o815VNeKtzE8-LM6cLpgF0y5pkHbB" TargetMode="External"/><Relationship Id="rId4944" Type="http://schemas.openxmlformats.org/officeDocument/2006/relationships/hyperlink" Target="https://drive.google.com/drive/folders/19Va8QTQ36qektoqtDqrSAFr0MTfwZuhL" TargetMode="External"/><Relationship Id="rId3616" Type="http://schemas.openxmlformats.org/officeDocument/2006/relationships/hyperlink" Target="https://github.com/sverweij/dependency-cruiser/issues/999" TargetMode="External"/><Relationship Id="rId4947" Type="http://schemas.openxmlformats.org/officeDocument/2006/relationships/hyperlink" Target="https://drive.google.com/drive/folders/1XCw2EBvYewA0LzdFpKvY5J3MHunCVoct" TargetMode="External"/><Relationship Id="rId3615" Type="http://schemas.openxmlformats.org/officeDocument/2006/relationships/hyperlink" Target="https://drive.google.com/drive/folders/18nQWZJAgSyq8hNtAdgnqNq5cvbMHnaN4" TargetMode="External"/><Relationship Id="rId4946" Type="http://schemas.openxmlformats.org/officeDocument/2006/relationships/hyperlink" Target="https://drive.google.com/drive/folders/1vkSvgtQGIxr_IZrHOV_ph2E5d1R57CSU" TargetMode="External"/><Relationship Id="rId3618" Type="http://schemas.openxmlformats.org/officeDocument/2006/relationships/hyperlink" Target="https://github.com/swingerman/ha-dual-smart-thermostat/issues/352" TargetMode="External"/><Relationship Id="rId4949" Type="http://schemas.openxmlformats.org/officeDocument/2006/relationships/hyperlink" Target="https://drive.google.com/drive/folders/1JzlVg-R2MgL5pNuZFe79i-Oc35ph3R7Q" TargetMode="External"/><Relationship Id="rId3617" Type="http://schemas.openxmlformats.org/officeDocument/2006/relationships/hyperlink" Target="https://drive.google.com/drive/folders/1c1yGa3V_vKZHu1IwovAgPhtIY9dZ8qVa" TargetMode="External"/><Relationship Id="rId4948" Type="http://schemas.openxmlformats.org/officeDocument/2006/relationships/hyperlink" Target="https://github.com/MDAnalysis/mdanalysis/issues/5074" TargetMode="External"/><Relationship Id="rId3619" Type="http://schemas.openxmlformats.org/officeDocument/2006/relationships/hyperlink" Target="https://drive.google.com/drive/folders/1oppnhmZ81yXAtHSwZhcdf5bz2SZ1uM1q" TargetMode="External"/><Relationship Id="rId3610" Type="http://schemas.openxmlformats.org/officeDocument/2006/relationships/hyperlink" Target="https://github.com/surveyjs/survey-creator/issues/6863" TargetMode="External"/><Relationship Id="rId4941" Type="http://schemas.openxmlformats.org/officeDocument/2006/relationships/hyperlink" Target="https://drive.google.com/drive/folders/1gM4EhOJjmc6BH9UIdoYgF2yxdfIX12mO" TargetMode="External"/><Relationship Id="rId4940" Type="http://schemas.openxmlformats.org/officeDocument/2006/relationships/hyperlink" Target="https://github.com/materialsproject/pymatgen/issues/4400" TargetMode="External"/><Relationship Id="rId3601" Type="http://schemas.openxmlformats.org/officeDocument/2006/relationships/hyperlink" Target="https://drive.google.com/drive/folders/1Bxxd58dmMLeEGhZSHJ_7K9-vtSIyTH04" TargetMode="External"/><Relationship Id="rId4932" Type="http://schemas.openxmlformats.org/officeDocument/2006/relationships/hyperlink" Target="https://drive.google.com/drive/folders/1rb6AcmsgkxcPJ7anqZw5Q8YYLl9qasnL" TargetMode="External"/><Relationship Id="rId3600" Type="http://schemas.openxmlformats.org/officeDocument/2006/relationships/hyperlink" Target="https://github.com/supabase/cli/issues/3720" TargetMode="External"/><Relationship Id="rId4931" Type="http://schemas.openxmlformats.org/officeDocument/2006/relationships/hyperlink" Target="https://drive.google.com/drive/folders/1aqKeUvOQDlAaLDQmFHAi7gPQM0KnGhQG" TargetMode="External"/><Relationship Id="rId3603" Type="http://schemas.openxmlformats.org/officeDocument/2006/relationships/hyperlink" Target="https://github.com/supabase/supabase-js/issues/1424" TargetMode="External"/><Relationship Id="rId4934" Type="http://schemas.openxmlformats.org/officeDocument/2006/relationships/hyperlink" Target="https://drive.google.com/drive/folders/1nBUVh3NqN9fqlWB57w3RLxlvrK_w6DHT" TargetMode="External"/><Relationship Id="rId3602" Type="http://schemas.openxmlformats.org/officeDocument/2006/relationships/hyperlink" Target="https://drive.google.com/drive/folders/1775_wFwaL5szujJtyTt95vvecN5fal0E" TargetMode="External"/><Relationship Id="rId4933" Type="http://schemas.openxmlformats.org/officeDocument/2006/relationships/hyperlink" Target="https://github.com/Marker-Inc-Korea/AutoRAG/issues/935" TargetMode="External"/><Relationship Id="rId3605" Type="http://schemas.openxmlformats.org/officeDocument/2006/relationships/hyperlink" Target="https://drive.google.com/drive/folders/1DmsNdLCpJybryzSqSyHwci0_AGx_3XHQ" TargetMode="External"/><Relationship Id="rId4936" Type="http://schemas.openxmlformats.org/officeDocument/2006/relationships/hyperlink" Target="https://drive.google.com/drive/folders/1t0Ec5vAyfSj17lp_wcHKuouj3NYJh6qt" TargetMode="External"/><Relationship Id="rId3604" Type="http://schemas.openxmlformats.org/officeDocument/2006/relationships/hyperlink" Target="https://drive.google.com/drive/folders/12LTGOghPKzU3VpM3dTkhAEDo099KRUJE" TargetMode="External"/><Relationship Id="rId4935" Type="http://schemas.openxmlformats.org/officeDocument/2006/relationships/hyperlink" Target="https://github.com/MarketSquare/robotframework-robocop/issues/1406" TargetMode="External"/><Relationship Id="rId3607" Type="http://schemas.openxmlformats.org/officeDocument/2006/relationships/hyperlink" Target="https://drive.google.com/drive/folders/17oGyC3jMKXj9iJMMgkMgrcuRVGKZOxu3" TargetMode="External"/><Relationship Id="rId4938" Type="http://schemas.openxmlformats.org/officeDocument/2006/relationships/hyperlink" Target="https://github.com/marmelab/react-admin/issues/10450" TargetMode="External"/><Relationship Id="rId3606" Type="http://schemas.openxmlformats.org/officeDocument/2006/relationships/hyperlink" Target="https://github.com/superagent-ai/vibekit/issues/70" TargetMode="External"/><Relationship Id="rId4937" Type="http://schemas.openxmlformats.org/officeDocument/2006/relationships/hyperlink" Target="https://drive.google.com/drive/folders/1Td_ko4un7x-E0ucWkC_u-7VZSsKjiPos" TargetMode="External"/><Relationship Id="rId3609" Type="http://schemas.openxmlformats.org/officeDocument/2006/relationships/hyperlink" Target="https://drive.google.com/drive/folders/1rhWQAjjCEbRkClMli3aZM9vLPETN1hL-" TargetMode="External"/><Relationship Id="rId3608" Type="http://schemas.openxmlformats.org/officeDocument/2006/relationships/hyperlink" Target="https://github.com/surrealdb/surrealdb.js/issues/470" TargetMode="External"/><Relationship Id="rId4939" Type="http://schemas.openxmlformats.org/officeDocument/2006/relationships/hyperlink" Target="https://drive.google.com/drive/folders/1kIF88DcKDXuydmQHFuwRkXMJp1bm8eb_" TargetMode="External"/><Relationship Id="rId4930" Type="http://schemas.openxmlformats.org/officeDocument/2006/relationships/hyperlink" Target="https://github.com/mark3labs/mcp-go/issues/46" TargetMode="External"/><Relationship Id="rId1059" Type="http://schemas.openxmlformats.org/officeDocument/2006/relationships/hyperlink" Target="https://drive.google.com/drive/folders/1hDX02yA1My3dN6Y7dEAq9AvTRyV9Q5u9" TargetMode="External"/><Relationship Id="rId5417" Type="http://schemas.openxmlformats.org/officeDocument/2006/relationships/hyperlink" Target="https://github.com/streamlit/streamlit/issues/12377" TargetMode="External"/><Relationship Id="rId5418" Type="http://schemas.openxmlformats.org/officeDocument/2006/relationships/hyperlink" Target="https://drive.google.com/drive/folders/1slYqTmMA7LWF2mU05XN7j5n3T1U6-zGx" TargetMode="External"/><Relationship Id="rId5415" Type="http://schemas.openxmlformats.org/officeDocument/2006/relationships/hyperlink" Target="https://github.com/streamich/memfs/issues/1215" TargetMode="External"/><Relationship Id="rId5416" Type="http://schemas.openxmlformats.org/officeDocument/2006/relationships/hyperlink" Target="https://drive.google.com/drive/folders/1zC-o0GpHfoX7yGUkDhaP_fLULl_C9RLr" TargetMode="External"/><Relationship Id="rId5419" Type="http://schemas.openxmlformats.org/officeDocument/2006/relationships/hyperlink" Target="https://drive.google.com/drive/folders/1SuxXrFJlkmO0Roy5DSGXwv6fOchDz1Yl" TargetMode="External"/><Relationship Id="rId228" Type="http://schemas.openxmlformats.org/officeDocument/2006/relationships/hyperlink" Target="https://drive.google.com/drive/folders/1nThSHmK8JF65IBp7CjnTrZ3VHXmFbAJ3" TargetMode="External"/><Relationship Id="rId227" Type="http://schemas.openxmlformats.org/officeDocument/2006/relationships/hyperlink" Target="https://github.com/anomalyco/opencode/issues/7333" TargetMode="External"/><Relationship Id="rId226" Type="http://schemas.openxmlformats.org/officeDocument/2006/relationships/hyperlink" Target="https://drive.google.com/drive/folders/1EuyGANiFtvlBjbUwIhnmPmrY10nbGxWq" TargetMode="External"/><Relationship Id="rId225" Type="http://schemas.openxmlformats.org/officeDocument/2006/relationships/hyperlink" Target="https://github.com/anephenix/sarus/issues/547" TargetMode="External"/><Relationship Id="rId2380" Type="http://schemas.openxmlformats.org/officeDocument/2006/relationships/hyperlink" Target="https://github.com/matchms/matchms/issues/709" TargetMode="External"/><Relationship Id="rId229" Type="http://schemas.openxmlformats.org/officeDocument/2006/relationships/hyperlink" Target="https://github.com/ansible/molecule/issues/4405" TargetMode="External"/><Relationship Id="rId1050" Type="http://schemas.openxmlformats.org/officeDocument/2006/relationships/hyperlink" Target="https://drive.google.com/drive/folders/1KstEDlkVFia-zwhFfmzFk5P4_klRXtMB" TargetMode="External"/><Relationship Id="rId2381" Type="http://schemas.openxmlformats.org/officeDocument/2006/relationships/hyperlink" Target="https://drive.google.com/drive/folders/1qkWl9CcKbq8H_9F1_x2XqLGw1JiBzs-D" TargetMode="External"/><Relationship Id="rId220" Type="http://schemas.openxmlformats.org/officeDocument/2006/relationships/hyperlink" Target="https://github.com/androidx/media/issues/1979" TargetMode="External"/><Relationship Id="rId1051" Type="http://schemas.openxmlformats.org/officeDocument/2006/relationships/hyperlink" Target="https://github.com/destructurama/attributed/issues/142" TargetMode="External"/><Relationship Id="rId2382" Type="http://schemas.openxmlformats.org/officeDocument/2006/relationships/hyperlink" Target="https://drive.google.com/drive/folders/1XhBYPp6Eaw1EHEGhgZSAmnmK4tUpJoWo" TargetMode="External"/><Relationship Id="rId1052" Type="http://schemas.openxmlformats.org/officeDocument/2006/relationships/hyperlink" Target="https://drive.google.com/drive/folders/15FpIs3yOXHbnyT3QxXjFI1szC1ULePRI" TargetMode="External"/><Relationship Id="rId2383" Type="http://schemas.openxmlformats.org/officeDocument/2006/relationships/hyperlink" Target="https://github.com/matrix-org/matrix-rust-sdk/issues/4741" TargetMode="External"/><Relationship Id="rId5410" Type="http://schemas.openxmlformats.org/officeDocument/2006/relationships/hyperlink" Target="https://github.com/strapi/client/issues/42" TargetMode="External"/><Relationship Id="rId1053" Type="http://schemas.openxmlformats.org/officeDocument/2006/relationships/hyperlink" Target="https://github.com/devlooped/DependencyInjection/issues/117" TargetMode="External"/><Relationship Id="rId2384" Type="http://schemas.openxmlformats.org/officeDocument/2006/relationships/hyperlink" Target="https://drive.google.com/drive/folders/1_ZM_2gm6WeOStKp9oklHOuQWZlVaCAYo" TargetMode="External"/><Relationship Id="rId1054" Type="http://schemas.openxmlformats.org/officeDocument/2006/relationships/hyperlink" Target="https://drive.google.com/drive/folders/13MfgtpNQv3p_IKipkWsDQN_xUGuHWqqc" TargetMode="External"/><Relationship Id="rId2385" Type="http://schemas.openxmlformats.org/officeDocument/2006/relationships/hyperlink" Target="https://github.com/Matroska-Org/libebml/issues/176" TargetMode="External"/><Relationship Id="rId224" Type="http://schemas.openxmlformats.org/officeDocument/2006/relationships/hyperlink" Target="https://drive.google.com/drive/folders/1mFwAxw4-BtdNe83rJDvgtcXsUkTvWY6b" TargetMode="External"/><Relationship Id="rId1055" Type="http://schemas.openxmlformats.org/officeDocument/2006/relationships/hyperlink" Target="https://github.com/devopshq/artifactory/issues/463" TargetMode="External"/><Relationship Id="rId2386" Type="http://schemas.openxmlformats.org/officeDocument/2006/relationships/hyperlink" Target="https://drive.google.com/drive/folders/1KLkQOQtJJl20wIzhEItAD4r93qGuDBo2" TargetMode="External"/><Relationship Id="rId5413" Type="http://schemas.openxmlformats.org/officeDocument/2006/relationships/hyperlink" Target="https://github.com/stratum-mining/stratum/issues/1341" TargetMode="External"/><Relationship Id="rId223" Type="http://schemas.openxmlformats.org/officeDocument/2006/relationships/hyperlink" Target="https://drive.google.com/drive/folders/12aPfArQC51hdDWLi20lWuehRWLY78dVb" TargetMode="External"/><Relationship Id="rId1056" Type="http://schemas.openxmlformats.org/officeDocument/2006/relationships/hyperlink" Target="https://drive.google.com/drive/folders/1M3l9jXl5HQW2Csgl0kIbMNeYjOnjJW2p" TargetMode="External"/><Relationship Id="rId2387" Type="http://schemas.openxmlformats.org/officeDocument/2006/relationships/hyperlink" Target="https://drive.google.com/drive/folders/1PeIn3xH_jZYOwk-sVdYNr0KploePMJaq" TargetMode="External"/><Relationship Id="rId5414" Type="http://schemas.openxmlformats.org/officeDocument/2006/relationships/hyperlink" Target="https://drive.google.com/drive/folders/1xi03wSP8wk5QXw2EBLWslUvEFr_nw-4u" TargetMode="External"/><Relationship Id="rId222" Type="http://schemas.openxmlformats.org/officeDocument/2006/relationships/hyperlink" Target="https://github.com/andydunstall/piko/issues/208" TargetMode="External"/><Relationship Id="rId1057" Type="http://schemas.openxmlformats.org/officeDocument/2006/relationships/hyperlink" Target="https://drive.google.com/drive/folders/1WHzsqfC7YcAHxJPsVusQpZiaDeWgLbf-" TargetMode="External"/><Relationship Id="rId2388" Type="http://schemas.openxmlformats.org/officeDocument/2006/relationships/hyperlink" Target="https://github.com/matter-labs/anvil-zksync/issues/446" TargetMode="External"/><Relationship Id="rId5411" Type="http://schemas.openxmlformats.org/officeDocument/2006/relationships/hyperlink" Target="https://drive.google.com/drive/folders/1tNUIPzR2QujfHmVdYQbnXXw4x5eSVp61" TargetMode="External"/><Relationship Id="rId221" Type="http://schemas.openxmlformats.org/officeDocument/2006/relationships/hyperlink" Target="https://drive.google.com/drive/folders/1Dl0w3yD8S_9xREJ-Nmic5uCogwIUWUn2" TargetMode="External"/><Relationship Id="rId1058" Type="http://schemas.openxmlformats.org/officeDocument/2006/relationships/hyperlink" Target="https://github.com/devoxx/DevoxxGenieIDEAPlugin/issues/837" TargetMode="External"/><Relationship Id="rId2389" Type="http://schemas.openxmlformats.org/officeDocument/2006/relationships/hyperlink" Target="https://drive.google.com/drive/folders/1srZsjyK8qDPH10nuSzZa9zQuKL8sbTsM" TargetMode="External"/><Relationship Id="rId5412" Type="http://schemas.openxmlformats.org/officeDocument/2006/relationships/hyperlink" Target="https://drive.google.com/drive/folders/1eVO7wTeTgNZLb9TytJ0Hic7Z6j0VOhiw" TargetMode="External"/><Relationship Id="rId1048" Type="http://schemas.openxmlformats.org/officeDocument/2006/relationships/hyperlink" Target="https://drive.google.com/drive/folders/1WT-yx7gK8wwN6YnwDw1eObIkOJbQ9pJ-" TargetMode="External"/><Relationship Id="rId2379" Type="http://schemas.openxmlformats.org/officeDocument/2006/relationships/hyperlink" Target="https://drive.google.com/drive/folders/1VY1vEtm_jqRTFgOtnVodW2B2e7ZpkAJQ" TargetMode="External"/><Relationship Id="rId5406" Type="http://schemas.openxmlformats.org/officeDocument/2006/relationships/hyperlink" Target="https://drive.google.com/drive/folders/1Pn6yYSzKg_ispJx19LgqBjci9_3aK7pO" TargetMode="External"/><Relationship Id="rId1049" Type="http://schemas.openxmlformats.org/officeDocument/2006/relationships/hyperlink" Target="https://github.com/desko27/react-call/issues/56" TargetMode="External"/><Relationship Id="rId5407" Type="http://schemas.openxmlformats.org/officeDocument/2006/relationships/hyperlink" Target="https://github.com/stleary/JSON-java/issues/966" TargetMode="External"/><Relationship Id="rId5404" Type="http://schemas.openxmlformats.org/officeDocument/2006/relationships/hyperlink" Target="https://drive.google.com/drive/folders/1eQCR9hFzoy1AUYg0G5XATGAP5MOUadLS" TargetMode="External"/><Relationship Id="rId5405" Type="http://schemas.openxmlformats.org/officeDocument/2006/relationships/hyperlink" Target="https://github.com/stephenberry/glaze/issues/512" TargetMode="External"/><Relationship Id="rId5408" Type="http://schemas.openxmlformats.org/officeDocument/2006/relationships/hyperlink" Target="https://drive.google.com/drive/folders/1HKFo46tGQBbmcdP8tWMHk1eUav2pADjQ" TargetMode="External"/><Relationship Id="rId5409" Type="http://schemas.openxmlformats.org/officeDocument/2006/relationships/hyperlink" Target="https://drive.google.com/drive/folders/18XJZMZBRMBtfTexvlsRpXH3GFtXc2x9i" TargetMode="External"/><Relationship Id="rId217" Type="http://schemas.openxmlformats.org/officeDocument/2006/relationships/hyperlink" Target="https://github.com/AndreWohnsland/CocktailBerry/issues/297" TargetMode="External"/><Relationship Id="rId216" Type="http://schemas.openxmlformats.org/officeDocument/2006/relationships/hyperlink" Target="https://drive.google.com/drive/folders/1T_DWCZgcD9t6CxYN5_XQO4H9ZA6BckPB" TargetMode="External"/><Relationship Id="rId215" Type="http://schemas.openxmlformats.org/officeDocument/2006/relationships/hyperlink" Target="https://github.com/andrewbaxter/genemichaels/issues/115" TargetMode="External"/><Relationship Id="rId214" Type="http://schemas.openxmlformats.org/officeDocument/2006/relationships/hyperlink" Target="https://drive.google.com/drive/folders/1b2gNHx8xx_gdiT5ez-WGyZBw7Siey7yR" TargetMode="External"/><Relationship Id="rId219" Type="http://schemas.openxmlformats.org/officeDocument/2006/relationships/hyperlink" Target="https://drive.google.com/drive/folders/1RwzUrBpULM0ljDYNEH8AJaJ_PB7G2MH3" TargetMode="External"/><Relationship Id="rId218" Type="http://schemas.openxmlformats.org/officeDocument/2006/relationships/hyperlink" Target="https://drive.google.com/drive/folders/1NPyIXgPoOwifjYUTP6j70sAZmZfXt4SX" TargetMode="External"/><Relationship Id="rId2370" Type="http://schemas.openxmlformats.org/officeDocument/2006/relationships/hyperlink" Target="https://drive.google.com/drive/folders/13G5dmbhN8QM-zHwr1ye_sv2lhfUOiauc" TargetMode="External"/><Relationship Id="rId1040" Type="http://schemas.openxmlformats.org/officeDocument/2006/relationships/hyperlink" Target="https://drive.google.com/drive/folders/1niNlBsacY5irEQYS6sOfht3eEDguoB80" TargetMode="External"/><Relationship Id="rId2371" Type="http://schemas.openxmlformats.org/officeDocument/2006/relationships/hyperlink" Target="https://github.com/MaskingTechnology/jitar/issues/563" TargetMode="External"/><Relationship Id="rId1041" Type="http://schemas.openxmlformats.org/officeDocument/2006/relationships/hyperlink" Target="https://github.com/dermotduffy/advanced-camera-card/issues/2197" TargetMode="External"/><Relationship Id="rId2372" Type="http://schemas.openxmlformats.org/officeDocument/2006/relationships/hyperlink" Target="https://drive.google.com/drive/folders/1nIOeip_B6vq9MVKCxvlHH9gBhDeLlGYc" TargetMode="External"/><Relationship Id="rId1042" Type="http://schemas.openxmlformats.org/officeDocument/2006/relationships/hyperlink" Target="https://drive.google.com/drive/folders/1RMjjjFckSmhd1YBKxKpoIUCf-W_h3Gch" TargetMode="External"/><Relationship Id="rId2373" Type="http://schemas.openxmlformats.org/officeDocument/2006/relationships/hyperlink" Target="https://github.com/mastra-ai/mastra/issues/6409" TargetMode="External"/><Relationship Id="rId1043" Type="http://schemas.openxmlformats.org/officeDocument/2006/relationships/hyperlink" Target="https://github.com/dermotduffy/advanced-camera-card/issues/2159" TargetMode="External"/><Relationship Id="rId2374" Type="http://schemas.openxmlformats.org/officeDocument/2006/relationships/hyperlink" Target="https://drive.google.com/drive/folders/1KyjzUXRTWrv-eXyAXD4hUo99h38QkWat" TargetMode="External"/><Relationship Id="rId213" Type="http://schemas.openxmlformats.org/officeDocument/2006/relationships/hyperlink" Target="https://drive.google.com/drive/folders/1fTl_vRvI-Ae5xGvFkMb3k0T1OtlpUapf" TargetMode="External"/><Relationship Id="rId1044" Type="http://schemas.openxmlformats.org/officeDocument/2006/relationships/hyperlink" Target="https://drive.google.com/drive/folders/1etRKXBIwvJsekCZQ6qsL3kOuPzeeaY1R" TargetMode="External"/><Relationship Id="rId2375" Type="http://schemas.openxmlformats.org/officeDocument/2006/relationships/hyperlink" Target="https://drive.google.com/drive/folders/1NDCIX-PCDkBzpujp30SU-P6UFoPjt0oo" TargetMode="External"/><Relationship Id="rId5402" Type="http://schemas.openxmlformats.org/officeDocument/2006/relationships/hyperlink" Target="https://drive.google.com/drive/folders/1LZbNboUqx66zfa8KeITpBZShjB7n-mt3" TargetMode="External"/><Relationship Id="rId212" Type="http://schemas.openxmlformats.org/officeDocument/2006/relationships/hyperlink" Target="https://github.com/anancarv/python-artifactory/issues/221" TargetMode="External"/><Relationship Id="rId1045" Type="http://schemas.openxmlformats.org/officeDocument/2006/relationships/hyperlink" Target="https://github.com/dermotduffy/advanced-camera-card/issues/2149" TargetMode="External"/><Relationship Id="rId2376" Type="http://schemas.openxmlformats.org/officeDocument/2006/relationships/hyperlink" Target="https://github.com/mastra-ai/mastra/issues/8603" TargetMode="External"/><Relationship Id="rId5403" Type="http://schemas.openxmlformats.org/officeDocument/2006/relationships/hyperlink" Target="https://github.com/stan-dev/math/issues/3169" TargetMode="External"/><Relationship Id="rId211" Type="http://schemas.openxmlformats.org/officeDocument/2006/relationships/hyperlink" Target="https://drive.google.com/drive/folders/1auvHx5VjLGdBN7Qy47Uc8hDS-UqY7Iay" TargetMode="External"/><Relationship Id="rId1046" Type="http://schemas.openxmlformats.org/officeDocument/2006/relationships/hyperlink" Target="https://drive.google.com/drive/folders/1c8TFpYS61_ZfAxUoLZi6O0s5W0N2zpHG" TargetMode="External"/><Relationship Id="rId2377" Type="http://schemas.openxmlformats.org/officeDocument/2006/relationships/hyperlink" Target="https://github.com/mastra-ai/mastra/issues/6441" TargetMode="External"/><Relationship Id="rId5400" Type="http://schemas.openxmlformats.org/officeDocument/2006/relationships/hyperlink" Target="https://drive.google.com/drive/folders/1lfDjGeorQ5vJ_m6QsztaXmcc7KEnhQDe" TargetMode="External"/><Relationship Id="rId210" Type="http://schemas.openxmlformats.org/officeDocument/2006/relationships/hyperlink" Target="https://drive.google.com/drive/folders/11BliRL0_rzSIIihnKIL5FwnhkHJzkF5U" TargetMode="External"/><Relationship Id="rId1047" Type="http://schemas.openxmlformats.org/officeDocument/2006/relationships/hyperlink" Target="https://github.com/DesignLiquido/xslt-processor/issues/112" TargetMode="External"/><Relationship Id="rId2378" Type="http://schemas.openxmlformats.org/officeDocument/2006/relationships/hyperlink" Target="https://drive.google.com/drive/folders/1BavliOhHpbPfl-7MotTKhLRf5HoJ9tpI" TargetMode="External"/><Relationship Id="rId5401" Type="http://schemas.openxmlformats.org/officeDocument/2006/relationships/hyperlink" Target="https://github.com/stacklok/toolhive/issues/2113" TargetMode="External"/><Relationship Id="rId4107" Type="http://schemas.openxmlformats.org/officeDocument/2006/relationships/hyperlink" Target="https://drive.google.com/drive/folders/1oglkbl3DTQOtoNklOFv5L8WakwASvbIr" TargetMode="External"/><Relationship Id="rId5439" Type="http://schemas.openxmlformats.org/officeDocument/2006/relationships/hyperlink" Target="https://github.com/TecharoHQ/anubis/issues/470" TargetMode="External"/><Relationship Id="rId4106" Type="http://schemas.openxmlformats.org/officeDocument/2006/relationships/hyperlink" Target="https://drive.google.com/drive/folders/1ZO5tUwZSNessnCHNhuMhJUE2k_fFF5bw" TargetMode="External"/><Relationship Id="rId4109" Type="http://schemas.openxmlformats.org/officeDocument/2006/relationships/hyperlink" Target="https://drive.google.com/drive/folders/1UmuukF0W1q2NfbLZI0LG_kkt52DzmWPA" TargetMode="External"/><Relationship Id="rId5437" Type="http://schemas.openxmlformats.org/officeDocument/2006/relationships/hyperlink" Target="https://github.com/tailscale/tsidp/issues/68" TargetMode="External"/><Relationship Id="rId4108" Type="http://schemas.openxmlformats.org/officeDocument/2006/relationships/hyperlink" Target="https://github.com/algolia/shipjs/issues/1029" TargetMode="External"/><Relationship Id="rId5438" Type="http://schemas.openxmlformats.org/officeDocument/2006/relationships/hyperlink" Target="https://drive.google.com/drive/folders/1nY_3KymeAFIXBCfV2RCNvg55Lfjzf1yz" TargetMode="External"/><Relationship Id="rId249" Type="http://schemas.openxmlformats.org/officeDocument/2006/relationships/hyperlink" Target="https://drive.google.com/drive/folders/1QZCI57z5HtVPLq4B-Rzihsn2HZSXIZEF" TargetMode="External"/><Relationship Id="rId248" Type="http://schemas.openxmlformats.org/officeDocument/2006/relationships/hyperlink" Target="https://github.com/apache/accumulo/issues/5779" TargetMode="External"/><Relationship Id="rId247" Type="http://schemas.openxmlformats.org/officeDocument/2006/relationships/hyperlink" Target="https://drive.google.com/drive/folders/18F934RaT2M6JLfC0iI8Q41dU3jMWFRZU" TargetMode="External"/><Relationship Id="rId1070" Type="http://schemas.openxmlformats.org/officeDocument/2006/relationships/hyperlink" Target="https://drive.google.com/drive/folders/1EIMHhQC9ZbaJxHzGjKhGPwwhMYYj4-Gv" TargetMode="External"/><Relationship Id="rId1071" Type="http://schemas.openxmlformats.org/officeDocument/2006/relationships/hyperlink" Target="https://github.com/django-components/django-components/issues/975" TargetMode="External"/><Relationship Id="rId1072" Type="http://schemas.openxmlformats.org/officeDocument/2006/relationships/hyperlink" Target="https://drive.google.com/drive/folders/1W_L4oZcOJGcCOCkWe2jUl00y7hQ6rNtb" TargetMode="External"/><Relationship Id="rId242" Type="http://schemas.openxmlformats.org/officeDocument/2006/relationships/hyperlink" Target="https://drive.google.com/drive/folders/1SL6fOc-YR9FhlBEejGod0havdsQTAXq5" TargetMode="External"/><Relationship Id="rId1073" Type="http://schemas.openxmlformats.org/officeDocument/2006/relationships/hyperlink" Target="https://github.com/django-components/django-components/issues/1231" TargetMode="External"/><Relationship Id="rId5431" Type="http://schemas.openxmlformats.org/officeDocument/2006/relationships/hyperlink" Target="https://drive.google.com/drive/folders/1SCl9V4NOS1lfaYauuaaD9GttoqzeZB6Z" TargetMode="External"/><Relationship Id="rId241" Type="http://schemas.openxmlformats.org/officeDocument/2006/relationships/hyperlink" Target="https://github.com/anthropics/claude-code-action/issues/117" TargetMode="External"/><Relationship Id="rId1074" Type="http://schemas.openxmlformats.org/officeDocument/2006/relationships/hyperlink" Target="https://drive.google.com/drive/folders/1KITw-58JFrn_lX37Tc6F_mu3XH333b-2" TargetMode="External"/><Relationship Id="rId5432" Type="http://schemas.openxmlformats.org/officeDocument/2006/relationships/hyperlink" Target="https://github.com/systemd/mkosi/issues/3346" TargetMode="External"/><Relationship Id="rId240" Type="http://schemas.openxmlformats.org/officeDocument/2006/relationships/hyperlink" Target="https://drive.google.com/drive/folders/1E3eQEnr2gfKhHk7qfPzCcdFWTGJROImr" TargetMode="External"/><Relationship Id="rId1075" Type="http://schemas.openxmlformats.org/officeDocument/2006/relationships/hyperlink" Target="https://drive.google.com/drive/folders/1TLo9DyuTouY1nPREHtpfBH33xnarpBND" TargetMode="External"/><Relationship Id="rId4101" Type="http://schemas.openxmlformats.org/officeDocument/2006/relationships/hyperlink" Target="https://drive.google.com/drive/folders/1T2uEBJNVU43Am4xT9Now1AswihIVDGNZ" TargetMode="External"/><Relationship Id="rId1076" Type="http://schemas.openxmlformats.org/officeDocument/2006/relationships/hyperlink" Target="https://github.com/django-components/django-components/issues/946" TargetMode="External"/><Relationship Id="rId4100" Type="http://schemas.openxmlformats.org/officeDocument/2006/relationships/hyperlink" Target="https://github.com/albumentations-team/albumentations/issues/2526" TargetMode="External"/><Relationship Id="rId5430" Type="http://schemas.openxmlformats.org/officeDocument/2006/relationships/hyperlink" Target="https://drive.google.com/drive/folders/1WaxmG6OrMRHckQ40Jzt14oaNjWoryKRY" TargetMode="External"/><Relationship Id="rId246" Type="http://schemas.openxmlformats.org/officeDocument/2006/relationships/hyperlink" Target="https://github.com/anza-xyz/kit/issues/1154" TargetMode="External"/><Relationship Id="rId1077" Type="http://schemas.openxmlformats.org/officeDocument/2006/relationships/hyperlink" Target="https://drive.google.com/drive/folders/1y8EO5X6s_CWCthZqQg_uXbGyNyF7h27a" TargetMode="External"/><Relationship Id="rId4103" Type="http://schemas.openxmlformats.org/officeDocument/2006/relationships/hyperlink" Target="https://drive.google.com/drive/folders/1d3laaZXVGhrTOfwoKDeYGGnOj1n7jLAP" TargetMode="External"/><Relationship Id="rId5435" Type="http://schemas.openxmlformats.org/officeDocument/2006/relationships/hyperlink" Target="https://drive.google.com/drive/folders/1HapYaxySrDLyz5h1JVer_Mp7-uuDewH0" TargetMode="External"/><Relationship Id="rId245" Type="http://schemas.openxmlformats.org/officeDocument/2006/relationships/hyperlink" Target="https://drive.google.com/drive/folders/1XRwZPZhhffg1K7P8beFOlcHb0TzZ7CRh" TargetMode="External"/><Relationship Id="rId1078" Type="http://schemas.openxmlformats.org/officeDocument/2006/relationships/hyperlink" Target="https://github.com/DLR-AMR/t8code/issues/1659" TargetMode="External"/><Relationship Id="rId4102" Type="http://schemas.openxmlformats.org/officeDocument/2006/relationships/hyperlink" Target="https://github.com/alecthomas/kong/issues/501" TargetMode="External"/><Relationship Id="rId5436" Type="http://schemas.openxmlformats.org/officeDocument/2006/relationships/hyperlink" Target="https://drive.google.com/drive/folders/1pCausku6ARwpYfK9u9Virdmy-W0YVo5g" TargetMode="External"/><Relationship Id="rId244" Type="http://schemas.openxmlformats.org/officeDocument/2006/relationships/hyperlink" Target="https://github.com/anuraghazra/github-readme-stats/issues/3708" TargetMode="External"/><Relationship Id="rId1079" Type="http://schemas.openxmlformats.org/officeDocument/2006/relationships/hyperlink" Target="https://drive.google.com/drive/folders/1oBJit2EgEZc579QWTwxChm0RIIbclllz" TargetMode="External"/><Relationship Id="rId4105" Type="http://schemas.openxmlformats.org/officeDocument/2006/relationships/hyperlink" Target="https://github.com/alexellis/arkade/issues/1131" TargetMode="External"/><Relationship Id="rId5433" Type="http://schemas.openxmlformats.org/officeDocument/2006/relationships/hyperlink" Target="https://drive.google.com/drive/folders/1yGEDT7_IkjAHch5DoNcoh0rzd1unSMag" TargetMode="External"/><Relationship Id="rId243" Type="http://schemas.openxmlformats.org/officeDocument/2006/relationships/hyperlink" Target="https://drive.google.com/drive/folders/10qIWmaQAbrkaWC7SAbGjfeniNUVzlKWJ" TargetMode="External"/><Relationship Id="rId4104" Type="http://schemas.openxmlformats.org/officeDocument/2006/relationships/hyperlink" Target="https://drive.google.com/drive/folders/1S0g_tJnQxphx_CN1oF4qaeiNlDmHqRCp" TargetMode="External"/><Relationship Id="rId5434" Type="http://schemas.openxmlformats.org/officeDocument/2006/relationships/hyperlink" Target="https://github.com/tailscale/tailscale/issues/14767" TargetMode="External"/><Relationship Id="rId5428" Type="http://schemas.openxmlformats.org/officeDocument/2006/relationships/hyperlink" Target="https://drive.google.com/drive/folders/1-mwR8BK_Oe851uw9lUwLmJiZL7VOOpW9" TargetMode="External"/><Relationship Id="rId5429" Type="http://schemas.openxmlformats.org/officeDocument/2006/relationships/hyperlink" Target="https://github.com/sympy/sympy/issues/28081" TargetMode="External"/><Relationship Id="rId5426" Type="http://schemas.openxmlformats.org/officeDocument/2006/relationships/hyperlink" Target="https://drive.google.com/drive/folders/1_zRk7QPcLjbL5SLz8UjCEeWWGEJXTUKI" TargetMode="External"/><Relationship Id="rId5427" Type="http://schemas.openxmlformats.org/officeDocument/2006/relationships/hyperlink" Target="https://github.com/surveyjs/survey-creator/issues/6276" TargetMode="External"/><Relationship Id="rId239" Type="http://schemas.openxmlformats.org/officeDocument/2006/relationships/hyperlink" Target="https://github.com/antfu-collective/taze/issues/153" TargetMode="External"/><Relationship Id="rId238" Type="http://schemas.openxmlformats.org/officeDocument/2006/relationships/hyperlink" Target="https://drive.google.com/drive/folders/1gLLvxZhwqgKlL89gMQGoIkDFOkfxnJwG" TargetMode="External"/><Relationship Id="rId237" Type="http://schemas.openxmlformats.org/officeDocument/2006/relationships/hyperlink" Target="https://github.com/AntennaPod/AntennaPod/issues/7537" TargetMode="External"/><Relationship Id="rId236" Type="http://schemas.openxmlformats.org/officeDocument/2006/relationships/hyperlink" Target="https://drive.google.com/drive/folders/1YisHGdFc6GSU_nBsguhHHGnob5nIqL57" TargetMode="External"/><Relationship Id="rId2390" Type="http://schemas.openxmlformats.org/officeDocument/2006/relationships/hyperlink" Target="https://github.com/matthewwardrop/formulaic/issues/204" TargetMode="External"/><Relationship Id="rId1060" Type="http://schemas.openxmlformats.org/officeDocument/2006/relationships/hyperlink" Target="https://github.com/Diaoul/subliminal/issues/1180" TargetMode="External"/><Relationship Id="rId2391" Type="http://schemas.openxmlformats.org/officeDocument/2006/relationships/hyperlink" Target="https://drive.google.com/drive/folders/1WqrIlqV88y9R8Xu1c584Di1za4q8Fkm1" TargetMode="External"/><Relationship Id="rId1061" Type="http://schemas.openxmlformats.org/officeDocument/2006/relationships/hyperlink" Target="https://drive.google.com/drive/folders/15Fuq6HcANt05tBWUMtkvI5J802zsL5NF" TargetMode="External"/><Relationship Id="rId2392" Type="http://schemas.openxmlformats.org/officeDocument/2006/relationships/hyperlink" Target="https://drive.google.com/drive/folders/1yBPv1gm8Nwn2Sw6LJHihDSBK6n3_Xetg" TargetMode="External"/><Relationship Id="rId231" Type="http://schemas.openxmlformats.org/officeDocument/2006/relationships/hyperlink" Target="https://drive.google.com/drive/folders/1SXQYzm8D8Tce9eqR5zX7WMFubE3xiyLE" TargetMode="External"/><Relationship Id="rId1062" Type="http://schemas.openxmlformats.org/officeDocument/2006/relationships/hyperlink" Target="https://drive.google.com/drive/folders/1545aiAUcGYsAPxAqY-whz7F58Use3wjw" TargetMode="External"/><Relationship Id="rId2393" Type="http://schemas.openxmlformats.org/officeDocument/2006/relationships/hyperlink" Target="https://github.com/mattpocock/evalite/issues/194" TargetMode="External"/><Relationship Id="rId5420" Type="http://schemas.openxmlformats.org/officeDocument/2006/relationships/hyperlink" Target="https://github.com/strukturag/libheif/issues/1246" TargetMode="External"/><Relationship Id="rId230" Type="http://schemas.openxmlformats.org/officeDocument/2006/relationships/hyperlink" Target="https://drive.google.com/drive/folders/1CwHaAmqLJS0bLMhoRf4kAPEZohE6zJVb" TargetMode="External"/><Relationship Id="rId1063" Type="http://schemas.openxmlformats.org/officeDocument/2006/relationships/hyperlink" Target="https://github.com/DiceDB/dice/issues/1040" TargetMode="External"/><Relationship Id="rId2394" Type="http://schemas.openxmlformats.org/officeDocument/2006/relationships/hyperlink" Target="https://drive.google.com/drive/folders/1FtP_8J1ZHYVMj4TsxXYRmxQit5kGUs1b" TargetMode="External"/><Relationship Id="rId5421" Type="http://schemas.openxmlformats.org/officeDocument/2006/relationships/hyperlink" Target="https://drive.google.com/drive/folders/1Z-f1MVc_gLQmLS0a79d3fkd06n3jBYeH" TargetMode="External"/><Relationship Id="rId1064" Type="http://schemas.openxmlformats.org/officeDocument/2006/relationships/hyperlink" Target="https://drive.google.com/drive/folders/1hGHeQAirzi2iWZhUyfLwxjVfx2HAUHi0" TargetMode="External"/><Relationship Id="rId2395" Type="http://schemas.openxmlformats.org/officeDocument/2006/relationships/hyperlink" Target="https://github.com/mattzcarey/shippie/issues/457" TargetMode="External"/><Relationship Id="rId1065" Type="http://schemas.openxmlformats.org/officeDocument/2006/relationships/hyperlink" Target="https://github.com/dietrichmax/docker-staticmaps/issues/42" TargetMode="External"/><Relationship Id="rId2396" Type="http://schemas.openxmlformats.org/officeDocument/2006/relationships/hyperlink" Target="https://drive.google.com/drive/folders/1LzBIQO4_H9SzZhOQAELRXF8F42pyGdW7" TargetMode="External"/><Relationship Id="rId235" Type="http://schemas.openxmlformats.org/officeDocument/2006/relationships/hyperlink" Target="https://github.com/ant-design/ant-design/issues/56578" TargetMode="External"/><Relationship Id="rId1066" Type="http://schemas.openxmlformats.org/officeDocument/2006/relationships/hyperlink" Target="https://drive.google.com/drive/folders/1JtSw4qtYNara7csKBeZz1ZO9dV1Kaviy" TargetMode="External"/><Relationship Id="rId2397" Type="http://schemas.openxmlformats.org/officeDocument/2006/relationships/hyperlink" Target="https://github.com/maximn/google-maps/issues/177" TargetMode="External"/><Relationship Id="rId5424" Type="http://schemas.openxmlformats.org/officeDocument/2006/relationships/hyperlink" Target="https://drive.google.com/drive/folders/1O7km1wXU185VXBPK_uWig3mSMho_cRVR" TargetMode="External"/><Relationship Id="rId234" Type="http://schemas.openxmlformats.org/officeDocument/2006/relationships/hyperlink" Target="https://github.com/ant-design/ant-design/issues/54707" TargetMode="External"/><Relationship Id="rId1067" Type="http://schemas.openxmlformats.org/officeDocument/2006/relationships/hyperlink" Target="https://drive.google.com/drive/folders/1qA6of_jdhh_V-vZlS8xR_eSSYJfqzGKr" TargetMode="External"/><Relationship Id="rId2398" Type="http://schemas.openxmlformats.org/officeDocument/2006/relationships/hyperlink" Target="https://drive.google.com/drive/folders/1cWpLzRX_rIHjS4sekDrzgHr3ndH63F7Q" TargetMode="External"/><Relationship Id="rId5425" Type="http://schemas.openxmlformats.org/officeDocument/2006/relationships/hyperlink" Target="https://github.com/superagent-ai/vibekit/issues/36" TargetMode="External"/><Relationship Id="rId233" Type="http://schemas.openxmlformats.org/officeDocument/2006/relationships/hyperlink" Target="https://drive.google.com/drive/folders/1ov8LIbKqmHsdA4I3s4-18JFtBS915cwT" TargetMode="External"/><Relationship Id="rId1068" Type="http://schemas.openxmlformats.org/officeDocument/2006/relationships/hyperlink" Target="https://github.com/Digital-Shane/title-tidy/issues/64" TargetMode="External"/><Relationship Id="rId2399" Type="http://schemas.openxmlformats.org/officeDocument/2006/relationships/hyperlink" Target="https://drive.google.com/drive/folders/1lvX4m0lI-4XjE71kNvJxshnsELiN_0hD" TargetMode="External"/><Relationship Id="rId5422" Type="http://schemas.openxmlformats.org/officeDocument/2006/relationships/hyperlink" Target="https://drive.google.com/drive/folders/1JoWLYwReyBL5kYx4cRXqrD2yQuFpuBoI" TargetMode="External"/><Relationship Id="rId232" Type="http://schemas.openxmlformats.org/officeDocument/2006/relationships/hyperlink" Target="https://github.com/ant-design/ant-design/issues/54338" TargetMode="External"/><Relationship Id="rId1069" Type="http://schemas.openxmlformats.org/officeDocument/2006/relationships/hyperlink" Target="https://drive.google.com/drive/folders/13urBUx7p_yzR7409jGIafTGk_Bl-1XU5" TargetMode="External"/><Relationship Id="rId5423" Type="http://schemas.openxmlformats.org/officeDocument/2006/relationships/hyperlink" Target="https://github.com/substratusai/kubeai/issues/491" TargetMode="External"/><Relationship Id="rId1015" Type="http://schemas.openxmlformats.org/officeDocument/2006/relationships/hyperlink" Target="https://github.com/deepset-ai/haystack/issues/9426" TargetMode="External"/><Relationship Id="rId2346" Type="http://schemas.openxmlformats.org/officeDocument/2006/relationships/hyperlink" Target="https://github.com/mamertofabian/bolt-to-github/issues/138" TargetMode="External"/><Relationship Id="rId3678" Type="http://schemas.openxmlformats.org/officeDocument/2006/relationships/hyperlink" Target="https://github.com/terraform-linters/tflint-ruleset-aws/issues/786" TargetMode="External"/><Relationship Id="rId1016" Type="http://schemas.openxmlformats.org/officeDocument/2006/relationships/hyperlink" Target="https://drive.google.com/drive/folders/1ZqpHeDV2pqt23U_W6AOIOCRuEoua5vYt" TargetMode="External"/><Relationship Id="rId2347" Type="http://schemas.openxmlformats.org/officeDocument/2006/relationships/hyperlink" Target="https://drive.google.com/drive/folders/16n4fzfD-qnbqaShLB8du2jrWgrUSXreZ" TargetMode="External"/><Relationship Id="rId3677" Type="http://schemas.openxmlformats.org/officeDocument/2006/relationships/hyperlink" Target="https://drive.google.com/drive/folders/19LUYEtsWcJ0ENJpyzyITeWYGlBNun8WG" TargetMode="External"/><Relationship Id="rId1017" Type="http://schemas.openxmlformats.org/officeDocument/2006/relationships/hyperlink" Target="https://drive.google.com/drive/folders/1oEc9fMWVFrVVd58NVHmtebOvkuYv65qu" TargetMode="External"/><Relationship Id="rId2348" Type="http://schemas.openxmlformats.org/officeDocument/2006/relationships/hyperlink" Target="https://github.com/manusa/electronim/issues/646" TargetMode="External"/><Relationship Id="rId1018" Type="http://schemas.openxmlformats.org/officeDocument/2006/relationships/hyperlink" Target="https://github.com/deepset-ai/haystack/issues/9536" TargetMode="External"/><Relationship Id="rId2349" Type="http://schemas.openxmlformats.org/officeDocument/2006/relationships/hyperlink" Target="https://drive.google.com/drive/folders/1trLX2oCQMztGqVSbJrEfLzW5R6_Q2Kvm" TargetMode="External"/><Relationship Id="rId3679" Type="http://schemas.openxmlformats.org/officeDocument/2006/relationships/hyperlink" Target="https://drive.google.com/drive/folders/15Z2Hks2rVK3YBaanFVv9mMkQIHPiqGLx" TargetMode="External"/><Relationship Id="rId1019" Type="http://schemas.openxmlformats.org/officeDocument/2006/relationships/hyperlink" Target="https://drive.google.com/drive/folders/17gI9ynXfSU55o__7ucwPvGfAEhny7Tx0" TargetMode="External"/><Relationship Id="rId3670" Type="http://schemas.openxmlformats.org/officeDocument/2006/relationships/hyperlink" Target="https://github.com/temporalio/temporal-worker-controller/issues/149" TargetMode="External"/><Relationship Id="rId2340" Type="http://schemas.openxmlformats.org/officeDocument/2006/relationships/hyperlink" Target="https://github.com/magnusvk/counter_culture/issues/405" TargetMode="External"/><Relationship Id="rId3672" Type="http://schemas.openxmlformats.org/officeDocument/2006/relationships/hyperlink" Target="https://github.com/temporalio/temporal-worker-controller/issues/127" TargetMode="External"/><Relationship Id="rId1010" Type="http://schemas.openxmlformats.org/officeDocument/2006/relationships/hyperlink" Target="https://drive.google.com/drive/folders/1-r5LqlQHSV5Wj_XXEbcyQI5HrwUBnV3F" TargetMode="External"/><Relationship Id="rId2341" Type="http://schemas.openxmlformats.org/officeDocument/2006/relationships/hyperlink" Target="https://drive.google.com/drive/folders/1829xQXlz0pkLju8Uvvd6G0tLSmdXeIbI" TargetMode="External"/><Relationship Id="rId3671" Type="http://schemas.openxmlformats.org/officeDocument/2006/relationships/hyperlink" Target="https://drive.google.com/drive/folders/1Xs9cpITOFlx1NUxPufoHYg1FG-y8QHuT" TargetMode="External"/><Relationship Id="rId1011" Type="http://schemas.openxmlformats.org/officeDocument/2006/relationships/hyperlink" Target="https://drive.google.com/drive/folders/1CMJz6MNpF9YyUk6iUbScWPhPzZp2-_rf" TargetMode="External"/><Relationship Id="rId2342" Type="http://schemas.openxmlformats.org/officeDocument/2006/relationships/hyperlink" Target="https://drive.google.com/drive/folders/1RjcOy-ewgTeH36nvqVx3OfU6WJA-0M6f" TargetMode="External"/><Relationship Id="rId3674" Type="http://schemas.openxmlformats.org/officeDocument/2006/relationships/hyperlink" Target="https://github.com/tensorflow/tflite-micro/issues/3113" TargetMode="External"/><Relationship Id="rId1012" Type="http://schemas.openxmlformats.org/officeDocument/2006/relationships/hyperlink" Target="https://github.com/deepset-ai/haystack/issues/9270" TargetMode="External"/><Relationship Id="rId2343" Type="http://schemas.openxmlformats.org/officeDocument/2006/relationships/hyperlink" Target="https://github.com/mainmatter/ember-intl-analyzer/issues/738" TargetMode="External"/><Relationship Id="rId3673" Type="http://schemas.openxmlformats.org/officeDocument/2006/relationships/hyperlink" Target="https://drive.google.com/drive/folders/1NN77LnjFlMfLo3lUMWZO43gUZQGhJTm7" TargetMode="External"/><Relationship Id="rId1013" Type="http://schemas.openxmlformats.org/officeDocument/2006/relationships/hyperlink" Target="https://drive.google.com/drive/folders/1j9laTsBO3jvvlLdAIR_1mFEkS-_8OrFf" TargetMode="External"/><Relationship Id="rId2344" Type="http://schemas.openxmlformats.org/officeDocument/2006/relationships/hyperlink" Target="https://drive.google.com/drive/folders/1o5-gSqqf9nrVgJrNfzZeTzgsRHz_YMu9" TargetMode="External"/><Relationship Id="rId3676" Type="http://schemas.openxmlformats.org/officeDocument/2006/relationships/hyperlink" Target="https://github.com/tenstorrent/tt-metal/issues/26173" TargetMode="External"/><Relationship Id="rId1014" Type="http://schemas.openxmlformats.org/officeDocument/2006/relationships/hyperlink" Target="https://drive.google.com/drive/folders/1A6xNAn0CogiYRuoKQ3mLJOtWT4ADZ05k" TargetMode="External"/><Relationship Id="rId2345" Type="http://schemas.openxmlformats.org/officeDocument/2006/relationships/hyperlink" Target="https://drive.google.com/drive/folders/1fqwtve6ZAvuswns80zshqezOljRS0v-h" TargetMode="External"/><Relationship Id="rId3675" Type="http://schemas.openxmlformats.org/officeDocument/2006/relationships/hyperlink" Target="https://drive.google.com/drive/folders/10GIQPOiXZcsVTT5pWElxgF5pEjkoI3EI" TargetMode="External"/><Relationship Id="rId1004" Type="http://schemas.openxmlformats.org/officeDocument/2006/relationships/hyperlink" Target="https://github.com/deepsense-ai/ragbits/issues/207" TargetMode="External"/><Relationship Id="rId2335" Type="http://schemas.openxmlformats.org/officeDocument/2006/relationships/hyperlink" Target="https://github.com/MacroPower/kat/issues/30" TargetMode="External"/><Relationship Id="rId3667" Type="http://schemas.openxmlformats.org/officeDocument/2006/relationships/hyperlink" Target="https://drive.google.com/drive/folders/1M8Fhd9-DunjEs3DIqtuHHrz_hZI-Tcgs" TargetMode="External"/><Relationship Id="rId4998" Type="http://schemas.openxmlformats.org/officeDocument/2006/relationships/hyperlink" Target="https://drive.google.com/drive/folders/1fOqX0XaBsCrmhreq0-E07DQpNwwel8rh" TargetMode="External"/><Relationship Id="rId1005" Type="http://schemas.openxmlformats.org/officeDocument/2006/relationships/hyperlink" Target="https://drive.google.com/drive/folders/146IHUZX_oVQuTmoi-q8B0GtP3B8e0RTq" TargetMode="External"/><Relationship Id="rId2336" Type="http://schemas.openxmlformats.org/officeDocument/2006/relationships/hyperlink" Target="https://drive.google.com/drive/folders/1lOjfJpNpChBYG17IR9yRoTZOtNPNCVMh" TargetMode="External"/><Relationship Id="rId3666" Type="http://schemas.openxmlformats.org/officeDocument/2006/relationships/hyperlink" Target="https://github.com/temporalio/sdk-go/issues/1722" TargetMode="External"/><Relationship Id="rId4997" Type="http://schemas.openxmlformats.org/officeDocument/2006/relationships/hyperlink" Target="https://github.com/ml-explore/mlx/issues/1772" TargetMode="External"/><Relationship Id="rId1006" Type="http://schemas.openxmlformats.org/officeDocument/2006/relationships/hyperlink" Target="https://github.com/deepsense-ai/ragbits/issues/185" TargetMode="External"/><Relationship Id="rId2337" Type="http://schemas.openxmlformats.org/officeDocument/2006/relationships/hyperlink" Target="https://github.com/MagicMirrorOrg/MagicMirror/issues/3255" TargetMode="External"/><Relationship Id="rId3669" Type="http://schemas.openxmlformats.org/officeDocument/2006/relationships/hyperlink" Target="https://drive.google.com/drive/folders/13Bip1riuLgjw95hD1BbXAqwkFuFAVsGj" TargetMode="External"/><Relationship Id="rId1007" Type="http://schemas.openxmlformats.org/officeDocument/2006/relationships/hyperlink" Target="https://drive.google.com/drive/folders/1GrzsCae8gao2O2KKR_-Qxi6BPC84RZjv" TargetMode="External"/><Relationship Id="rId2338" Type="http://schemas.openxmlformats.org/officeDocument/2006/relationships/hyperlink" Target="https://drive.google.com/drive/folders/1Yj9UjHam0-J22i2liqY_7pKvFY9lt7mt" TargetMode="External"/><Relationship Id="rId3668" Type="http://schemas.openxmlformats.org/officeDocument/2006/relationships/hyperlink" Target="https://github.com/temporalio/temporal-worker-controller/issues/130" TargetMode="External"/><Relationship Id="rId4999" Type="http://schemas.openxmlformats.org/officeDocument/2006/relationships/hyperlink" Target="https://drive.google.com/drive/folders/1qvwVJgbHiiKu5Adny7uP6uzaHI7VNJ_I" TargetMode="External"/><Relationship Id="rId1008" Type="http://schemas.openxmlformats.org/officeDocument/2006/relationships/hyperlink" Target="https://drive.google.com/drive/folders/1X6zGH3RFS09c31yaQU-PpcmzqiQv-zfG" TargetMode="External"/><Relationship Id="rId2339" Type="http://schemas.openxmlformats.org/officeDocument/2006/relationships/hyperlink" Target="https://drive.google.com/drive/folders/1hhU-3DBb0_oY2LN_e8QCY1DpKoASLLk4" TargetMode="External"/><Relationship Id="rId1009" Type="http://schemas.openxmlformats.org/officeDocument/2006/relationships/hyperlink" Target="https://github.com/deepsense-ai/ragbits/issues/109" TargetMode="External"/><Relationship Id="rId4990" Type="http://schemas.openxmlformats.org/officeDocument/2006/relationships/hyperlink" Target="https://github.com/mikf/gallery-dl/issues/7787" TargetMode="External"/><Relationship Id="rId3661" Type="http://schemas.openxmlformats.org/officeDocument/2006/relationships/hyperlink" Target="https://drive.google.com/drive/folders/1f5QELKFpfRm5wXiPLJlRN-RMFXD0hGsG" TargetMode="External"/><Relationship Id="rId4992" Type="http://schemas.openxmlformats.org/officeDocument/2006/relationships/hyperlink" Target="https://drive.google.com/drive/folders/1qBmFh0vmBYkYxfKcpLe5eKNDbmbNBt47" TargetMode="External"/><Relationship Id="rId2330" Type="http://schemas.openxmlformats.org/officeDocument/2006/relationships/hyperlink" Target="https://drive.google.com/drive/folders/1tNm01eP8e19nf57Lfs4XpQUUUYLyTzZs" TargetMode="External"/><Relationship Id="rId3660" Type="http://schemas.openxmlformats.org/officeDocument/2006/relationships/hyperlink" Target="https://github.com/temporalio/samples-dotnet/issues/91" TargetMode="External"/><Relationship Id="rId4991" Type="http://schemas.openxmlformats.org/officeDocument/2006/relationships/hyperlink" Target="https://drive.google.com/drive/folders/1TirFeC8OtD2528feVaCLbRQO36JK18of" TargetMode="External"/><Relationship Id="rId1000" Type="http://schemas.openxmlformats.org/officeDocument/2006/relationships/hyperlink" Target="https://drive.google.com/drive/folders/1bzFBjbeYnLuubwOQY4X4KlxyqSTavv31" TargetMode="External"/><Relationship Id="rId2331" Type="http://schemas.openxmlformats.org/officeDocument/2006/relationships/hyperlink" Target="https://github.com/macieklamberski/feedsmith/issues/111" TargetMode="External"/><Relationship Id="rId3663" Type="http://schemas.openxmlformats.org/officeDocument/2006/relationships/hyperlink" Target="https://drive.google.com/drive/folders/1XmsHqz2bt0l7v27FucYozEADWurmuYYe" TargetMode="External"/><Relationship Id="rId4994" Type="http://schemas.openxmlformats.org/officeDocument/2006/relationships/hyperlink" Target="https://github.com/ml-explore/mlx/issues/1120" TargetMode="External"/><Relationship Id="rId1001" Type="http://schemas.openxmlformats.org/officeDocument/2006/relationships/hyperlink" Target="https://drive.google.com/drive/folders/1xIj4qnIUCWGsRi6fTUFn1hcQbzNvQr6T" TargetMode="External"/><Relationship Id="rId2332" Type="http://schemas.openxmlformats.org/officeDocument/2006/relationships/hyperlink" Target="https://drive.google.com/drive/folders/1sYpv1_ZjXxn87KpOCvN4AHi60nF1VjT0" TargetMode="External"/><Relationship Id="rId3662" Type="http://schemas.openxmlformats.org/officeDocument/2006/relationships/hyperlink" Target="https://github.com/temporalio/sdk-go/issues/1727" TargetMode="External"/><Relationship Id="rId4993" Type="http://schemas.openxmlformats.org/officeDocument/2006/relationships/hyperlink" Target="https://github.com/ml-explore/mlx/issues/1783" TargetMode="External"/><Relationship Id="rId1002" Type="http://schemas.openxmlformats.org/officeDocument/2006/relationships/hyperlink" Target="https://github.com/deepsense-ai/ragbits/issues/432" TargetMode="External"/><Relationship Id="rId2333" Type="http://schemas.openxmlformats.org/officeDocument/2006/relationships/hyperlink" Target="https://github.com/MacroPower/kat/issues/36" TargetMode="External"/><Relationship Id="rId3665" Type="http://schemas.openxmlformats.org/officeDocument/2006/relationships/hyperlink" Target="https://drive.google.com/drive/folders/1p4SoaRQMwXoMW9iY052dACRRUJ305rBY" TargetMode="External"/><Relationship Id="rId4996" Type="http://schemas.openxmlformats.org/officeDocument/2006/relationships/hyperlink" Target="https://drive.google.com/drive/folders/1UGq5OVC6Kte5S8Bb4OoEZq5CAKF0RHDm" TargetMode="External"/><Relationship Id="rId1003" Type="http://schemas.openxmlformats.org/officeDocument/2006/relationships/hyperlink" Target="https://drive.google.com/drive/folders/10Bg8G1QKsazsEzeCW_q8HLXwYohnATCB" TargetMode="External"/><Relationship Id="rId2334" Type="http://schemas.openxmlformats.org/officeDocument/2006/relationships/hyperlink" Target="https://drive.google.com/drive/folders/1yVmmW8XqgIg8HM3rTUEeWhPFoUGtU6X-" TargetMode="External"/><Relationship Id="rId3664" Type="http://schemas.openxmlformats.org/officeDocument/2006/relationships/hyperlink" Target="https://github.com/temporalio/sdk-go/issues/1682" TargetMode="External"/><Relationship Id="rId4995" Type="http://schemas.openxmlformats.org/officeDocument/2006/relationships/hyperlink" Target="https://drive.google.com/drive/folders/1nzZiv2qcacfkI-i4DxXOJqD7RpVi64mY" TargetMode="External"/><Relationship Id="rId1037" Type="http://schemas.openxmlformats.org/officeDocument/2006/relationships/hyperlink" Target="https://github.com/dependency-check/DependencyCheck/issues/7957" TargetMode="External"/><Relationship Id="rId2368" Type="http://schemas.openxmlformats.org/officeDocument/2006/relationships/hyperlink" Target="https://github.com/marshmallow-code/marshmallow/issues/1965" TargetMode="External"/><Relationship Id="rId1038" Type="http://schemas.openxmlformats.org/officeDocument/2006/relationships/hyperlink" Target="https://drive.google.com/drive/folders/1ohMDAomr7wabZPS-wNd4Ujefcd-S6Shi" TargetMode="External"/><Relationship Id="rId2369" Type="http://schemas.openxmlformats.org/officeDocument/2006/relationships/hyperlink" Target="https://drive.google.com/drive/folders/13Z8lflPypZ6mrUO3Vh_9auIf5y6HpyG8" TargetMode="External"/><Relationship Id="rId3699" Type="http://schemas.openxmlformats.org/officeDocument/2006/relationships/hyperlink" Target="https://drive.google.com/drive/folders/1zpgTPkic9UwjTnp0PgAcmwZn5_2wmkbQ" TargetMode="External"/><Relationship Id="rId1039" Type="http://schemas.openxmlformats.org/officeDocument/2006/relationships/hyperlink" Target="https://github.com/DependencyTrack/dependency-track/issues/4651" TargetMode="External"/><Relationship Id="rId206" Type="http://schemas.openxmlformats.org/officeDocument/2006/relationships/hyperlink" Target="https://github.com/amannn/next-intl/issues/1734" TargetMode="External"/><Relationship Id="rId205" Type="http://schemas.openxmlformats.org/officeDocument/2006/relationships/hyperlink" Target="https://drive.google.com/drive/folders/1s6yQFGdSnzf43aK5HjlfZahqhD3sII5R" TargetMode="External"/><Relationship Id="rId204" Type="http://schemas.openxmlformats.org/officeDocument/2006/relationships/hyperlink" Target="https://github.com/alvinunreal/oh-my-opencode-slim/issues/113" TargetMode="External"/><Relationship Id="rId203" Type="http://schemas.openxmlformats.org/officeDocument/2006/relationships/hyperlink" Target="https://drive.google.com/drive/folders/1BnFmVdlawYkeyT6aYCrBpNVETNJ7hwQ-" TargetMode="External"/><Relationship Id="rId209" Type="http://schemas.openxmlformats.org/officeDocument/2006/relationships/hyperlink" Target="https://github.com/amplify-education/python-hcl2/issues/214" TargetMode="External"/><Relationship Id="rId208" Type="http://schemas.openxmlformats.org/officeDocument/2006/relationships/hyperlink" Target="https://drive.google.com/drive/folders/1tbu_pMrDm971vQ1N2Ph1JVug5R6NxOpG" TargetMode="External"/><Relationship Id="rId3690" Type="http://schemas.openxmlformats.org/officeDocument/2006/relationships/hyperlink" Target="https://drive.google.com/drive/folders/1QbFol89-zAk_3piFwVfg-lRFKJsApwwE" TargetMode="External"/><Relationship Id="rId207" Type="http://schemas.openxmlformats.org/officeDocument/2006/relationships/hyperlink" Target="https://github.com/amazing-print/amazing_print/issues/83" TargetMode="External"/><Relationship Id="rId2360" Type="http://schemas.openxmlformats.org/officeDocument/2006/relationships/hyperlink" Target="https://drive.google.com/drive/folders/1XSo4Cri5sXIEyo5535DInLTXtNqJ5WgH" TargetMode="External"/><Relationship Id="rId3692" Type="http://schemas.openxmlformats.org/officeDocument/2006/relationships/hyperlink" Target="https://drive.google.com/drive/folders/1614M0B-xf8kpVcQJiOpqM1EUxF0CKrOI" TargetMode="External"/><Relationship Id="rId1030" Type="http://schemas.openxmlformats.org/officeDocument/2006/relationships/hyperlink" Target="https://github.com/department-of-veterans-affairs/vets-website/issues/41587" TargetMode="External"/><Relationship Id="rId2361" Type="http://schemas.openxmlformats.org/officeDocument/2006/relationships/hyperlink" Target="https://github.com/mark3labs/mcp-go/issues/515" TargetMode="External"/><Relationship Id="rId3691" Type="http://schemas.openxmlformats.org/officeDocument/2006/relationships/hyperlink" Target="https://github.com/the-strategy-unit/nhp_model/issues/275" TargetMode="External"/><Relationship Id="rId1031" Type="http://schemas.openxmlformats.org/officeDocument/2006/relationships/hyperlink" Target="https://github.com/department-of-veterans-affairs/vets-website/issues/34701" TargetMode="External"/><Relationship Id="rId2362" Type="http://schemas.openxmlformats.org/officeDocument/2006/relationships/hyperlink" Target="https://drive.google.com/drive/folders/1rPpOVhma1IQP7oKt5QvmhWG3L8WtIWQi" TargetMode="External"/><Relationship Id="rId3694" Type="http://schemas.openxmlformats.org/officeDocument/2006/relationships/hyperlink" Target="https://github.com/thelfer/tfel/issues/774" TargetMode="External"/><Relationship Id="rId1032" Type="http://schemas.openxmlformats.org/officeDocument/2006/relationships/hyperlink" Target="https://drive.google.com/drive/folders/1PbXTxQBu33CDQZA9TVzi-PsGN8206Dcy" TargetMode="External"/><Relationship Id="rId2363" Type="http://schemas.openxmlformats.org/officeDocument/2006/relationships/hyperlink" Target="https://drive.google.com/drive/folders/1wdB8bLQnX1JvyE9XB52yLb9UCMsyy4fg" TargetMode="External"/><Relationship Id="rId3693" Type="http://schemas.openxmlformats.org/officeDocument/2006/relationships/hyperlink" Target="https://drive.google.com/drive/folders/1sl3m4vMNBUnwcRF8SbDWI9Zihujg_J3Y" TargetMode="External"/><Relationship Id="rId202" Type="http://schemas.openxmlformats.org/officeDocument/2006/relationships/hyperlink" Target="https://github.com/alphagov/whitehall/issues/10042" TargetMode="External"/><Relationship Id="rId1033" Type="http://schemas.openxmlformats.org/officeDocument/2006/relationships/hyperlink" Target="https://github.com/department-of-veterans-affairs/vets-website/issues/40834" TargetMode="External"/><Relationship Id="rId2364" Type="http://schemas.openxmlformats.org/officeDocument/2006/relationships/hyperlink" Target="https://github.com/marmelab/react-admin/issues/10821" TargetMode="External"/><Relationship Id="rId3696" Type="http://schemas.openxmlformats.org/officeDocument/2006/relationships/hyperlink" Target="https://github.com/theredfish/grillon/issues/88" TargetMode="External"/><Relationship Id="rId201" Type="http://schemas.openxmlformats.org/officeDocument/2006/relationships/hyperlink" Target="https://drive.google.com/drive/folders/1-CyDaMHdE-4aPY8Yr_aN3nPFPJETXrWD" TargetMode="External"/><Relationship Id="rId1034" Type="http://schemas.openxmlformats.org/officeDocument/2006/relationships/hyperlink" Target="https://drive.google.com/drive/folders/1wy7kBvOJgVRXbn5v5vKZL1Asi779yexi" TargetMode="External"/><Relationship Id="rId2365" Type="http://schemas.openxmlformats.org/officeDocument/2006/relationships/hyperlink" Target="https://drive.google.com/drive/folders/1xNGPYuu6T8TAduVZg0zT44rEfIRZs0bJ" TargetMode="External"/><Relationship Id="rId3695" Type="http://schemas.openxmlformats.org/officeDocument/2006/relationships/hyperlink" Target="https://drive.google.com/drive/folders/1zfPKye_zIKUdtfTR8hm2CZeR2--sbyuU" TargetMode="External"/><Relationship Id="rId200" Type="http://schemas.openxmlformats.org/officeDocument/2006/relationships/hyperlink" Target="https://github.com/alpaka-group/alpaka/issues/2242" TargetMode="External"/><Relationship Id="rId1035" Type="http://schemas.openxmlformats.org/officeDocument/2006/relationships/hyperlink" Target="https://github.com/department-of-veterans-affairs/vets-website/issues/40805" TargetMode="External"/><Relationship Id="rId2366" Type="http://schemas.openxmlformats.org/officeDocument/2006/relationships/hyperlink" Target="https://github.com/marp-team/marpit/issues/428" TargetMode="External"/><Relationship Id="rId3698" Type="http://schemas.openxmlformats.org/officeDocument/2006/relationships/hyperlink" Target="https://github.com/thomasschafer/scooter/issues/214" TargetMode="External"/><Relationship Id="rId1036" Type="http://schemas.openxmlformats.org/officeDocument/2006/relationships/hyperlink" Target="https://drive.google.com/drive/folders/1RZlq16tbmFENNhKq1Z1YgMIdql_T-X-Z" TargetMode="External"/><Relationship Id="rId2367" Type="http://schemas.openxmlformats.org/officeDocument/2006/relationships/hyperlink" Target="https://drive.google.com/drive/folders/1R2mWsgwflgcB-ZLRvVwtLJwsEhnZ7cc4" TargetMode="External"/><Relationship Id="rId3697" Type="http://schemas.openxmlformats.org/officeDocument/2006/relationships/hyperlink" Target="https://drive.google.com/drive/folders/1KXXHSb4qbaClb5Zc4gbZzwQKLlI20vPc" TargetMode="External"/><Relationship Id="rId1026" Type="http://schemas.openxmlformats.org/officeDocument/2006/relationships/hyperlink" Target="https://github.com/demarches-simplifiees/demarches-simplifiees.fr/issues/11841" TargetMode="External"/><Relationship Id="rId2357" Type="http://schemas.openxmlformats.org/officeDocument/2006/relationships/hyperlink" Target="https://drive.google.com/drive/folders/1geXaMhHw1Fd2mfClCkibVD7ZFABNTBi1" TargetMode="External"/><Relationship Id="rId3689" Type="http://schemas.openxmlformats.org/officeDocument/2006/relationships/hyperlink" Target="https://github.com/the-bugging/react-use-downloader/issues/31" TargetMode="External"/><Relationship Id="rId1027" Type="http://schemas.openxmlformats.org/officeDocument/2006/relationships/hyperlink" Target="https://drive.google.com/drive/folders/1aYQQbQYf5OhJfZ6jJdGIPJMRrPLGek0C" TargetMode="External"/><Relationship Id="rId2358" Type="http://schemas.openxmlformats.org/officeDocument/2006/relationships/hyperlink" Target="https://drive.google.com/drive/folders/1MSQofQWzRWNP8xwW7yRuNB8DTIW0Enh6" TargetMode="External"/><Relationship Id="rId3688" Type="http://schemas.openxmlformats.org/officeDocument/2006/relationships/hyperlink" Target="https://drive.google.com/drive/folders/1Wid9J0tFv1ik5X1rkoWsZnrZ3ocrZDtn" TargetMode="External"/><Relationship Id="rId1028" Type="http://schemas.openxmlformats.org/officeDocument/2006/relationships/hyperlink" Target="https://github.com/demarches-simplifiees/demarches-simplifiees.fr/issues/11921" TargetMode="External"/><Relationship Id="rId2359" Type="http://schemas.openxmlformats.org/officeDocument/2006/relationships/hyperlink" Target="https://github.com/marimo-team/vscode-marimo/issues/57" TargetMode="External"/><Relationship Id="rId1029" Type="http://schemas.openxmlformats.org/officeDocument/2006/relationships/hyperlink" Target="https://drive.google.com/drive/folders/13GH-bcqVgGh_YkMmo64_7gBlEDO5BX28" TargetMode="External"/><Relationship Id="rId3681" Type="http://schemas.openxmlformats.org/officeDocument/2006/relationships/hyperlink" Target="https://drive.google.com/drive/folders/17uxd_-otgcov18-M4tyeCJsZjd39nDiC" TargetMode="External"/><Relationship Id="rId2350" Type="http://schemas.openxmlformats.org/officeDocument/2006/relationships/hyperlink" Target="https://drive.google.com/drive/folders/1e0kvtLL5PyBA2F316-992QauLWWpW2e1" TargetMode="External"/><Relationship Id="rId3680" Type="http://schemas.openxmlformats.org/officeDocument/2006/relationships/hyperlink" Target="https://github.com/terrakube-io/terrakube/issues/2450" TargetMode="External"/><Relationship Id="rId1020" Type="http://schemas.openxmlformats.org/officeDocument/2006/relationships/hyperlink" Target="https://github.com/Delta3-Studio/Backdash/issues/112" TargetMode="External"/><Relationship Id="rId2351" Type="http://schemas.openxmlformats.org/officeDocument/2006/relationships/hyperlink" Target="https://github.com/manyfold3d/manyfold/issues/4572" TargetMode="External"/><Relationship Id="rId3683" Type="http://schemas.openxmlformats.org/officeDocument/2006/relationships/hyperlink" Target="https://drive.google.com/drive/folders/1v6odV6YzloXsaRPsEhDTwgQ7hU3KQXlP" TargetMode="External"/><Relationship Id="rId1021" Type="http://schemas.openxmlformats.org/officeDocument/2006/relationships/hyperlink" Target="https://drive.google.com/drive/folders/1JA93CpZPWAxjWWrCVgU9Aa8UFbMGFH0y" TargetMode="External"/><Relationship Id="rId2352" Type="http://schemas.openxmlformats.org/officeDocument/2006/relationships/hyperlink" Target="https://drive.google.com/drive/folders/1xFyzdVpJjxO7lEN_BNvZ06hlMt4otIqW" TargetMode="External"/><Relationship Id="rId3682" Type="http://schemas.openxmlformats.org/officeDocument/2006/relationships/hyperlink" Target="https://github.com/terrazzoapp/terrazzo/issues/485" TargetMode="External"/><Relationship Id="rId1022" Type="http://schemas.openxmlformats.org/officeDocument/2006/relationships/hyperlink" Target="https://github.com/deltadevsde/prism/issues/186" TargetMode="External"/><Relationship Id="rId2353" Type="http://schemas.openxmlformats.org/officeDocument/2006/relationships/hyperlink" Target="https://github.com/mapstruct/mapstruct/issues/2994" TargetMode="External"/><Relationship Id="rId3685" Type="http://schemas.openxmlformats.org/officeDocument/2006/relationships/hyperlink" Target="https://drive.google.com/drive/folders/11HV5tIZWDnh4j-cdHgfq9Mzw_H9SpSfE" TargetMode="External"/><Relationship Id="rId1023" Type="http://schemas.openxmlformats.org/officeDocument/2006/relationships/hyperlink" Target="https://drive.google.com/drive/folders/1GCy94cvf_2eCeeNTwPbwZ_2avY7fKNGX" TargetMode="External"/><Relationship Id="rId2354" Type="http://schemas.openxmlformats.org/officeDocument/2006/relationships/hyperlink" Target="https://drive.google.com/drive/folders/1LO_rtL2kWxS1QxZuw9NFyDNBUaSW6uu_" TargetMode="External"/><Relationship Id="rId3684" Type="http://schemas.openxmlformats.org/officeDocument/2006/relationships/hyperlink" Target="https://github.com/thaitype/kubricate/issues/117" TargetMode="External"/><Relationship Id="rId1024" Type="http://schemas.openxmlformats.org/officeDocument/2006/relationships/hyperlink" Target="https://github.com/deltadevsde/prism/issues/211" TargetMode="External"/><Relationship Id="rId2355" Type="http://schemas.openxmlformats.org/officeDocument/2006/relationships/hyperlink" Target="https://drive.google.com/drive/folders/1CvUQy7igxmh-bFgKSwI6Vl03h5Exjv7u" TargetMode="External"/><Relationship Id="rId3687" Type="http://schemas.openxmlformats.org/officeDocument/2006/relationships/hyperlink" Target="https://drive.google.com/drive/folders/1ZBSQ2XkQV1hC5MN77HZh72bpKAMhmsfj" TargetMode="External"/><Relationship Id="rId1025" Type="http://schemas.openxmlformats.org/officeDocument/2006/relationships/hyperlink" Target="https://drive.google.com/drive/folders/1kX5A54HGIYJtrD60Dc5esUCHwYnYsoMY" TargetMode="External"/><Relationship Id="rId2356" Type="http://schemas.openxmlformats.org/officeDocument/2006/relationships/hyperlink" Target="https://github.com/mapstruct/mapstruct/issues/3070" TargetMode="External"/><Relationship Id="rId3686" Type="http://schemas.openxmlformats.org/officeDocument/2006/relationships/hyperlink" Target="https://github.com/Thalhammer/jwt-cpp/issues/307" TargetMode="External"/><Relationship Id="rId5490" Type="http://schemas.openxmlformats.org/officeDocument/2006/relationships/hyperlink" Target="https://github.com/vadimdemedes/ink/issues/678" TargetMode="External"/><Relationship Id="rId4161" Type="http://schemas.openxmlformats.org/officeDocument/2006/relationships/hyperlink" Target="https://github.com/apache/incubator-kie-kogito-runtimes/issues/3980" TargetMode="External"/><Relationship Id="rId5493" Type="http://schemas.openxmlformats.org/officeDocument/2006/relationships/hyperlink" Target="https://github.com/vchelaru/Gum/issues/935" TargetMode="External"/><Relationship Id="rId4160" Type="http://schemas.openxmlformats.org/officeDocument/2006/relationships/hyperlink" Target="https://drive.google.com/drive/folders/1BoZ18TZ2G1Wd_HQb6XTx8kAre2_paH7u" TargetMode="External"/><Relationship Id="rId5494" Type="http://schemas.openxmlformats.org/officeDocument/2006/relationships/hyperlink" Target="https://drive.google.com/drive/folders/18J2bxn5vUUtYFUzA6Ha5GWZTF2z0tAi6" TargetMode="External"/><Relationship Id="rId4163" Type="http://schemas.openxmlformats.org/officeDocument/2006/relationships/hyperlink" Target="https://github.com/apache/inlong/issues/11171" TargetMode="External"/><Relationship Id="rId5491" Type="http://schemas.openxmlformats.org/officeDocument/2006/relationships/hyperlink" Target="https://drive.google.com/drive/folders/1GbiPTxQJQl0LotEhku50slvuFG5MErnE" TargetMode="External"/><Relationship Id="rId4162" Type="http://schemas.openxmlformats.org/officeDocument/2006/relationships/hyperlink" Target="https://drive.google.com/drive/folders/1AQ8FTX95L-dVPJ0nbTi7hpPSoJBSY4nC" TargetMode="External"/><Relationship Id="rId5492" Type="http://schemas.openxmlformats.org/officeDocument/2006/relationships/hyperlink" Target="https://drive.google.com/drive/folders/1EGffhq1dKyDoYYy6PFoh5dmdw53FmgVC" TargetMode="External"/><Relationship Id="rId4165" Type="http://schemas.openxmlformats.org/officeDocument/2006/relationships/hyperlink" Target="https://github.com/apache/jena/issues/3017" TargetMode="External"/><Relationship Id="rId5497" Type="http://schemas.openxmlformats.org/officeDocument/2006/relationships/hyperlink" Target="https://github.com/VictoriaMetrics/operator/issues/1451" TargetMode="External"/><Relationship Id="rId4164" Type="http://schemas.openxmlformats.org/officeDocument/2006/relationships/hyperlink" Target="https://drive.google.com/drive/folders/1hBd1R_ocOZFP4v745bh7Ivb-58b588Qp" TargetMode="External"/><Relationship Id="rId5498" Type="http://schemas.openxmlformats.org/officeDocument/2006/relationships/hyperlink" Target="https://drive.google.com/drive/folders/1ZuDZJ3MfveJgFlqzB67zo8u7LMWK3VWz" TargetMode="External"/><Relationship Id="rId4167" Type="http://schemas.openxmlformats.org/officeDocument/2006/relationships/hyperlink" Target="https://github.com/apache/kvrocks/issues/3084" TargetMode="External"/><Relationship Id="rId5495" Type="http://schemas.openxmlformats.org/officeDocument/2006/relationships/hyperlink" Target="https://github.com/vega/altair/issues/3664" TargetMode="External"/><Relationship Id="rId4166" Type="http://schemas.openxmlformats.org/officeDocument/2006/relationships/hyperlink" Target="https://drive.google.com/drive/folders/13vaD--SFHmhZsLXsaMTDPqieoQQD88Vk" TargetMode="External"/><Relationship Id="rId5496" Type="http://schemas.openxmlformats.org/officeDocument/2006/relationships/hyperlink" Target="https://drive.google.com/drive/folders/1pTGqHSmQvmQ686ld5YSVg05uJX5gJYhS" TargetMode="External"/><Relationship Id="rId4169" Type="http://schemas.openxmlformats.org/officeDocument/2006/relationships/hyperlink" Target="https://drive.google.com/drive/folders/1bAVnBPLQf69ZhB0yq4fPQAKxO5lw9hNk" TargetMode="External"/><Relationship Id="rId4168" Type="http://schemas.openxmlformats.org/officeDocument/2006/relationships/hyperlink" Target="https://drive.google.com/drive/folders/1cftHrcfEI2-mdgLf9NEsK8Hu5NjTaaUs" TargetMode="External"/><Relationship Id="rId5499" Type="http://schemas.openxmlformats.org/officeDocument/2006/relationships/hyperlink" Target="https://github.com/victoriametrics/victoriametrics/issues/7313" TargetMode="External"/><Relationship Id="rId4150" Type="http://schemas.openxmlformats.org/officeDocument/2006/relationships/hyperlink" Target="https://github.com/apache/bookkeeper/issues/3366" TargetMode="External"/><Relationship Id="rId5482" Type="http://schemas.openxmlformats.org/officeDocument/2006/relationships/hyperlink" Target="https://drive.google.com/drive/folders/1BfAV-lLi2vGQ0X1cza-K5AJ0BBf4uc_-" TargetMode="External"/><Relationship Id="rId5483" Type="http://schemas.openxmlformats.org/officeDocument/2006/relationships/hyperlink" Target="https://drive.google.com/drive/folders/1fKEFulJKmKbqOoUKBIFgf6vdNmrNNyAz" TargetMode="External"/><Relationship Id="rId4152" Type="http://schemas.openxmlformats.org/officeDocument/2006/relationships/hyperlink" Target="https://github.com/apache/fluss/issues/592" TargetMode="External"/><Relationship Id="rId5480" Type="http://schemas.openxmlformats.org/officeDocument/2006/relationships/hyperlink" Target="https://drive.google.com/drive/folders/1UtIYmpefBhcfQ5jqaIGdhLWs6CHsym7U" TargetMode="External"/><Relationship Id="rId4151" Type="http://schemas.openxmlformats.org/officeDocument/2006/relationships/hyperlink" Target="https://drive.google.com/drive/folders/120vJ04z6QvrNo0tEQVnvVsoFiJy-jGOC" TargetMode="External"/><Relationship Id="rId5481" Type="http://schemas.openxmlformats.org/officeDocument/2006/relationships/hyperlink" Target="https://github.com/un-ts/synckit/issues/199" TargetMode="External"/><Relationship Id="rId4154" Type="http://schemas.openxmlformats.org/officeDocument/2006/relationships/hyperlink" Target="https://github.com/apache/gravitino/issues/9839" TargetMode="External"/><Relationship Id="rId5486" Type="http://schemas.openxmlformats.org/officeDocument/2006/relationships/hyperlink" Target="https://github.com/unoplatform/uno.extensions/issues/2642" TargetMode="External"/><Relationship Id="rId4153" Type="http://schemas.openxmlformats.org/officeDocument/2006/relationships/hyperlink" Target="https://drive.google.com/drive/folders/1EsuI-G9BZit9pcrt9lk1VkEzYZTAF_dJ" TargetMode="External"/><Relationship Id="rId5487" Type="http://schemas.openxmlformats.org/officeDocument/2006/relationships/hyperlink" Target="https://drive.google.com/drive/folders/17oO2ZbrOTF78SsZsig0q0TyWx0hG2I8H" TargetMode="External"/><Relationship Id="rId4156" Type="http://schemas.openxmlformats.org/officeDocument/2006/relationships/hyperlink" Target="https://github.com/apache/iceberg-python/issues/1498" TargetMode="External"/><Relationship Id="rId5484" Type="http://schemas.openxmlformats.org/officeDocument/2006/relationships/hyperlink" Target="https://github.com/unhappychoice/gittype/issues/94" TargetMode="External"/><Relationship Id="rId4155" Type="http://schemas.openxmlformats.org/officeDocument/2006/relationships/hyperlink" Target="https://drive.google.com/drive/folders/1wWmOswrfXGjP7vxYYTWG4CKOkfHZmZ-b" TargetMode="External"/><Relationship Id="rId5485" Type="http://schemas.openxmlformats.org/officeDocument/2006/relationships/hyperlink" Target="https://drive.google.com/drive/folders/1yz9Ky-Bdomxl994BbIUaxq25Xrb9UqoT" TargetMode="External"/><Relationship Id="rId4158" Type="http://schemas.openxmlformats.org/officeDocument/2006/relationships/hyperlink" Target="https://drive.google.com/drive/folders/1sK5w4J-5vhvya27Et80B6ZtiRMWNNkJR" TargetMode="External"/><Relationship Id="rId4157" Type="http://schemas.openxmlformats.org/officeDocument/2006/relationships/hyperlink" Target="https://drive.google.com/drive/folders/1lpz8e1cS8dpPn3nCItCpJq-HchW2svB3" TargetMode="External"/><Relationship Id="rId5488" Type="http://schemas.openxmlformats.org/officeDocument/2006/relationships/hyperlink" Target="https://github.com/vaadin/flow/issues/21664" TargetMode="External"/><Relationship Id="rId4159" Type="http://schemas.openxmlformats.org/officeDocument/2006/relationships/hyperlink" Target="https://github.com/apache/iceberg-python/issues/1607" TargetMode="External"/><Relationship Id="rId5489" Type="http://schemas.openxmlformats.org/officeDocument/2006/relationships/hyperlink" Target="https://drive.google.com/drive/folders/1sj3Tgvh14V2rdq1C-MfKSFUNjY-OarCv" TargetMode="External"/><Relationship Id="rId1910" Type="http://schemas.openxmlformats.org/officeDocument/2006/relationships/hyperlink" Target="https://github.com/jasonraimondi/ts-oauth2-server/issues/196" TargetMode="External"/><Relationship Id="rId1911" Type="http://schemas.openxmlformats.org/officeDocument/2006/relationships/hyperlink" Target="https://drive.google.com/drive/folders/1f5brlonb9D-ExmKUMHyFFhQi2b40HnXp" TargetMode="External"/><Relationship Id="rId1912" Type="http://schemas.openxmlformats.org/officeDocument/2006/relationships/hyperlink" Target="https://github.com/javascript-obfuscator/javascript-obfuscator/issues/1367" TargetMode="External"/><Relationship Id="rId1913" Type="http://schemas.openxmlformats.org/officeDocument/2006/relationships/hyperlink" Target="https://drive.google.com/drive/folders/1FaZe1Y6ORu4VdckZHev-q5hLR6BThPNv" TargetMode="External"/><Relationship Id="rId1914" Type="http://schemas.openxmlformats.org/officeDocument/2006/relationships/hyperlink" Target="https://github.com/jax-ml/jax/issues/28300" TargetMode="External"/><Relationship Id="rId1915" Type="http://schemas.openxmlformats.org/officeDocument/2006/relationships/hyperlink" Target="https://drive.google.com/drive/folders/1UllpOr6e9tnNquch4sc52OH6u8YBPiqm" TargetMode="External"/><Relationship Id="rId1916" Type="http://schemas.openxmlformats.org/officeDocument/2006/relationships/hyperlink" Target="https://drive.google.com/drive/folders/10Va-rl27W6iKARmJZuOHsnxXOqB2CkUa" TargetMode="External"/><Relationship Id="rId1917" Type="http://schemas.openxmlformats.org/officeDocument/2006/relationships/hyperlink" Target="https://github.com/jazzband/django-auditlog/issues/743" TargetMode="External"/><Relationship Id="rId1918" Type="http://schemas.openxmlformats.org/officeDocument/2006/relationships/hyperlink" Target="https://drive.google.com/drive/folders/1GWmOW7pBnXDd1nf79BJfmsLh6YxhLBnU" TargetMode="External"/><Relationship Id="rId1919" Type="http://schemas.openxmlformats.org/officeDocument/2006/relationships/hyperlink" Target="https://drive.google.com/drive/folders/1lmjYUGFWgtsQrD24yb9rugO-yPp9F3eK" TargetMode="External"/><Relationship Id="rId4181" Type="http://schemas.openxmlformats.org/officeDocument/2006/relationships/hyperlink" Target="https://github.com/aquasecurity/trivy/issues/8888" TargetMode="External"/><Relationship Id="rId4180" Type="http://schemas.openxmlformats.org/officeDocument/2006/relationships/hyperlink" Target="https://github.com/apify/crawlee-python/issues/1088" TargetMode="External"/><Relationship Id="rId4183" Type="http://schemas.openxmlformats.org/officeDocument/2006/relationships/hyperlink" Target="https://drive.google.com/drive/folders/1nWkobAHC2XA3Q9D2TJEHFRjAnS_opQpE" TargetMode="External"/><Relationship Id="rId4182" Type="http://schemas.openxmlformats.org/officeDocument/2006/relationships/hyperlink" Target="https://drive.google.com/drive/folders/1YPgZpMKv39r0xcO-SDmvSPIDiSNFH19f" TargetMode="External"/><Relationship Id="rId4185" Type="http://schemas.openxmlformats.org/officeDocument/2006/relationships/hyperlink" Target="https://drive.google.com/drive/folders/1yCcZwdG-wnan22HruzU2F1K912qpy1OM" TargetMode="External"/><Relationship Id="rId4184" Type="http://schemas.openxmlformats.org/officeDocument/2006/relationships/hyperlink" Target="https://github.com/ar-io/ar-io-node/issues/519" TargetMode="External"/><Relationship Id="rId4187" Type="http://schemas.openxmlformats.org/officeDocument/2006/relationships/hyperlink" Target="https://drive.google.com/drive/folders/1jm_kUORWrmChl2VjMD7BO77RRBdk_v1E" TargetMode="External"/><Relationship Id="rId4186" Type="http://schemas.openxmlformats.org/officeDocument/2006/relationships/hyperlink" Target="https://github.com/aramis-lab/clinica/issues/1403" TargetMode="External"/><Relationship Id="rId4189" Type="http://schemas.openxmlformats.org/officeDocument/2006/relationships/hyperlink" Target="https://github.com/argoproj-labs/hera/issues/1481" TargetMode="External"/><Relationship Id="rId4188" Type="http://schemas.openxmlformats.org/officeDocument/2006/relationships/hyperlink" Target="https://drive.google.com/drive/folders/1TOhx3thtMprLBe59ny4w9mEtQL6mZZy1" TargetMode="External"/><Relationship Id="rId1900" Type="http://schemas.openxmlformats.org/officeDocument/2006/relationships/hyperlink" Target="https://github.com/jakartaee/data/issues/1054" TargetMode="External"/><Relationship Id="rId1901" Type="http://schemas.openxmlformats.org/officeDocument/2006/relationships/hyperlink" Target="https://drive.google.com/drive/folders/12Ss0O8sDWO-hT4LiQECozaNKeZW_sJhr" TargetMode="External"/><Relationship Id="rId1902" Type="http://schemas.openxmlformats.org/officeDocument/2006/relationships/hyperlink" Target="https://drive.google.com/drive/folders/1iLJqRAtGWuw3lkx4n4nBL8zhb2RGOQmu" TargetMode="External"/><Relationship Id="rId1903" Type="http://schemas.openxmlformats.org/officeDocument/2006/relationships/hyperlink" Target="https://github.com/jakartaee/mail-api/issues/725" TargetMode="External"/><Relationship Id="rId1904" Type="http://schemas.openxmlformats.org/officeDocument/2006/relationships/hyperlink" Target="https://drive.google.com/drive/folders/1yKBH482OPdB3NKhxM67qK0pTJlceH-EW" TargetMode="External"/><Relationship Id="rId1905" Type="http://schemas.openxmlformats.org/officeDocument/2006/relationships/hyperlink" Target="https://github.com/janhq/jan/issues/6891" TargetMode="External"/><Relationship Id="rId1906" Type="http://schemas.openxmlformats.org/officeDocument/2006/relationships/hyperlink" Target="https://drive.google.com/drive/folders/1B8B6ZZA-9KGv0WHuasehZLyANJ-VeI47" TargetMode="External"/><Relationship Id="rId1907" Type="http://schemas.openxmlformats.org/officeDocument/2006/relationships/hyperlink" Target="https://github.com/jannikmi/timezonefinder/issues/298" TargetMode="External"/><Relationship Id="rId1908" Type="http://schemas.openxmlformats.org/officeDocument/2006/relationships/hyperlink" Target="https://drive.google.com/drive/folders/1goi4CwKzxAgH7Wh-gpQVwPgSEDtK-f0b" TargetMode="External"/><Relationship Id="rId1909" Type="http://schemas.openxmlformats.org/officeDocument/2006/relationships/hyperlink" Target="https://drive.google.com/drive/folders/1yC3lL8cw91JitqzClQXoN4Ks8D4Ij3OS" TargetMode="External"/><Relationship Id="rId4170" Type="http://schemas.openxmlformats.org/officeDocument/2006/relationships/hyperlink" Target="https://github.com/apache/mina-sshd/issues/631" TargetMode="External"/><Relationship Id="rId4172" Type="http://schemas.openxmlformats.org/officeDocument/2006/relationships/hyperlink" Target="https://github.com/apache/skywalking/issues/11782" TargetMode="External"/><Relationship Id="rId4171" Type="http://schemas.openxmlformats.org/officeDocument/2006/relationships/hyperlink" Target="https://drive.google.com/drive/folders/1gMY0vTNcf7avUkUPVnKRR7CbErJcrv4C" TargetMode="External"/><Relationship Id="rId4174" Type="http://schemas.openxmlformats.org/officeDocument/2006/relationships/hyperlink" Target="https://github.com/apify/apify-client-python/issues/407" TargetMode="External"/><Relationship Id="rId4173" Type="http://schemas.openxmlformats.org/officeDocument/2006/relationships/hyperlink" Target="https://drive.google.com/drive/folders/1OYDIz2iblGmizGvPnzcIddPZql-gNJwT" TargetMode="External"/><Relationship Id="rId4176" Type="http://schemas.openxmlformats.org/officeDocument/2006/relationships/hyperlink" Target="https://drive.google.com/drive/folders/1D01B_XKr8f4VrO1gAg7KfGPPDxEApQsL" TargetMode="External"/><Relationship Id="rId4175" Type="http://schemas.openxmlformats.org/officeDocument/2006/relationships/hyperlink" Target="https://drive.google.com/drive/folders/1LF6n0LbDIJaxdXEHYQkr3lvt1nyOAwSe" TargetMode="External"/><Relationship Id="rId4178" Type="http://schemas.openxmlformats.org/officeDocument/2006/relationships/hyperlink" Target="https://drive.google.com/drive/folders/1AmC0itGTu-VeWuXE8fABbLlSQufgWMIv" TargetMode="External"/><Relationship Id="rId4177" Type="http://schemas.openxmlformats.org/officeDocument/2006/relationships/hyperlink" Target="https://github.com/apify/crawlee-python/issues/1060" TargetMode="External"/><Relationship Id="rId4179" Type="http://schemas.openxmlformats.org/officeDocument/2006/relationships/hyperlink" Target="https://drive.google.com/drive/folders/1wLQMJHTPxB2CVkWb2gDQfMCBgpbhYuG3" TargetMode="External"/><Relationship Id="rId4129" Type="http://schemas.openxmlformats.org/officeDocument/2006/relationships/hyperlink" Target="https://drive.google.com/drive/folders/1kvLfL9mfscHbKZtV62JBPfNR1CWoTPnT" TargetMode="External"/><Relationship Id="rId4128" Type="http://schemas.openxmlformats.org/officeDocument/2006/relationships/hyperlink" Target="https://github.com/antfu/eslint-plugin-command/issues/36" TargetMode="External"/><Relationship Id="rId5459" Type="http://schemas.openxmlformats.org/officeDocument/2006/relationships/hyperlink" Target="https://github.com/TimefoldAI/timefold-solver/issues/1688" TargetMode="External"/><Relationship Id="rId1090" Type="http://schemas.openxmlformats.org/officeDocument/2006/relationships/hyperlink" Target="https://github.com/docker-java/docker-java/issues/2036" TargetMode="External"/><Relationship Id="rId1091" Type="http://schemas.openxmlformats.org/officeDocument/2006/relationships/hyperlink" Target="https://drive.google.com/drive/folders/1AByylRKTlGpAsSFa4GVM5jGsqI5NCi8I" TargetMode="External"/><Relationship Id="rId1092" Type="http://schemas.openxmlformats.org/officeDocument/2006/relationships/hyperlink" Target="https://drive.google.com/drive/folders/12aGWuwTfSb2KxkB_MC6zDRPG9OHIKemj" TargetMode="External"/><Relationship Id="rId5450" Type="http://schemas.openxmlformats.org/officeDocument/2006/relationships/hyperlink" Target="https://drive.google.com/drive/folders/12j6XCQbGxvvi-vQDJ89VQb-qzd6y97Qk" TargetMode="External"/><Relationship Id="rId1093" Type="http://schemas.openxmlformats.org/officeDocument/2006/relationships/hyperlink" Target="https://github.com/docker/cagent/issues/500" TargetMode="External"/><Relationship Id="rId1094" Type="http://schemas.openxmlformats.org/officeDocument/2006/relationships/hyperlink" Target="https://drive.google.com/drive/folders/1FE5llcLcozFeZ2jA7gkr0bQXOCl8Kcau" TargetMode="External"/><Relationship Id="rId1095" Type="http://schemas.openxmlformats.org/officeDocument/2006/relationships/hyperlink" Target="https://github.com/docsifyjs/docsify/issues/2571" TargetMode="External"/><Relationship Id="rId4121" Type="http://schemas.openxmlformats.org/officeDocument/2006/relationships/hyperlink" Target="https://drive.google.com/drive/folders/1uiQoDZEJRo-QGwyRo4lqOmNg4QIk8qLx" TargetMode="External"/><Relationship Id="rId5453" Type="http://schemas.openxmlformats.org/officeDocument/2006/relationships/hyperlink" Target="https://drive.google.com/drive/folders/1aGhqR73pjn0GVSwtKIlCH5R7UrUay7RN" TargetMode="External"/><Relationship Id="rId1096" Type="http://schemas.openxmlformats.org/officeDocument/2006/relationships/hyperlink" Target="https://drive.google.com/drive/folders/1vIfSSurQhicc3vBfpj158Wl4QOXzuqxt" TargetMode="External"/><Relationship Id="rId4120" Type="http://schemas.openxmlformats.org/officeDocument/2006/relationships/hyperlink" Target="https://github.com/alphagov/govuk-prototype-kit/issues/2437" TargetMode="External"/><Relationship Id="rId5454" Type="http://schemas.openxmlformats.org/officeDocument/2006/relationships/hyperlink" Target="https://github.com/thomasschafer/scooter/issues/38" TargetMode="External"/><Relationship Id="rId1097" Type="http://schemas.openxmlformats.org/officeDocument/2006/relationships/hyperlink" Target="https://drive.google.com/drive/folders/17hNbcb4IscVFEua3Sgvi5I-uH3gbSOgQ" TargetMode="External"/><Relationship Id="rId4123" Type="http://schemas.openxmlformats.org/officeDocument/2006/relationships/hyperlink" Target="https://drive.google.com/drive/folders/1IvQXSII-BEWV1UNWunOQLQ587Jfl9moS" TargetMode="External"/><Relationship Id="rId5451" Type="http://schemas.openxmlformats.org/officeDocument/2006/relationships/hyperlink" Target="https://drive.google.com/drive/folders/1ps-9WaULtdSyjs6QgNUSmtOQruDh4gqc" TargetMode="External"/><Relationship Id="rId1098" Type="http://schemas.openxmlformats.org/officeDocument/2006/relationships/hyperlink" Target="https://github.com/doctrine-extensions/DoctrineExtensions/issues/2928" TargetMode="External"/><Relationship Id="rId4122" Type="http://schemas.openxmlformats.org/officeDocument/2006/relationships/hyperlink" Target="https://github.com/alpic-ai/skybridge/issues/114" TargetMode="External"/><Relationship Id="rId5452" Type="http://schemas.openxmlformats.org/officeDocument/2006/relationships/hyperlink" Target="https://github.com/The-AI-Alliance/gofannon/issues/271" TargetMode="External"/><Relationship Id="rId1099" Type="http://schemas.openxmlformats.org/officeDocument/2006/relationships/hyperlink" Target="https://drive.google.com/drive/folders/1nhYc99HixzdW4cFgorxBiDscypf6rdx4" TargetMode="External"/><Relationship Id="rId4125" Type="http://schemas.openxmlformats.org/officeDocument/2006/relationships/hyperlink" Target="https://drive.google.com/drive/folders/1RMm9vE6dI7ulW1B4Faae-oarRFSOWMVW" TargetMode="External"/><Relationship Id="rId5457" Type="http://schemas.openxmlformats.org/officeDocument/2006/relationships/hyperlink" Target="https://drive.google.com/drive/folders/11tDiGxotqgXYzDvcyF1bSyUas6NKL2JJ" TargetMode="External"/><Relationship Id="rId4124" Type="http://schemas.openxmlformats.org/officeDocument/2006/relationships/hyperlink" Target="https://github.com/amrit110/oli/issues/48" TargetMode="External"/><Relationship Id="rId5458" Type="http://schemas.openxmlformats.org/officeDocument/2006/relationships/hyperlink" Target="https://drive.google.com/drive/folders/1NHvCqs_n-Sh8Q3wHmoRVlrf-BzhLjZj5" TargetMode="External"/><Relationship Id="rId4127" Type="http://schemas.openxmlformats.org/officeDocument/2006/relationships/hyperlink" Target="https://drive.google.com/drive/folders/1hBeE8ekFtvlIvzfWMtNRQCoDbuZF5Clt" TargetMode="External"/><Relationship Id="rId5455" Type="http://schemas.openxmlformats.org/officeDocument/2006/relationships/hyperlink" Target="https://drive.google.com/drive/folders/1oPzio3x_rOrD-M6Pp_dOktICYwrqD7VR" TargetMode="External"/><Relationship Id="rId4126" Type="http://schemas.openxmlformats.org/officeDocument/2006/relationships/hyperlink" Target="https://github.com/andrewbaxter/genemichaels/issues/117" TargetMode="External"/><Relationship Id="rId5456" Type="http://schemas.openxmlformats.org/officeDocument/2006/relationships/hyperlink" Target="https://github.com/thorvg/thorvg/issues/2600" TargetMode="External"/><Relationship Id="rId4118" Type="http://schemas.openxmlformats.org/officeDocument/2006/relationships/hyperlink" Target="https://drive.google.com/drive/folders/1qR1uWn8MReps6Ddysih8MTR7-UnKUMS3" TargetMode="External"/><Relationship Id="rId4117" Type="http://schemas.openxmlformats.org/officeDocument/2006/relationships/hyperlink" Target="https://github.com/All-Hands-AI/OpenHands/issues/7082" TargetMode="External"/><Relationship Id="rId5448" Type="http://schemas.openxmlformats.org/officeDocument/2006/relationships/hyperlink" Target="https://drive.google.com/drive/folders/1Ftnb9Kv_oroGhImGEjn9c3WsoISr0hjc" TargetMode="External"/><Relationship Id="rId4119" Type="http://schemas.openxmlformats.org/officeDocument/2006/relationships/hyperlink" Target="https://drive.google.com/drive/folders/1bV055GZlZag9t6sjDVPWAGJzA7xj3jfb" TargetMode="External"/><Relationship Id="rId5449" Type="http://schemas.openxmlformats.org/officeDocument/2006/relationships/hyperlink" Target="https://github.com/tensorflow/tflite-micro/issues/2682" TargetMode="External"/><Relationship Id="rId1080" Type="http://schemas.openxmlformats.org/officeDocument/2006/relationships/hyperlink" Target="https://github.com/DLR-SC/tigl/issues/1065" TargetMode="External"/><Relationship Id="rId1081" Type="http://schemas.openxmlformats.org/officeDocument/2006/relationships/hyperlink" Target="https://drive.google.com/drive/folders/15wmIwVXYakIc7Fd8BqJkHm6_1B41TfXX" TargetMode="External"/><Relationship Id="rId1082" Type="http://schemas.openxmlformats.org/officeDocument/2006/relationships/hyperlink" Target="https://github.com/DLR-SC/tigl/issues/1174" TargetMode="External"/><Relationship Id="rId1083" Type="http://schemas.openxmlformats.org/officeDocument/2006/relationships/hyperlink" Target="https://drive.google.com/drive/folders/1nDngpAVhp_HFDbRtVWg1o6wrjbwINN2p" TargetMode="External"/><Relationship Id="rId1084" Type="http://schemas.openxmlformats.org/officeDocument/2006/relationships/hyperlink" Target="https://github.com/dmf-mxl/mxl/issues/157" TargetMode="External"/><Relationship Id="rId4110" Type="http://schemas.openxmlformats.org/officeDocument/2006/relationships/hyperlink" Target="https://github.com/alibaba/fluss/issues/592" TargetMode="External"/><Relationship Id="rId5442" Type="http://schemas.openxmlformats.org/officeDocument/2006/relationships/hyperlink" Target="https://github.com/TedDriggs/darling/issues/363" TargetMode="External"/><Relationship Id="rId1085" Type="http://schemas.openxmlformats.org/officeDocument/2006/relationships/hyperlink" Target="https://drive.google.com/drive/folders/12e8HMJUZgYEEi2QPDsetcXijKNDCBhkz" TargetMode="External"/><Relationship Id="rId5443" Type="http://schemas.openxmlformats.org/officeDocument/2006/relationships/hyperlink" Target="https://drive.google.com/drive/folders/1QNiqDzUI3qr8IW6uek6BUeGcOli8ivsV" TargetMode="External"/><Relationship Id="rId1086" Type="http://schemas.openxmlformats.org/officeDocument/2006/relationships/hyperlink" Target="https://github.com/DNKpp/mimicpp/issues/31" TargetMode="External"/><Relationship Id="rId4112" Type="http://schemas.openxmlformats.org/officeDocument/2006/relationships/hyperlink" Target="https://github.com/alibaba/nacos/issues/11754" TargetMode="External"/><Relationship Id="rId5440" Type="http://schemas.openxmlformats.org/officeDocument/2006/relationships/hyperlink" Target="https://drive.google.com/drive/folders/10K8ziO26Rm9KaaXYoyv4jhmz7ms3Mf4N" TargetMode="External"/><Relationship Id="rId1087" Type="http://schemas.openxmlformats.org/officeDocument/2006/relationships/hyperlink" Target="https://drive.google.com/drive/folders/17QAC2lV8g3YP4hmrASsc7wOrGcdZVLqY" TargetMode="External"/><Relationship Id="rId4111" Type="http://schemas.openxmlformats.org/officeDocument/2006/relationships/hyperlink" Target="https://drive.google.com/drive/folders/1SiHlzQjdORCbUziYMrJK9wGRlE3dCqs7" TargetMode="External"/><Relationship Id="rId5441" Type="http://schemas.openxmlformats.org/officeDocument/2006/relationships/hyperlink" Target="https://drive.google.com/drive/folders/1fdKApDovjuRv0JRN7csd_1kUV89VFn3I" TargetMode="External"/><Relationship Id="rId1088" Type="http://schemas.openxmlformats.org/officeDocument/2006/relationships/hyperlink" Target="https://github.com/DNKpp/mimicpp/issues/5" TargetMode="External"/><Relationship Id="rId4114" Type="http://schemas.openxmlformats.org/officeDocument/2006/relationships/hyperlink" Target="https://drive.google.com/drive/folders/15oEZGw3BEX8zvaSKFWCBLkAFlR1Z8Wwc" TargetMode="External"/><Relationship Id="rId5446" Type="http://schemas.openxmlformats.org/officeDocument/2006/relationships/hyperlink" Target="https://github.com/tensorflow/tflite-micro/issues/3037" TargetMode="External"/><Relationship Id="rId1089" Type="http://schemas.openxmlformats.org/officeDocument/2006/relationships/hyperlink" Target="https://drive.google.com/drive/folders/15mtJ1q5JTN0IMW93hhssBD_NKBejId21" TargetMode="External"/><Relationship Id="rId4113" Type="http://schemas.openxmlformats.org/officeDocument/2006/relationships/hyperlink" Target="https://drive.google.com/drive/folders/1Qpb2B54Bnb2nVdNQSStSPdhOu0pfQPgg" TargetMode="External"/><Relationship Id="rId5447" Type="http://schemas.openxmlformats.org/officeDocument/2006/relationships/hyperlink" Target="https://drive.google.com/drive/folders/1FSwZfXmqbfeGoipFRh9XR3olr2_Y7_CD" TargetMode="External"/><Relationship Id="rId4116" Type="http://schemas.openxmlformats.org/officeDocument/2006/relationships/hyperlink" Target="https://drive.google.com/drive/folders/1JnfAsSCyYEtYIJI1XkJfXBnhg1bx8WcK" TargetMode="External"/><Relationship Id="rId5444" Type="http://schemas.openxmlformats.org/officeDocument/2006/relationships/hyperlink" Target="https://github.com/temporalio/sdk-go/issues/2002" TargetMode="External"/><Relationship Id="rId4115" Type="http://schemas.openxmlformats.org/officeDocument/2006/relationships/hyperlink" Target="https://github.com/alibaba/PhotonLibOS/issues/1062" TargetMode="External"/><Relationship Id="rId5445" Type="http://schemas.openxmlformats.org/officeDocument/2006/relationships/hyperlink" Target="https://drive.google.com/drive/folders/1qPDtgTnYBJuxQUTXFhEuIQLJkFa41aCM" TargetMode="External"/><Relationship Id="rId5471" Type="http://schemas.openxmlformats.org/officeDocument/2006/relationships/hyperlink" Target="https://github.com/Tochemey/goakt/issues/710" TargetMode="External"/><Relationship Id="rId5472" Type="http://schemas.openxmlformats.org/officeDocument/2006/relationships/hyperlink" Target="https://drive.google.com/drive/folders/1B6BAGwjQ_RO8fihOGeY6ATJbvtTx1JtX" TargetMode="External"/><Relationship Id="rId4141" Type="http://schemas.openxmlformats.org/officeDocument/2006/relationships/hyperlink" Target="https://github.com/apache/arrow/issues/47204" TargetMode="External"/><Relationship Id="rId4140" Type="http://schemas.openxmlformats.org/officeDocument/2006/relationships/hyperlink" Target="https://drive.google.com/drive/folders/1BGruZcnNmUCWB23ir3hVM8s1jlx2ProL" TargetMode="External"/><Relationship Id="rId5470" Type="http://schemas.openxmlformats.org/officeDocument/2006/relationships/hyperlink" Target="https://drive.google.com/drive/folders/1C9gBFaIdrmlFcFIWVtf_X8bmWN8-kUHd" TargetMode="External"/><Relationship Id="rId4143" Type="http://schemas.openxmlformats.org/officeDocument/2006/relationships/hyperlink" Target="https://github.com/apache/arrow/issues/47164" TargetMode="External"/><Relationship Id="rId5475" Type="http://schemas.openxmlformats.org/officeDocument/2006/relationships/hyperlink" Target="https://github.com/trpc/trpc/issues/6616" TargetMode="External"/><Relationship Id="rId4142" Type="http://schemas.openxmlformats.org/officeDocument/2006/relationships/hyperlink" Target="https://drive.google.com/drive/folders/1VJ-SrPgjQ73fRnxN1ImrzuZ4ASX3APMX" TargetMode="External"/><Relationship Id="rId5476" Type="http://schemas.openxmlformats.org/officeDocument/2006/relationships/hyperlink" Target="https://drive.google.com/drive/folders/11fdpgDwkfTmOQBPbZeGdDv5_Iqh2npIU" TargetMode="External"/><Relationship Id="rId4145" Type="http://schemas.openxmlformats.org/officeDocument/2006/relationships/hyperlink" Target="https://github.com/apache/arrow/issues/45822" TargetMode="External"/><Relationship Id="rId5473" Type="http://schemas.openxmlformats.org/officeDocument/2006/relationships/hyperlink" Target="https://github.com/trpc-group/trpc-a2a-go/issues/61" TargetMode="External"/><Relationship Id="rId4144" Type="http://schemas.openxmlformats.org/officeDocument/2006/relationships/hyperlink" Target="https://drive.google.com/drive/folders/1gwfaculLDhMg8bxwVcz6dJ40llsAVIhk" TargetMode="External"/><Relationship Id="rId5474" Type="http://schemas.openxmlformats.org/officeDocument/2006/relationships/hyperlink" Target="https://drive.google.com/drive/folders/1Z9V2RNuCvxAN5K3tD0kJyh51U25mBdI0" TargetMode="External"/><Relationship Id="rId4147" Type="http://schemas.openxmlformats.org/officeDocument/2006/relationships/hyperlink" Target="https://github.com/apache/beam/issues/33026" TargetMode="External"/><Relationship Id="rId5479" Type="http://schemas.openxmlformats.org/officeDocument/2006/relationships/hyperlink" Target="https://drive.google.com/drive/folders/1nJ9Lca7zG-8kd3tVdn6sFqXctx6_i5lv" TargetMode="External"/><Relationship Id="rId4146" Type="http://schemas.openxmlformats.org/officeDocument/2006/relationships/hyperlink" Target="https://drive.google.com/drive/folders/1n5oJKXMN19MnfRBRFPcgi4SYSeZerEar" TargetMode="External"/><Relationship Id="rId4149" Type="http://schemas.openxmlformats.org/officeDocument/2006/relationships/hyperlink" Target="https://drive.google.com/drive/folders/1YxI5L5luapnEJTYupMBseTaYf7cCCmru" TargetMode="External"/><Relationship Id="rId5477" Type="http://schemas.openxmlformats.org/officeDocument/2006/relationships/hyperlink" Target="https://drive.google.com/drive/folders/1A95kk5wn7eLHVyUpDOLiVAZ2uw2_1Xqs" TargetMode="External"/><Relationship Id="rId4148" Type="http://schemas.openxmlformats.org/officeDocument/2006/relationships/hyperlink" Target="https://drive.google.com/drive/folders/1wnoPPAQkJTVy9tFRxEQJKfa8Xx6yEq5T" TargetMode="External"/><Relationship Id="rId5478" Type="http://schemas.openxmlformats.org/officeDocument/2006/relationships/hyperlink" Target="https://github.com/trpc/trpc/issues/6454" TargetMode="External"/><Relationship Id="rId4139" Type="http://schemas.openxmlformats.org/officeDocument/2006/relationships/hyperlink" Target="https://github.com/apache/arrow/issues/47524" TargetMode="External"/><Relationship Id="rId5460" Type="http://schemas.openxmlformats.org/officeDocument/2006/relationships/hyperlink" Target="https://drive.google.com/drive/folders/116QJqtdVyDsMzC5Ezsv4stVySxMqXwBu" TargetMode="External"/><Relationship Id="rId5461" Type="http://schemas.openxmlformats.org/officeDocument/2006/relationships/hyperlink" Target="https://github.com/timgit/pg-boss/issues/547" TargetMode="External"/><Relationship Id="rId4130" Type="http://schemas.openxmlformats.org/officeDocument/2006/relationships/hyperlink" Target="https://github.com/anthropics/claude-code-action/issues/96" TargetMode="External"/><Relationship Id="rId4132" Type="http://schemas.openxmlformats.org/officeDocument/2006/relationships/hyperlink" Target="https://drive.google.com/drive/folders/1yusLuyCA-rHFNoIBvaOEAGIENSxetdPK" TargetMode="External"/><Relationship Id="rId5464" Type="http://schemas.openxmlformats.org/officeDocument/2006/relationships/hyperlink" Target="https://drive.google.com/drive/folders/14AbOyctJJfk0NGvHoXbzogt9RC1ukbt_" TargetMode="External"/><Relationship Id="rId4131" Type="http://schemas.openxmlformats.org/officeDocument/2006/relationships/hyperlink" Target="https://drive.google.com/drive/folders/1bPi2n5eqJ1gv8ZDya5fUS1KnnT6e9qqY" TargetMode="External"/><Relationship Id="rId5465" Type="http://schemas.openxmlformats.org/officeDocument/2006/relationships/hyperlink" Target="https://drive.google.com/drive/folders/1Tud8XrA5kefzWY7SS-ekL0lASXbr3cIn" TargetMode="External"/><Relationship Id="rId4134" Type="http://schemas.openxmlformats.org/officeDocument/2006/relationships/hyperlink" Target="https://drive.google.com/drive/folders/1-x224CZrchIpVvL9JIMvdsYGUgB7r7Lz" TargetMode="External"/><Relationship Id="rId5462" Type="http://schemas.openxmlformats.org/officeDocument/2006/relationships/hyperlink" Target="https://drive.google.com/drive/folders/1wGZEI_JzZE0bEAxyFSKW75TBJpjxlaXQ" TargetMode="External"/><Relationship Id="rId4133" Type="http://schemas.openxmlformats.org/officeDocument/2006/relationships/hyperlink" Target="https://github.com/anthropics/mcpb/issues/50" TargetMode="External"/><Relationship Id="rId5463" Type="http://schemas.openxmlformats.org/officeDocument/2006/relationships/hyperlink" Target="https://github.com/tobymao/sqlglot/issues/5167" TargetMode="External"/><Relationship Id="rId4136" Type="http://schemas.openxmlformats.org/officeDocument/2006/relationships/hyperlink" Target="https://drive.google.com/drive/folders/1PynZECU_vyqGN8R8UrRCmb25jYI2PRN7" TargetMode="External"/><Relationship Id="rId5468" Type="http://schemas.openxmlformats.org/officeDocument/2006/relationships/hyperlink" Target="https://drive.google.com/drive/folders/11RT9OxmaiwIS_S1RljL-G5s9iW882Rjr" TargetMode="External"/><Relationship Id="rId4135" Type="http://schemas.openxmlformats.org/officeDocument/2006/relationships/hyperlink" Target="https://github.com/antrea-io/antrea/issues/7195" TargetMode="External"/><Relationship Id="rId5469" Type="http://schemas.openxmlformats.org/officeDocument/2006/relationships/hyperlink" Target="https://github.com/Tochemey/goakt/issues/555" TargetMode="External"/><Relationship Id="rId4138" Type="http://schemas.openxmlformats.org/officeDocument/2006/relationships/hyperlink" Target="https://drive.google.com/drive/folders/1Re3WjGEQP857EhjTBTxuB7x94K93lWiY" TargetMode="External"/><Relationship Id="rId5466" Type="http://schemas.openxmlformats.org/officeDocument/2006/relationships/hyperlink" Target="https://github.com/tobymao/sqlglot/issues/4801" TargetMode="External"/><Relationship Id="rId4137" Type="http://schemas.openxmlformats.org/officeDocument/2006/relationships/hyperlink" Target="https://github.com/apache/arrow/issues/46035" TargetMode="External"/><Relationship Id="rId5467" Type="http://schemas.openxmlformats.org/officeDocument/2006/relationships/hyperlink" Target="https://drive.google.com/drive/folders/1wmonBB3wyTHovCW4NJ9fAQAG70kkX1kY" TargetMode="External"/><Relationship Id="rId1972" Type="http://schemas.openxmlformats.org/officeDocument/2006/relationships/hyperlink" Target="https://github.com/jQAssistant/jqassistant/issues/992" TargetMode="External"/><Relationship Id="rId1973" Type="http://schemas.openxmlformats.org/officeDocument/2006/relationships/hyperlink" Target="https://drive.google.com/drive/folders/18b2RFlfpTlHZeDxgJUbu8omt1Pnk_dNK" TargetMode="External"/><Relationship Id="rId1974" Type="http://schemas.openxmlformats.org/officeDocument/2006/relationships/hyperlink" Target="https://github.com/jQAssistant/jqassistant/issues/967" TargetMode="External"/><Relationship Id="rId1975" Type="http://schemas.openxmlformats.org/officeDocument/2006/relationships/hyperlink" Target="https://drive.google.com/drive/folders/1YWPcRQdAogIcdBaKixOnMPBRUdYZ0FAU" TargetMode="External"/><Relationship Id="rId1976" Type="http://schemas.openxmlformats.org/officeDocument/2006/relationships/hyperlink" Target="https://github.com/jsiek/deduce/issues/167" TargetMode="External"/><Relationship Id="rId1977" Type="http://schemas.openxmlformats.org/officeDocument/2006/relationships/hyperlink" Target="https://drive.google.com/drive/folders/1tV2Euyni9utgnYMYDYfcPkwJ6I6Ug3J3" TargetMode="External"/><Relationship Id="rId1978" Type="http://schemas.openxmlformats.org/officeDocument/2006/relationships/hyperlink" Target="https://drive.google.com/drive/folders/1eTKEtJfTd3Uoig_ggo3rNolTZQU_8TKZ" TargetMode="External"/><Relationship Id="rId1979" Type="http://schemas.openxmlformats.org/officeDocument/2006/relationships/hyperlink" Target="https://github.com/jtroo/kanata/issues/1345" TargetMode="External"/><Relationship Id="rId1970" Type="http://schemas.openxmlformats.org/officeDocument/2006/relationships/hyperlink" Target="https://drive.google.com/drive/folders/1zEaf_6nCEiTGpN9nErFVR9tpNuEi1oFk" TargetMode="External"/><Relationship Id="rId1971" Type="http://schemas.openxmlformats.org/officeDocument/2006/relationships/hyperlink" Target="https://github.com/JoshuaKGoldberg/flint/issues/866" TargetMode="External"/><Relationship Id="rId1961" Type="http://schemas.openxmlformats.org/officeDocument/2006/relationships/hyperlink" Target="https://github.com/JoshuaKGoldberg/create-typescript-app/issues/2310" TargetMode="External"/><Relationship Id="rId1962" Type="http://schemas.openxmlformats.org/officeDocument/2006/relationships/hyperlink" Target="https://drive.google.com/drive/folders/1bsGXtbCSSXcNc2PzkYqE0B6gDFBVUMgb" TargetMode="External"/><Relationship Id="rId1963" Type="http://schemas.openxmlformats.org/officeDocument/2006/relationships/hyperlink" Target="https://github.com/JoshuaKGoldberg/create-typescript-app/issues/1892" TargetMode="External"/><Relationship Id="rId1964" Type="http://schemas.openxmlformats.org/officeDocument/2006/relationships/hyperlink" Target="https://drive.google.com/drive/folders/18-5bGCRUcZEuFkNrrvODAo3mYJhVp7AC" TargetMode="External"/><Relationship Id="rId1965" Type="http://schemas.openxmlformats.org/officeDocument/2006/relationships/hyperlink" Target="https://github.com/JoshuaKGoldberg/flint/issues/500" TargetMode="External"/><Relationship Id="rId1966" Type="http://schemas.openxmlformats.org/officeDocument/2006/relationships/hyperlink" Target="https://drive.google.com/drive/folders/1GUg4biO8N9FGJwXBsB9p3fma00A9S44i" TargetMode="External"/><Relationship Id="rId1967" Type="http://schemas.openxmlformats.org/officeDocument/2006/relationships/hyperlink" Target="https://github.com/JoshuaKGoldberg/flint/issues/466" TargetMode="External"/><Relationship Id="rId1968" Type="http://schemas.openxmlformats.org/officeDocument/2006/relationships/hyperlink" Target="https://drive.google.com/drive/folders/14tkyQIClwUJTlqwgG2wX7ETfkEpj1QLh" TargetMode="External"/><Relationship Id="rId1969" Type="http://schemas.openxmlformats.org/officeDocument/2006/relationships/hyperlink" Target="https://github.com/JoshuaKGoldberg/flint/issues/91" TargetMode="External"/><Relationship Id="rId1960" Type="http://schemas.openxmlformats.org/officeDocument/2006/relationships/hyperlink" Target="https://drive.google.com/drive/folders/1jRlKTdP4ZcoBhc4dA1EdX0At-03zIzd5" TargetMode="External"/><Relationship Id="rId1994" Type="http://schemas.openxmlformats.org/officeDocument/2006/relationships/hyperlink" Target="https://drive.google.com/drive/folders/1e9s910-5e4EW9wx245Woqy5nFJAgbtqt" TargetMode="External"/><Relationship Id="rId1995" Type="http://schemas.openxmlformats.org/officeDocument/2006/relationships/hyperlink" Target="https://github.com/junit-team/junit-framework/issues/4353" TargetMode="External"/><Relationship Id="rId1996" Type="http://schemas.openxmlformats.org/officeDocument/2006/relationships/hyperlink" Target="https://drive.google.com/drive/folders/1UA6j4r7-zKZYH-dDyjUgCrEsIEcdNcyc" TargetMode="External"/><Relationship Id="rId1997" Type="http://schemas.openxmlformats.org/officeDocument/2006/relationships/hyperlink" Target="https://github.com/junit-team/junit-framework/issues/4530" TargetMode="External"/><Relationship Id="rId1998" Type="http://schemas.openxmlformats.org/officeDocument/2006/relationships/hyperlink" Target="https://github.com/junit-team/junit-framework/issues/5042" TargetMode="External"/><Relationship Id="rId1999" Type="http://schemas.openxmlformats.org/officeDocument/2006/relationships/hyperlink" Target="https://drive.google.com/drive/folders/15A9dfwn4v51tqukdJlEpEzTB-kJT1GgS" TargetMode="External"/><Relationship Id="rId1990" Type="http://schemas.openxmlformats.org/officeDocument/2006/relationships/hyperlink" Target="https://github.com/junit-pioneer/junit-pioneer/issues/770" TargetMode="External"/><Relationship Id="rId1991" Type="http://schemas.openxmlformats.org/officeDocument/2006/relationships/hyperlink" Target="https://drive.google.com/drive/folders/15Sv_I0gm4WVsTe_hI5Rpgu3CySGwTVvZ" TargetMode="External"/><Relationship Id="rId1992" Type="http://schemas.openxmlformats.org/officeDocument/2006/relationships/hyperlink" Target="https://github.com/junit-team/junit-framework/issues/4492" TargetMode="External"/><Relationship Id="rId1993" Type="http://schemas.openxmlformats.org/officeDocument/2006/relationships/hyperlink" Target="https://drive.google.com/drive/folders/1ctn4Z1CUMgSYDlad3Al-0JSfb33Cv3wF" TargetMode="External"/><Relationship Id="rId1983" Type="http://schemas.openxmlformats.org/officeDocument/2006/relationships/hyperlink" Target="https://github.com/jtroo/kanata/issues/1866" TargetMode="External"/><Relationship Id="rId1984" Type="http://schemas.openxmlformats.org/officeDocument/2006/relationships/hyperlink" Target="https://drive.google.com/drive/folders/1fyiveiyZ4x-a8UsKsjlaeVzQ6Zc0sFrc" TargetMode="External"/><Relationship Id="rId1985" Type="http://schemas.openxmlformats.org/officeDocument/2006/relationships/hyperlink" Target="https://github.com/juanfont/headscale/issues/2765" TargetMode="External"/><Relationship Id="rId1986" Type="http://schemas.openxmlformats.org/officeDocument/2006/relationships/hyperlink" Target="https://drive.google.com/drive/folders/1Z1hW2p4PLFxioAGW1FSHsCOTXcfkinc6" TargetMode="External"/><Relationship Id="rId1987" Type="http://schemas.openxmlformats.org/officeDocument/2006/relationships/hyperlink" Target="https://drive.google.com/drive/folders/16CHJnIF9Ccufy8rpghQht7EpqUqACyqu" TargetMode="External"/><Relationship Id="rId1988" Type="http://schemas.openxmlformats.org/officeDocument/2006/relationships/hyperlink" Target="https://github.com/junit-pioneer/junit-pioneer/issues/848" TargetMode="External"/><Relationship Id="rId1989" Type="http://schemas.openxmlformats.org/officeDocument/2006/relationships/hyperlink" Target="https://drive.google.com/drive/folders/1vXCIlxlIM8nfcVQfhU4l0hD-Em8S5pOK" TargetMode="External"/><Relationship Id="rId1980" Type="http://schemas.openxmlformats.org/officeDocument/2006/relationships/hyperlink" Target="https://github.com/jtroo/kanata/issues/1715" TargetMode="External"/><Relationship Id="rId1981" Type="http://schemas.openxmlformats.org/officeDocument/2006/relationships/hyperlink" Target="https://drive.google.com/drive/folders/1u52wETxA8Jw6HDjGkt4xiscr0DwjQBCg" TargetMode="External"/><Relationship Id="rId1982" Type="http://schemas.openxmlformats.org/officeDocument/2006/relationships/hyperlink" Target="https://drive.google.com/drive/folders/14KbE6y6TpZBoXxosH1xKrSomWgk9mtD8" TargetMode="External"/><Relationship Id="rId1930" Type="http://schemas.openxmlformats.org/officeDocument/2006/relationships/hyperlink" Target="https://github.com/jeremiah-c-leary/vhdl-style-guide/issues/1355" TargetMode="External"/><Relationship Id="rId1931" Type="http://schemas.openxmlformats.org/officeDocument/2006/relationships/hyperlink" Target="https://drive.google.com/drive/folders/1gAhvEN2vWUlC7YtvREB237DaHprDBqgE" TargetMode="External"/><Relationship Id="rId1932" Type="http://schemas.openxmlformats.org/officeDocument/2006/relationships/hyperlink" Target="https://github.com/jeremiah-c-leary/vhdl-style-guide/issues/1386" TargetMode="External"/><Relationship Id="rId1933" Type="http://schemas.openxmlformats.org/officeDocument/2006/relationships/hyperlink" Target="https://drive.google.com/drive/folders/14SYpAMGxekoGoR2R7LZdFeVLcjxdS7up" TargetMode="External"/><Relationship Id="rId1934" Type="http://schemas.openxmlformats.org/officeDocument/2006/relationships/hyperlink" Target="https://github.com/jeremiah-c-leary/vhdl-style-guide/issues/1259" TargetMode="External"/><Relationship Id="rId1935" Type="http://schemas.openxmlformats.org/officeDocument/2006/relationships/hyperlink" Target="https://drive.google.com/drive/folders/1BTumRhjp9nZzTrNCW9A6y-ZpiR38vI-Y" TargetMode="External"/><Relationship Id="rId1936" Type="http://schemas.openxmlformats.org/officeDocument/2006/relationships/hyperlink" Target="https://drive.google.com/drive/folders/1LkrzjfD1EdaalfHHkEWVf6vpvIBc4MoS" TargetMode="External"/><Relationship Id="rId1937" Type="http://schemas.openxmlformats.org/officeDocument/2006/relationships/hyperlink" Target="https://github.com/jesseduffield/lazygit/issues/4291" TargetMode="External"/><Relationship Id="rId1938" Type="http://schemas.openxmlformats.org/officeDocument/2006/relationships/hyperlink" Target="https://drive.google.com/drive/folders/16z2Xejg9vwLpKA9tjVRH33R8vkaMDduc" TargetMode="External"/><Relationship Id="rId1939" Type="http://schemas.openxmlformats.org/officeDocument/2006/relationships/hyperlink" Target="https://drive.google.com/drive/folders/1pyjg4TNTS7gCy2WlBNLLoSI6GvKpamRl" TargetMode="External"/><Relationship Id="rId1920" Type="http://schemas.openxmlformats.org/officeDocument/2006/relationships/hyperlink" Target="https://github.com/jbuckmccready/cavalier_contours/issues/68" TargetMode="External"/><Relationship Id="rId1921" Type="http://schemas.openxmlformats.org/officeDocument/2006/relationships/hyperlink" Target="https://drive.google.com/drive/folders/1JVzzn0YWFBC-lljhnPRqLOiyaR550OXo" TargetMode="External"/><Relationship Id="rId1922" Type="http://schemas.openxmlformats.org/officeDocument/2006/relationships/hyperlink" Target="https://github.com/jelmer/dulwich/issues/1615" TargetMode="External"/><Relationship Id="rId1923" Type="http://schemas.openxmlformats.org/officeDocument/2006/relationships/hyperlink" Target="https://drive.google.com/drive/folders/1Jf5Xm1o-OL73_XwH1ISPXctyGL9UBPcr" TargetMode="External"/><Relationship Id="rId1924" Type="http://schemas.openxmlformats.org/officeDocument/2006/relationships/hyperlink" Target="https://drive.google.com/drive/folders/1z04SToXcEh1fFUngBBnobwH5uP4jk-3-" TargetMode="External"/><Relationship Id="rId1925" Type="http://schemas.openxmlformats.org/officeDocument/2006/relationships/hyperlink" Target="https://github.com/JelteF/derive_more/issues/485" TargetMode="External"/><Relationship Id="rId1926" Type="http://schemas.openxmlformats.org/officeDocument/2006/relationships/hyperlink" Target="https://drive.google.com/drive/folders/1MqVjTGQpM2P_WdmA70Eb9eXXbRbFMpMv" TargetMode="External"/><Relationship Id="rId1927" Type="http://schemas.openxmlformats.org/officeDocument/2006/relationships/hyperlink" Target="https://drive.google.com/drive/folders/1nG8SvPA5pOYeIVIuQHxAsHj_7-jnxUcP" TargetMode="External"/><Relationship Id="rId1928" Type="http://schemas.openxmlformats.org/officeDocument/2006/relationships/hyperlink" Target="https://github.com/jenkinsci/dependency-track-plugin/issues/292" TargetMode="External"/><Relationship Id="rId1929" Type="http://schemas.openxmlformats.org/officeDocument/2006/relationships/hyperlink" Target="https://drive.google.com/drive/folders/138IFiBpurWFEjJ8WbYRgcQFQ68F8om1V" TargetMode="External"/><Relationship Id="rId4190" Type="http://schemas.openxmlformats.org/officeDocument/2006/relationships/hyperlink" Target="https://drive.google.com/drive/folders/1iZRIJ5-4jqqCJ2aUBVKNArwwSE_Ep6mi" TargetMode="External"/><Relationship Id="rId4192" Type="http://schemas.openxmlformats.org/officeDocument/2006/relationships/hyperlink" Target="https://github.com/argoproj-labs/hera/issues/1332" TargetMode="External"/><Relationship Id="rId4191" Type="http://schemas.openxmlformats.org/officeDocument/2006/relationships/hyperlink" Target="https://drive.google.com/drive/folders/1GhJIbPLyMg9HY_MQTCffpZkMYY81jzvr" TargetMode="External"/><Relationship Id="rId4194" Type="http://schemas.openxmlformats.org/officeDocument/2006/relationships/hyperlink" Target="https://drive.google.com/drive/folders/1SwHcxlwBFl-iQJghxYE-uTqYh0vBkqML" TargetMode="External"/><Relationship Id="rId4193" Type="http://schemas.openxmlformats.org/officeDocument/2006/relationships/hyperlink" Target="https://drive.google.com/drive/folders/1ECsCOlFiCq802ewqfWkh66f_TUSX030m" TargetMode="External"/><Relationship Id="rId4196" Type="http://schemas.openxmlformats.org/officeDocument/2006/relationships/hyperlink" Target="https://drive.google.com/drive/folders/1RBPL5gw34NU80lJ5vbwCv_L8nCuZecPS" TargetMode="External"/><Relationship Id="rId4195" Type="http://schemas.openxmlformats.org/officeDocument/2006/relationships/hyperlink" Target="https://github.com/argoproj/argo-rollouts/issues/4208" TargetMode="External"/><Relationship Id="rId4198" Type="http://schemas.openxmlformats.org/officeDocument/2006/relationships/hyperlink" Target="https://github.com/argoproj/argo-workflows/issues/14315" TargetMode="External"/><Relationship Id="rId4197" Type="http://schemas.openxmlformats.org/officeDocument/2006/relationships/hyperlink" Target="https://drive.google.com/drive/folders/1FeqKS0RtesZ8as88Vbq9nnHG8LJk8sY-" TargetMode="External"/><Relationship Id="rId4199" Type="http://schemas.openxmlformats.org/officeDocument/2006/relationships/hyperlink" Target="https://drive.google.com/drive/folders/1Ckah75bg3nVxMGvfcxM7aXkxMSZ28zlY" TargetMode="External"/><Relationship Id="rId1950" Type="http://schemas.openxmlformats.org/officeDocument/2006/relationships/hyperlink" Target="https://drive.google.com/drive/folders/1CowlYdgErHgbGkQhQloRuRMvnubE5Swn" TargetMode="External"/><Relationship Id="rId1951" Type="http://schemas.openxmlformats.org/officeDocument/2006/relationships/hyperlink" Target="https://drive.google.com/drive/folders/173g8wI6zbpxqUY1L73rH0z59-lWJB0xR" TargetMode="External"/><Relationship Id="rId1952" Type="http://schemas.openxmlformats.org/officeDocument/2006/relationships/hyperlink" Target="https://github.com/jlowin/fastmcp/issues/1190" TargetMode="External"/><Relationship Id="rId1953" Type="http://schemas.openxmlformats.org/officeDocument/2006/relationships/hyperlink" Target="https://drive.google.com/drive/folders/1cyZvB6ghS_s3aUWATsIHhb-rSIi5g99a" TargetMode="External"/><Relationship Id="rId1954" Type="http://schemas.openxmlformats.org/officeDocument/2006/relationships/hyperlink" Target="https://drive.google.com/drive/folders/1NJevdUMCCZuE4bv2A1i3hXJh-zwE0BfJ" TargetMode="External"/><Relationship Id="rId1955" Type="http://schemas.openxmlformats.org/officeDocument/2006/relationships/hyperlink" Target="https://github.com/josdejong/workerpool/issues/518" TargetMode="External"/><Relationship Id="rId1956" Type="http://schemas.openxmlformats.org/officeDocument/2006/relationships/hyperlink" Target="https://drive.google.com/drive/folders/18e4Up1KHWam_nbBqlwMip0_lU8K-C5-E" TargetMode="External"/><Relationship Id="rId1957" Type="http://schemas.openxmlformats.org/officeDocument/2006/relationships/hyperlink" Target="https://github.com/joseluis9595/lovelace-navbar-card/issues/135" TargetMode="External"/><Relationship Id="rId1958" Type="http://schemas.openxmlformats.org/officeDocument/2006/relationships/hyperlink" Target="https://drive.google.com/drive/folders/1YvIfh6nWqpcb9il6wPLYcbCyEvHqxcUQ" TargetMode="External"/><Relationship Id="rId1959" Type="http://schemas.openxmlformats.org/officeDocument/2006/relationships/hyperlink" Target="https://github.com/joshmedeski/sesh/issues/203" TargetMode="External"/><Relationship Id="rId1940" Type="http://schemas.openxmlformats.org/officeDocument/2006/relationships/hyperlink" Target="https://github.com/jetty/jetty.project/issues/13308" TargetMode="External"/><Relationship Id="rId1941" Type="http://schemas.openxmlformats.org/officeDocument/2006/relationships/hyperlink" Target="https://drive.google.com/drive/folders/1BN3pmZVeVw5HJiBAGkF4cj1ZBUnK1xB7" TargetMode="External"/><Relationship Id="rId1942" Type="http://schemas.openxmlformats.org/officeDocument/2006/relationships/hyperlink" Target="https://drive.google.com/drive/folders/1VhJ_qo5u0-JtEyUgiiR0enDTdYWJKlTY" TargetMode="External"/><Relationship Id="rId1943" Type="http://schemas.openxmlformats.org/officeDocument/2006/relationships/hyperlink" Target="https://github.com/jetty/jetty.project/issues/12827" TargetMode="External"/><Relationship Id="rId1944" Type="http://schemas.openxmlformats.org/officeDocument/2006/relationships/hyperlink" Target="https://github.com/jetty/jetty.project/issues/13106" TargetMode="External"/><Relationship Id="rId1945" Type="http://schemas.openxmlformats.org/officeDocument/2006/relationships/hyperlink" Target="https://github.com/JFormDesigner/FlatLaf/issues/936" TargetMode="External"/><Relationship Id="rId1946" Type="http://schemas.openxmlformats.org/officeDocument/2006/relationships/hyperlink" Target="https://drive.google.com/drive/folders/1awOBRO_2MyPG89yCQ08W0G7gBgG04kMa" TargetMode="External"/><Relationship Id="rId1947" Type="http://schemas.openxmlformats.org/officeDocument/2006/relationships/hyperlink" Target="https://github.com/jgarzik/botmaker/issues/15" TargetMode="External"/><Relationship Id="rId1948" Type="http://schemas.openxmlformats.org/officeDocument/2006/relationships/hyperlink" Target="https://drive.google.com/drive/folders/1zllRz14FAzJa__zWoJMlwcvGp94Ra0HL" TargetMode="External"/><Relationship Id="rId1949" Type="http://schemas.openxmlformats.org/officeDocument/2006/relationships/hyperlink" Target="https://github.com/jlowin/fastmcp/issues/527" TargetMode="External"/><Relationship Id="rId2423" Type="http://schemas.openxmlformats.org/officeDocument/2006/relationships/hyperlink" Target="https://github.com/MetaMask/metamask-mobile/issues/16262" TargetMode="External"/><Relationship Id="rId3755" Type="http://schemas.openxmlformats.org/officeDocument/2006/relationships/hyperlink" Target="https://github.com/TraceMachina/nativelink/issues/1646" TargetMode="External"/><Relationship Id="rId2424" Type="http://schemas.openxmlformats.org/officeDocument/2006/relationships/hyperlink" Target="https://drive.google.com/drive/folders/1tqScussrkV-GOKOAv1wGzB4shGjaxDKx" TargetMode="External"/><Relationship Id="rId3754" Type="http://schemas.openxmlformats.org/officeDocument/2006/relationships/hyperlink" Target="https://drive.google.com/drive/folders/15ocZrRTHTgvfwXKc7eZVwjuXssGkzu7z" TargetMode="External"/><Relationship Id="rId2425" Type="http://schemas.openxmlformats.org/officeDocument/2006/relationships/hyperlink" Target="https://drive.google.com/drive/folders/1UY3qgZHivOChJnQoo6j7EydoC7n6869V" TargetMode="External"/><Relationship Id="rId3757" Type="http://schemas.openxmlformats.org/officeDocument/2006/relationships/hyperlink" Target="https://github.com/traefik/traefik/issues/12033" TargetMode="External"/><Relationship Id="rId2426" Type="http://schemas.openxmlformats.org/officeDocument/2006/relationships/hyperlink" Target="https://github.com/MetaMask/metamask-mobile/issues/13371" TargetMode="External"/><Relationship Id="rId3756" Type="http://schemas.openxmlformats.org/officeDocument/2006/relationships/hyperlink" Target="https://drive.google.com/drive/folders/10yC_QJ_MhJAe36R-5x30RnSstziUTfGf" TargetMode="External"/><Relationship Id="rId2427" Type="http://schemas.openxmlformats.org/officeDocument/2006/relationships/hyperlink" Target="https://drive.google.com/drive/folders/1MJoUjMcO49VDr8Z5obxkD3_9SqJnblPY" TargetMode="External"/><Relationship Id="rId3759" Type="http://schemas.openxmlformats.org/officeDocument/2006/relationships/hyperlink" Target="https://drive.google.com/drive/folders/1WtvezU41y2ZCLl7D4G7oSay0PZOquKpO" TargetMode="External"/><Relationship Id="rId2428" Type="http://schemas.openxmlformats.org/officeDocument/2006/relationships/hyperlink" Target="https://drive.google.com/drive/folders/1G6uvxHOlzQ3LvqyaiBh1axjUcQlD-Oq1" TargetMode="External"/><Relationship Id="rId3758" Type="http://schemas.openxmlformats.org/officeDocument/2006/relationships/hyperlink" Target="https://drive.google.com/drive/folders/1qKv17KO9CPBYPP3OuzGSITObQ_ujrRoX" TargetMode="External"/><Relationship Id="rId2429" Type="http://schemas.openxmlformats.org/officeDocument/2006/relationships/hyperlink" Target="https://github.com/MetaMask/snaps/issues/3071" TargetMode="External"/><Relationship Id="rId509" Type="http://schemas.openxmlformats.org/officeDocument/2006/relationships/hyperlink" Target="https://drive.google.com/drive/folders/1RMGLf5juEJBEYCSwPyGb5a2UrVWVkPh4" TargetMode="External"/><Relationship Id="rId508" Type="http://schemas.openxmlformats.org/officeDocument/2006/relationships/hyperlink" Target="https://github.com/Azure/azure-mcp/issues/758" TargetMode="External"/><Relationship Id="rId503" Type="http://schemas.openxmlformats.org/officeDocument/2006/relationships/hyperlink" Target="https://drive.google.com/drive/folders/1And7qp-sPmekOy2HjhJQm-d_1uxCp6F1" TargetMode="External"/><Relationship Id="rId502" Type="http://schemas.openxmlformats.org/officeDocument/2006/relationships/hyperlink" Target="https://github.com/Azure/azure-cli/issues/30525" TargetMode="External"/><Relationship Id="rId501" Type="http://schemas.openxmlformats.org/officeDocument/2006/relationships/hyperlink" Target="https://drive.google.com/drive/folders/15foi83m9wo36r3Oj0nhPBSadN6m9a6e1" TargetMode="External"/><Relationship Id="rId500" Type="http://schemas.openxmlformats.org/officeDocument/2006/relationships/hyperlink" Target="https://drive.google.com/drive/folders/1_1iuuCUJcYhEG0qaaRM2QZgdgDvJObxu" TargetMode="External"/><Relationship Id="rId507" Type="http://schemas.openxmlformats.org/officeDocument/2006/relationships/hyperlink" Target="https://drive.google.com/drive/folders/18cG8MIcMYU6ilBRRNDXw8gweTnEhlgX3" TargetMode="External"/><Relationship Id="rId506" Type="http://schemas.openxmlformats.org/officeDocument/2006/relationships/hyperlink" Target="https://github.com/Azure/azure-mcp/issues/704" TargetMode="External"/><Relationship Id="rId505" Type="http://schemas.openxmlformats.org/officeDocument/2006/relationships/hyperlink" Target="https://drive.google.com/drive/folders/1BT1IYmx1SWbqNjML-wBstfOp6PELFDtC" TargetMode="External"/><Relationship Id="rId504" Type="http://schemas.openxmlformats.org/officeDocument/2006/relationships/hyperlink" Target="https://github.com/Azure/azure-functions-host/issues/10967" TargetMode="External"/><Relationship Id="rId3751" Type="http://schemas.openxmlformats.org/officeDocument/2006/relationships/hyperlink" Target="https://drive.google.com/drive/folders/1sUD0L_ZGinIHGvtkeh8uhubd9l5dBrBx" TargetMode="External"/><Relationship Id="rId2420" Type="http://schemas.openxmlformats.org/officeDocument/2006/relationships/hyperlink" Target="https://github.com/MetaMask/metamask-extension/issues/35040" TargetMode="External"/><Relationship Id="rId3750" Type="http://schemas.openxmlformats.org/officeDocument/2006/relationships/hyperlink" Target="https://github.com/tracel-ai/burn/issues/3341" TargetMode="External"/><Relationship Id="rId2421" Type="http://schemas.openxmlformats.org/officeDocument/2006/relationships/hyperlink" Target="https://drive.google.com/drive/folders/1wieXIP1w80KtBH9hkGloEjn-pYm5Y2Ae" TargetMode="External"/><Relationship Id="rId3753" Type="http://schemas.openxmlformats.org/officeDocument/2006/relationships/hyperlink" Target="https://github.com/tracel-ai/cubecl/issues/278" TargetMode="External"/><Relationship Id="rId2422" Type="http://schemas.openxmlformats.org/officeDocument/2006/relationships/hyperlink" Target="https://drive.google.com/drive/folders/1w7lEGxBQ_GNcS3YaHKVtw_itFFxZaNiS" TargetMode="External"/><Relationship Id="rId3752" Type="http://schemas.openxmlformats.org/officeDocument/2006/relationships/hyperlink" Target="https://drive.google.com/drive/folders/1kh6m4D6QWByIDmt_wRf3Uo7rgvizRyTs" TargetMode="External"/><Relationship Id="rId2412" Type="http://schemas.openxmlformats.org/officeDocument/2006/relationships/hyperlink" Target="https://drive.google.com/drive/folders/1aV5_1spwS9NYv8cOZjvxnYY8ZysQovrf" TargetMode="External"/><Relationship Id="rId3744" Type="http://schemas.openxmlformats.org/officeDocument/2006/relationships/hyperlink" Target="https://drive.google.com/drive/folders/1PmI4H5SiESMpUi1CAWJLWYxWAu3Hwstc" TargetMode="External"/><Relationship Id="rId2413" Type="http://schemas.openxmlformats.org/officeDocument/2006/relationships/hyperlink" Target="https://github.com/meltano/meltano/issues/9411" TargetMode="External"/><Relationship Id="rId3743" Type="http://schemas.openxmlformats.org/officeDocument/2006/relationships/hyperlink" Target="https://github.com/toss/es-toolkit/issues/1148" TargetMode="External"/><Relationship Id="rId2414" Type="http://schemas.openxmlformats.org/officeDocument/2006/relationships/hyperlink" Target="https://drive.google.com/drive/folders/184LiF-heukICAqHFCA562hTGdjna8YXN" TargetMode="External"/><Relationship Id="rId3746" Type="http://schemas.openxmlformats.org/officeDocument/2006/relationships/hyperlink" Target="https://drive.google.com/drive/folders/1LnVDJubvI3gyZTTTnGwG3MN1YQBcIHXo" TargetMode="External"/><Relationship Id="rId2415" Type="http://schemas.openxmlformats.org/officeDocument/2006/relationships/hyperlink" Target="https://drive.google.com/drive/folders/1OluraGwRNE5RMPdMe9F9rSK43r71IKrV" TargetMode="External"/><Relationship Id="rId3745" Type="http://schemas.openxmlformats.org/officeDocument/2006/relationships/hyperlink" Target="https://github.com/toss/es-toolkit/issues/1146" TargetMode="External"/><Relationship Id="rId2416" Type="http://schemas.openxmlformats.org/officeDocument/2006/relationships/hyperlink" Target="https://github.com/MetaMask/metamask-extension/issues/33353" TargetMode="External"/><Relationship Id="rId3748" Type="http://schemas.openxmlformats.org/officeDocument/2006/relationships/hyperlink" Target="https://drive.google.com/drive/folders/1NM_Vaf2YBxHBq0e8x7oyc50zQGODbqmS" TargetMode="External"/><Relationship Id="rId2417" Type="http://schemas.openxmlformats.org/officeDocument/2006/relationships/hyperlink" Target="https://drive.google.com/drive/folders/18C-eszlMbo_JyuYC1uf7RFHDVs_LORSV" TargetMode="External"/><Relationship Id="rId3747" Type="http://schemas.openxmlformats.org/officeDocument/2006/relationships/hyperlink" Target="https://github.com/tox-dev/pipdeptree/issues/429" TargetMode="External"/><Relationship Id="rId2418" Type="http://schemas.openxmlformats.org/officeDocument/2006/relationships/hyperlink" Target="https://github.com/MetaMask/metamask-extension/issues/36455" TargetMode="External"/><Relationship Id="rId2419" Type="http://schemas.openxmlformats.org/officeDocument/2006/relationships/hyperlink" Target="https://drive.google.com/drive/folders/1GTqxUNFXdVAimZl7drnpTFcxaJPTd_Tm" TargetMode="External"/><Relationship Id="rId3749" Type="http://schemas.openxmlformats.org/officeDocument/2006/relationships/hyperlink" Target="https://drive.google.com/drive/folders/16ZHoEK7rRxqGvYThj-rjeay3dHIOy4Hz" TargetMode="External"/><Relationship Id="rId3740" Type="http://schemas.openxmlformats.org/officeDocument/2006/relationships/hyperlink" Target="https://drive.google.com/drive/folders/1VDYiWTD9qzmx0qFnq3emU9rJoM6e1oJK" TargetMode="External"/><Relationship Id="rId2410" Type="http://schemas.openxmlformats.org/officeDocument/2006/relationships/hyperlink" Target="https://github.com/meltano/meltano/issues/8975" TargetMode="External"/><Relationship Id="rId3742" Type="http://schemas.openxmlformats.org/officeDocument/2006/relationships/hyperlink" Target="https://drive.google.com/drive/folders/1rf4C14ggDrUbpmTR4DH-KH0WckJvApxW" TargetMode="External"/><Relationship Id="rId2411" Type="http://schemas.openxmlformats.org/officeDocument/2006/relationships/hyperlink" Target="https://drive.google.com/drive/folders/17DRyU8pkmha54xcKtvrO_JECfi99e2E4" TargetMode="External"/><Relationship Id="rId3741" Type="http://schemas.openxmlformats.org/officeDocument/2006/relationships/hyperlink" Target="https://github.com/toss/es-toolkit/issues/1180" TargetMode="External"/><Relationship Id="rId1114" Type="http://schemas.openxmlformats.org/officeDocument/2006/relationships/hyperlink" Target="https://drive.google.com/drive/folders/1D9hFkWsj9dMVfqWAUXKcRU3l4_UGyiMQ" TargetMode="External"/><Relationship Id="rId2445" Type="http://schemas.openxmlformats.org/officeDocument/2006/relationships/hyperlink" Target="https://drive.google.com/drive/folders/192hGraEPu9lKSr30qwTkhIOTmUZmSfN3" TargetMode="External"/><Relationship Id="rId3777" Type="http://schemas.openxmlformats.org/officeDocument/2006/relationships/hyperlink" Target="https://drive.google.com/drive/folders/17BS2xVvhGciCu7laJ3ns7-qNdGhynGym" TargetMode="External"/><Relationship Id="rId1115" Type="http://schemas.openxmlformats.org/officeDocument/2006/relationships/hyperlink" Target="https://github.com/dotnet/vscode-csharp/issues/7935" TargetMode="External"/><Relationship Id="rId2446" Type="http://schemas.openxmlformats.org/officeDocument/2006/relationships/hyperlink" Target="https://github.com/microsoft/terraform-provider-azuredevops/issues/1253" TargetMode="External"/><Relationship Id="rId3776" Type="http://schemas.openxmlformats.org/officeDocument/2006/relationships/hyperlink" Target="https://drive.google.com/drive/folders/1j55gIIjY2GeIjMKjcwRBBidvq5u4Q8Rd" TargetMode="External"/><Relationship Id="rId1116" Type="http://schemas.openxmlformats.org/officeDocument/2006/relationships/hyperlink" Target="https://drive.google.com/drive/folders/1Afh2N-BnoVCNz6qrutOSDvhUx0Qp-Dju" TargetMode="External"/><Relationship Id="rId2447" Type="http://schemas.openxmlformats.org/officeDocument/2006/relationships/hyperlink" Target="https://drive.google.com/drive/folders/1Hn0CoOLLBHdLxxPQP10PwLfLS_zkWvsw" TargetMode="External"/><Relationship Id="rId3779" Type="http://schemas.openxmlformats.org/officeDocument/2006/relationships/hyperlink" Target="https://drive.google.com/drive/folders/185HmM3X_qmmy3HAAo2RUU45P_wQKMKJE" TargetMode="External"/><Relationship Id="rId1117" Type="http://schemas.openxmlformats.org/officeDocument/2006/relationships/hyperlink" Target="https://github.com/dotnetcore/BootstrapBlazor/issues/5455" TargetMode="External"/><Relationship Id="rId2448" Type="http://schemas.openxmlformats.org/officeDocument/2006/relationships/hyperlink" Target="https://github.com/microsoft/testfx/issues/5892" TargetMode="External"/><Relationship Id="rId3778" Type="http://schemas.openxmlformats.org/officeDocument/2006/relationships/hyperlink" Target="https://github.com/trpc-group/trpc-a2a-go/issues/37" TargetMode="External"/><Relationship Id="rId1118" Type="http://schemas.openxmlformats.org/officeDocument/2006/relationships/hyperlink" Target="https://drive.google.com/drive/folders/1_o-uofJuGxhdUIcRNcro4E6G3TNP0TH-" TargetMode="External"/><Relationship Id="rId2449" Type="http://schemas.openxmlformats.org/officeDocument/2006/relationships/hyperlink" Target="https://drive.google.com/drive/folders/18tjxrUod1nr_7TsxJ6TgMdraiCik4sLa" TargetMode="External"/><Relationship Id="rId1119" Type="http://schemas.openxmlformats.org/officeDocument/2006/relationships/hyperlink" Target="https://drive.google.com/drive/folders/1wNFUA7nbX1l54qyf02nty5vu_MRKrzMQ" TargetMode="External"/><Relationship Id="rId525" Type="http://schemas.openxmlformats.org/officeDocument/2006/relationships/hyperlink" Target="https://github.com/Azure/template-analyzer/issues/399" TargetMode="External"/><Relationship Id="rId524" Type="http://schemas.openxmlformats.org/officeDocument/2006/relationships/hyperlink" Target="https://drive.google.com/drive/folders/1qKpMTCCqouwprSMhcSTP8EY03qTOXCl2" TargetMode="External"/><Relationship Id="rId523" Type="http://schemas.openxmlformats.org/officeDocument/2006/relationships/hyperlink" Target="https://github.com/Azure/PyRIT/issues/718" TargetMode="External"/><Relationship Id="rId522" Type="http://schemas.openxmlformats.org/officeDocument/2006/relationships/hyperlink" Target="https://drive.google.com/drive/folders/1yTzhmgwbU2EdFH-BwbuEUevaL5x8uD_n" TargetMode="External"/><Relationship Id="rId529" Type="http://schemas.openxmlformats.org/officeDocument/2006/relationships/hyperlink" Target="https://drive.google.com/drive/folders/15r1nvrEaTJBdENwTWvBUXHjLNmBnpi7G" TargetMode="External"/><Relationship Id="rId528" Type="http://schemas.openxmlformats.org/officeDocument/2006/relationships/hyperlink" Target="https://github.com/AzureAD/microsoft-authentication-library-for-dotnet/issues/5140" TargetMode="External"/><Relationship Id="rId527" Type="http://schemas.openxmlformats.org/officeDocument/2006/relationships/hyperlink" Target="https://drive.google.com/drive/folders/1e-r3NDKroh81DO33mdaReIicNEmIjJPF" TargetMode="External"/><Relationship Id="rId526" Type="http://schemas.openxmlformats.org/officeDocument/2006/relationships/hyperlink" Target="https://drive.google.com/drive/folders/1dlNUjgD1A3xpUDpLlyO8aQx1k0-sdg6w" TargetMode="External"/><Relationship Id="rId3771" Type="http://schemas.openxmlformats.org/officeDocument/2006/relationships/hyperlink" Target="https://github.com/trentm/python-markdown2/issues/617" TargetMode="External"/><Relationship Id="rId2440" Type="http://schemas.openxmlformats.org/officeDocument/2006/relationships/hyperlink" Target="https://github.com/microcks/microcks/issues/1738" TargetMode="External"/><Relationship Id="rId3770" Type="http://schemas.openxmlformats.org/officeDocument/2006/relationships/hyperlink" Target="https://drive.google.com/drive/folders/1oIlOTykzfOWS-8TxKZzdkz8ZG-pkFsqd" TargetMode="External"/><Relationship Id="rId521" Type="http://schemas.openxmlformats.org/officeDocument/2006/relationships/hyperlink" Target="https://github.com/Azure/mpf/issues/52" TargetMode="External"/><Relationship Id="rId1110" Type="http://schemas.openxmlformats.org/officeDocument/2006/relationships/hyperlink" Target="https://drive.google.com/drive/folders/1MAGWUmNte3dEM0E4frgTaWqYxvK4f-Y5" TargetMode="External"/><Relationship Id="rId2441" Type="http://schemas.openxmlformats.org/officeDocument/2006/relationships/hyperlink" Target="https://drive.google.com/drive/folders/17GuC9UqovAppQ54jOsUATX-cgaDTolih" TargetMode="External"/><Relationship Id="rId3773" Type="http://schemas.openxmlformats.org/officeDocument/2006/relationships/hyperlink" Target="https://github.com/trezor/trezor-suite/issues/20698" TargetMode="External"/><Relationship Id="rId520" Type="http://schemas.openxmlformats.org/officeDocument/2006/relationships/hyperlink" Target="https://drive.google.com/drive/folders/1lhIsfmldPCEJ0pwcZivZ865m4e0o8YzA" TargetMode="External"/><Relationship Id="rId1111" Type="http://schemas.openxmlformats.org/officeDocument/2006/relationships/hyperlink" Target="https://drive.google.com/drive/folders/12KXSQvV6kxMsHoIwa7u0Y5D5ZBWB-7QW" TargetMode="External"/><Relationship Id="rId2442" Type="http://schemas.openxmlformats.org/officeDocument/2006/relationships/hyperlink" Target="https://github.com/micronaut-projects/micronaut-core/issues/11347" TargetMode="External"/><Relationship Id="rId3772" Type="http://schemas.openxmlformats.org/officeDocument/2006/relationships/hyperlink" Target="https://drive.google.com/drive/folders/1btv8U0uHnRr0zbokOrc5OoV0k3u3Q8AG" TargetMode="External"/><Relationship Id="rId1112" Type="http://schemas.openxmlformats.org/officeDocument/2006/relationships/hyperlink" Target="https://github.com/dotnet/SqlClient/issues/3427" TargetMode="External"/><Relationship Id="rId2443" Type="http://schemas.openxmlformats.org/officeDocument/2006/relationships/hyperlink" Target="https://drive.google.com/drive/folders/1-OBODmPqZJ1LDScJ_PrGz6UJEbETXogW" TargetMode="External"/><Relationship Id="rId3775" Type="http://schemas.openxmlformats.org/officeDocument/2006/relationships/hyperlink" Target="https://github.com/tronprotocol/java-tron/issues/6399" TargetMode="External"/><Relationship Id="rId1113" Type="http://schemas.openxmlformats.org/officeDocument/2006/relationships/hyperlink" Target="https://drive.google.com/drive/folders/1jq6Y9bc_f-f3lML-Cmz95q4mXf6Qr6SK" TargetMode="External"/><Relationship Id="rId2444" Type="http://schemas.openxmlformats.org/officeDocument/2006/relationships/hyperlink" Target="https://github.com/microsoft/azure-devops-mcp/issues/368" TargetMode="External"/><Relationship Id="rId3774" Type="http://schemas.openxmlformats.org/officeDocument/2006/relationships/hyperlink" Target="https://drive.google.com/drive/folders/12ibh80m8knGROrO2B0OTHUk9JEKWkvuy" TargetMode="External"/><Relationship Id="rId1103" Type="http://schemas.openxmlformats.org/officeDocument/2006/relationships/hyperlink" Target="https://github.com/domdomegg/aws-ses-v2-local/issues/56" TargetMode="External"/><Relationship Id="rId2434" Type="http://schemas.openxmlformats.org/officeDocument/2006/relationships/hyperlink" Target="https://drive.google.com/drive/folders/1EVHvrbvvvO-Haz2Ujcmh9dMQfSXVvTqW" TargetMode="External"/><Relationship Id="rId3766" Type="http://schemas.openxmlformats.org/officeDocument/2006/relationships/hyperlink" Target="https://github.com/trailofbits/buttercup/issues/207" TargetMode="External"/><Relationship Id="rId1104" Type="http://schemas.openxmlformats.org/officeDocument/2006/relationships/hyperlink" Target="https://drive.google.com/drive/folders/1HEZ2m19ah1PKjhFGzAH6-2Id-6fAZh68" TargetMode="External"/><Relationship Id="rId2435" Type="http://schemas.openxmlformats.org/officeDocument/2006/relationships/hyperlink" Target="https://drive.google.com/drive/folders/17feWFJ6yoLv-5X0_LIdPjZydhLjLzxTL" TargetMode="External"/><Relationship Id="rId3765" Type="http://schemas.openxmlformats.org/officeDocument/2006/relationships/hyperlink" Target="https://drive.google.com/drive/folders/168a_SBewZp6zBy9QFVBdt9mrmJk2T2HM" TargetMode="External"/><Relationship Id="rId1105" Type="http://schemas.openxmlformats.org/officeDocument/2006/relationships/hyperlink" Target="https://github.com/dotCMS/core/issues/31149" TargetMode="External"/><Relationship Id="rId2436" Type="http://schemas.openxmlformats.org/officeDocument/2006/relationships/hyperlink" Target="https://github.com/michelin/ns4kafka/issues/577" TargetMode="External"/><Relationship Id="rId3768" Type="http://schemas.openxmlformats.org/officeDocument/2006/relationships/hyperlink" Target="https://github.com/transmission/transmission/issues/7047" TargetMode="External"/><Relationship Id="rId1106" Type="http://schemas.openxmlformats.org/officeDocument/2006/relationships/hyperlink" Target="https://github.com/dotnet/aspnetcore/issues/61050" TargetMode="External"/><Relationship Id="rId2437" Type="http://schemas.openxmlformats.org/officeDocument/2006/relationships/hyperlink" Target="https://drive.google.com/drive/folders/1_eKBdq3mmCj0AZw38ZklkRRrBIMBxt9-" TargetMode="External"/><Relationship Id="rId3767" Type="http://schemas.openxmlformats.org/officeDocument/2006/relationships/hyperlink" Target="https://drive.google.com/drive/folders/1avC6OaVRIYGPRUgIOc9mP9Y8OaWzb3SP" TargetMode="External"/><Relationship Id="rId1107" Type="http://schemas.openxmlformats.org/officeDocument/2006/relationships/hyperlink" Target="https://drive.google.com/drive/folders/1uVblG4C50j21u5k8XwFfMvITRZoCh872" TargetMode="External"/><Relationship Id="rId2438" Type="http://schemas.openxmlformats.org/officeDocument/2006/relationships/hyperlink" Target="https://github.com/microcks/microcks/issues/1486" TargetMode="External"/><Relationship Id="rId1108" Type="http://schemas.openxmlformats.org/officeDocument/2006/relationships/hyperlink" Target="https://drive.google.com/drive/folders/15IeURPO8YokCN2RlXZQEOnB4Q94SzWZf" TargetMode="External"/><Relationship Id="rId2439" Type="http://schemas.openxmlformats.org/officeDocument/2006/relationships/hyperlink" Target="https://drive.google.com/drive/folders/17-BzhHP0Vs5UrK1KUrGSFmLorV-FWhj5" TargetMode="External"/><Relationship Id="rId3769" Type="http://schemas.openxmlformats.org/officeDocument/2006/relationships/hyperlink" Target="https://drive.google.com/drive/folders/1crhxPSIghVIHRKfYbvb0bAELl9sRniMP" TargetMode="External"/><Relationship Id="rId1109" Type="http://schemas.openxmlformats.org/officeDocument/2006/relationships/hyperlink" Target="https://github.com/dotnet/efcore/issues/36478" TargetMode="External"/><Relationship Id="rId519" Type="http://schemas.openxmlformats.org/officeDocument/2006/relationships/hyperlink" Target="https://github.com/Azure/kubelogin/issues/661" TargetMode="External"/><Relationship Id="rId514" Type="http://schemas.openxmlformats.org/officeDocument/2006/relationships/hyperlink" Target="https://github.com/Azure/azure-sdk-for-python/issues/41701" TargetMode="External"/><Relationship Id="rId513" Type="http://schemas.openxmlformats.org/officeDocument/2006/relationships/hyperlink" Target="https://drive.google.com/drive/folders/1ZmWbVs2O2qTItdOpg7cKiEhf4h_XgEMQ" TargetMode="External"/><Relationship Id="rId512" Type="http://schemas.openxmlformats.org/officeDocument/2006/relationships/hyperlink" Target="https://github.com/Azure/azure-sdk-for-java/issues/44463" TargetMode="External"/><Relationship Id="rId511" Type="http://schemas.openxmlformats.org/officeDocument/2006/relationships/hyperlink" Target="https://drive.google.com/drive/folders/1HhdGv39DIn06Bga-SRahODHoo-kPBH5Z" TargetMode="External"/><Relationship Id="rId518" Type="http://schemas.openxmlformats.org/officeDocument/2006/relationships/hyperlink" Target="https://drive.google.com/drive/folders/1Lyqria7p1iVwD6o4NAX8ULKi_P-kunjw" TargetMode="External"/><Relationship Id="rId517" Type="http://schemas.openxmlformats.org/officeDocument/2006/relationships/hyperlink" Target="https://github.com/Azure/kubelogin/issues/663" TargetMode="External"/><Relationship Id="rId516" Type="http://schemas.openxmlformats.org/officeDocument/2006/relationships/hyperlink" Target="https://drive.google.com/drive/folders/16s4_8vnf7EkK1MuyBfSr3y4Pw7phxTjE" TargetMode="External"/><Relationship Id="rId515" Type="http://schemas.openxmlformats.org/officeDocument/2006/relationships/hyperlink" Target="https://github.com/Azure/azure-service-operator/issues/4757" TargetMode="External"/><Relationship Id="rId3760" Type="http://schemas.openxmlformats.org/officeDocument/2006/relationships/hyperlink" Target="https://github.com/traefik/traefik/issues/11318" TargetMode="External"/><Relationship Id="rId510" Type="http://schemas.openxmlformats.org/officeDocument/2006/relationships/hyperlink" Target="https://github.com/Azure/azure-sdk-for-cpp/issues/5733" TargetMode="External"/><Relationship Id="rId2430" Type="http://schemas.openxmlformats.org/officeDocument/2006/relationships/hyperlink" Target="https://drive.google.com/drive/folders/1UMRHcYm5IBq6oZeTTWNi10YpgpQjs8vv" TargetMode="External"/><Relationship Id="rId3762" Type="http://schemas.openxmlformats.org/officeDocument/2006/relationships/hyperlink" Target="https://drive.google.com/drive/folders/1AER12K9xkEvJS8319rJHgILSuvfi4qt_" TargetMode="External"/><Relationship Id="rId1100" Type="http://schemas.openxmlformats.org/officeDocument/2006/relationships/hyperlink" Target="https://github.com/doctrine/dbal/issues/6621" TargetMode="External"/><Relationship Id="rId2431" Type="http://schemas.openxmlformats.org/officeDocument/2006/relationships/hyperlink" Target="https://github.com/mgechev/revive/issues/1540" TargetMode="External"/><Relationship Id="rId3761" Type="http://schemas.openxmlformats.org/officeDocument/2006/relationships/hyperlink" Target="https://drive.google.com/drive/folders/1X57Lo40h_zwkZoPT2ycW0iKWzT4MqPX3" TargetMode="External"/><Relationship Id="rId1101" Type="http://schemas.openxmlformats.org/officeDocument/2006/relationships/hyperlink" Target="https://drive.google.com/drive/folders/1MjI0Se88jIj7QeRB-2QO1k2WdQTv4usx" TargetMode="External"/><Relationship Id="rId2432" Type="http://schemas.openxmlformats.org/officeDocument/2006/relationships/hyperlink" Target="https://drive.google.com/drive/folders/1CV3P1U3484eChnWRGh6GxmRzb7iHPNTW" TargetMode="External"/><Relationship Id="rId3764" Type="http://schemas.openxmlformats.org/officeDocument/2006/relationships/hyperlink" Target="https://drive.google.com/drive/folders/1zupr7NY7X8ZOt15QHR53YqWrJBsnTVOn" TargetMode="External"/><Relationship Id="rId1102" Type="http://schemas.openxmlformats.org/officeDocument/2006/relationships/hyperlink" Target="https://github.com/doctrine/dbal/issues/7195" TargetMode="External"/><Relationship Id="rId2433" Type="http://schemas.openxmlformats.org/officeDocument/2006/relationships/hyperlink" Target="https://github.com/mgechev/revive/issues/1520" TargetMode="External"/><Relationship Id="rId3763" Type="http://schemas.openxmlformats.org/officeDocument/2006/relationships/hyperlink" Target="https://github.com/traefik/traefik/issues/10610" TargetMode="External"/><Relationship Id="rId3711" Type="http://schemas.openxmlformats.org/officeDocument/2006/relationships/hyperlink" Target="https://github.com/Tim-Maes/Facet/issues/39" TargetMode="External"/><Relationship Id="rId3710" Type="http://schemas.openxmlformats.org/officeDocument/2006/relationships/hyperlink" Target="https://drive.google.com/drive/folders/1yCDiZBlyb4t538M5stj5qmvi4ic6ZA2G" TargetMode="External"/><Relationship Id="rId3713" Type="http://schemas.openxmlformats.org/officeDocument/2006/relationships/hyperlink" Target="https://github.com/TimefoldAI/timefold-solver/issues/1571" TargetMode="External"/><Relationship Id="rId3712" Type="http://schemas.openxmlformats.org/officeDocument/2006/relationships/hyperlink" Target="https://drive.google.com/drive/folders/1g3k3Hxu1nc4pQBQy8eNogzfB3yDD70xE" TargetMode="External"/><Relationship Id="rId3715" Type="http://schemas.openxmlformats.org/officeDocument/2006/relationships/hyperlink" Target="https://drive.google.com/drive/folders/1bgUgVPXd5r6TfpBvZuen7vGfZzTZG1HV" TargetMode="External"/><Relationship Id="rId3714" Type="http://schemas.openxmlformats.org/officeDocument/2006/relationships/hyperlink" Target="https://github.com/tlaplus/tlaplus/issues/1014" TargetMode="External"/><Relationship Id="rId3717" Type="http://schemas.openxmlformats.org/officeDocument/2006/relationships/hyperlink" Target="https://drive.google.com/drive/folders/1q8dXEMM_3ietAm1lKiflAukhEGqnq8uQ" TargetMode="External"/><Relationship Id="rId3716" Type="http://schemas.openxmlformats.org/officeDocument/2006/relationships/hyperlink" Target="https://github.com/TobikoData/sqlmesh/issues/4615" TargetMode="External"/><Relationship Id="rId3719" Type="http://schemas.openxmlformats.org/officeDocument/2006/relationships/hyperlink" Target="https://drive.google.com/drive/folders/1t5BojMOKC0tlEdddE-Rsnowfzuv43Wd6" TargetMode="External"/><Relationship Id="rId3718" Type="http://schemas.openxmlformats.org/officeDocument/2006/relationships/hyperlink" Target="https://github.com/tobymao/18xx/issues/11949" TargetMode="External"/><Relationship Id="rId3700" Type="http://schemas.openxmlformats.org/officeDocument/2006/relationships/hyperlink" Target="https://github.com/thorvg/thorvg/issues/2643" TargetMode="External"/><Relationship Id="rId3702" Type="http://schemas.openxmlformats.org/officeDocument/2006/relationships/hyperlink" Target="https://github.com/Tiberriver256/mcp-server-azure-devops/issues/246" TargetMode="External"/><Relationship Id="rId3701" Type="http://schemas.openxmlformats.org/officeDocument/2006/relationships/hyperlink" Target="https://drive.google.com/drive/folders/1YeJCyM20geLyFsLgWHzdlDuwyvZ7xGhE" TargetMode="External"/><Relationship Id="rId3704" Type="http://schemas.openxmlformats.org/officeDocument/2006/relationships/hyperlink" Target="https://github.com/Tiberriver256/mcp-server-azure-devops/issues/106" TargetMode="External"/><Relationship Id="rId3703" Type="http://schemas.openxmlformats.org/officeDocument/2006/relationships/hyperlink" Target="https://drive.google.com/drive/folders/1l5qKrINrkV8WaXqaK0WJGpO8GE_hw0jp" TargetMode="External"/><Relationship Id="rId3706" Type="http://schemas.openxmlformats.org/officeDocument/2006/relationships/hyperlink" Target="https://github.com/tidewave-ai/tidewave_rails/issues/42" TargetMode="External"/><Relationship Id="rId3705" Type="http://schemas.openxmlformats.org/officeDocument/2006/relationships/hyperlink" Target="https://drive.google.com/drive/folders/17bXOFy0hB_d8dkLRyFUhbaIkV49mJxVz" TargetMode="External"/><Relationship Id="rId3708" Type="http://schemas.openxmlformats.org/officeDocument/2006/relationships/hyperlink" Target="https://drive.google.com/drive/folders/1w9i990RnX_kzBEp80S7iGHc_lj-fFQ__" TargetMode="External"/><Relationship Id="rId3707" Type="http://schemas.openxmlformats.org/officeDocument/2006/relationships/hyperlink" Target="https://drive.google.com/drive/folders/1h4R9bD7dcY7UaSmJnF76lNCuHB5Fd76n" TargetMode="External"/><Relationship Id="rId3709" Type="http://schemas.openxmlformats.org/officeDocument/2006/relationships/hyperlink" Target="https://github.com/TigerVNC/tigervnc/issues/1375" TargetMode="External"/><Relationship Id="rId2401" Type="http://schemas.openxmlformats.org/officeDocument/2006/relationships/hyperlink" Target="https://drive.google.com/drive/folders/18JWnnM5Z1Cw_PG8h9kCqUJoz15ZcUWt5" TargetMode="External"/><Relationship Id="rId3733" Type="http://schemas.openxmlformats.org/officeDocument/2006/relationships/hyperlink" Target="https://drive.google.com/drive/folders/15gtcTMP1m3y_lya1XTuxTiFMVfADztZF" TargetMode="External"/><Relationship Id="rId2402" Type="http://schemas.openxmlformats.org/officeDocument/2006/relationships/hyperlink" Target="https://github.com/ME-ICA/tedana/issues/1232" TargetMode="External"/><Relationship Id="rId3732" Type="http://schemas.openxmlformats.org/officeDocument/2006/relationships/hyperlink" Target="https://github.com/TorchIO-project/torchio/issues/1073" TargetMode="External"/><Relationship Id="rId2403" Type="http://schemas.openxmlformats.org/officeDocument/2006/relationships/hyperlink" Target="https://drive.google.com/drive/folders/1IoJd5kdpdng-SIAeWQUU5ioQkaqJSpq7" TargetMode="External"/><Relationship Id="rId3735" Type="http://schemas.openxmlformats.org/officeDocument/2006/relationships/hyperlink" Target="https://github.com/torrust/torrust-tracker/issues/1500" TargetMode="External"/><Relationship Id="rId2404" Type="http://schemas.openxmlformats.org/officeDocument/2006/relationships/hyperlink" Target="https://drive.google.com/drive/folders/1ss0N0vYughboJN-tczxXBzMaP54ESusm" TargetMode="External"/><Relationship Id="rId3734" Type="http://schemas.openxmlformats.org/officeDocument/2006/relationships/hyperlink" Target="https://drive.google.com/drive/folders/1OcV8TfQAHbXNZBmWCDXRuZSKZU9Qmmus" TargetMode="External"/><Relationship Id="rId2405" Type="http://schemas.openxmlformats.org/officeDocument/2006/relationships/hyperlink" Target="https://github.com/medic/cht-core/issues/9602" TargetMode="External"/><Relationship Id="rId3737" Type="http://schemas.openxmlformats.org/officeDocument/2006/relationships/hyperlink" Target="https://github.com/toss/es-toolkit/issues/1068" TargetMode="External"/><Relationship Id="rId2406" Type="http://schemas.openxmlformats.org/officeDocument/2006/relationships/hyperlink" Target="https://drive.google.com/drive/folders/1rofQGEWvCeXgBcu5ke35UPNAa-vRJatk" TargetMode="External"/><Relationship Id="rId3736" Type="http://schemas.openxmlformats.org/officeDocument/2006/relationships/hyperlink" Target="https://drive.google.com/drive/folders/1LBVWOuXi1ZbZeaOcbLm2Ht9iNxGN3xRV" TargetMode="External"/><Relationship Id="rId2407" Type="http://schemas.openxmlformats.org/officeDocument/2006/relationships/hyperlink" Target="https://github.com/medplum/medplum/issues/6313" TargetMode="External"/><Relationship Id="rId3739" Type="http://schemas.openxmlformats.org/officeDocument/2006/relationships/hyperlink" Target="https://github.com/toss/es-toolkit/issues/911" TargetMode="External"/><Relationship Id="rId2408" Type="http://schemas.openxmlformats.org/officeDocument/2006/relationships/hyperlink" Target="https://drive.google.com/drive/folders/1sHdD94WtaO9fBhojPvT-37DjsfnxGilk" TargetMode="External"/><Relationship Id="rId3738" Type="http://schemas.openxmlformats.org/officeDocument/2006/relationships/hyperlink" Target="https://drive.google.com/drive/folders/13b3xd8Amm3C4p-7hEcIltw3ZqaonDH43" TargetMode="External"/><Relationship Id="rId2409" Type="http://schemas.openxmlformats.org/officeDocument/2006/relationships/hyperlink" Target="https://drive.google.com/drive/folders/1MOJSbmqvBSBrtzSyxAmlqMmng63REypB" TargetMode="External"/><Relationship Id="rId3731" Type="http://schemas.openxmlformats.org/officeDocument/2006/relationships/hyperlink" Target="https://drive.google.com/drive/folders/18gExpR_uvJ98BlsfSfN0qj6uElgH_pXJ" TargetMode="External"/><Relationship Id="rId2400" Type="http://schemas.openxmlformats.org/officeDocument/2006/relationships/hyperlink" Target="https://github.com/maybe-finance/maybe/issues/1531" TargetMode="External"/><Relationship Id="rId3730" Type="http://schemas.openxmlformats.org/officeDocument/2006/relationships/hyperlink" Target="https://drive.google.com/drive/folders/1mhkDhjzdBREApek95sDfk_fkU9Yyx2oB" TargetMode="External"/><Relationship Id="rId3722" Type="http://schemas.openxmlformats.org/officeDocument/2006/relationships/hyperlink" Target="https://drive.google.com/drive/folders/1U6wOEugiEKjZlBP0mH14KoX2JmtuqJJZ" TargetMode="External"/><Relationship Id="rId3721" Type="http://schemas.openxmlformats.org/officeDocument/2006/relationships/hyperlink" Target="https://github.com/tofuutils/tenv/issues/401" TargetMode="External"/><Relationship Id="rId3724" Type="http://schemas.openxmlformats.org/officeDocument/2006/relationships/hyperlink" Target="https://drive.google.com/drive/folders/1RrPusGjBezzDkRYQYVsmInLTSUgJ9zE5" TargetMode="External"/><Relationship Id="rId3723" Type="http://schemas.openxmlformats.org/officeDocument/2006/relationships/hyperlink" Target="https://github.com/tokuhirom/dcv/issues/18" TargetMode="External"/><Relationship Id="rId3726" Type="http://schemas.openxmlformats.org/officeDocument/2006/relationships/hyperlink" Target="https://drive.google.com/drive/folders/15BWtRC3nWNIKWQ9pZWuOVe2_9IDPluU_" TargetMode="External"/><Relationship Id="rId3725" Type="http://schemas.openxmlformats.org/officeDocument/2006/relationships/hyperlink" Target="https://github.com/tomkp/react-split-pane/issues/859" TargetMode="External"/><Relationship Id="rId3728" Type="http://schemas.openxmlformats.org/officeDocument/2006/relationships/hyperlink" Target="https://drive.google.com/drive/folders/11OiMf4Gc6gen7z7lkdSQPyU1ctPpgsqc" TargetMode="External"/><Relationship Id="rId3727" Type="http://schemas.openxmlformats.org/officeDocument/2006/relationships/hyperlink" Target="https://github.com/ton-org/sandbox/issues/112" TargetMode="External"/><Relationship Id="rId3729" Type="http://schemas.openxmlformats.org/officeDocument/2006/relationships/hyperlink" Target="https://github.com/TorchDR/TorchDR/issues/137" TargetMode="External"/><Relationship Id="rId3720" Type="http://schemas.openxmlformats.org/officeDocument/2006/relationships/hyperlink" Target="https://drive.google.com/drive/folders/1iJjwddPswhh3FxeSOu6kTvQsd5qoahWN" TargetMode="External"/><Relationship Id="rId4206" Type="http://schemas.openxmlformats.org/officeDocument/2006/relationships/hyperlink" Target="https://github.com/AsyncTI4/TI4_map_generator_bot/issues/2721" TargetMode="External"/><Relationship Id="rId5538" Type="http://schemas.openxmlformats.org/officeDocument/2006/relationships/hyperlink" Target="https://drive.google.com/drive/folders/1dNrxBznRrE6C54EF8Ox_MvnAFgrPL1dV" TargetMode="External"/><Relationship Id="rId4205" Type="http://schemas.openxmlformats.org/officeDocument/2006/relationships/hyperlink" Target="https://drive.google.com/drive/folders/1GROGCJbpf3r5niFM3eYdi17bNXRTosx-" TargetMode="External"/><Relationship Id="rId5539" Type="http://schemas.openxmlformats.org/officeDocument/2006/relationships/hyperlink" Target="https://github.com/webdriverio/webdriverio/issues/13910" TargetMode="External"/><Relationship Id="rId4208" Type="http://schemas.openxmlformats.org/officeDocument/2006/relationships/hyperlink" Target="https://drive.google.com/drive/folders/1_H9xY2gbilV16HO2rDoI8Xxm57JNPV1T" TargetMode="External"/><Relationship Id="rId5536" Type="http://schemas.openxmlformats.org/officeDocument/2006/relationships/hyperlink" Target="https://drive.google.com/drive/folders/1Aoz-IlpKplq8RWH8vhzZxWD7GO6upGWI" TargetMode="External"/><Relationship Id="rId4207" Type="http://schemas.openxmlformats.org/officeDocument/2006/relationships/hyperlink" Target="https://drive.google.com/drive/folders/1XdOpfCcRBcMk6Dajgmd7dVoG9-iWE0np" TargetMode="External"/><Relationship Id="rId5537" Type="http://schemas.openxmlformats.org/officeDocument/2006/relationships/hyperlink" Target="https://github.com/warpstreamlabs/bento/issues/430" TargetMode="External"/><Relationship Id="rId590" Type="http://schemas.openxmlformats.org/officeDocument/2006/relationships/hyperlink" Target="https://drive.google.com/drive/folders/1m1Ff6At1L9JEyuQ6OgIWErrra1Dk2ARq" TargetMode="External"/><Relationship Id="rId4209" Type="http://schemas.openxmlformats.org/officeDocument/2006/relationships/hyperlink" Target="https://github.com/aurora-opensource/au/issues/507" TargetMode="External"/><Relationship Id="rId589" Type="http://schemas.openxmlformats.org/officeDocument/2006/relationships/hyperlink" Target="https://github.com/BerriAI/litellm/issues/9995" TargetMode="External"/><Relationship Id="rId588" Type="http://schemas.openxmlformats.org/officeDocument/2006/relationships/hyperlink" Target="https://drive.google.com/drive/folders/1ObleFupgl9o_aJGrbGAORMUb7KExBVDA" TargetMode="External"/><Relationship Id="rId1170" Type="http://schemas.openxmlformats.org/officeDocument/2006/relationships/hyperlink" Target="https://drive.google.com/drive/folders/1SHwuKQBGFupQw1qU6dUhvOWhQInp0-1E" TargetMode="External"/><Relationship Id="rId1171" Type="http://schemas.openxmlformats.org/officeDocument/2006/relationships/hyperlink" Target="https://github.com/dynamodb-toolbox/dynamodb-toolbox/issues/994" TargetMode="External"/><Relationship Id="rId583" Type="http://schemas.openxmlformats.org/officeDocument/2006/relationships/hyperlink" Target="https://drive.google.com/drive/folders/1FCXl0PYqUXqyIqpw3OFb-OTAG2qrzha2" TargetMode="External"/><Relationship Id="rId1172" Type="http://schemas.openxmlformats.org/officeDocument/2006/relationships/hyperlink" Target="https://drive.google.com/drive/folders/1ro-lTIGn9xq-gztpTnEombOXh3fwrksR" TargetMode="External"/><Relationship Id="rId5530" Type="http://schemas.openxmlformats.org/officeDocument/2006/relationships/hyperlink" Target="https://drive.google.com/drive/folders/1VR5DEthWXrWFOFNfuZM1yRvdFxVg-LnU" TargetMode="External"/><Relationship Id="rId582" Type="http://schemas.openxmlformats.org/officeDocument/2006/relationships/hyperlink" Target="https://github.com/bent10/marked-extensions/issues/178" TargetMode="External"/><Relationship Id="rId1173" Type="http://schemas.openxmlformats.org/officeDocument/2006/relationships/hyperlink" Target="https://github.com/dynamoose/dynamoose/issues/1745" TargetMode="External"/><Relationship Id="rId5531" Type="http://schemas.openxmlformats.org/officeDocument/2006/relationships/hyperlink" Target="https://github.com/wakujs/waku/issues/1164" TargetMode="External"/><Relationship Id="rId581" Type="http://schemas.openxmlformats.org/officeDocument/2006/relationships/hyperlink" Target="https://drive.google.com/drive/folders/1jdorV4AkF7QhycPV3zJBppUTWA3SNIIg" TargetMode="External"/><Relationship Id="rId1174" Type="http://schemas.openxmlformats.org/officeDocument/2006/relationships/hyperlink" Target="https://drive.google.com/drive/folders/1KsIvFDIy4cI7nrOEo60pnrm9jwwIW5_8" TargetMode="External"/><Relationship Id="rId4200" Type="http://schemas.openxmlformats.org/officeDocument/2006/relationships/hyperlink" Target="https://drive.google.com/drive/folders/1RT35LLXOylB5U4ujrSVk8xYr5iOyF3L1" TargetMode="External"/><Relationship Id="rId580" Type="http://schemas.openxmlformats.org/officeDocument/2006/relationships/hyperlink" Target="https://github.com/bennycode/ts2esm/issues/130" TargetMode="External"/><Relationship Id="rId1175" Type="http://schemas.openxmlformats.org/officeDocument/2006/relationships/hyperlink" Target="https://github.com/easyops-cn/docusaurus-search-local/issues/505" TargetMode="External"/><Relationship Id="rId587" Type="http://schemas.openxmlformats.org/officeDocument/2006/relationships/hyperlink" Target="https://drive.google.com/drive/folders/1aMZHx3AtTTdta3Wtc3Z6RzTcPyz57wnj" TargetMode="External"/><Relationship Id="rId1176" Type="http://schemas.openxmlformats.org/officeDocument/2006/relationships/hyperlink" Target="https://drive.google.com/drive/folders/1YCSkUTxQ12a9nIR7htRyEOBdyld0hTWt" TargetMode="External"/><Relationship Id="rId4202" Type="http://schemas.openxmlformats.org/officeDocument/2006/relationships/hyperlink" Target="https://drive.google.com/drive/folders/1P1wU1jB_rbS51IJWQlqvxXBNAlNquaxO" TargetMode="External"/><Relationship Id="rId5534" Type="http://schemas.openxmlformats.org/officeDocument/2006/relationships/hyperlink" Target="https://drive.google.com/drive/folders/1VSCnZhCBQTWMAOC4SFHik-79P-vt9RrX" TargetMode="External"/><Relationship Id="rId586" Type="http://schemas.openxmlformats.org/officeDocument/2006/relationships/hyperlink" Target="https://github.com/BerriAI/litellm/issues/12180" TargetMode="External"/><Relationship Id="rId1177" Type="http://schemas.openxmlformats.org/officeDocument/2006/relationships/hyperlink" Target="https://github.com/eclipse-collections/eclipse-collections/issues/93" TargetMode="External"/><Relationship Id="rId4201" Type="http://schemas.openxmlformats.org/officeDocument/2006/relationships/hyperlink" Target="https://github.com/astropy/astroquery/issues/3076" TargetMode="External"/><Relationship Id="rId5535" Type="http://schemas.openxmlformats.org/officeDocument/2006/relationships/hyperlink" Target="https://github.com/warpstreamlabs/bento/issues/297" TargetMode="External"/><Relationship Id="rId585" Type="http://schemas.openxmlformats.org/officeDocument/2006/relationships/hyperlink" Target="https://drive.google.com/drive/folders/1YG35PH0TK_OXm40laAtMSNiwe6t5hVTB" TargetMode="External"/><Relationship Id="rId1178" Type="http://schemas.openxmlformats.org/officeDocument/2006/relationships/hyperlink" Target="https://github.com/eclipse-edc/Connector/issues/5254" TargetMode="External"/><Relationship Id="rId4204" Type="http://schemas.openxmlformats.org/officeDocument/2006/relationships/hyperlink" Target="https://github.com/asyncapi/website/issues/3950" TargetMode="External"/><Relationship Id="rId5532" Type="http://schemas.openxmlformats.org/officeDocument/2006/relationships/hyperlink" Target="https://drive.google.com/drive/folders/1ymOfXRRP-SL5AoICrnkEUZXWMz5J0tWI" TargetMode="External"/><Relationship Id="rId584" Type="http://schemas.openxmlformats.org/officeDocument/2006/relationships/hyperlink" Target="https://github.com/BerriAI/litellm/issues/10423" TargetMode="External"/><Relationship Id="rId1179" Type="http://schemas.openxmlformats.org/officeDocument/2006/relationships/hyperlink" Target="https://drive.google.com/drive/folders/1fx2_9JtJHnwNRyfheI0h1njJ-_f973i0" TargetMode="External"/><Relationship Id="rId4203" Type="http://schemas.openxmlformats.org/officeDocument/2006/relationships/hyperlink" Target="https://drive.google.com/drive/folders/1yr95vlSCmO9u73O8ZsHOMgIx4vaXVHJ0" TargetMode="External"/><Relationship Id="rId5533" Type="http://schemas.openxmlformats.org/officeDocument/2006/relationships/hyperlink" Target="https://github.com/wandb/wandb/issues/9802" TargetMode="External"/><Relationship Id="rId1169" Type="http://schemas.openxmlformats.org/officeDocument/2006/relationships/hyperlink" Target="https://drive.google.com/drive/folders/1P5MdGirpolymtaSKFhGtdvaR6UD8RMZU" TargetMode="External"/><Relationship Id="rId5527" Type="http://schemas.openxmlformats.org/officeDocument/2006/relationships/hyperlink" Target="https://github.com/vuejs/eslint-plugin-vue/issues/2984" TargetMode="External"/><Relationship Id="rId5528" Type="http://schemas.openxmlformats.org/officeDocument/2006/relationships/hyperlink" Target="https://github.com/wagtail/wagtail-localize/issues/835" TargetMode="External"/><Relationship Id="rId5525" Type="http://schemas.openxmlformats.org/officeDocument/2006/relationships/hyperlink" Target="https://drive.google.com/drive/folders/1ZgjLrU4YauDA6lCam3oRwkeEnFAOhFXC" TargetMode="External"/><Relationship Id="rId5526" Type="http://schemas.openxmlformats.org/officeDocument/2006/relationships/hyperlink" Target="https://drive.google.com/drive/folders/11eLmRG-AkNUNpRoA5XDj85hPa2KOhSdJ" TargetMode="External"/><Relationship Id="rId5529" Type="http://schemas.openxmlformats.org/officeDocument/2006/relationships/hyperlink" Target="https://drive.google.com/drive/folders/1Da1mjIOO3SRe7mZvl1iV3AhI1CYhsmEj" TargetMode="External"/><Relationship Id="rId579" Type="http://schemas.openxmlformats.org/officeDocument/2006/relationships/hyperlink" Target="https://drive.google.com/drive/folders/1--NLfGiOhgGDPLenpvmIfLzCqAG16jKe" TargetMode="External"/><Relationship Id="rId578" Type="http://schemas.openxmlformats.org/officeDocument/2006/relationships/hyperlink" Target="https://github.com/benbalter/jekyll-relative-links/issues/98" TargetMode="External"/><Relationship Id="rId577" Type="http://schemas.openxmlformats.org/officeDocument/2006/relationships/hyperlink" Target="https://drive.google.com/drive/folders/1xx3ZEMbOPb7LM5GKA91MX4gXjMJASSWS" TargetMode="External"/><Relationship Id="rId2490" Type="http://schemas.openxmlformats.org/officeDocument/2006/relationships/hyperlink" Target="https://drive.google.com/drive/folders/12JhsJk5_lABr1GX_U6Y6Y1-jmBMeZ67L" TargetMode="External"/><Relationship Id="rId1160" Type="http://schemas.openxmlformats.org/officeDocument/2006/relationships/hyperlink" Target="https://drive.google.com/drive/folders/1-HQ-NupmRknYHdsq6mRVKip1rtPoMi4K" TargetMode="External"/><Relationship Id="rId2491" Type="http://schemas.openxmlformats.org/officeDocument/2006/relationships/hyperlink" Target="https://github.com/modelcontextprotocol/rust-sdk/issues/558" TargetMode="External"/><Relationship Id="rId572" Type="http://schemas.openxmlformats.org/officeDocument/2006/relationships/hyperlink" Target="https://github.com/belav/csharpier/issues/1568" TargetMode="External"/><Relationship Id="rId1161" Type="http://schemas.openxmlformats.org/officeDocument/2006/relationships/hyperlink" Target="https://github.com/dundee/gdu/issues/436" TargetMode="External"/><Relationship Id="rId2492" Type="http://schemas.openxmlformats.org/officeDocument/2006/relationships/hyperlink" Target="https://drive.google.com/drive/folders/1jc7ek3jE9cRgZA29s7WVgfOQWGups9P_" TargetMode="External"/><Relationship Id="rId571" Type="http://schemas.openxmlformats.org/officeDocument/2006/relationships/hyperlink" Target="https://drive.google.com/drive/folders/1YyPo1eQItziVU3rd_nmGGjZRhh7qgahz" TargetMode="External"/><Relationship Id="rId1162" Type="http://schemas.openxmlformats.org/officeDocument/2006/relationships/hyperlink" Target="https://drive.google.com/drive/folders/1NCmOZ0qruV07ltDDwV-ytpvG-zypM5WV" TargetMode="External"/><Relationship Id="rId2493" Type="http://schemas.openxmlformats.org/officeDocument/2006/relationships/hyperlink" Target="https://github.com/modern-python/that-depends/issues/187" TargetMode="External"/><Relationship Id="rId5520" Type="http://schemas.openxmlformats.org/officeDocument/2006/relationships/hyperlink" Target="https://drive.google.com/drive/folders/1LeqFWH-CKiFdWc5BxYHgdRhLtz4nRdK0" TargetMode="External"/><Relationship Id="rId570" Type="http://schemas.openxmlformats.org/officeDocument/2006/relationships/hyperlink" Target="https://github.com/belav/csharpier/issues/1648" TargetMode="External"/><Relationship Id="rId1163" Type="http://schemas.openxmlformats.org/officeDocument/2006/relationships/hyperlink" Target="https://drive.google.com/drive/folders/12kyTLJ8s9DIubGwKpYKkIxEGClpYfNlq" TargetMode="External"/><Relationship Id="rId2494" Type="http://schemas.openxmlformats.org/officeDocument/2006/relationships/hyperlink" Target="https://drive.google.com/drive/folders/1BdYfKh-_IUuTHwRIuh0g4WWfkh01nodR" TargetMode="External"/><Relationship Id="rId1164" Type="http://schemas.openxmlformats.org/officeDocument/2006/relationships/hyperlink" Target="https://github.com/duplicati/duplicati/issues/6301" TargetMode="External"/><Relationship Id="rId2495" Type="http://schemas.openxmlformats.org/officeDocument/2006/relationships/hyperlink" Target="https://github.com/modevol-com/gqloom/issues/14" TargetMode="External"/><Relationship Id="rId576" Type="http://schemas.openxmlformats.org/officeDocument/2006/relationships/hyperlink" Target="https://github.com/belav/csharpier/issues/1659" TargetMode="External"/><Relationship Id="rId1165" Type="http://schemas.openxmlformats.org/officeDocument/2006/relationships/hyperlink" Target="https://drive.google.com/drive/folders/1p2h3hQn00qeQEO3lAzxPQMoAlg5hSUYH" TargetMode="External"/><Relationship Id="rId2496" Type="http://schemas.openxmlformats.org/officeDocument/2006/relationships/hyperlink" Target="https://drive.google.com/drive/folders/1biY7TjRVMWWk2vk-dIxXKMKJn0x9LPf7" TargetMode="External"/><Relationship Id="rId5523" Type="http://schemas.openxmlformats.org/officeDocument/2006/relationships/hyperlink" Target="https://drive.google.com/drive/folders/1pE_FEO3L1t6PifX7fVEWQ95iJdOKoahJ" TargetMode="External"/><Relationship Id="rId575" Type="http://schemas.openxmlformats.org/officeDocument/2006/relationships/hyperlink" Target="https://drive.google.com/drive/folders/1kqZd0CCx1zDMef6b1q9N_QPynkgDGXpW" TargetMode="External"/><Relationship Id="rId1166" Type="http://schemas.openxmlformats.org/officeDocument/2006/relationships/hyperlink" Target="https://github.com/dymensionxyz/dymint/issues/1357" TargetMode="External"/><Relationship Id="rId2497" Type="http://schemas.openxmlformats.org/officeDocument/2006/relationships/hyperlink" Target="https://github.com/modin-project/modin/issues/7430" TargetMode="External"/><Relationship Id="rId5524" Type="http://schemas.openxmlformats.org/officeDocument/2006/relationships/hyperlink" Target="https://github.com/vprusso/toqito/issues/1185" TargetMode="External"/><Relationship Id="rId574" Type="http://schemas.openxmlformats.org/officeDocument/2006/relationships/hyperlink" Target="https://github.com/belav/csharpier/issues/1484" TargetMode="External"/><Relationship Id="rId1167" Type="http://schemas.openxmlformats.org/officeDocument/2006/relationships/hyperlink" Target="https://drive.google.com/drive/folders/1v_bSl-jW7xaYsA5Yy1mRAywIaUQnbbC3" TargetMode="External"/><Relationship Id="rId2498" Type="http://schemas.openxmlformats.org/officeDocument/2006/relationships/hyperlink" Target="https://drive.google.com/drive/folders/1UPhulj0AmCqVtlmf0KvA1nxJr4qEGucj" TargetMode="External"/><Relationship Id="rId5521" Type="http://schemas.openxmlformats.org/officeDocument/2006/relationships/hyperlink" Target="https://github.com/vprusso/toqito/issues/1236" TargetMode="External"/><Relationship Id="rId573" Type="http://schemas.openxmlformats.org/officeDocument/2006/relationships/hyperlink" Target="https://drive.google.com/drive/folders/1_hmtFSFNUkWjSWtK59jYXU-0UGJ77XZI" TargetMode="External"/><Relationship Id="rId1168" Type="http://schemas.openxmlformats.org/officeDocument/2006/relationships/hyperlink" Target="https://github.com/dynaconf/dynaconf/issues/1249" TargetMode="External"/><Relationship Id="rId2499" Type="http://schemas.openxmlformats.org/officeDocument/2006/relationships/hyperlink" Target="https://github.com/ModProg/derive-where/issues/105" TargetMode="External"/><Relationship Id="rId5522" Type="http://schemas.openxmlformats.org/officeDocument/2006/relationships/hyperlink" Target="https://drive.google.com/drive/folders/1Lm7WzgryqESb43al2tnQw1hZsD7J3W2Y" TargetMode="External"/><Relationship Id="rId4228" Type="http://schemas.openxmlformats.org/officeDocument/2006/relationships/hyperlink" Target="https://drive.google.com/drive/folders/1Cq5679trGa2iebxeGs8opc1bnwJfScSA" TargetMode="External"/><Relationship Id="rId4227" Type="http://schemas.openxmlformats.org/officeDocument/2006/relationships/hyperlink" Target="https://github.com/aws-powertools/powertools-lambda-dotnet/issues/681" TargetMode="External"/><Relationship Id="rId5558" Type="http://schemas.openxmlformats.org/officeDocument/2006/relationships/hyperlink" Target="https://drive.google.com/drive/folders/1dFHxrV3BH57CsVsUklk7-kZI7VXIPDAY" TargetMode="External"/><Relationship Id="rId4229" Type="http://schemas.openxmlformats.org/officeDocument/2006/relationships/hyperlink" Target="https://github.com/aws-powertools/powertools-lambda-dotnet/issues/741" TargetMode="External"/><Relationship Id="rId5559" Type="http://schemas.openxmlformats.org/officeDocument/2006/relationships/hyperlink" Target="https://drive.google.com/drive/folders/1K85E3q_YMEm_dXalfjbDI8dSBZETlfu9" TargetMode="External"/><Relationship Id="rId1190" Type="http://schemas.openxmlformats.org/officeDocument/2006/relationships/hyperlink" Target="https://github.com/edvardchen/eslint-plugin-i18next/issues/134" TargetMode="External"/><Relationship Id="rId1191" Type="http://schemas.openxmlformats.org/officeDocument/2006/relationships/hyperlink" Target="https://drive.google.com/drive/folders/1Ns8EasPwOOFe97joKWOGuwErUTRd0jBX" TargetMode="External"/><Relationship Id="rId1192" Type="http://schemas.openxmlformats.org/officeDocument/2006/relationships/hyperlink" Target="https://github.com/Effect-TS/language-service/issues/125" TargetMode="External"/><Relationship Id="rId1193" Type="http://schemas.openxmlformats.org/officeDocument/2006/relationships/hyperlink" Target="https://drive.google.com/drive/folders/15Q9JREQd-EYl91ldVU8lI0xH_1kIf0UQ" TargetMode="External"/><Relationship Id="rId1194" Type="http://schemas.openxmlformats.org/officeDocument/2006/relationships/hyperlink" Target="https://github.com/eiriktsarpalis/PolyType/issues/212" TargetMode="External"/><Relationship Id="rId4220" Type="http://schemas.openxmlformats.org/officeDocument/2006/relationships/hyperlink" Target="https://drive.google.com/drive/folders/1eJmkfU_CReZhTyGcbG8Fk3PqrjOcDZ0Q" TargetMode="External"/><Relationship Id="rId5552" Type="http://schemas.openxmlformats.org/officeDocument/2006/relationships/hyperlink" Target="https://drive.google.com/drive/folders/1LSTVIOpG9USCWMcF_oyoKZyysH3rAL6D" TargetMode="External"/><Relationship Id="rId1195" Type="http://schemas.openxmlformats.org/officeDocument/2006/relationships/hyperlink" Target="https://drive.google.com/drive/folders/1AyYgMj-w2ogpP1U7XzWHzgt6TxvoS_in" TargetMode="External"/><Relationship Id="rId5553" Type="http://schemas.openxmlformats.org/officeDocument/2006/relationships/hyperlink" Target="https://github.com/winder/Universal-G-Code-Sender/issues/2944" TargetMode="External"/><Relationship Id="rId1196" Type="http://schemas.openxmlformats.org/officeDocument/2006/relationships/hyperlink" Target="https://github.com/ejmahler/RustFFT/issues/157" TargetMode="External"/><Relationship Id="rId4222" Type="http://schemas.openxmlformats.org/officeDocument/2006/relationships/hyperlink" Target="https://drive.google.com/drive/folders/1Cn_-YDTyzeVT4ddFfYNvlYMYd2L-M5OS" TargetMode="External"/><Relationship Id="rId5550" Type="http://schemas.openxmlformats.org/officeDocument/2006/relationships/hyperlink" Target="https://drive.google.com/drive/folders/12sdwMJzKBbsiwYzmAY5P1IqyI3lqfkY8" TargetMode="External"/><Relationship Id="rId1197" Type="http://schemas.openxmlformats.org/officeDocument/2006/relationships/hyperlink" Target="https://drive.google.com/drive/folders/1MZHL8HHtBXegud_qy_WMeiTSBz4cgMaM" TargetMode="External"/><Relationship Id="rId4221" Type="http://schemas.openxmlformats.org/officeDocument/2006/relationships/hyperlink" Target="https://github.com/AvitalTamir/cyphernetes/issues/139" TargetMode="External"/><Relationship Id="rId5551" Type="http://schemas.openxmlformats.org/officeDocument/2006/relationships/hyperlink" Target="https://github.com/widefix/actual_db_schema/issues/110" TargetMode="External"/><Relationship Id="rId1198" Type="http://schemas.openxmlformats.org/officeDocument/2006/relationships/hyperlink" Target="https://github.com/ekiwi/wellen/issues/71" TargetMode="External"/><Relationship Id="rId4224" Type="http://schemas.openxmlformats.org/officeDocument/2006/relationships/hyperlink" Target="https://drive.google.com/drive/folders/1b8wd8QutGat_WbO8liXSSPTx22RR3vyP" TargetMode="External"/><Relationship Id="rId5556" Type="http://schemas.openxmlformats.org/officeDocument/2006/relationships/hyperlink" Target="https://drive.google.com/drive/folders/1PYCGYNAz-ADUGNugeqi8XeXBRHweew0k" TargetMode="External"/><Relationship Id="rId1199" Type="http://schemas.openxmlformats.org/officeDocument/2006/relationships/hyperlink" Target="https://drive.google.com/drive/folders/1hpmLAm8eGLCAH6YCBUUUHcqldrsPDVIl" TargetMode="External"/><Relationship Id="rId4223" Type="http://schemas.openxmlformats.org/officeDocument/2006/relationships/hyperlink" Target="https://github.com/AvitalTamir/cyphernetes/issues/167" TargetMode="External"/><Relationship Id="rId5557" Type="http://schemas.openxmlformats.org/officeDocument/2006/relationships/hyperlink" Target="https://github.com/XLSForm/pyxform/issues/768" TargetMode="External"/><Relationship Id="rId4226" Type="http://schemas.openxmlformats.org/officeDocument/2006/relationships/hyperlink" Target="https://drive.google.com/drive/folders/1BwoFBWQcqR2hZNw8f5mBYJ0y2qUEA8-H" TargetMode="External"/><Relationship Id="rId5554" Type="http://schemas.openxmlformats.org/officeDocument/2006/relationships/hyperlink" Target="https://github.com/withastro/astro/issues/14039" TargetMode="External"/><Relationship Id="rId4225" Type="http://schemas.openxmlformats.org/officeDocument/2006/relationships/hyperlink" Target="https://github.com/aws-actions/amazon-ecs-render-task-definition/issues/325" TargetMode="External"/><Relationship Id="rId5555" Type="http://schemas.openxmlformats.org/officeDocument/2006/relationships/hyperlink" Target="https://drive.google.com/drive/folders/1RM-_OuFGu0QDzhGF1BQJvt6Z8Vo0WVmA" TargetMode="External"/><Relationship Id="rId4217" Type="http://schemas.openxmlformats.org/officeDocument/2006/relationships/hyperlink" Target="https://drive.google.com/drive/folders/1xcKssITetQLNOrRulhc-rKpfuWzR5A8Q" TargetMode="External"/><Relationship Id="rId5549" Type="http://schemas.openxmlformats.org/officeDocument/2006/relationships/hyperlink" Target="https://drive.google.com/drive/folders/1i6iZylDz5JV9GWtE4TOAj3jZlTIEh3oV" TargetMode="External"/><Relationship Id="rId4216" Type="http://schemas.openxmlformats.org/officeDocument/2006/relationships/hyperlink" Target="https://github.com/autoscrape-labs/pydoll/issues/161" TargetMode="External"/><Relationship Id="rId4219" Type="http://schemas.openxmlformats.org/officeDocument/2006/relationships/hyperlink" Target="https://github.com/avaje/avaje-jsonb/issues/415" TargetMode="External"/><Relationship Id="rId5547" Type="http://schemas.openxmlformats.org/officeDocument/2006/relationships/hyperlink" Target="https://drive.google.com/drive/folders/1xszCQYwve4SzWFtUUlMAfEqhg5NioX7i" TargetMode="External"/><Relationship Id="rId4218" Type="http://schemas.openxmlformats.org/officeDocument/2006/relationships/hyperlink" Target="https://drive.google.com/drive/folders/1sleuxiRyhaFoDusLMydDTKqZOyZzqj4Y" TargetMode="External"/><Relationship Id="rId5548" Type="http://schemas.openxmlformats.org/officeDocument/2006/relationships/hyperlink" Target="https://github.com/wichmann-lab/python-psignifit/issues/169" TargetMode="External"/><Relationship Id="rId599" Type="http://schemas.openxmlformats.org/officeDocument/2006/relationships/hyperlink" Target="https://github.com/bingo-js/bingo/issues/250" TargetMode="External"/><Relationship Id="rId1180" Type="http://schemas.openxmlformats.org/officeDocument/2006/relationships/hyperlink" Target="https://github.com/eclipse-edc/Connector/issues/5204" TargetMode="External"/><Relationship Id="rId1181" Type="http://schemas.openxmlformats.org/officeDocument/2006/relationships/hyperlink" Target="https://github.com/eclipse-edc/Connector/issues/4928" TargetMode="External"/><Relationship Id="rId1182" Type="http://schemas.openxmlformats.org/officeDocument/2006/relationships/hyperlink" Target="https://drive.google.com/drive/folders/1X2skXwUjST6pxBJkAzzyjlxpv6LH-gm2" TargetMode="External"/><Relationship Id="rId594" Type="http://schemas.openxmlformats.org/officeDocument/2006/relationships/hyperlink" Target="https://drive.google.com/drive/folders/1EVMaogXkbO51Ih8uTX-qHYUQd4JG4dlM" TargetMode="External"/><Relationship Id="rId1183" Type="http://schemas.openxmlformats.org/officeDocument/2006/relationships/hyperlink" Target="https://github.com/eclipse-jdtls/eclipse.jdt.ls/issues/3671" TargetMode="External"/><Relationship Id="rId5541" Type="http://schemas.openxmlformats.org/officeDocument/2006/relationships/hyperlink" Target="https://drive.google.com/drive/folders/1r_RtMQcNsnYc0gW2BlzPezoHBvK49yWu" TargetMode="External"/><Relationship Id="rId593" Type="http://schemas.openxmlformats.org/officeDocument/2006/relationships/hyperlink" Target="https://github.com/better-auth/better-auth/issues/4792" TargetMode="External"/><Relationship Id="rId1184" Type="http://schemas.openxmlformats.org/officeDocument/2006/relationships/hyperlink" Target="https://github.com/eclipse-langium/langium/issues/1951" TargetMode="External"/><Relationship Id="rId5542" Type="http://schemas.openxmlformats.org/officeDocument/2006/relationships/hyperlink" Target="https://github.com/webdriverio/webdriverio/issues/14360" TargetMode="External"/><Relationship Id="rId592" Type="http://schemas.openxmlformats.org/officeDocument/2006/relationships/hyperlink" Target="https://drive.google.com/drive/folders/14m7sZwgmK-MFH5glq68fBPeNLAXlVKPd" TargetMode="External"/><Relationship Id="rId1185" Type="http://schemas.openxmlformats.org/officeDocument/2006/relationships/hyperlink" Target="https://drive.google.com/drive/folders/1n36wX0hgsH2Fi5O5SFaCVcIhsI6c4dK_" TargetMode="External"/><Relationship Id="rId4211" Type="http://schemas.openxmlformats.org/officeDocument/2006/relationships/hyperlink" Target="https://github.com/auth0/go-jwt-middleware/issues/314" TargetMode="External"/><Relationship Id="rId591" Type="http://schemas.openxmlformats.org/officeDocument/2006/relationships/hyperlink" Target="https://github.com/BerriAI/litellm/issues/9646" TargetMode="External"/><Relationship Id="rId1186" Type="http://schemas.openxmlformats.org/officeDocument/2006/relationships/hyperlink" Target="https://github.com/eclipse-langium/langium/issues/1954" TargetMode="External"/><Relationship Id="rId4210" Type="http://schemas.openxmlformats.org/officeDocument/2006/relationships/hyperlink" Target="https://drive.google.com/drive/folders/13ZtEzpPpc2HzHbQ6H1y6iDLufYP3JPkH" TargetMode="External"/><Relationship Id="rId5540" Type="http://schemas.openxmlformats.org/officeDocument/2006/relationships/hyperlink" Target="https://drive.google.com/drive/folders/1vEUWjnf7jnPOPr5OZCkaegEr35T-xKLB" TargetMode="External"/><Relationship Id="rId598" Type="http://schemas.openxmlformats.org/officeDocument/2006/relationships/hyperlink" Target="https://drive.google.com/drive/folders/1YU6rOTPuqE4iVz_yw5u0vsQJQumXcTnr" TargetMode="External"/><Relationship Id="rId1187" Type="http://schemas.openxmlformats.org/officeDocument/2006/relationships/hyperlink" Target="https://drive.google.com/drive/folders/1mxHoldTx5j9HIdbhgNezIw4lfGKnG_Ok" TargetMode="External"/><Relationship Id="rId4213" Type="http://schemas.openxmlformats.org/officeDocument/2006/relationships/hyperlink" Target="https://drive.google.com/drive/folders/1jrQHTwGkei3SKeB9kByCgSSO4qJCVxbe" TargetMode="External"/><Relationship Id="rId5545" Type="http://schemas.openxmlformats.org/officeDocument/2006/relationships/hyperlink" Target="https://github.com/wichmann-lab/python-psignifit/issues/184" TargetMode="External"/><Relationship Id="rId597" Type="http://schemas.openxmlformats.org/officeDocument/2006/relationships/hyperlink" Target="https://github.com/bingo-js/bingo/issues/115" TargetMode="External"/><Relationship Id="rId1188" Type="http://schemas.openxmlformats.org/officeDocument/2006/relationships/hyperlink" Target="https://github.com/eclipse-tractusx/tractusx-edc/issues/2263" TargetMode="External"/><Relationship Id="rId4212" Type="http://schemas.openxmlformats.org/officeDocument/2006/relationships/hyperlink" Target="https://drive.google.com/drive/folders/1QlQIEswLkatZazTZbHYayKTWFQd3Nmc3" TargetMode="External"/><Relationship Id="rId5546" Type="http://schemas.openxmlformats.org/officeDocument/2006/relationships/hyperlink" Target="https://drive.google.com/drive/folders/1KWzLV4GG-H-gym2RwVJw67S-PaKrjXPW" TargetMode="External"/><Relationship Id="rId596" Type="http://schemas.openxmlformats.org/officeDocument/2006/relationships/hyperlink" Target="https://drive.google.com/drive/folders/1PK3hyZvv6I99wJQQFEcFwXskBP-7CxBk" TargetMode="External"/><Relationship Id="rId1189" Type="http://schemas.openxmlformats.org/officeDocument/2006/relationships/hyperlink" Target="https://drive.google.com/drive/folders/10KXMP8ap3OS_FG27p0x5692kzuM7wm4X" TargetMode="External"/><Relationship Id="rId4215" Type="http://schemas.openxmlformats.org/officeDocument/2006/relationships/hyperlink" Target="https://drive.google.com/drive/folders/1xcHaTvNa6Z5AfXeruspYPEeE1Fz72m7J" TargetMode="External"/><Relationship Id="rId5543" Type="http://schemas.openxmlformats.org/officeDocument/2006/relationships/hyperlink" Target="https://drive.google.com/drive/folders/1005FYAiPer51iX_Urvws-s8WzfSt_8X5" TargetMode="External"/><Relationship Id="rId595" Type="http://schemas.openxmlformats.org/officeDocument/2006/relationships/hyperlink" Target="https://github.com/bids-standard/bids-specification/issues/1781" TargetMode="External"/><Relationship Id="rId4214" Type="http://schemas.openxmlformats.org/officeDocument/2006/relationships/hyperlink" Target="https://github.com/autoscrape-labs/pydoll/issues/114" TargetMode="External"/><Relationship Id="rId5544" Type="http://schemas.openxmlformats.org/officeDocument/2006/relationships/hyperlink" Target="https://drive.google.com/drive/folders/1OprwZKwRbmES0jRQqlHrYe0RhQVAX6-i" TargetMode="External"/><Relationship Id="rId1136" Type="http://schemas.openxmlformats.org/officeDocument/2006/relationships/hyperlink" Target="https://drive.google.com/drive/folders/1Cnsb8jPsIDHZlaHdjTdGPAWN8_-KsvD8" TargetMode="External"/><Relationship Id="rId2467" Type="http://schemas.openxmlformats.org/officeDocument/2006/relationships/hyperlink" Target="https://github.com/Mirascope/mirascope/issues/743" TargetMode="External"/><Relationship Id="rId3799" Type="http://schemas.openxmlformats.org/officeDocument/2006/relationships/hyperlink" Target="https://github.com/uber/NullAway/issues/614" TargetMode="External"/><Relationship Id="rId1137" Type="http://schemas.openxmlformats.org/officeDocument/2006/relationships/hyperlink" Target="https://github.com/dstackai/dstack/issues/2256" TargetMode="External"/><Relationship Id="rId2468" Type="http://schemas.openxmlformats.org/officeDocument/2006/relationships/hyperlink" Target="https://drive.google.com/drive/folders/1wo6e7RG2cMcvMO6sh6MMb5biPVEqPRyi" TargetMode="External"/><Relationship Id="rId3798" Type="http://schemas.openxmlformats.org/officeDocument/2006/relationships/hyperlink" Target="https://drive.google.com/drive/folders/1rDNux_WJ0nMMgp8t1wNUB99BJeGITQpp" TargetMode="External"/><Relationship Id="rId1138" Type="http://schemas.openxmlformats.org/officeDocument/2006/relationships/hyperlink" Target="https://drive.google.com/drive/folders/1MFYjMHmBzrhr32i7xBGP_7-y7_g5aOA7" TargetMode="External"/><Relationship Id="rId2469" Type="http://schemas.openxmlformats.org/officeDocument/2006/relationships/hyperlink" Target="https://drive.google.com/drive/folders/1FmZW_q0blkEpuuT-NG3kBbf5pvDRUgXv" TargetMode="External"/><Relationship Id="rId1139" Type="http://schemas.openxmlformats.org/officeDocument/2006/relationships/hyperlink" Target="https://drive.google.com/drive/folders/1siwWcBMOV3XTqBBGVUx8N4zyVvAnf1ey" TargetMode="External"/><Relationship Id="rId547" Type="http://schemas.openxmlformats.org/officeDocument/2006/relationships/hyperlink" Target="https://drive.google.com/drive/folders/1BmhvHBOWJSgDE2f1_XBEymK9QAI8mQX0" TargetMode="External"/><Relationship Id="rId546" Type="http://schemas.openxmlformats.org/officeDocument/2006/relationships/hyperlink" Target="https://drive.google.com/drive/folders/1K5YBvAUXD1E8teNJzPK9GGcfHYofhM-K" TargetMode="External"/><Relationship Id="rId545" Type="http://schemas.openxmlformats.org/officeDocument/2006/relationships/hyperlink" Target="https://github.com/bartfeenstra/betty/issues/2757" TargetMode="External"/><Relationship Id="rId544" Type="http://schemas.openxmlformats.org/officeDocument/2006/relationships/hyperlink" Target="https://drive.google.com/drive/folders/1sb8dWgm_buNAn3ZiYLTHcJ15-Z8JHKz1" TargetMode="External"/><Relationship Id="rId549" Type="http://schemas.openxmlformats.org/officeDocument/2006/relationships/hyperlink" Target="https://drive.google.com/drive/folders/1iftgVg6rUQLFRFP2LZnoWT6j4KwtBBU9" TargetMode="External"/><Relationship Id="rId548" Type="http://schemas.openxmlformats.org/officeDocument/2006/relationships/hyperlink" Target="https://github.com/bashtage/linearmodels/issues/634" TargetMode="External"/><Relationship Id="rId3791" Type="http://schemas.openxmlformats.org/officeDocument/2006/relationships/hyperlink" Target="https://github.com/tud-zih-energy/FIRESTARTER/issues/114" TargetMode="External"/><Relationship Id="rId2460" Type="http://schemas.openxmlformats.org/officeDocument/2006/relationships/hyperlink" Target="https://github.com/MikeSchulze/gdUnit4Net/issues/201" TargetMode="External"/><Relationship Id="rId3790" Type="http://schemas.openxmlformats.org/officeDocument/2006/relationships/hyperlink" Target="https://drive.google.com/drive/folders/147Py9AxZy6jAaLXiEramL5RSyiq-3d9E" TargetMode="External"/><Relationship Id="rId1130" Type="http://schemas.openxmlformats.org/officeDocument/2006/relationships/hyperlink" Target="https://github.com/drwl/annotaterb/issues/199" TargetMode="External"/><Relationship Id="rId2461" Type="http://schemas.openxmlformats.org/officeDocument/2006/relationships/hyperlink" Target="https://drive.google.com/drive/folders/1EbBnZMnJk9bZY6QG0y18dlQdZoGi2SHE" TargetMode="External"/><Relationship Id="rId3793" Type="http://schemas.openxmlformats.org/officeDocument/2006/relationships/hyperlink" Target="https://github.com/TUM-Dev/gocast/issues/1380" TargetMode="External"/><Relationship Id="rId1131" Type="http://schemas.openxmlformats.org/officeDocument/2006/relationships/hyperlink" Target="https://drive.google.com/drive/folders/1v98r2qjJMDhWkYefExwvttnnZeEjpMtT" TargetMode="External"/><Relationship Id="rId2462" Type="http://schemas.openxmlformats.org/officeDocument/2006/relationships/hyperlink" Target="https://github.com/mini-software/MiniExcel/issues/695" TargetMode="External"/><Relationship Id="rId3792" Type="http://schemas.openxmlformats.org/officeDocument/2006/relationships/hyperlink" Target="https://drive.google.com/drive/folders/1pN1h2N-hFxIxnunJypNr-C0_fC6Kmgxa" TargetMode="External"/><Relationship Id="rId543" Type="http://schemas.openxmlformats.org/officeDocument/2006/relationships/hyperlink" Target="https://drive.google.com/drive/folders/1G6bIojA3H7tFdFTcfMMg4B_oXc30cw_V" TargetMode="External"/><Relationship Id="rId1132" Type="http://schemas.openxmlformats.org/officeDocument/2006/relationships/hyperlink" Target="https://github.com/dstackai/dstack/issues/2915" TargetMode="External"/><Relationship Id="rId2463" Type="http://schemas.openxmlformats.org/officeDocument/2006/relationships/hyperlink" Target="https://drive.google.com/drive/folders/1JpNE645h_LlVvTgZh28KMW0g3yVle0aQ" TargetMode="External"/><Relationship Id="rId3795" Type="http://schemas.openxmlformats.org/officeDocument/2006/relationships/hyperlink" Target="https://github.com/turbolytics/sql-flow/issues/116" TargetMode="External"/><Relationship Id="rId542" Type="http://schemas.openxmlformats.org/officeDocument/2006/relationships/hyperlink" Target="https://github.com/bartfeenstra/betty/issues/2417" TargetMode="External"/><Relationship Id="rId1133" Type="http://schemas.openxmlformats.org/officeDocument/2006/relationships/hyperlink" Target="https://drive.google.com/drive/folders/1qTbGuZ9hizOulBlZLuCGqbhI8YlLEfbv" TargetMode="External"/><Relationship Id="rId2464" Type="http://schemas.openxmlformats.org/officeDocument/2006/relationships/hyperlink" Target="https://github.com/Mirascope/lilypad/issues/569" TargetMode="External"/><Relationship Id="rId3794" Type="http://schemas.openxmlformats.org/officeDocument/2006/relationships/hyperlink" Target="https://drive.google.com/drive/folders/1VXtdog3lofnIlwYofuq_Cy8tpEnMUmqR" TargetMode="External"/><Relationship Id="rId541" Type="http://schemas.openxmlformats.org/officeDocument/2006/relationships/hyperlink" Target="https://drive.google.com/drive/folders/16krQE62jBIpnj3vildjInJK707gh2YM0" TargetMode="External"/><Relationship Id="rId1134" Type="http://schemas.openxmlformats.org/officeDocument/2006/relationships/hyperlink" Target="https://github.com/dstackai/dstack/issues/2050" TargetMode="External"/><Relationship Id="rId2465" Type="http://schemas.openxmlformats.org/officeDocument/2006/relationships/hyperlink" Target="https://drive.google.com/drive/folders/1XFLO0KBp7uQxPMu4rt1J3msqLxnp4crN" TargetMode="External"/><Relationship Id="rId3797" Type="http://schemas.openxmlformats.org/officeDocument/2006/relationships/hyperlink" Target="https://github.com/turbolytics/sql-flow/issues/113" TargetMode="External"/><Relationship Id="rId540" Type="http://schemas.openxmlformats.org/officeDocument/2006/relationships/hyperlink" Target="https://drive.google.com/drive/folders/1Fv9qg53KHcolO1p3gMk4KQ8rtEwiqmbS" TargetMode="External"/><Relationship Id="rId1135" Type="http://schemas.openxmlformats.org/officeDocument/2006/relationships/hyperlink" Target="https://drive.google.com/drive/folders/1vkFTw3o9H4Yd1ZWTTecvnMYtBwQ8aTfy" TargetMode="External"/><Relationship Id="rId2466" Type="http://schemas.openxmlformats.org/officeDocument/2006/relationships/hyperlink" Target="https://drive.google.com/drive/folders/1q86e40yVT7AS99h8nuFLsxZOFCq2w1Mz" TargetMode="External"/><Relationship Id="rId3796" Type="http://schemas.openxmlformats.org/officeDocument/2006/relationships/hyperlink" Target="https://drive.google.com/drive/folders/1Hg0_AXsmUNdPDxWIXBy952bYC5TKnL6X" TargetMode="External"/><Relationship Id="rId1125" Type="http://schemas.openxmlformats.org/officeDocument/2006/relationships/hyperlink" Target="https://drive.google.com/drive/folders/1begwM_w2qhkKJAhrBh4hL_JTaKnVhjCX" TargetMode="External"/><Relationship Id="rId2456" Type="http://schemas.openxmlformats.org/officeDocument/2006/relationships/hyperlink" Target="https://github.com/mierak/rmpc/issues/211" TargetMode="External"/><Relationship Id="rId3788" Type="http://schemas.openxmlformats.org/officeDocument/2006/relationships/hyperlink" Target="https://drive.google.com/drive/folders/1ALJhTpz9GvGvA2msD3GFBggTI1hu3h1H" TargetMode="External"/><Relationship Id="rId1126" Type="http://schemas.openxmlformats.org/officeDocument/2006/relationships/hyperlink" Target="https://github.com/drivecore/mycoder/issues/325" TargetMode="External"/><Relationship Id="rId2457" Type="http://schemas.openxmlformats.org/officeDocument/2006/relationships/hyperlink" Target="https://drive.google.com/drive/folders/1onpw86fyqpTWS2p4F1PaWJmFqpP00fO-" TargetMode="External"/><Relationship Id="rId3787" Type="http://schemas.openxmlformats.org/officeDocument/2006/relationships/hyperlink" Target="https://github.com/truffle-ai/dexto/issues/101" TargetMode="External"/><Relationship Id="rId1127" Type="http://schemas.openxmlformats.org/officeDocument/2006/relationships/hyperlink" Target="https://drive.google.com/drive/folders/1InSgOXoW3AZ4dyvDYMaKOs0BfqyGeCVK" TargetMode="External"/><Relationship Id="rId2458" Type="http://schemas.openxmlformats.org/officeDocument/2006/relationships/hyperlink" Target="https://github.com/MikeSchulze/gdUnit4Net/issues/164" TargetMode="External"/><Relationship Id="rId1128" Type="http://schemas.openxmlformats.org/officeDocument/2006/relationships/hyperlink" Target="https://github.com/dropbox/rust-brotli/issues/49" TargetMode="External"/><Relationship Id="rId2459" Type="http://schemas.openxmlformats.org/officeDocument/2006/relationships/hyperlink" Target="https://drive.google.com/drive/folders/1z8XblT6wtQTXHjRJxvNQNtSlXt5K1SFP" TargetMode="External"/><Relationship Id="rId3789" Type="http://schemas.openxmlformats.org/officeDocument/2006/relationships/hyperlink" Target="https://github.com/truffle-ai/dexto/issues/235" TargetMode="External"/><Relationship Id="rId1129" Type="http://schemas.openxmlformats.org/officeDocument/2006/relationships/hyperlink" Target="https://drive.google.com/drive/folders/1qSzWeoRzbT4yPsQ-0m5nWT-1gsCFnYL_" TargetMode="External"/><Relationship Id="rId536" Type="http://schemas.openxmlformats.org/officeDocument/2006/relationships/hyperlink" Target="https://drive.google.com/drive/folders/1X7j42yh-t4pfRho6TskFjIaZ-1xpdfeV" TargetMode="External"/><Relationship Id="rId535" Type="http://schemas.openxmlformats.org/officeDocument/2006/relationships/hyperlink" Target="https://github.com/backstage/backstage/issues/28379" TargetMode="External"/><Relationship Id="rId534" Type="http://schemas.openxmlformats.org/officeDocument/2006/relationships/hyperlink" Target="https://drive.google.com/drive/folders/1ZKVrwqanRmZ2fgC01PC-9tz6QuFuiCsy" TargetMode="External"/><Relationship Id="rId533" Type="http://schemas.openxmlformats.org/officeDocument/2006/relationships/hyperlink" Target="https://drive.google.com/drive/folders/1QoWyh9k2GUZ3RgFIBLUZU-q32U0aQrl4" TargetMode="External"/><Relationship Id="rId539" Type="http://schemas.openxmlformats.org/officeDocument/2006/relationships/hyperlink" Target="https://github.com/bartfeenstra/betty/issues/2440" TargetMode="External"/><Relationship Id="rId538" Type="http://schemas.openxmlformats.org/officeDocument/2006/relationships/hyperlink" Target="https://drive.google.com/drive/folders/1cD4D0Pd5U6J_2rTbz72ZEOblPHFs5RSt" TargetMode="External"/><Relationship Id="rId537" Type="http://schemas.openxmlformats.org/officeDocument/2006/relationships/hyperlink" Target="https://github.com/backstage/backstage/issues/27499" TargetMode="External"/><Relationship Id="rId3780" Type="http://schemas.openxmlformats.org/officeDocument/2006/relationships/hyperlink" Target="https://github.com/trpc/trpc/issues/6463" TargetMode="External"/><Relationship Id="rId2450" Type="http://schemas.openxmlformats.org/officeDocument/2006/relationships/hyperlink" Target="https://github.com/microsoft/testfx/issues/6429" TargetMode="External"/><Relationship Id="rId3782" Type="http://schemas.openxmlformats.org/officeDocument/2006/relationships/hyperlink" Target="https://drive.google.com/drive/folders/15HwMRf2pI6lNe-fZXZoyqiKxINEUGGOW" TargetMode="External"/><Relationship Id="rId1120" Type="http://schemas.openxmlformats.org/officeDocument/2006/relationships/hyperlink" Target="https://github.com/dotnetcore/BootstrapBlazor/issues/4838" TargetMode="External"/><Relationship Id="rId2451" Type="http://schemas.openxmlformats.org/officeDocument/2006/relationships/hyperlink" Target="https://drive.google.com/drive/folders/1y3-5I0N5Tt4htI79yP5y65twR4fHUlfp" TargetMode="External"/><Relationship Id="rId3781" Type="http://schemas.openxmlformats.org/officeDocument/2006/relationships/hyperlink" Target="https://drive.google.com/drive/folders/1fGNj57HQRfzsjCEm-YOOSlUOj5nemrpj" TargetMode="External"/><Relationship Id="rId532" Type="http://schemas.openxmlformats.org/officeDocument/2006/relationships/hyperlink" Target="https://github.com/AzureAD/microsoft-authentication-library-for-java/issues/941" TargetMode="External"/><Relationship Id="rId1121" Type="http://schemas.openxmlformats.org/officeDocument/2006/relationships/hyperlink" Target="https://drive.google.com/drive/folders/1fKJBJDp4XWoiTmPaSWdaAKnkaosQ9BgZ" TargetMode="External"/><Relationship Id="rId2452" Type="http://schemas.openxmlformats.org/officeDocument/2006/relationships/hyperlink" Target="https://github.com/microsoft/vscode-cmake-tools/issues/4094" TargetMode="External"/><Relationship Id="rId3784" Type="http://schemas.openxmlformats.org/officeDocument/2006/relationships/hyperlink" Target="https://drive.google.com/drive/folders/1KRKI667jkWeK_b_w85N89EnCidRacGck" TargetMode="External"/><Relationship Id="rId531" Type="http://schemas.openxmlformats.org/officeDocument/2006/relationships/hyperlink" Target="https://drive.google.com/drive/folders/1NNJfRGMaYf5p6uTR8Ohm0UdQ29i9XiSz" TargetMode="External"/><Relationship Id="rId1122" Type="http://schemas.openxmlformats.org/officeDocument/2006/relationships/hyperlink" Target="https://github.com/dotnetcore/BootstrapBlazor/issues/5000" TargetMode="External"/><Relationship Id="rId2453" Type="http://schemas.openxmlformats.org/officeDocument/2006/relationships/hyperlink" Target="https://drive.google.com/drive/folders/1dAQ7x_iZy_2Sz2tmGCQKskfoS9vykYGZ" TargetMode="External"/><Relationship Id="rId3783" Type="http://schemas.openxmlformats.org/officeDocument/2006/relationships/hyperlink" Target="https://github.com/trueadm/ripple/issues/345" TargetMode="External"/><Relationship Id="rId530" Type="http://schemas.openxmlformats.org/officeDocument/2006/relationships/hyperlink" Target="https://github.com/AzureAD/microsoft-authentication-library-for-dotnet/issues/5135" TargetMode="External"/><Relationship Id="rId1123" Type="http://schemas.openxmlformats.org/officeDocument/2006/relationships/hyperlink" Target="https://drive.google.com/drive/folders/1TV2pa9Zp4jJ0FrqnzeoAS4nNvHEkTMgP" TargetMode="External"/><Relationship Id="rId2454" Type="http://schemas.openxmlformats.org/officeDocument/2006/relationships/hyperlink" Target="https://github.com/microsoft/vscode-prompt-tsx/issues/145" TargetMode="External"/><Relationship Id="rId3786" Type="http://schemas.openxmlformats.org/officeDocument/2006/relationships/hyperlink" Target="https://drive.google.com/drive/folders/1L14cnoBFcmx-FaSpXujsiEvNbWmrbbL7" TargetMode="External"/><Relationship Id="rId1124" Type="http://schemas.openxmlformats.org/officeDocument/2006/relationships/hyperlink" Target="https://github.com/drivecore/mycoder/issues/345" TargetMode="External"/><Relationship Id="rId2455" Type="http://schemas.openxmlformats.org/officeDocument/2006/relationships/hyperlink" Target="https://drive.google.com/drive/folders/1YP6ilFV4Wpl1gfiCQb71vkK_0pIKTQq2" TargetMode="External"/><Relationship Id="rId3785" Type="http://schemas.openxmlformats.org/officeDocument/2006/relationships/hyperlink" Target="https://github.com/TrueBlocks/trueblocks-core/issues/4006" TargetMode="External"/><Relationship Id="rId1158" Type="http://schemas.openxmlformats.org/officeDocument/2006/relationships/hyperlink" Target="https://drive.google.com/drive/folders/1NppvMta2hLz2WiQgLKcItlI4vtCyc0kx" TargetMode="External"/><Relationship Id="rId2489" Type="http://schemas.openxmlformats.org/officeDocument/2006/relationships/hyperlink" Target="https://drive.google.com/drive/folders/1Pfs_x8mtRlzY7a-d_ZXQJW2fSrxmD35p" TargetMode="External"/><Relationship Id="rId5516" Type="http://schemas.openxmlformats.org/officeDocument/2006/relationships/hyperlink" Target="https://github.com/vividus-framework/vividus/issues/5950" TargetMode="External"/><Relationship Id="rId1159" Type="http://schemas.openxmlformats.org/officeDocument/2006/relationships/hyperlink" Target="https://github.com/dumbmatter/fakeIndexedDB/issues/126" TargetMode="External"/><Relationship Id="rId5517" Type="http://schemas.openxmlformats.org/officeDocument/2006/relationships/hyperlink" Target="https://drive.google.com/drive/folders/1hfMMkd-qjvXoW_XrOWpcfF4V6xu2rokh" TargetMode="External"/><Relationship Id="rId5514" Type="http://schemas.openxmlformats.org/officeDocument/2006/relationships/hyperlink" Target="https://github.com/vitest-dev/vitest/issues/7137" TargetMode="External"/><Relationship Id="rId5515" Type="http://schemas.openxmlformats.org/officeDocument/2006/relationships/hyperlink" Target="https://drive.google.com/drive/folders/1tnxrTcXWl2Gl02FvRlHPTUPkQqywcRwD" TargetMode="External"/><Relationship Id="rId5518" Type="http://schemas.openxmlformats.org/officeDocument/2006/relationships/hyperlink" Target="https://github.com/volcano-sh/volcano/issues/4512" TargetMode="External"/><Relationship Id="rId5519" Type="http://schemas.openxmlformats.org/officeDocument/2006/relationships/hyperlink" Target="https://drive.google.com/drive/folders/1PJMuE6wTYtGLc27kMROfs2NwgSXKhRY0" TargetMode="External"/><Relationship Id="rId569" Type="http://schemas.openxmlformats.org/officeDocument/2006/relationships/hyperlink" Target="https://drive.google.com/drive/folders/1IgB1yp9P9ZWfDZ9C0uO1YakvYOURTWHX" TargetMode="External"/><Relationship Id="rId568" Type="http://schemas.openxmlformats.org/officeDocument/2006/relationships/hyperlink" Target="https://github.com/belav/csharpier/issues/1665" TargetMode="External"/><Relationship Id="rId567" Type="http://schemas.openxmlformats.org/officeDocument/2006/relationships/hyperlink" Target="https://drive.google.com/drive/folders/1zp1t1bRsRs6T7FhUO1j48lje8ftNjmhC" TargetMode="External"/><Relationship Id="rId566" Type="http://schemas.openxmlformats.org/officeDocument/2006/relationships/hyperlink" Target="https://github.com/beeware/briefcase/issues/2229" TargetMode="External"/><Relationship Id="rId2480" Type="http://schemas.openxmlformats.org/officeDocument/2006/relationships/hyperlink" Target="https://github.com/mne-tools/mne-python/issues/13044" TargetMode="External"/><Relationship Id="rId561" Type="http://schemas.openxmlformats.org/officeDocument/2006/relationships/hyperlink" Target="https://github.com/beeware/briefcase/issues/2059" TargetMode="External"/><Relationship Id="rId1150" Type="http://schemas.openxmlformats.org/officeDocument/2006/relationships/hyperlink" Target="https://drive.google.com/drive/folders/1jYSp8zhYArSZwtCrK0T4sNZ0_KmkzsPi" TargetMode="External"/><Relationship Id="rId2481" Type="http://schemas.openxmlformats.org/officeDocument/2006/relationships/hyperlink" Target="https://drive.google.com/drive/folders/1l6X4Nx2A0Wdx-RXd2vVa61XUKK1kvIiZ" TargetMode="External"/><Relationship Id="rId560" Type="http://schemas.openxmlformats.org/officeDocument/2006/relationships/hyperlink" Target="https://drive.google.com/drive/folders/1qK8lRDMaRrNjjBzpJthvp2zzpArAuwt2" TargetMode="External"/><Relationship Id="rId1151" Type="http://schemas.openxmlformats.org/officeDocument/2006/relationships/hyperlink" Target="https://drive.google.com/drive/folders/1XqLpedsbmtY6kYSQyrRmJEQdRdo4jEL_" TargetMode="External"/><Relationship Id="rId2482" Type="http://schemas.openxmlformats.org/officeDocument/2006/relationships/hyperlink" Target="https://github.com/MobiFlight/MobiFlight-Connector/issues/2348" TargetMode="External"/><Relationship Id="rId1152" Type="http://schemas.openxmlformats.org/officeDocument/2006/relationships/hyperlink" Target="https://github.com/dtcenter/METplus/issues/3094" TargetMode="External"/><Relationship Id="rId2483" Type="http://schemas.openxmlformats.org/officeDocument/2006/relationships/hyperlink" Target="https://github.com/modelcontextprotocol/go-sdk/issues/292" TargetMode="External"/><Relationship Id="rId1153" Type="http://schemas.openxmlformats.org/officeDocument/2006/relationships/hyperlink" Target="https://drive.google.com/drive/folders/1M8rs1owLDNUAaezUkokXBS4ljyag1N-R" TargetMode="External"/><Relationship Id="rId2484" Type="http://schemas.openxmlformats.org/officeDocument/2006/relationships/hyperlink" Target="https://drive.google.com/drive/folders/1wPe4x_XgP4ejXWtgHLbihehAqpT-d0fE" TargetMode="External"/><Relationship Id="rId565" Type="http://schemas.openxmlformats.org/officeDocument/2006/relationships/hyperlink" Target="https://drive.google.com/drive/folders/1SI4VB_YTNMoEJLQ881b7e54dMIgXQcz3" TargetMode="External"/><Relationship Id="rId1154" Type="http://schemas.openxmlformats.org/officeDocument/2006/relationships/hyperlink" Target="https://drive.google.com/drive/folders/1zqSwrDT64Zmsz_RQaIaa_BEGDBu7DbW_" TargetMode="External"/><Relationship Id="rId2485" Type="http://schemas.openxmlformats.org/officeDocument/2006/relationships/hyperlink" Target="https://drive.google.com/drive/folders/1vj7Az6MWaXm1iy2K8zHd4ivcbqUaJ0wi" TargetMode="External"/><Relationship Id="rId5512" Type="http://schemas.openxmlformats.org/officeDocument/2006/relationships/hyperlink" Target="https://github.com/vitest-dev/eslint-plugin-vitest/issues/574" TargetMode="External"/><Relationship Id="rId564" Type="http://schemas.openxmlformats.org/officeDocument/2006/relationships/hyperlink" Target="https://github.com/beeware/briefcase/issues/2119" TargetMode="External"/><Relationship Id="rId1155" Type="http://schemas.openxmlformats.org/officeDocument/2006/relationships/hyperlink" Target="https://github.com/dtolnay/thiserror/issues/373" TargetMode="External"/><Relationship Id="rId2486" Type="http://schemas.openxmlformats.org/officeDocument/2006/relationships/hyperlink" Target="https://github.com/modelcontextprotocol/go-sdk/issues/517" TargetMode="External"/><Relationship Id="rId5513" Type="http://schemas.openxmlformats.org/officeDocument/2006/relationships/hyperlink" Target="https://drive.google.com/drive/folders/1jEJulc5vbQpX6urO6TTAsf5FCi1U9e__" TargetMode="External"/><Relationship Id="rId563" Type="http://schemas.openxmlformats.org/officeDocument/2006/relationships/hyperlink" Target="https://drive.google.com/drive/folders/1VTvyi-84NRLw_c16U0Ejw6E1lNYsg_96" TargetMode="External"/><Relationship Id="rId1156" Type="http://schemas.openxmlformats.org/officeDocument/2006/relationships/hyperlink" Target="https://drive.google.com/drive/folders/1Qyq1nb6dhIxMYHHe_t2Vv3BdEuS6Gkx3" TargetMode="External"/><Relationship Id="rId2487" Type="http://schemas.openxmlformats.org/officeDocument/2006/relationships/hyperlink" Target="https://drive.google.com/drive/folders/1I8hlAbgA8e_V7YejRX3EiXBIJP2xsWVa" TargetMode="External"/><Relationship Id="rId5510" Type="http://schemas.openxmlformats.org/officeDocument/2006/relationships/hyperlink" Target="https://drive.google.com/drive/folders/1wx7VZ8gvNJ4HJpt4gSX_HsemfIOhLVRu" TargetMode="External"/><Relationship Id="rId562" Type="http://schemas.openxmlformats.org/officeDocument/2006/relationships/hyperlink" Target="https://drive.google.com/drive/folders/1yhfFGLO0pnxo0Y-ipzqAGOmV1QTXcIaO" TargetMode="External"/><Relationship Id="rId1157" Type="http://schemas.openxmlformats.org/officeDocument/2006/relationships/hyperlink" Target="https://github.com/DuendeSoftware/foss/issues/134" TargetMode="External"/><Relationship Id="rId2488" Type="http://schemas.openxmlformats.org/officeDocument/2006/relationships/hyperlink" Target="https://github.com/modelcontextprotocol/registry/issues/282" TargetMode="External"/><Relationship Id="rId5511" Type="http://schemas.openxmlformats.org/officeDocument/2006/relationships/hyperlink" Target="https://drive.google.com/drive/folders/1DKe5hsQOvyD-5UcIGam3g5seC5x-QwaO" TargetMode="External"/><Relationship Id="rId1147" Type="http://schemas.openxmlformats.org/officeDocument/2006/relationships/hyperlink" Target="https://drive.google.com/drive/folders/1GzRi8dqapuudynoVtGvKaodEr3K3mHvb" TargetMode="External"/><Relationship Id="rId2478" Type="http://schemas.openxmlformats.org/officeDocument/2006/relationships/hyperlink" Target="https://github.com/mne-tools/mne-python/issues/12955" TargetMode="External"/><Relationship Id="rId5505" Type="http://schemas.openxmlformats.org/officeDocument/2006/relationships/hyperlink" Target="https://github.com/vidhanio/hypertext/issues/80" TargetMode="External"/><Relationship Id="rId1148" Type="http://schemas.openxmlformats.org/officeDocument/2006/relationships/hyperlink" Target="https://drive.google.com/drive/folders/1t-eQmHi4QerwBxzAezSJUrA7S3f_0fuH" TargetMode="External"/><Relationship Id="rId2479" Type="http://schemas.openxmlformats.org/officeDocument/2006/relationships/hyperlink" Target="https://github.com/mne-tools/mne-python/issues/12848" TargetMode="External"/><Relationship Id="rId5506" Type="http://schemas.openxmlformats.org/officeDocument/2006/relationships/hyperlink" Target="https://drive.google.com/drive/folders/1rDQv_Xqv1W5x8Iiqvd4goxZSgDwV7A-O" TargetMode="External"/><Relationship Id="rId1149" Type="http://schemas.openxmlformats.org/officeDocument/2006/relationships/hyperlink" Target="https://github.com/dtcenter/METplus/issues/3089" TargetMode="External"/><Relationship Id="rId5503" Type="http://schemas.openxmlformats.org/officeDocument/2006/relationships/hyperlink" Target="https://drive.google.com/drive/folders/1fzGETEUoZnxFgTzpjycNHnBoSeLM0yVj" TargetMode="External"/><Relationship Id="rId5504" Type="http://schemas.openxmlformats.org/officeDocument/2006/relationships/hyperlink" Target="https://drive.google.com/drive/folders/1j_Gf9FLOCab_1xtygOcUGm_oYtTKl_ZS" TargetMode="External"/><Relationship Id="rId5509" Type="http://schemas.openxmlformats.org/officeDocument/2006/relationships/hyperlink" Target="https://github.com/VirusTotal/yara-x/issues/305" TargetMode="External"/><Relationship Id="rId5507" Type="http://schemas.openxmlformats.org/officeDocument/2006/relationships/hyperlink" Target="https://github.com/vidhanio/hypertext/issues/96" TargetMode="External"/><Relationship Id="rId5508" Type="http://schemas.openxmlformats.org/officeDocument/2006/relationships/hyperlink" Target="https://drive.google.com/drive/folders/1paZ2AX08Nt0dJsuylfEQ197wxwEqjRfl" TargetMode="External"/><Relationship Id="rId558" Type="http://schemas.openxmlformats.org/officeDocument/2006/relationships/hyperlink" Target="https://github.com/bayesflow-org/bayesflow/issues/419" TargetMode="External"/><Relationship Id="rId557" Type="http://schemas.openxmlformats.org/officeDocument/2006/relationships/hyperlink" Target="https://drive.google.com/drive/folders/12BtZXLBesb-PPBLWUlBVKBt5Iviqa5Eg" TargetMode="External"/><Relationship Id="rId556" Type="http://schemas.openxmlformats.org/officeDocument/2006/relationships/hyperlink" Target="https://drive.google.com/drive/folders/1ehaQs0XRIbKx1tw7aPUor7_6lDN-3RcJ" TargetMode="External"/><Relationship Id="rId555" Type="http://schemas.openxmlformats.org/officeDocument/2006/relationships/hyperlink" Target="https://github.com/bayesflow-org/bayesflow/issues/284" TargetMode="External"/><Relationship Id="rId559" Type="http://schemas.openxmlformats.org/officeDocument/2006/relationships/hyperlink" Target="https://drive.google.com/drive/folders/1BxxyMWpqz_xPfzUZ9qwILlTaOdQqZ-sJ" TargetMode="External"/><Relationship Id="rId550" Type="http://schemas.openxmlformats.org/officeDocument/2006/relationships/hyperlink" Target="https://github.com/basnijholt/dotbins/issues/83" TargetMode="External"/><Relationship Id="rId2470" Type="http://schemas.openxmlformats.org/officeDocument/2006/relationships/hyperlink" Target="https://github.com/mitsuhiko/minijinja/issues/687" TargetMode="External"/><Relationship Id="rId1140" Type="http://schemas.openxmlformats.org/officeDocument/2006/relationships/hyperlink" Target="https://github.com/dstackai/dstack/issues/2375" TargetMode="External"/><Relationship Id="rId2471" Type="http://schemas.openxmlformats.org/officeDocument/2006/relationships/hyperlink" Target="https://drive.google.com/drive/folders/1tudP0mkjUOrKr56pSpD-Z7dNE9oUSZ7o" TargetMode="External"/><Relationship Id="rId1141" Type="http://schemas.openxmlformats.org/officeDocument/2006/relationships/hyperlink" Target="https://drive.google.com/drive/folders/19x9Sb-NplDuXK9g4HqX2RSwwS6TuUFJX" TargetMode="External"/><Relationship Id="rId2472" Type="http://schemas.openxmlformats.org/officeDocument/2006/relationships/hyperlink" Target="https://drive.google.com/drive/folders/1q94zomU6-oe0V2WHJBSmBGWgGD2NdPw_" TargetMode="External"/><Relationship Id="rId1142" Type="http://schemas.openxmlformats.org/officeDocument/2006/relationships/hyperlink" Target="https://github.com/dstackai/dstack/issues/2299" TargetMode="External"/><Relationship Id="rId2473" Type="http://schemas.openxmlformats.org/officeDocument/2006/relationships/hyperlink" Target="https://github.com/mizdra/css-modules-kit/issues/205" TargetMode="External"/><Relationship Id="rId554" Type="http://schemas.openxmlformats.org/officeDocument/2006/relationships/hyperlink" Target="https://drive.google.com/drive/folders/1DJYAtYVZeku2u7Ery910aic7qmOr_GdK" TargetMode="External"/><Relationship Id="rId1143" Type="http://schemas.openxmlformats.org/officeDocument/2006/relationships/hyperlink" Target="https://drive.google.com/drive/folders/1WRPpDjgcaMmydwcJzWhk2IsI5eZUtLrH" TargetMode="External"/><Relationship Id="rId2474" Type="http://schemas.openxmlformats.org/officeDocument/2006/relationships/hyperlink" Target="https://drive.google.com/drive/folders/1fHVXB4HtWpVWDtdISECvjC3-n8nYV7ZY" TargetMode="External"/><Relationship Id="rId5501" Type="http://schemas.openxmlformats.org/officeDocument/2006/relationships/hyperlink" Target="https://drive.google.com/drive/folders/1AbFOC3Ljpo-ne_-Hoxaxi7Cx4JeqgO15" TargetMode="External"/><Relationship Id="rId553" Type="http://schemas.openxmlformats.org/officeDocument/2006/relationships/hyperlink" Target="https://github.com/bavix/gripmock/issues/653" TargetMode="External"/><Relationship Id="rId1144" Type="http://schemas.openxmlformats.org/officeDocument/2006/relationships/hyperlink" Target="https://github.com/dstackai/dstack/issues/2914" TargetMode="External"/><Relationship Id="rId2475" Type="http://schemas.openxmlformats.org/officeDocument/2006/relationships/hyperlink" Target="https://drive.google.com/drive/folders/1ms8z-1bDFGuHnVLYSjBuV_IH_ZSsnLJh" TargetMode="External"/><Relationship Id="rId5502" Type="http://schemas.openxmlformats.org/officeDocument/2006/relationships/hyperlink" Target="https://github.com/video-dev/hls.js/issues/7211" TargetMode="External"/><Relationship Id="rId552" Type="http://schemas.openxmlformats.org/officeDocument/2006/relationships/hyperlink" Target="https://drive.google.com/drive/folders/1yz4TYO6HHxOd6FX4wZLAp7Du-MB7zGHi" TargetMode="External"/><Relationship Id="rId1145" Type="http://schemas.openxmlformats.org/officeDocument/2006/relationships/hyperlink" Target="https://drive.google.com/drive/folders/15hc7GKDLIJtMOoOIRlcKrqr6P8nrUJLw" TargetMode="External"/><Relationship Id="rId2476" Type="http://schemas.openxmlformats.org/officeDocument/2006/relationships/hyperlink" Target="https://github.com/mkniewallner/migrate-to-uv/issues/16" TargetMode="External"/><Relationship Id="rId551" Type="http://schemas.openxmlformats.org/officeDocument/2006/relationships/hyperlink" Target="https://drive.google.com/drive/folders/1NNvPawCDuJQwGA23RPKizOfXpsbdXmnU" TargetMode="External"/><Relationship Id="rId1146" Type="http://schemas.openxmlformats.org/officeDocument/2006/relationships/hyperlink" Target="https://github.com/dtcenter/METplus/issues/2945" TargetMode="External"/><Relationship Id="rId2477" Type="http://schemas.openxmlformats.org/officeDocument/2006/relationships/hyperlink" Target="https://drive.google.com/drive/folders/1yQ-xC8MXz7FMbbMSAueBNtGjQWKW10J3" TargetMode="External"/><Relationship Id="rId5500" Type="http://schemas.openxmlformats.org/officeDocument/2006/relationships/hyperlink" Target="https://drive.google.com/drive/folders/1oFcvoarx_t-Svq2w0gt1RGy2ql0ZKPdZ" TargetMode="External"/><Relationship Id="rId4280" Type="http://schemas.openxmlformats.org/officeDocument/2006/relationships/hyperlink" Target="https://drive.google.com/drive/folders/1j8FiMhhbh-kE2SSeeMnhXyuo7dz3UD_I" TargetMode="External"/><Relationship Id="rId4282" Type="http://schemas.openxmlformats.org/officeDocument/2006/relationships/hyperlink" Target="https://drive.google.com/drive/folders/1m_KjNq9DojBLAvmbjClAlMz2LVOP7-jA" TargetMode="External"/><Relationship Id="rId4281" Type="http://schemas.openxmlformats.org/officeDocument/2006/relationships/hyperlink" Target="https://github.com/bitwarden/clients/issues/15099" TargetMode="External"/><Relationship Id="rId4284" Type="http://schemas.openxmlformats.org/officeDocument/2006/relationships/hyperlink" Target="https://github.com/blakeblackshear/frigate-hass-integration/issues/794" TargetMode="External"/><Relationship Id="rId4283" Type="http://schemas.openxmlformats.org/officeDocument/2006/relationships/hyperlink" Target="https://drive.google.com/drive/folders/1ep7lY8uo41slXZ8sJku_uCzQUGkPv6oi" TargetMode="External"/><Relationship Id="rId4286" Type="http://schemas.openxmlformats.org/officeDocument/2006/relationships/hyperlink" Target="https://github.com/blindsidenetworks/scalelite/issues/1127" TargetMode="External"/><Relationship Id="rId4285" Type="http://schemas.openxmlformats.org/officeDocument/2006/relationships/hyperlink" Target="https://drive.google.com/drive/folders/1NXSIsYFDM_CSi51yuu2U9_QrJIY_QfKF" TargetMode="External"/><Relationship Id="rId4288" Type="http://schemas.openxmlformats.org/officeDocument/2006/relationships/hyperlink" Target="https://github.com/blinklabs-io/gouroboros/issues/1054" TargetMode="External"/><Relationship Id="rId4287" Type="http://schemas.openxmlformats.org/officeDocument/2006/relationships/hyperlink" Target="https://drive.google.com/drive/folders/10yazWvgyFOoafHaDmux_CVnVwtcxfhPU" TargetMode="External"/><Relationship Id="rId4289" Type="http://schemas.openxmlformats.org/officeDocument/2006/relationships/hyperlink" Target="https://drive.google.com/drive/folders/13IBIPBJaTMZFp1mvxYsNgzmdCAbTjBsI" TargetMode="External"/><Relationship Id="rId4271" Type="http://schemas.openxmlformats.org/officeDocument/2006/relationships/hyperlink" Target="https://drive.google.com/drive/folders/1R4-uYjbMzGu3hDA7dOapRPKlabTHb3Wb" TargetMode="External"/><Relationship Id="rId4270" Type="http://schemas.openxmlformats.org/officeDocument/2006/relationships/hyperlink" Target="https://github.com/better-auth/better-auth/issues/4502" TargetMode="External"/><Relationship Id="rId4273" Type="http://schemas.openxmlformats.org/officeDocument/2006/relationships/hyperlink" Target="https://drive.google.com/drive/folders/1qaDxfjbeyEHnTW086h7V5S49I4k4bVYY" TargetMode="External"/><Relationship Id="rId4272" Type="http://schemas.openxmlformats.org/officeDocument/2006/relationships/hyperlink" Target="https://github.com/better-auth/better-auth/issues/3868" TargetMode="External"/><Relationship Id="rId4275" Type="http://schemas.openxmlformats.org/officeDocument/2006/relationships/hyperlink" Target="https://drive.google.com/drive/folders/1vxa8bYtJmplOCHVa794tyR9ibBcmJM4L" TargetMode="External"/><Relationship Id="rId4274" Type="http://schemas.openxmlformats.org/officeDocument/2006/relationships/hyperlink" Target="https://github.com/biopython/biopython/issues/5021" TargetMode="External"/><Relationship Id="rId4277" Type="http://schemas.openxmlformats.org/officeDocument/2006/relationships/hyperlink" Target="https://github.com/bitburner-official/bitburner-src/issues/2135" TargetMode="External"/><Relationship Id="rId4276" Type="http://schemas.openxmlformats.org/officeDocument/2006/relationships/hyperlink" Target="https://drive.google.com/drive/folders/1TVqlYAEPnMYmCmL4H1aN_LQu1V0BeypO" TargetMode="External"/><Relationship Id="rId4279" Type="http://schemas.openxmlformats.org/officeDocument/2006/relationships/hyperlink" Target="https://github.com/bitcoin/bitcoin/issues/31096" TargetMode="External"/><Relationship Id="rId4278" Type="http://schemas.openxmlformats.org/officeDocument/2006/relationships/hyperlink" Target="https://drive.google.com/drive/folders/1MFMDsvb7qukqZIeNjmYintB2J8kr5YF_" TargetMode="External"/><Relationship Id="rId4291" Type="http://schemas.openxmlformats.org/officeDocument/2006/relationships/hyperlink" Target="https://drive.google.com/drive/folders/11wqXRSeiZgxTtjN3GaVmIUZ6TtZgurMU" TargetMode="External"/><Relationship Id="rId4290" Type="http://schemas.openxmlformats.org/officeDocument/2006/relationships/hyperlink" Target="https://github.com/BlueBrain/nmodl/issues/1124" TargetMode="External"/><Relationship Id="rId4293" Type="http://schemas.openxmlformats.org/officeDocument/2006/relationships/hyperlink" Target="https://github.com/bluelibs/runner/issues/41" TargetMode="External"/><Relationship Id="rId4292" Type="http://schemas.openxmlformats.org/officeDocument/2006/relationships/hyperlink" Target="https://drive.google.com/drive/folders/1nHO62G1smDndWwLlCgr8U5-S1D464KXr" TargetMode="External"/><Relationship Id="rId4295" Type="http://schemas.openxmlformats.org/officeDocument/2006/relationships/hyperlink" Target="https://github.com/bluenviron/mediamtx/issues/4809" TargetMode="External"/><Relationship Id="rId4294" Type="http://schemas.openxmlformats.org/officeDocument/2006/relationships/hyperlink" Target="https://drive.google.com/drive/folders/1cqGemVqlU8917L1Z-I9Lz6xXvDPCpoTz" TargetMode="External"/><Relationship Id="rId4297" Type="http://schemas.openxmlformats.org/officeDocument/2006/relationships/hyperlink" Target="https://github.com/Blueprints-org/blueprints/issues/487" TargetMode="External"/><Relationship Id="rId4296" Type="http://schemas.openxmlformats.org/officeDocument/2006/relationships/hyperlink" Target="https://drive.google.com/drive/folders/1uXY8rzklZF7KIt_Oo8W1GAPOBLKtmBgu" TargetMode="External"/><Relationship Id="rId4299" Type="http://schemas.openxmlformats.org/officeDocument/2006/relationships/hyperlink" Target="https://drive.google.com/drive/folders/14-AL8XvbZD_Aaaf2kCAUliIlVkSHPLmK" TargetMode="External"/><Relationship Id="rId4298" Type="http://schemas.openxmlformats.org/officeDocument/2006/relationships/hyperlink" Target="https://drive.google.com/drive/folders/1CJIoK6pP6Bvf-4A9ZOHtCAXaGMkfwSI5" TargetMode="External"/><Relationship Id="rId4249" Type="http://schemas.openxmlformats.org/officeDocument/2006/relationships/hyperlink" Target="https://drive.google.com/drive/folders/1nWBSQPxTLTrWaOvZ8bxQmTkuQihMFgCL" TargetMode="External"/><Relationship Id="rId5570" Type="http://schemas.openxmlformats.org/officeDocument/2006/relationships/hyperlink" Target="https://github.com/ysugimoto/falco/issues/403" TargetMode="External"/><Relationship Id="rId5571" Type="http://schemas.openxmlformats.org/officeDocument/2006/relationships/hyperlink" Target="https://drive.google.com/drive/folders/19PFiDVNi2nFnebR_pHLmHhSxWKSj3vo5" TargetMode="External"/><Relationship Id="rId4240" Type="http://schemas.openxmlformats.org/officeDocument/2006/relationships/hyperlink" Target="https://github.com/awslabs/mcp/issues/277" TargetMode="External"/><Relationship Id="rId4242" Type="http://schemas.openxmlformats.org/officeDocument/2006/relationships/hyperlink" Target="https://drive.google.com/drive/folders/1Mb7F5Szd1pII-k-uTxNprldt5xwJNir_" TargetMode="External"/><Relationship Id="rId5574" Type="http://schemas.openxmlformats.org/officeDocument/2006/relationships/hyperlink" Target="https://drive.google.com/drive/folders/1GWonrC7UguW0imovmpGM-7J86JxhUsFG" TargetMode="External"/><Relationship Id="rId4241" Type="http://schemas.openxmlformats.org/officeDocument/2006/relationships/hyperlink" Target="https://drive.google.com/drive/folders/1pIZ3_80wZCbvQmFJDBTDmtgsPZXzd_7v" TargetMode="External"/><Relationship Id="rId5575" Type="http://schemas.openxmlformats.org/officeDocument/2006/relationships/hyperlink" Target="https://github.com/zeromicro/go-zero/issues/4633" TargetMode="External"/><Relationship Id="rId4244" Type="http://schemas.openxmlformats.org/officeDocument/2006/relationships/hyperlink" Target="https://drive.google.com/drive/folders/1bDW8eJHsyfnZ8gsp2XWtx_BVPJz33D6_" TargetMode="External"/><Relationship Id="rId5572" Type="http://schemas.openxmlformats.org/officeDocument/2006/relationships/hyperlink" Target="https://drive.google.com/drive/folders/1Eb_h3iSbWY9BsohbfLUVKTHm_x3msiGu" TargetMode="External"/><Relationship Id="rId4243" Type="http://schemas.openxmlformats.org/officeDocument/2006/relationships/hyperlink" Target="https://github.com/azat-io/eslint-plugin-perfectionist/issues/455" TargetMode="External"/><Relationship Id="rId5573" Type="http://schemas.openxmlformats.org/officeDocument/2006/relationships/hyperlink" Target="https://github.com/zalando/logbook/issues/965" TargetMode="External"/><Relationship Id="rId4246" Type="http://schemas.openxmlformats.org/officeDocument/2006/relationships/hyperlink" Target="https://github.com/Azure/aks-mcp/issues/63" TargetMode="External"/><Relationship Id="rId5578" Type="http://schemas.openxmlformats.org/officeDocument/2006/relationships/hyperlink" Target="https://drive.google.com/drive/folders/1QLZAv_GqACvmEVMr2zhXEhXjjzPGvczz" TargetMode="External"/><Relationship Id="rId4245" Type="http://schemas.openxmlformats.org/officeDocument/2006/relationships/hyperlink" Target="https://drive.google.com/drive/folders/1s-ujA3dQCWt6n7gi5Q3zRNNjgI8ByOfP" TargetMode="External"/><Relationship Id="rId5579" Type="http://schemas.openxmlformats.org/officeDocument/2006/relationships/hyperlink" Target="https://github.com/zwicker-group/py-pde/issues/712" TargetMode="External"/><Relationship Id="rId4248" Type="http://schemas.openxmlformats.org/officeDocument/2006/relationships/hyperlink" Target="https://github.com/Azure/azure-dev/issues/5090" TargetMode="External"/><Relationship Id="rId5576" Type="http://schemas.openxmlformats.org/officeDocument/2006/relationships/hyperlink" Target="https://drive.google.com/drive/folders/1NzhD_8SrzOov2nhkUy79SUtJhG5Bfqza" TargetMode="External"/><Relationship Id="rId4247" Type="http://schemas.openxmlformats.org/officeDocument/2006/relationships/hyperlink" Target="https://drive.google.com/drive/folders/1z-8Q4oc3gD3yC5_J7NiFQ0zdmgTWtisF" TargetMode="External"/><Relationship Id="rId5577" Type="http://schemas.openxmlformats.org/officeDocument/2006/relationships/hyperlink" Target="https://github.com/zeux/meshoptimizer/issues/846" TargetMode="External"/><Relationship Id="rId4239" Type="http://schemas.openxmlformats.org/officeDocument/2006/relationships/hyperlink" Target="https://drive.google.com/drive/folders/12lKGFChW_ecGsoW8iuIdbmO2-bsoM1wx" TargetMode="External"/><Relationship Id="rId4238" Type="http://schemas.openxmlformats.org/officeDocument/2006/relationships/hyperlink" Target="https://drive.google.com/drive/folders/1WOtoN1qC7g4J5qJvEsRzQ9JB2Mwx3HqX" TargetMode="External"/><Relationship Id="rId5569" Type="http://schemas.openxmlformats.org/officeDocument/2006/relationships/hyperlink" Target="https://drive.google.com/drive/folders/1vodIGSHExFMC2YWVkDuZZgl9Rb5uHJHu" TargetMode="External"/><Relationship Id="rId5560" Type="http://schemas.openxmlformats.org/officeDocument/2006/relationships/hyperlink" Target="https://github.com/xonsh/xonsh/issues/5744" TargetMode="External"/><Relationship Id="rId495" Type="http://schemas.openxmlformats.org/officeDocument/2006/relationships/hyperlink" Target="https://drive.google.com/drive/folders/1U8ZxOzMqAD5oDjBcKSumyd4gpCAoAcu7" TargetMode="External"/><Relationship Id="rId4231" Type="http://schemas.openxmlformats.org/officeDocument/2006/relationships/hyperlink" Target="https://drive.google.com/drive/folders/15Rgv1VGo22uoC_GrvfKc1_XX1-1p4z7B" TargetMode="External"/><Relationship Id="rId5563" Type="http://schemas.openxmlformats.org/officeDocument/2006/relationships/hyperlink" Target="https://github.com/yamada-ui/yamada-ui/issues/3582" TargetMode="External"/><Relationship Id="rId494" Type="http://schemas.openxmlformats.org/officeDocument/2006/relationships/hyperlink" Target="https://drive.google.com/drive/folders/1eZ_JOy-TKgyKJ7vu4EYG7oRbqHZtvZuU" TargetMode="External"/><Relationship Id="rId4230" Type="http://schemas.openxmlformats.org/officeDocument/2006/relationships/hyperlink" Target="https://drive.google.com/drive/folders/1gi66ehq3xFZQ2HRxSWBGOX9rGRaEkOWN" TargetMode="External"/><Relationship Id="rId5564" Type="http://schemas.openxmlformats.org/officeDocument/2006/relationships/hyperlink" Target="https://drive.google.com/drive/folders/114XroiXDObbyqgKWQ96bW7wUdFqGdvLp" TargetMode="External"/><Relationship Id="rId493" Type="http://schemas.openxmlformats.org/officeDocument/2006/relationships/hyperlink" Target="https://github.com/AxonFramework/AxonFramework/issues/2722" TargetMode="External"/><Relationship Id="rId4233" Type="http://schemas.openxmlformats.org/officeDocument/2006/relationships/hyperlink" Target="https://drive.google.com/drive/folders/1Q3Op2OWAOvA4Kp1on-2Pmo4uRWj8r8sp" TargetMode="External"/><Relationship Id="rId5561" Type="http://schemas.openxmlformats.org/officeDocument/2006/relationships/hyperlink" Target="https://drive.google.com/drive/folders/1XNtF5GPHJQO-wkCDccm4Ni2v_sCXk0Fl" TargetMode="External"/><Relationship Id="rId492" Type="http://schemas.openxmlformats.org/officeDocument/2006/relationships/hyperlink" Target="https://drive.google.com/drive/folders/1YT1EZtMkENBNFKJJ0fL8drzWOH5Zpf5M" TargetMode="External"/><Relationship Id="rId4232" Type="http://schemas.openxmlformats.org/officeDocument/2006/relationships/hyperlink" Target="https://github.com/aws-powertools/powertools-lambda-python/issues/6510" TargetMode="External"/><Relationship Id="rId5562" Type="http://schemas.openxmlformats.org/officeDocument/2006/relationships/hyperlink" Target="https://drive.google.com/drive/folders/1P94BJqDyH8y7BSF6J4OyiCAqoDl5RWiI" TargetMode="External"/><Relationship Id="rId499" Type="http://schemas.openxmlformats.org/officeDocument/2006/relationships/hyperlink" Target="https://github.com/Azure-Samples/Apim-Samples/issues/88" TargetMode="External"/><Relationship Id="rId4235" Type="http://schemas.openxmlformats.org/officeDocument/2006/relationships/hyperlink" Target="https://github.com/aws/aws-advanced-jdbc-wrapper/issues/1361" TargetMode="External"/><Relationship Id="rId5567" Type="http://schemas.openxmlformats.org/officeDocument/2006/relationships/hyperlink" Target="https://github.com/yorukot/superfile/issues/931" TargetMode="External"/><Relationship Id="rId498" Type="http://schemas.openxmlformats.org/officeDocument/2006/relationships/hyperlink" Target="https://drive.google.com/drive/folders/1Wi-NF6oGVkx6azUYou3csbpTDMlSnuuR" TargetMode="External"/><Relationship Id="rId4234" Type="http://schemas.openxmlformats.org/officeDocument/2006/relationships/hyperlink" Target="https://drive.google.com/drive/folders/19nHLcMgw6GzVW9gqe9xd6GxPgPyk2ibL" TargetMode="External"/><Relationship Id="rId5568" Type="http://schemas.openxmlformats.org/officeDocument/2006/relationships/hyperlink" Target="https://drive.google.com/drive/folders/14iZwZxJTC50WvcswcV5E4t-68hf-Fb7c" TargetMode="External"/><Relationship Id="rId497" Type="http://schemas.openxmlformats.org/officeDocument/2006/relationships/hyperlink" Target="https://drive.google.com/drive/folders/18xw2yMHihdILPxGtTrkRbyYgjWYcwgSr" TargetMode="External"/><Relationship Id="rId4237" Type="http://schemas.openxmlformats.org/officeDocument/2006/relationships/hyperlink" Target="https://github.com/awslabs/mcp/issues/715" TargetMode="External"/><Relationship Id="rId5565" Type="http://schemas.openxmlformats.org/officeDocument/2006/relationships/hyperlink" Target="https://github.com/yeonjuan/html-eslint/issues/304" TargetMode="External"/><Relationship Id="rId496" Type="http://schemas.openxmlformats.org/officeDocument/2006/relationships/hyperlink" Target="https://github.com/AxonFramework/AxonFramework/issues/2139" TargetMode="External"/><Relationship Id="rId4236" Type="http://schemas.openxmlformats.org/officeDocument/2006/relationships/hyperlink" Target="https://drive.google.com/drive/folders/1hPQ1TsNTIDVBwc4wsHM72FACEBLBT24K" TargetMode="External"/><Relationship Id="rId5566" Type="http://schemas.openxmlformats.org/officeDocument/2006/relationships/hyperlink" Target="https://drive.google.com/drive/folders/1vF-ey5opocwR2XxeqBwjyxbPLtuNv8gw" TargetMode="External"/><Relationship Id="rId4260" Type="http://schemas.openxmlformats.org/officeDocument/2006/relationships/hyperlink" Target="https://drive.google.com/drive/folders/1oNUe3ncE3UNoPA6BenTnbmT4ylNfsSOv" TargetMode="External"/><Relationship Id="rId5592" Type="http://schemas.openxmlformats.org/officeDocument/2006/relationships/hyperlink" Target="https://github.com/awslabs/graphstorm/issues/1175" TargetMode="External"/><Relationship Id="rId5593" Type="http://schemas.openxmlformats.org/officeDocument/2006/relationships/hyperlink" Target="https://drive.google.com/drive/folders/1WTNcDKmsbfBpMh9XYX3737j4w28ny6lj" TargetMode="External"/><Relationship Id="rId4262" Type="http://schemas.openxmlformats.org/officeDocument/2006/relationships/hyperlink" Target="https://drive.google.com/drive/folders/1Ap9s3jOcdnql7iNJDIDiPHHtwnIw72Ua" TargetMode="External"/><Relationship Id="rId5590" Type="http://schemas.openxmlformats.org/officeDocument/2006/relationships/hyperlink" Target="https://github.com/autogluon/autogluon/issues/5078" TargetMode="External"/><Relationship Id="rId4261" Type="http://schemas.openxmlformats.org/officeDocument/2006/relationships/hyperlink" Target="https://github.com/Bekacru/better-call/issues/36" TargetMode="External"/><Relationship Id="rId5591" Type="http://schemas.openxmlformats.org/officeDocument/2006/relationships/hyperlink" Target="https://drive.google.com/drive/folders/1taHvuq9zHFqYD5o66rQFhC8icYwlSbFA" TargetMode="External"/><Relationship Id="rId4264" Type="http://schemas.openxmlformats.org/officeDocument/2006/relationships/hyperlink" Target="https://github.com/BerriAI/litellm/issues/15760" TargetMode="External"/><Relationship Id="rId5596" Type="http://schemas.openxmlformats.org/officeDocument/2006/relationships/hyperlink" Target="https://github.com/AxonFramework/AxonFramework/issues/2729" TargetMode="External"/><Relationship Id="rId4263" Type="http://schemas.openxmlformats.org/officeDocument/2006/relationships/hyperlink" Target="https://drive.google.com/drive/folders/1XJp-biGYnenxx0HZYlP6qnDEa2lDKgst" TargetMode="External"/><Relationship Id="rId5597" Type="http://schemas.openxmlformats.org/officeDocument/2006/relationships/hyperlink" Target="https://drive.google.com/drive/folders/1_T2wmip4LeoIXLEoK0to361L73YazeY0" TargetMode="External"/><Relationship Id="rId4266" Type="http://schemas.openxmlformats.org/officeDocument/2006/relationships/hyperlink" Target="https://drive.google.com/drive/folders/1-65XDiT_e_tEJtJBO4VATWqBpEAhVKQB" TargetMode="External"/><Relationship Id="rId5594" Type="http://schemas.openxmlformats.org/officeDocument/2006/relationships/hyperlink" Target="https://github.com/AxonFramework/AxonFramework/issues/3290" TargetMode="External"/><Relationship Id="rId4265" Type="http://schemas.openxmlformats.org/officeDocument/2006/relationships/hyperlink" Target="https://drive.google.com/drive/folders/14stP4aJZSD5-jhORP1Gfv-0dGjjynSks" TargetMode="External"/><Relationship Id="rId5595" Type="http://schemas.openxmlformats.org/officeDocument/2006/relationships/hyperlink" Target="https://drive.google.com/drive/folders/13RTFOL11E7CB2r11vvCFxJW6v0HjFd8Z" TargetMode="External"/><Relationship Id="rId4268" Type="http://schemas.openxmlformats.org/officeDocument/2006/relationships/hyperlink" Target="https://github.com/better-auth/better-auth/issues/4120" TargetMode="External"/><Relationship Id="rId4267" Type="http://schemas.openxmlformats.org/officeDocument/2006/relationships/hyperlink" Target="https://github.com/BerriAI/litellm/issues/7407" TargetMode="External"/><Relationship Id="rId5598" Type="http://schemas.openxmlformats.org/officeDocument/2006/relationships/hyperlink" Target="https://github.com/blakeblackshear/frigate-hass-integration/issues/802" TargetMode="External"/><Relationship Id="rId4269" Type="http://schemas.openxmlformats.org/officeDocument/2006/relationships/hyperlink" Target="https://drive.google.com/drive/folders/15Ya_6YN7IZ47iFAIyIjyYqVKpz73cuYj" TargetMode="External"/><Relationship Id="rId5599" Type="http://schemas.openxmlformats.org/officeDocument/2006/relationships/hyperlink" Target="https://drive.google.com/drive/folders/1cY8E-_lW8Il86OkONkNqMWUfhbzvIola" TargetMode="External"/><Relationship Id="rId5581" Type="http://schemas.openxmlformats.org/officeDocument/2006/relationships/hyperlink" Target="https://github.com/apache/iceberg-python/issues/2050" TargetMode="External"/><Relationship Id="rId5582" Type="http://schemas.openxmlformats.org/officeDocument/2006/relationships/hyperlink" Target="https://drive.google.com/drive/folders/1NgxChhJfovNDPTXaMhZ-rigznGhzSZBV" TargetMode="External"/><Relationship Id="rId4251" Type="http://schemas.openxmlformats.org/officeDocument/2006/relationships/hyperlink" Target="https://drive.google.com/drive/folders/1fYhrUwQJ_rgnWtxTEG9weLY47I46wtZI" TargetMode="External"/><Relationship Id="rId4250" Type="http://schemas.openxmlformats.org/officeDocument/2006/relationships/hyperlink" Target="https://github.com/Azure/azure-functions-host/issues/11340" TargetMode="External"/><Relationship Id="rId5580" Type="http://schemas.openxmlformats.org/officeDocument/2006/relationships/hyperlink" Target="https://drive.google.com/drive/folders/1Sv4rn772pd92nV3uCnp28ziwi-3urHwA" TargetMode="External"/><Relationship Id="rId4253" Type="http://schemas.openxmlformats.org/officeDocument/2006/relationships/hyperlink" Target="https://drive.google.com/drive/folders/1oxD0JfeL8gj_ay9GLTcbu9NxVpMJndTj" TargetMode="External"/><Relationship Id="rId5585" Type="http://schemas.openxmlformats.org/officeDocument/2006/relationships/hyperlink" Target="https://drive.google.com/drive/folders/1HavzJ-71gIUUijn75s3wHVl18KD8nTj_" TargetMode="External"/><Relationship Id="rId4252" Type="http://schemas.openxmlformats.org/officeDocument/2006/relationships/hyperlink" Target="https://github.com/Azure/azure-sdk-for-python/issues/41610" TargetMode="External"/><Relationship Id="rId5586" Type="http://schemas.openxmlformats.org/officeDocument/2006/relationships/hyperlink" Target="https://github.com/astronomer/dag-factory/issues/292" TargetMode="External"/><Relationship Id="rId4255" Type="http://schemas.openxmlformats.org/officeDocument/2006/relationships/hyperlink" Target="https://drive.google.com/drive/folders/1vQI9Wcex1Un1l6hil11qW1OtzUCiyS-0" TargetMode="External"/><Relationship Id="rId5583" Type="http://schemas.openxmlformats.org/officeDocument/2006/relationships/hyperlink" Target="https://drive.google.com/drive/folders/1KYQf04sdaOJm3wHqrlO951dNVgxd9Hu8" TargetMode="External"/><Relationship Id="rId4254" Type="http://schemas.openxmlformats.org/officeDocument/2006/relationships/hyperlink" Target="https://github.com/Azure/kubelogin/issues/713" TargetMode="External"/><Relationship Id="rId5584" Type="http://schemas.openxmlformats.org/officeDocument/2006/relationships/hyperlink" Target="https://github.com/apache/maven-resolver/issues/1625" TargetMode="External"/><Relationship Id="rId4257" Type="http://schemas.openxmlformats.org/officeDocument/2006/relationships/hyperlink" Target="https://drive.google.com/drive/folders/1-FXVVmmlQIIej4wG5N55Z4vOcnUSfOTt" TargetMode="External"/><Relationship Id="rId5589" Type="http://schemas.openxmlformats.org/officeDocument/2006/relationships/hyperlink" Target="https://drive.google.com/drive/folders/1NwlLycCAY5K7tmp9cvaBEIbMJx-ltQdj" TargetMode="External"/><Relationship Id="rId4256" Type="http://schemas.openxmlformats.org/officeDocument/2006/relationships/hyperlink" Target="https://github.com/AzureAD/microsoft-authentication-library-for-go/issues/562" TargetMode="External"/><Relationship Id="rId4259" Type="http://schemas.openxmlformats.org/officeDocument/2006/relationships/hyperlink" Target="https://github.com/bazel-contrib/bazel-gazelle/issues/1921" TargetMode="External"/><Relationship Id="rId5587" Type="http://schemas.openxmlformats.org/officeDocument/2006/relationships/hyperlink" Target="https://drive.google.com/drive/folders/1oMclJZxwmtxl7A9s3wnzEfj5cYKnURz2" TargetMode="External"/><Relationship Id="rId4258" Type="http://schemas.openxmlformats.org/officeDocument/2006/relationships/hyperlink" Target="https://github.com/AzureAD/microsoft-authentication-library-for-java/issues/947" TargetMode="External"/><Relationship Id="rId5588" Type="http://schemas.openxmlformats.org/officeDocument/2006/relationships/hyperlink" Target="https://github.com/aurora-opensource/au/issues/251" TargetMode="External"/><Relationship Id="rId3810" Type="http://schemas.openxmlformats.org/officeDocument/2006/relationships/hyperlink" Target="https://drive.google.com/drive/folders/1i6IMWgRX6En1giqZODDNKlLzkMyJji1C" TargetMode="External"/><Relationship Id="rId3812" Type="http://schemas.openxmlformats.org/officeDocument/2006/relationships/hyperlink" Target="https://drive.google.com/drive/folders/1apDYq4ndRhuFbpEKXA715SqV4cCAPcDQ" TargetMode="External"/><Relationship Id="rId3811" Type="http://schemas.openxmlformats.org/officeDocument/2006/relationships/hyperlink" Target="https://github.com/unhappychoice/gittype/issues/138" TargetMode="External"/><Relationship Id="rId3814" Type="http://schemas.openxmlformats.org/officeDocument/2006/relationships/hyperlink" Target="https://drive.google.com/drive/folders/1dpdTjBnIGoqp_XdmmM2wIx8NxUM5-fX3" TargetMode="External"/><Relationship Id="rId3813" Type="http://schemas.openxmlformats.org/officeDocument/2006/relationships/hyperlink" Target="https://github.com/unit8co/darts/issues/2624" TargetMode="External"/><Relationship Id="rId3816" Type="http://schemas.openxmlformats.org/officeDocument/2006/relationships/hyperlink" Target="https://github.com/unit8co/darts/issues/2747" TargetMode="External"/><Relationship Id="rId3815" Type="http://schemas.openxmlformats.org/officeDocument/2006/relationships/hyperlink" Target="https://drive.google.com/drive/folders/1YjsZzW4xl0A7S7BbXVZaeb4cu-aBbiPn" TargetMode="External"/><Relationship Id="rId3818" Type="http://schemas.openxmlformats.org/officeDocument/2006/relationships/hyperlink" Target="https://drive.google.com/drive/folders/1oAUoHLuyk5MbnVVAd-JEP4TCvurc-qSN" TargetMode="External"/><Relationship Id="rId3817" Type="http://schemas.openxmlformats.org/officeDocument/2006/relationships/hyperlink" Target="https://drive.google.com/drive/folders/1QCNTR1e1UbIO1rZFJSNySFAlYJlnuOlJ" TargetMode="External"/><Relationship Id="rId3819" Type="http://schemas.openxmlformats.org/officeDocument/2006/relationships/hyperlink" Target="https://github.com/unit8co/darts/issues/2656" TargetMode="External"/><Relationship Id="rId3801" Type="http://schemas.openxmlformats.org/officeDocument/2006/relationships/hyperlink" Target="https://drive.google.com/drive/folders/1-RRekt2MKzX7AekDlZXm0S3khwhbB3At" TargetMode="External"/><Relationship Id="rId3800" Type="http://schemas.openxmlformats.org/officeDocument/2006/relationships/hyperlink" Target="https://drive.google.com/drive/folders/1bJ_M6XET7rBNgxN2uHQabgzsxCSyU4n4" TargetMode="External"/><Relationship Id="rId3803" Type="http://schemas.openxmlformats.org/officeDocument/2006/relationships/hyperlink" Target="https://drive.google.com/drive/folders/1sNtIGgQhgr00Se_pRcW52arWQ8gGejnO" TargetMode="External"/><Relationship Id="rId3802" Type="http://schemas.openxmlformats.org/officeDocument/2006/relationships/hyperlink" Target="https://github.com/uber/NullAway/issues/1456" TargetMode="External"/><Relationship Id="rId3805" Type="http://schemas.openxmlformats.org/officeDocument/2006/relationships/hyperlink" Target="https://drive.google.com/drive/folders/1qjxxcfdrf5WgLEqr0elGBfmxDweYYgA4" TargetMode="External"/><Relationship Id="rId3804" Type="http://schemas.openxmlformats.org/officeDocument/2006/relationships/hyperlink" Target="https://github.com/UKPLab/sentence-transformers/issues/3162" TargetMode="External"/><Relationship Id="rId3807" Type="http://schemas.openxmlformats.org/officeDocument/2006/relationships/hyperlink" Target="https://github.com/umputun/tg-spam/issues/262" TargetMode="External"/><Relationship Id="rId3806" Type="http://schemas.openxmlformats.org/officeDocument/2006/relationships/hyperlink" Target="https://drive.google.com/drive/folders/18-ub18G2Br8jesVV6045kZSCTYjK0wI1" TargetMode="External"/><Relationship Id="rId3809" Type="http://schemas.openxmlformats.org/officeDocument/2006/relationships/hyperlink" Target="https://github.com/unhappychoice/gittype/issues/137" TargetMode="External"/><Relationship Id="rId3808" Type="http://schemas.openxmlformats.org/officeDocument/2006/relationships/hyperlink" Target="https://drive.google.com/drive/folders/1V8pXuqfoMrBWqJYwNuEdLz4yUwXz6J2W" TargetMode="External"/><Relationship Id="rId1213" Type="http://schemas.openxmlformats.org/officeDocument/2006/relationships/hyperlink" Target="https://drive.google.com/drive/folders/1mErV3HKx56n_nJPcLAqknRbbADV8mmHA" TargetMode="External"/><Relationship Id="rId2544" Type="http://schemas.openxmlformats.org/officeDocument/2006/relationships/hyperlink" Target="https://drive.google.com/drive/folders/1haxj4VVEEfo9V4Ucsf3XCaYAD4y9HVa0" TargetMode="External"/><Relationship Id="rId3876" Type="http://schemas.openxmlformats.org/officeDocument/2006/relationships/hyperlink" Target="https://drive.google.com/drive/folders/1HnNhw6Q-odjyAzzc_5BbFI7BT-Atz0tP" TargetMode="External"/><Relationship Id="rId1214" Type="http://schemas.openxmlformats.org/officeDocument/2006/relationships/hyperlink" Target="https://drive.google.com/drive/folders/1Dy_xcMdGygussMTDEFB-zcez8WL_LD-l" TargetMode="External"/><Relationship Id="rId2545" Type="http://schemas.openxmlformats.org/officeDocument/2006/relationships/hyperlink" Target="https://github.com/napari/napari/issues/7673" TargetMode="External"/><Relationship Id="rId3875" Type="http://schemas.openxmlformats.org/officeDocument/2006/relationships/hyperlink" Target="https://drive.google.com/drive/folders/1nyRyrf44ZGc4vRt-zKu8livtbJK3ibKx" TargetMode="External"/><Relationship Id="rId1215" Type="http://schemas.openxmlformats.org/officeDocument/2006/relationships/hyperlink" Target="https://github.com/elastio/bon/issues/279" TargetMode="External"/><Relationship Id="rId2546" Type="http://schemas.openxmlformats.org/officeDocument/2006/relationships/hyperlink" Target="https://drive.google.com/drive/folders/1Vc4CvK0anucAAEZoY63H41_ED7W_oole" TargetMode="External"/><Relationship Id="rId3878" Type="http://schemas.openxmlformats.org/officeDocument/2006/relationships/hyperlink" Target="https://drive.google.com/drive/folders/1fOXMkUo6639u74fsW3NtZ0uhrFjOkRDx" TargetMode="External"/><Relationship Id="rId1216" Type="http://schemas.openxmlformats.org/officeDocument/2006/relationships/hyperlink" Target="https://drive.google.com/drive/folders/1m212pbF0RD9H607DdtQvyFrrD3E8Fvss" TargetMode="External"/><Relationship Id="rId2547" Type="http://schemas.openxmlformats.org/officeDocument/2006/relationships/hyperlink" Target="https://drive.google.com/drive/folders/1OLqh3asXEzkDGfTXWRCUmLw-AoLUs_T2" TargetMode="External"/><Relationship Id="rId3877" Type="http://schemas.openxmlformats.org/officeDocument/2006/relationships/hyperlink" Target="https://github.com/vacanza/holidays/issues/2386" TargetMode="External"/><Relationship Id="rId1217" Type="http://schemas.openxmlformats.org/officeDocument/2006/relationships/hyperlink" Target="https://github.com/elastio/bon/issues/265" TargetMode="External"/><Relationship Id="rId2548" Type="http://schemas.openxmlformats.org/officeDocument/2006/relationships/hyperlink" Target="https://github.com/narwhals-dev/narwhals/issues/1625" TargetMode="External"/><Relationship Id="rId1218" Type="http://schemas.openxmlformats.org/officeDocument/2006/relationships/hyperlink" Target="https://github.com/elastio/bon/issues/222" TargetMode="External"/><Relationship Id="rId2549" Type="http://schemas.openxmlformats.org/officeDocument/2006/relationships/hyperlink" Target="https://drive.google.com/drive/folders/1TjO5U9SX4-YlEwjjHSESiw0FR4DCie28" TargetMode="External"/><Relationship Id="rId3879" Type="http://schemas.openxmlformats.org/officeDocument/2006/relationships/hyperlink" Target="https://drive.google.com/drive/folders/1HjLKRvochLdTNAhHWh-yJs4SArLLc0nj" TargetMode="External"/><Relationship Id="rId1219" Type="http://schemas.openxmlformats.org/officeDocument/2006/relationships/hyperlink" Target="https://drive.google.com/drive/folders/1W4lvzFLpp-0i0SXnClLwqRvncOFoEpIr" TargetMode="External"/><Relationship Id="rId3870" Type="http://schemas.openxmlformats.org/officeDocument/2006/relationships/hyperlink" Target="https://drive.google.com/drive/folders/1lVJIR8_OZAdJBcqG7y4g7HZHwhDXO1mU" TargetMode="External"/><Relationship Id="rId2540" Type="http://schemas.openxmlformats.org/officeDocument/2006/relationships/hyperlink" Target="https://github.com/mycodeself/mongo-migrate-ts/issues/123" TargetMode="External"/><Relationship Id="rId3872" Type="http://schemas.openxmlformats.org/officeDocument/2006/relationships/hyperlink" Target="https://drive.google.com/drive/folders/1VgpvQfXFSwU0-K-JOF7y5-MGGPDkcRfh" TargetMode="External"/><Relationship Id="rId1210" Type="http://schemas.openxmlformats.org/officeDocument/2006/relationships/hyperlink" Target="https://drive.google.com/drive/folders/1t1AA4wRmmnRDm0PjXZTVFhs6xTBxiMlN" TargetMode="External"/><Relationship Id="rId2541" Type="http://schemas.openxmlformats.org/officeDocument/2006/relationships/hyperlink" Target="https://drive.google.com/drive/folders/1lB-aEgYPlSGJ-sgWCPOFG-FvTu5Yef7U" TargetMode="External"/><Relationship Id="rId3871" Type="http://schemas.openxmlformats.org/officeDocument/2006/relationships/hyperlink" Target="https://github.com/vacanza/holidays/issues/2601" TargetMode="External"/><Relationship Id="rId1211" Type="http://schemas.openxmlformats.org/officeDocument/2006/relationships/hyperlink" Target="https://drive.google.com/drive/folders/1kpw49I7n8zs2X9hW5b2Be2yXSwzFFHLn" TargetMode="External"/><Relationship Id="rId2542" Type="http://schemas.openxmlformats.org/officeDocument/2006/relationships/hyperlink" Target="https://github.com/n0-computer/iroh/issues/2937" TargetMode="External"/><Relationship Id="rId3874" Type="http://schemas.openxmlformats.org/officeDocument/2006/relationships/hyperlink" Target="https://github.com/vacanza/holidays/issues/2632" TargetMode="External"/><Relationship Id="rId1212" Type="http://schemas.openxmlformats.org/officeDocument/2006/relationships/hyperlink" Target="https://github.com/elastic/beats/issues/45950" TargetMode="External"/><Relationship Id="rId2543" Type="http://schemas.openxmlformats.org/officeDocument/2006/relationships/hyperlink" Target="https://drive.google.com/drive/folders/1Px8oha64pQUdiZhMjxGRcYh2k4JYcZJM" TargetMode="External"/><Relationship Id="rId3873" Type="http://schemas.openxmlformats.org/officeDocument/2006/relationships/hyperlink" Target="https://drive.google.com/drive/folders/1JUcQLFbq3stqgG-r6cPrR23a2WUyHTwS" TargetMode="External"/><Relationship Id="rId1202" Type="http://schemas.openxmlformats.org/officeDocument/2006/relationships/hyperlink" Target="https://drive.google.com/drive/folders/19lpWM7grS1uYirbaJXPe-dFMR109INfB" TargetMode="External"/><Relationship Id="rId2533" Type="http://schemas.openxmlformats.org/officeDocument/2006/relationships/hyperlink" Target="https://github.com/mozilla/web-ext/issues/3519" TargetMode="External"/><Relationship Id="rId3865" Type="http://schemas.openxmlformats.org/officeDocument/2006/relationships/hyperlink" Target="https://github.com/vacanza/holidays/issues/2593" TargetMode="External"/><Relationship Id="rId1203" Type="http://schemas.openxmlformats.org/officeDocument/2006/relationships/hyperlink" Target="https://github.com/elastic/beats/issues/44366" TargetMode="External"/><Relationship Id="rId2534" Type="http://schemas.openxmlformats.org/officeDocument/2006/relationships/hyperlink" Target="https://drive.google.com/drive/folders/1AU6aXH-uSP8b2mU_drLFNRl_kB928Iao" TargetMode="External"/><Relationship Id="rId3864" Type="http://schemas.openxmlformats.org/officeDocument/2006/relationships/hyperlink" Target="https://drive.google.com/drive/folders/1dBvj8DXdRAYZJd7xwUHL4tv6M0oGIvad" TargetMode="External"/><Relationship Id="rId1204" Type="http://schemas.openxmlformats.org/officeDocument/2006/relationships/hyperlink" Target="https://drive.google.com/drive/folders/1DoSs3YLqrWfiF25Y1NZ15tSghwQp5XEA" TargetMode="External"/><Relationship Id="rId2535" Type="http://schemas.openxmlformats.org/officeDocument/2006/relationships/hyperlink" Target="https://drive.google.com/drive/folders/1XTOukOKhirK553hP4AQedlP64XZZvoeP" TargetMode="External"/><Relationship Id="rId3867" Type="http://schemas.openxmlformats.org/officeDocument/2006/relationships/hyperlink" Target="https://drive.google.com/drive/folders/1HOZn8omo1MXSvWkLDG6nWuhY9wN5nlgG" TargetMode="External"/><Relationship Id="rId1205" Type="http://schemas.openxmlformats.org/officeDocument/2006/relationships/hyperlink" Target="https://drive.google.com/drive/folders/1wNLA723cJEAF6SagwlBsUz2gB9H3JGH5" TargetMode="External"/><Relationship Id="rId2536" Type="http://schemas.openxmlformats.org/officeDocument/2006/relationships/hyperlink" Target="https://github.com/mozilla/web-ext/issues/3434" TargetMode="External"/><Relationship Id="rId3866" Type="http://schemas.openxmlformats.org/officeDocument/2006/relationships/hyperlink" Target="https://drive.google.com/drive/folders/1geD-LHQvfNzOQh-i77jqlJTby_AxbFIo" TargetMode="External"/><Relationship Id="rId1206" Type="http://schemas.openxmlformats.org/officeDocument/2006/relationships/hyperlink" Target="https://github.com/elastic/beats/issues/44387" TargetMode="External"/><Relationship Id="rId2537" Type="http://schemas.openxmlformats.org/officeDocument/2006/relationships/hyperlink" Target="https://drive.google.com/drive/folders/1Y_G-DdeHUmZXbQ1AmIMJDyNfbbWuzEml" TargetMode="External"/><Relationship Id="rId3869" Type="http://schemas.openxmlformats.org/officeDocument/2006/relationships/hyperlink" Target="https://drive.google.com/drive/folders/16kT39X5-YBQe3eeXMvBgVDFlVM_8p3Nf" TargetMode="External"/><Relationship Id="rId1207" Type="http://schemas.openxmlformats.org/officeDocument/2006/relationships/hyperlink" Target="https://drive.google.com/drive/folders/10Y_7cA3jhpw-H4wUNf8CxWUUcHIfUVit" TargetMode="External"/><Relationship Id="rId2538" Type="http://schemas.openxmlformats.org/officeDocument/2006/relationships/hyperlink" Target="https://github.com/mybatis/mybatis-dynamic-sql/issues/969" TargetMode="External"/><Relationship Id="rId3868" Type="http://schemas.openxmlformats.org/officeDocument/2006/relationships/hyperlink" Target="https://github.com/vacanza/holidays/issues/2757" TargetMode="External"/><Relationship Id="rId1208" Type="http://schemas.openxmlformats.org/officeDocument/2006/relationships/hyperlink" Target="https://drive.google.com/drive/folders/1qtBwYB5aSuBFNeFKdseSuw5X_6rcDbYn" TargetMode="External"/><Relationship Id="rId2539" Type="http://schemas.openxmlformats.org/officeDocument/2006/relationships/hyperlink" Target="https://drive.google.com/drive/folders/15_FVQ61owd1qrzy6w_PiHqorxbd5haM2" TargetMode="External"/><Relationship Id="rId1209" Type="http://schemas.openxmlformats.org/officeDocument/2006/relationships/hyperlink" Target="https://github.com/elastic/beats/issues/43449" TargetMode="External"/><Relationship Id="rId3861" Type="http://schemas.openxmlformats.org/officeDocument/2006/relationships/hyperlink" Target="https://drive.google.com/drive/folders/10QT-DZ2aSogpOSNfHa9onlNhCUV8Ov3K" TargetMode="External"/><Relationship Id="rId2530" Type="http://schemas.openxmlformats.org/officeDocument/2006/relationships/hyperlink" Target="https://github.com/mozilla/experimenter/issues/13291" TargetMode="External"/><Relationship Id="rId3860" Type="http://schemas.openxmlformats.org/officeDocument/2006/relationships/hyperlink" Target="https://drive.google.com/drive/folders/1Qn_s4npWOF0JBAVWWM9Q3vKk6dVDdR4B" TargetMode="External"/><Relationship Id="rId1200" Type="http://schemas.openxmlformats.org/officeDocument/2006/relationships/hyperlink" Target="https://drive.google.com/drive/folders/16heFTJblOUMYvuFoE4ZOuhdqkWez_Vu_" TargetMode="External"/><Relationship Id="rId2531" Type="http://schemas.openxmlformats.org/officeDocument/2006/relationships/hyperlink" Target="https://drive.google.com/drive/folders/1Phu7FtVBztGrwNwjeFlkdKghlAXnxrdZ" TargetMode="External"/><Relationship Id="rId3863" Type="http://schemas.openxmlformats.org/officeDocument/2006/relationships/hyperlink" Target="https://drive.google.com/drive/folders/1dYnfZ3NaEqrv8wLkWSAgJKO6O8-GBR3Z" TargetMode="External"/><Relationship Id="rId1201" Type="http://schemas.openxmlformats.org/officeDocument/2006/relationships/hyperlink" Target="https://github.com/Ekumen-OS/beluga/issues/404" TargetMode="External"/><Relationship Id="rId2532" Type="http://schemas.openxmlformats.org/officeDocument/2006/relationships/hyperlink" Target="https://drive.google.com/drive/folders/1MiPDPlbfaBqDkTNjU9HoR7h7Bs1ugOub" TargetMode="External"/><Relationship Id="rId3862" Type="http://schemas.openxmlformats.org/officeDocument/2006/relationships/hyperlink" Target="https://github.com/vacanza/holidays/issues/2409" TargetMode="External"/><Relationship Id="rId1235" Type="http://schemas.openxmlformats.org/officeDocument/2006/relationships/hyperlink" Target="https://github.com/EmmyLuaLs/emmylua-analyzer-rust/issues/203" TargetMode="External"/><Relationship Id="rId2566" Type="http://schemas.openxmlformats.org/officeDocument/2006/relationships/hyperlink" Target="https://github.com/narwhals-dev/narwhals/issues/2126" TargetMode="External"/><Relationship Id="rId3898" Type="http://schemas.openxmlformats.org/officeDocument/2006/relationships/hyperlink" Target="https://drive.google.com/drive/folders/1m2VY56MkOTgFQcDEHfQL54tCGzc-AaJN" TargetMode="External"/><Relationship Id="rId1236" Type="http://schemas.openxmlformats.org/officeDocument/2006/relationships/hyperlink" Target="https://drive.google.com/drive/folders/1vBFtucAOTZudyFSUK7FeOV1RZirWLLD7" TargetMode="External"/><Relationship Id="rId2567" Type="http://schemas.openxmlformats.org/officeDocument/2006/relationships/hyperlink" Target="https://drive.google.com/drive/folders/1_Hwr97emuxRTZzDn4imZcurGyQSZNgnE" TargetMode="External"/><Relationship Id="rId3897" Type="http://schemas.openxmlformats.org/officeDocument/2006/relationships/hyperlink" Target="https://github.com/vercel/ai/issues/9720" TargetMode="External"/><Relationship Id="rId1237" Type="http://schemas.openxmlformats.org/officeDocument/2006/relationships/hyperlink" Target="https://drive.google.com/drive/folders/1s-0w-fAoriNoHlGP7b5P6zGwyWmPecEm" TargetMode="External"/><Relationship Id="rId2568" Type="http://schemas.openxmlformats.org/officeDocument/2006/relationships/hyperlink" Target="https://github.com/NASA-AMMOS/aerie/issues/1611" TargetMode="External"/><Relationship Id="rId1238" Type="http://schemas.openxmlformats.org/officeDocument/2006/relationships/hyperlink" Target="https://github.com/endojs/endo/issues/2878" TargetMode="External"/><Relationship Id="rId2569" Type="http://schemas.openxmlformats.org/officeDocument/2006/relationships/hyperlink" Target="https://drive.google.com/drive/folders/1Y8OScClZVMDx3m9YIYbTuaImP8bkAyOJ" TargetMode="External"/><Relationship Id="rId3899" Type="http://schemas.openxmlformats.org/officeDocument/2006/relationships/hyperlink" Target="https://drive.google.com/drive/folders/1hrcX4ZTABhX4vdXw7eOV_6Smiyd0Kb7p" TargetMode="External"/><Relationship Id="rId1239" Type="http://schemas.openxmlformats.org/officeDocument/2006/relationships/hyperlink" Target="https://drive.google.com/drive/folders/1jJZNfjDuhrcmRoj208kzFYA3iOBSqCEy" TargetMode="External"/><Relationship Id="rId409" Type="http://schemas.openxmlformats.org/officeDocument/2006/relationships/hyperlink" Target="https://drive.google.com/drive/folders/18cSJMXCD5uwDVPC1esQPCNTn1oOdhizr" TargetMode="External"/><Relationship Id="rId404" Type="http://schemas.openxmlformats.org/officeDocument/2006/relationships/hyperlink" Target="https://github.com/assertj/assertj/issues/4122" TargetMode="External"/><Relationship Id="rId403" Type="http://schemas.openxmlformats.org/officeDocument/2006/relationships/hyperlink" Target="https://drive.google.com/drive/folders/1VgjgR-ESV3v925-6ITMkLaqNXsLPutsz" TargetMode="External"/><Relationship Id="rId402" Type="http://schemas.openxmlformats.org/officeDocument/2006/relationships/hyperlink" Target="https://github.com/askama-rs/askama/issues/255" TargetMode="External"/><Relationship Id="rId401" Type="http://schemas.openxmlformats.org/officeDocument/2006/relationships/hyperlink" Target="https://drive.google.com/drive/folders/1NAUYhDaKcswSqv2lnYm0nlH7eIavk-y4" TargetMode="External"/><Relationship Id="rId408" Type="http://schemas.openxmlformats.org/officeDocument/2006/relationships/hyperlink" Target="https://github.com/async-profiler/async-profiler/issues/1119" TargetMode="External"/><Relationship Id="rId407" Type="http://schemas.openxmlformats.org/officeDocument/2006/relationships/hyperlink" Target="https://drive.google.com/drive/folders/10KzMqh4SCIQBs2U8iCI5-VAU3dJjgNR_" TargetMode="External"/><Relationship Id="rId406" Type="http://schemas.openxmlformats.org/officeDocument/2006/relationships/hyperlink" Target="https://github.com/astropy/astropy/issues/17450" TargetMode="External"/><Relationship Id="rId405" Type="http://schemas.openxmlformats.org/officeDocument/2006/relationships/hyperlink" Target="https://drive.google.com/drive/folders/1gMXXtjehuxnzQWqEeglBchm7fFJr0w3V" TargetMode="External"/><Relationship Id="rId3890" Type="http://schemas.openxmlformats.org/officeDocument/2006/relationships/hyperlink" Target="https://drive.google.com/drive/folders/1smEm2eJiTCd86uTWXgZeG7ssj6BmNVlk" TargetMode="External"/><Relationship Id="rId2560" Type="http://schemas.openxmlformats.org/officeDocument/2006/relationships/hyperlink" Target="https://github.com/narwhals-dev/narwhals/issues/2637" TargetMode="External"/><Relationship Id="rId3892" Type="http://schemas.openxmlformats.org/officeDocument/2006/relationships/hyperlink" Target="https://drive.google.com/drive/folders/1rLZ9weDpE1h9x3YL1-bugdbnKmkCMsXB" TargetMode="External"/><Relationship Id="rId1230" Type="http://schemas.openxmlformats.org/officeDocument/2006/relationships/hyperlink" Target="https://github.com/emdgroup/baybe/issues/364" TargetMode="External"/><Relationship Id="rId2561" Type="http://schemas.openxmlformats.org/officeDocument/2006/relationships/hyperlink" Target="https://drive.google.com/drive/folders/1gOoKjZhv3aMl98Sz6Bn0ms8tPoC1kBqP" TargetMode="External"/><Relationship Id="rId3891" Type="http://schemas.openxmlformats.org/officeDocument/2006/relationships/hyperlink" Target="https://github.com/vektra/mockery/issues/898" TargetMode="External"/><Relationship Id="rId400" Type="http://schemas.openxmlformats.org/officeDocument/2006/relationships/hyperlink" Target="https://github.com/askama-rs/askama/issues/286" TargetMode="External"/><Relationship Id="rId1231" Type="http://schemas.openxmlformats.org/officeDocument/2006/relationships/hyperlink" Target="https://drive.google.com/drive/folders/1CY0vAIvpGMwxvuydRkU_kNc2IInU_r3R" TargetMode="External"/><Relationship Id="rId2562" Type="http://schemas.openxmlformats.org/officeDocument/2006/relationships/hyperlink" Target="https://github.com/narwhals-dev/narwhals/issues/2719" TargetMode="External"/><Relationship Id="rId3894" Type="http://schemas.openxmlformats.org/officeDocument/2006/relationships/hyperlink" Target="https://github.com/vercel/ai/issues/3774" TargetMode="External"/><Relationship Id="rId1232" Type="http://schemas.openxmlformats.org/officeDocument/2006/relationships/hyperlink" Target="https://drive.google.com/drive/folders/1_gIs1VQxO_-iYKrdiZ-s4pBOhf19fGf0" TargetMode="External"/><Relationship Id="rId2563" Type="http://schemas.openxmlformats.org/officeDocument/2006/relationships/hyperlink" Target="https://drive.google.com/drive/folders/1lORJoOHysb_gjIrBHDJ0s_E4zthGiaJl" TargetMode="External"/><Relationship Id="rId3893" Type="http://schemas.openxmlformats.org/officeDocument/2006/relationships/hyperlink" Target="https://drive.google.com/drive/folders/1JMg0Wgjjp7i98Y9ykdSk06aZlDdKLkQ-" TargetMode="External"/><Relationship Id="rId1233" Type="http://schemas.openxmlformats.org/officeDocument/2006/relationships/hyperlink" Target="https://github.com/emit-rs/emit/issues/190" TargetMode="External"/><Relationship Id="rId2564" Type="http://schemas.openxmlformats.org/officeDocument/2006/relationships/hyperlink" Target="https://github.com/narwhals-dev/narwhals/issues/2886" TargetMode="External"/><Relationship Id="rId3896" Type="http://schemas.openxmlformats.org/officeDocument/2006/relationships/hyperlink" Target="https://drive.google.com/drive/folders/13qhfizxXVM--LK5JWTkB3LwPuGIvzBf-" TargetMode="External"/><Relationship Id="rId1234" Type="http://schemas.openxmlformats.org/officeDocument/2006/relationships/hyperlink" Target="https://drive.google.com/drive/folders/1QPau_jildP4XLp-tIzCmVzpBhjsMMGcq" TargetMode="External"/><Relationship Id="rId2565" Type="http://schemas.openxmlformats.org/officeDocument/2006/relationships/hyperlink" Target="https://drive.google.com/drive/folders/1nJJ3bQrJILEOxu6JgfT4XVlaGSezCz8t" TargetMode="External"/><Relationship Id="rId3895" Type="http://schemas.openxmlformats.org/officeDocument/2006/relationships/hyperlink" Target="https://drive.google.com/drive/folders/1xgXoZF-9faqX3TGxwhMHMM6bM1TwRWc8" TargetMode="External"/><Relationship Id="rId1224" Type="http://schemas.openxmlformats.org/officeDocument/2006/relationships/hyperlink" Target="https://drive.google.com/drive/folders/1Z3Fm2imge3LwnurDkrwoOFL0eXio4OZX" TargetMode="External"/><Relationship Id="rId2555" Type="http://schemas.openxmlformats.org/officeDocument/2006/relationships/hyperlink" Target="https://github.com/narwhals-dev/narwhals/issues/2104" TargetMode="External"/><Relationship Id="rId3887" Type="http://schemas.openxmlformats.org/officeDocument/2006/relationships/hyperlink" Target="https://github.com/vega/altair/issues/3668" TargetMode="External"/><Relationship Id="rId1225" Type="http://schemas.openxmlformats.org/officeDocument/2006/relationships/hyperlink" Target="https://github.com/eliegoudout/paramclasses/issues/12" TargetMode="External"/><Relationship Id="rId2556" Type="http://schemas.openxmlformats.org/officeDocument/2006/relationships/hyperlink" Target="https://drive.google.com/drive/folders/118XidRDNEsXMXDgTMdlre1HGsEbfepWI" TargetMode="External"/><Relationship Id="rId3886" Type="http://schemas.openxmlformats.org/officeDocument/2006/relationships/hyperlink" Target="https://drive.google.com/drive/folders/1PTd0wAmhQEP__R8L23bjxEkTamXczr2P" TargetMode="External"/><Relationship Id="rId1226" Type="http://schemas.openxmlformats.org/officeDocument/2006/relationships/hyperlink" Target="https://drive.google.com/drive/folders/1MQqGnggZJi_fW2SzsPS3y2vquPOvlrIv" TargetMode="External"/><Relationship Id="rId2557" Type="http://schemas.openxmlformats.org/officeDocument/2006/relationships/hyperlink" Target="https://drive.google.com/drive/folders/1NYJ_t7k3hBxEXBgwoAansVQ8dOiQZArP" TargetMode="External"/><Relationship Id="rId3889" Type="http://schemas.openxmlformats.org/officeDocument/2006/relationships/hyperlink" Target="https://github.com/vektah/gqlparser/issues/362" TargetMode="External"/><Relationship Id="rId1227" Type="http://schemas.openxmlformats.org/officeDocument/2006/relationships/hyperlink" Target="https://drive.google.com/drive/folders/1aYA9GlDWhsuS4uyw4Hm0rpI0MTY8Ivvs" TargetMode="External"/><Relationship Id="rId2558" Type="http://schemas.openxmlformats.org/officeDocument/2006/relationships/hyperlink" Target="https://github.com/narwhals-dev/narwhals/issues/2632" TargetMode="External"/><Relationship Id="rId3888" Type="http://schemas.openxmlformats.org/officeDocument/2006/relationships/hyperlink" Target="https://drive.google.com/drive/folders/1IhvuTmiHxSgSMRMULyNGe-mugqrzng6M" TargetMode="External"/><Relationship Id="rId1228" Type="http://schemas.openxmlformats.org/officeDocument/2006/relationships/hyperlink" Target="https://github.com/elycruz/rollup-plugin-sass/issues/174" TargetMode="External"/><Relationship Id="rId2559" Type="http://schemas.openxmlformats.org/officeDocument/2006/relationships/hyperlink" Target="https://drive.google.com/drive/folders/1p859N_cbSOlK4W5vbNBcOtawUdhUsBU4" TargetMode="External"/><Relationship Id="rId1229" Type="http://schemas.openxmlformats.org/officeDocument/2006/relationships/hyperlink" Target="https://drive.google.com/drive/folders/1FxWoar8S1KJuGNXChB-2LkrCo-S-0jLx" TargetMode="External"/><Relationship Id="rId3881" Type="http://schemas.openxmlformats.org/officeDocument/2006/relationships/hyperlink" Target="https://drive.google.com/drive/folders/1uQ_Ti5HNbOBxXFsVRSMy9stf4HyqUWFb" TargetMode="External"/><Relationship Id="rId2550" Type="http://schemas.openxmlformats.org/officeDocument/2006/relationships/hyperlink" Target="https://github.com/narwhals-dev/narwhals/issues/1571" TargetMode="External"/><Relationship Id="rId3880" Type="http://schemas.openxmlformats.org/officeDocument/2006/relationships/hyperlink" Target="https://github.com/vandmo/dependency-lock-maven-plugin/issues/95" TargetMode="External"/><Relationship Id="rId1220" Type="http://schemas.openxmlformats.org/officeDocument/2006/relationships/hyperlink" Target="https://github.com/Electron100/butane/issues/329" TargetMode="External"/><Relationship Id="rId2551" Type="http://schemas.openxmlformats.org/officeDocument/2006/relationships/hyperlink" Target="https://drive.google.com/drive/folders/15D5UNBjZqREZoXz1o9FK3uU4hZ1CE_3X" TargetMode="External"/><Relationship Id="rId3883" Type="http://schemas.openxmlformats.org/officeDocument/2006/relationships/hyperlink" Target="https://drive.google.com/drive/folders/19usS0UKQ68quXgYB8hVezkEJXKf_7vPv" TargetMode="External"/><Relationship Id="rId1221" Type="http://schemas.openxmlformats.org/officeDocument/2006/relationships/hyperlink" Target="https://drive.google.com/drive/folders/1VbR1nqmuukVceaSqJlQtjrT8gdMEIBfM" TargetMode="External"/><Relationship Id="rId2552" Type="http://schemas.openxmlformats.org/officeDocument/2006/relationships/hyperlink" Target="https://drive.google.com/drive/folders/1e51JVSCrkgmaWLJ9a8yxbmgALw2zKyXs" TargetMode="External"/><Relationship Id="rId3882" Type="http://schemas.openxmlformats.org/officeDocument/2006/relationships/hyperlink" Target="https://github.com/vchelaru/Gum/issues/992" TargetMode="External"/><Relationship Id="rId1222" Type="http://schemas.openxmlformats.org/officeDocument/2006/relationships/hyperlink" Target="https://github.com/element-plus/element-plus/issues/18911" TargetMode="External"/><Relationship Id="rId2553" Type="http://schemas.openxmlformats.org/officeDocument/2006/relationships/hyperlink" Target="https://github.com/narwhals-dev/narwhals/issues/1924" TargetMode="External"/><Relationship Id="rId3885" Type="http://schemas.openxmlformats.org/officeDocument/2006/relationships/hyperlink" Target="https://drive.google.com/drive/folders/1Xh-m61XLGfdYaPeaL-B15F1b9KDLtEGg" TargetMode="External"/><Relationship Id="rId1223" Type="http://schemas.openxmlformats.org/officeDocument/2006/relationships/hyperlink" Target="https://drive.google.com/drive/folders/1__Vdz-mtoHk0F9qAJyTNWup5lo51ky4x" TargetMode="External"/><Relationship Id="rId2554" Type="http://schemas.openxmlformats.org/officeDocument/2006/relationships/hyperlink" Target="https://drive.google.com/drive/folders/1vuByq2XCSKzbSoyzm1YY54bETzIljbiC" TargetMode="External"/><Relationship Id="rId3884" Type="http://schemas.openxmlformats.org/officeDocument/2006/relationships/hyperlink" Target="https://github.com/VectorInstitute/fed-rag/issues/431" TargetMode="External"/><Relationship Id="rId2500" Type="http://schemas.openxmlformats.org/officeDocument/2006/relationships/hyperlink" Target="https://drive.google.com/drive/folders/1LEsuhlu3Rv2kZqkr_Ia62uCH06xCAuBj" TargetMode="External"/><Relationship Id="rId3832" Type="http://schemas.openxmlformats.org/officeDocument/2006/relationships/hyperlink" Target="https://drive.google.com/drive/folders/1NFCYSvr9TmGJzIXA-hxp4Hq4SKrRX-ac" TargetMode="External"/><Relationship Id="rId2501" Type="http://schemas.openxmlformats.org/officeDocument/2006/relationships/hyperlink" Target="https://github.com/moeru-ai/xsai/issues/118" TargetMode="External"/><Relationship Id="rId3831" Type="http://schemas.openxmlformats.org/officeDocument/2006/relationships/hyperlink" Target="https://github.com/UpCloudLtd/terraform-provider-upcloud/issues/797" TargetMode="External"/><Relationship Id="rId2502" Type="http://schemas.openxmlformats.org/officeDocument/2006/relationships/hyperlink" Target="https://drive.google.com/drive/folders/1Elb4-Vqch7cb3MEctaNoKsX0nF-gSk_w" TargetMode="External"/><Relationship Id="rId3834" Type="http://schemas.openxmlformats.org/officeDocument/2006/relationships/hyperlink" Target="https://github.com/uppnrise/distributed-rate-limiter/issues/83" TargetMode="External"/><Relationship Id="rId2503" Type="http://schemas.openxmlformats.org/officeDocument/2006/relationships/hyperlink" Target="https://github.com/Mooncake-Labs/moonlink/issues/337" TargetMode="External"/><Relationship Id="rId3833" Type="http://schemas.openxmlformats.org/officeDocument/2006/relationships/hyperlink" Target="https://drive.google.com/drive/folders/1hAag1AjkZU8VKczroBswmyhjqlgB80hu" TargetMode="External"/><Relationship Id="rId2504" Type="http://schemas.openxmlformats.org/officeDocument/2006/relationships/hyperlink" Target="https://drive.google.com/drive/folders/1Ts5BI97byYVqe5PlST_wZEfFfeSYYl-3" TargetMode="External"/><Relationship Id="rId3836" Type="http://schemas.openxmlformats.org/officeDocument/2006/relationships/hyperlink" Target="https://github.com/urlaubsverwaltung/urlaubsverwaltung/issues/5376" TargetMode="External"/><Relationship Id="rId2505" Type="http://schemas.openxmlformats.org/officeDocument/2006/relationships/hyperlink" Target="https://github.com/Mooncake-Labs/moonlink/issues/921" TargetMode="External"/><Relationship Id="rId3835" Type="http://schemas.openxmlformats.org/officeDocument/2006/relationships/hyperlink" Target="https://drive.google.com/drive/folders/1G9d1x3UBZZhXIhZJXyTCrjptKq03_VQn" TargetMode="External"/><Relationship Id="rId2506" Type="http://schemas.openxmlformats.org/officeDocument/2006/relationships/hyperlink" Target="https://drive.google.com/drive/folders/14a4y86SkdbDu2EECGgb1UUHYBItWHXkG" TargetMode="External"/><Relationship Id="rId3838" Type="http://schemas.openxmlformats.org/officeDocument/2006/relationships/hyperlink" Target="https://github.com/usebruno/bruno/issues/4959" TargetMode="External"/><Relationship Id="rId2507" Type="http://schemas.openxmlformats.org/officeDocument/2006/relationships/hyperlink" Target="https://github.com/mouzt/mzt-biz-log/issues/101" TargetMode="External"/><Relationship Id="rId3837" Type="http://schemas.openxmlformats.org/officeDocument/2006/relationships/hyperlink" Target="https://drive.google.com/drive/folders/1X1shR-pOLgBN4dqtBoiysJhvNrPltquT" TargetMode="External"/><Relationship Id="rId2508" Type="http://schemas.openxmlformats.org/officeDocument/2006/relationships/hyperlink" Target="https://drive.google.com/drive/folders/1WzbStZw5ihfqBUuQo1ng8Ez-6veqfjA6" TargetMode="External"/><Relationship Id="rId2509" Type="http://schemas.openxmlformats.org/officeDocument/2006/relationships/hyperlink" Target="https://drive.google.com/drive/folders/1O0rSpRc5ZjGTO-XlBdC07HtT_9NqwKmw" TargetMode="External"/><Relationship Id="rId3839" Type="http://schemas.openxmlformats.org/officeDocument/2006/relationships/hyperlink" Target="https://drive.google.com/drive/folders/11fbz2NRzm6mAQHk37d9I4vLSX6-0W1bc" TargetMode="External"/><Relationship Id="rId3830" Type="http://schemas.openxmlformats.org/officeDocument/2006/relationships/hyperlink" Target="https://drive.google.com/drive/folders/1IijuzqoNhijk34jOIZ9Ye4sP2t6DEv3J" TargetMode="External"/><Relationship Id="rId3821" Type="http://schemas.openxmlformats.org/officeDocument/2006/relationships/hyperlink" Target="https://drive.google.com/drive/folders/1U9QZvUxGiytrsV_fXQmOQymAxXsoxb9O" TargetMode="External"/><Relationship Id="rId3820" Type="http://schemas.openxmlformats.org/officeDocument/2006/relationships/hyperlink" Target="https://drive.google.com/drive/folders/1Xk4b2qWTczBfkcGcMGqnzo7ODHyW8Vtx" TargetMode="External"/><Relationship Id="rId3823" Type="http://schemas.openxmlformats.org/officeDocument/2006/relationships/hyperlink" Target="https://drive.google.com/drive/folders/1ncGOZxMlfNQdmPLPabshtynKx7-X57lZ" TargetMode="External"/><Relationship Id="rId3822" Type="http://schemas.openxmlformats.org/officeDocument/2006/relationships/hyperlink" Target="https://github.com/unnoq/orpc/issues/710" TargetMode="External"/><Relationship Id="rId3825" Type="http://schemas.openxmlformats.org/officeDocument/2006/relationships/hyperlink" Target="https://github.com/unocss/unocss/issues/4950" TargetMode="External"/><Relationship Id="rId3824" Type="http://schemas.openxmlformats.org/officeDocument/2006/relationships/hyperlink" Target="https://drive.google.com/drive/folders/1yTfz8M_ESIddsWEwMpNbzhCBS26wJRR9" TargetMode="External"/><Relationship Id="rId3827" Type="http://schemas.openxmlformats.org/officeDocument/2006/relationships/hyperlink" Target="https://github.com/unvalley/ephe/issues/72" TargetMode="External"/><Relationship Id="rId3826" Type="http://schemas.openxmlformats.org/officeDocument/2006/relationships/hyperlink" Target="https://drive.google.com/drive/folders/1BFfNJ6tXNRwWLNwQrdBcZ96bDCZ8qCCd" TargetMode="External"/><Relationship Id="rId3829" Type="http://schemas.openxmlformats.org/officeDocument/2006/relationships/hyperlink" Target="https://github.com/UoB-HPC/SimEng/issues/429" TargetMode="External"/><Relationship Id="rId3828" Type="http://schemas.openxmlformats.org/officeDocument/2006/relationships/hyperlink" Target="https://drive.google.com/drive/folders/1To3wgFG5vk9At_MxH94qINGKSWlrQ1c9" TargetMode="External"/><Relationship Id="rId2522" Type="http://schemas.openxmlformats.org/officeDocument/2006/relationships/hyperlink" Target="https://github.com/mozilla-ai/mcpd/issues/86" TargetMode="External"/><Relationship Id="rId3854" Type="http://schemas.openxmlformats.org/officeDocument/2006/relationships/hyperlink" Target="https://drive.google.com/drive/folders/14FTJKTfrBfz-44kbhJNvnYSNgUi34w_h" TargetMode="External"/><Relationship Id="rId2523" Type="http://schemas.openxmlformats.org/officeDocument/2006/relationships/hyperlink" Target="https://drive.google.com/drive/folders/1Ak3IWcGn5jG-qGyN6gPTp8nBdlEJs5id" TargetMode="External"/><Relationship Id="rId3853" Type="http://schemas.openxmlformats.org/officeDocument/2006/relationships/hyperlink" Target="https://github.com/vaadin/hilla/issues/3165" TargetMode="External"/><Relationship Id="rId2524" Type="http://schemas.openxmlformats.org/officeDocument/2006/relationships/hyperlink" Target="https://github.com/mozilla-ai/mcpd/issues/149" TargetMode="External"/><Relationship Id="rId3856" Type="http://schemas.openxmlformats.org/officeDocument/2006/relationships/hyperlink" Target="https://drive.google.com/drive/folders/1aYpc5rGD1Y57ONWEN1qWjngScRTKekgk" TargetMode="External"/><Relationship Id="rId2525" Type="http://schemas.openxmlformats.org/officeDocument/2006/relationships/hyperlink" Target="https://drive.google.com/drive/folders/1yr13rGuurORkl8rliXvzmron47TkZExu" TargetMode="External"/><Relationship Id="rId3855" Type="http://schemas.openxmlformats.org/officeDocument/2006/relationships/hyperlink" Target="https://github.com/vaadin/web-components/issues/8097" TargetMode="External"/><Relationship Id="rId2526" Type="http://schemas.openxmlformats.org/officeDocument/2006/relationships/hyperlink" Target="https://github.com/mozilla/addons-frontend/issues/13533" TargetMode="External"/><Relationship Id="rId3858" Type="http://schemas.openxmlformats.org/officeDocument/2006/relationships/hyperlink" Target="https://drive.google.com/drive/folders/1ZwNOZpgMPHTl_JRggy9gJ4-iygY1gaUH" TargetMode="External"/><Relationship Id="rId2527" Type="http://schemas.openxmlformats.org/officeDocument/2006/relationships/hyperlink" Target="https://drive.google.com/drive/folders/1H-msWFezbtq7BXNKhwnO5vkL8uHGwpBm" TargetMode="External"/><Relationship Id="rId3857" Type="http://schemas.openxmlformats.org/officeDocument/2006/relationships/hyperlink" Target="https://github.com/vaadin/web-components/issues/8691" TargetMode="External"/><Relationship Id="rId2528" Type="http://schemas.openxmlformats.org/officeDocument/2006/relationships/hyperlink" Target="https://github.com/mozilla/addons-linter/issues/5829" TargetMode="External"/><Relationship Id="rId2529" Type="http://schemas.openxmlformats.org/officeDocument/2006/relationships/hyperlink" Target="https://drive.google.com/drive/folders/1uNbBfqvCdnv1wkg2SSwfLtOiN-vYQ0s3" TargetMode="External"/><Relationship Id="rId3859" Type="http://schemas.openxmlformats.org/officeDocument/2006/relationships/hyperlink" Target="https://github.com/vacanza/holidays/issues/2398" TargetMode="External"/><Relationship Id="rId3850" Type="http://schemas.openxmlformats.org/officeDocument/2006/relationships/hyperlink" Target="https://drive.google.com/drive/folders/1xqFF7KGbyTkqRomdFmy2We4Tv8kkj-3R" TargetMode="External"/><Relationship Id="rId2520" Type="http://schemas.openxmlformats.org/officeDocument/2006/relationships/hyperlink" Target="https://github.com/mozilla-ai/mcpd/issues/106" TargetMode="External"/><Relationship Id="rId3852" Type="http://schemas.openxmlformats.org/officeDocument/2006/relationships/hyperlink" Target="https://drive.google.com/drive/folders/1jyLiZZlwELaxzsBY8v4hclJMm0bqi_rY" TargetMode="External"/><Relationship Id="rId2521" Type="http://schemas.openxmlformats.org/officeDocument/2006/relationships/hyperlink" Target="https://drive.google.com/drive/folders/1WRcCpkOuYNKsFY01EvTmatJsq47bCy3t" TargetMode="External"/><Relationship Id="rId3851" Type="http://schemas.openxmlformats.org/officeDocument/2006/relationships/hyperlink" Target="https://github.com/vaadin/flow/issues/23360" TargetMode="External"/><Relationship Id="rId2511" Type="http://schemas.openxmlformats.org/officeDocument/2006/relationships/hyperlink" Target="https://drive.google.com/drive/folders/1ZvQtquyvLPumrMjwf_y9-_Yb7KGndBKs" TargetMode="External"/><Relationship Id="rId3843" Type="http://schemas.openxmlformats.org/officeDocument/2006/relationships/hyperlink" Target="https://drive.google.com/drive/folders/1PSK16LkHNgH2WAKfs6HUwUI5UDSr97tq" TargetMode="External"/><Relationship Id="rId2512" Type="http://schemas.openxmlformats.org/officeDocument/2006/relationships/hyperlink" Target="https://github.com/mozilla-ai/mcpd/issues/152" TargetMode="External"/><Relationship Id="rId3842" Type="http://schemas.openxmlformats.org/officeDocument/2006/relationships/hyperlink" Target="https://github.com/ustaxcourt/ef-cms/issues/9075" TargetMode="External"/><Relationship Id="rId2513" Type="http://schemas.openxmlformats.org/officeDocument/2006/relationships/hyperlink" Target="https://drive.google.com/drive/folders/1IDUWaYKFgzKBSdnwezxW6yFCoeKp2XXi" TargetMode="External"/><Relationship Id="rId3845" Type="http://schemas.openxmlformats.org/officeDocument/2006/relationships/hyperlink" Target="https://drive.google.com/drive/folders/1IbFT2iAyR_HBRZlsWyu07AHjdMwTxnBj" TargetMode="External"/><Relationship Id="rId2514" Type="http://schemas.openxmlformats.org/officeDocument/2006/relationships/hyperlink" Target="https://github.com/mozilla-ai/mcpd/issues/52" TargetMode="External"/><Relationship Id="rId3844" Type="http://schemas.openxmlformats.org/officeDocument/2006/relationships/hyperlink" Target="https://github.com/vaadin/flow/issues/21400" TargetMode="External"/><Relationship Id="rId2515" Type="http://schemas.openxmlformats.org/officeDocument/2006/relationships/hyperlink" Target="https://drive.google.com/drive/folders/1wVWQ3yFOfVnw214oAq5-8wKXDaCK2HHU" TargetMode="External"/><Relationship Id="rId3847" Type="http://schemas.openxmlformats.org/officeDocument/2006/relationships/hyperlink" Target="https://drive.google.com/drive/folders/1K2lBDp-aDH29PCFdFipClEE9HZI0wnhv" TargetMode="External"/><Relationship Id="rId2516" Type="http://schemas.openxmlformats.org/officeDocument/2006/relationships/hyperlink" Target="https://github.com/mozilla-ai/mcpd/issues/142" TargetMode="External"/><Relationship Id="rId3846" Type="http://schemas.openxmlformats.org/officeDocument/2006/relationships/hyperlink" Target="https://github.com/vaadin/flow/issues/22215" TargetMode="External"/><Relationship Id="rId2517" Type="http://schemas.openxmlformats.org/officeDocument/2006/relationships/hyperlink" Target="https://drive.google.com/drive/folders/1Y3WcxUwTK9hv5ZMYXSCDSPDmUAK3K3Pd" TargetMode="External"/><Relationship Id="rId3849" Type="http://schemas.openxmlformats.org/officeDocument/2006/relationships/hyperlink" Target="https://github.com/vaadin/flow/issues/22027" TargetMode="External"/><Relationship Id="rId2518" Type="http://schemas.openxmlformats.org/officeDocument/2006/relationships/hyperlink" Target="https://github.com/mozilla-ai/mcpd/issues/69" TargetMode="External"/><Relationship Id="rId3848" Type="http://schemas.openxmlformats.org/officeDocument/2006/relationships/hyperlink" Target="https://drive.google.com/drive/folders/1GBMwC3Sy5mSJs7CwbUzSF4EDL03v-gZl" TargetMode="External"/><Relationship Id="rId2519" Type="http://schemas.openxmlformats.org/officeDocument/2006/relationships/hyperlink" Target="https://drive.google.com/drive/folders/16_oBsnUgZQpDlgnDGUkn9SkqT0p-ymKy" TargetMode="External"/><Relationship Id="rId3841" Type="http://schemas.openxmlformats.org/officeDocument/2006/relationships/hyperlink" Target="https://drive.google.com/drive/folders/1cGzNSCqrLE3fpXa_5O59UCDOvrOVErZm" TargetMode="External"/><Relationship Id="rId2510" Type="http://schemas.openxmlformats.org/officeDocument/2006/relationships/hyperlink" Target="https://github.com/mozilla-ai/mcpd/issues/84" TargetMode="External"/><Relationship Id="rId3840" Type="http://schemas.openxmlformats.org/officeDocument/2006/relationships/hyperlink" Target="https://github.com/usethesource/rascal/issues/2326" TargetMode="External"/><Relationship Id="rId4327" Type="http://schemas.openxmlformats.org/officeDocument/2006/relationships/hyperlink" Target="https://github.com/canonical/cloud-init/issues/6144" TargetMode="External"/><Relationship Id="rId5659" Type="http://schemas.openxmlformats.org/officeDocument/2006/relationships/hyperlink" Target="https://github.com/jlowin/fastmcp/issues/449" TargetMode="External"/><Relationship Id="rId4326" Type="http://schemas.openxmlformats.org/officeDocument/2006/relationships/hyperlink" Target="https://drive.google.com/drive/folders/1RNMINpvd_UZj51uscxoPX0myRB2D1RJL" TargetMode="External"/><Relationship Id="rId4329" Type="http://schemas.openxmlformats.org/officeDocument/2006/relationships/hyperlink" Target="https://drive.google.com/drive/folders/14t_ObJOqV2ABwS5KIuyduKPEvJQY84vz" TargetMode="External"/><Relationship Id="rId5657" Type="http://schemas.openxmlformats.org/officeDocument/2006/relationships/hyperlink" Target="https://github.com/jaredwray/cacheable/issues/1553" TargetMode="External"/><Relationship Id="rId4328" Type="http://schemas.openxmlformats.org/officeDocument/2006/relationships/hyperlink" Target="https://drive.google.com/drive/folders/1FFhnOCCRaFLmQUAv5r8GP4BPLeKt6LrS" TargetMode="External"/><Relationship Id="rId5658" Type="http://schemas.openxmlformats.org/officeDocument/2006/relationships/hyperlink" Target="https://drive.google.com/drive/folders/1xlb4T0nX7ZRNkHERC-SvjvuoQgDDalW5" TargetMode="External"/><Relationship Id="rId469" Type="http://schemas.openxmlformats.org/officeDocument/2006/relationships/hyperlink" Target="https://drive.google.com/drive/folders/1BMil-PJ6YSJMehrlYRo-NzVKyd0oHsU-" TargetMode="External"/><Relationship Id="rId468" Type="http://schemas.openxmlformats.org/officeDocument/2006/relationships/hyperlink" Target="https://drive.google.com/drive/folders/18vAVueHMq1yNzqXRff52-ZWMEKQMK8Vd" TargetMode="External"/><Relationship Id="rId467" Type="http://schemas.openxmlformats.org/officeDocument/2006/relationships/hyperlink" Target="https://github.com/aws-powertools/powertools-lambda-python/issues/5883" TargetMode="External"/><Relationship Id="rId1290" Type="http://schemas.openxmlformats.org/officeDocument/2006/relationships/hyperlink" Target="https://drive.google.com/drive/folders/1gb6RtboQ3GfEi1aojoCswQw1GTGYgNWJ" TargetMode="External"/><Relationship Id="rId1291" Type="http://schemas.openxmlformats.org/officeDocument/2006/relationships/hyperlink" Target="https://drive.google.com/drive/folders/1hbg25u6m6A_Tf-3bKW4qLaxrRTALsG0a" TargetMode="External"/><Relationship Id="rId1292" Type="http://schemas.openxmlformats.org/officeDocument/2006/relationships/hyperlink" Target="https://github.com/Exlll/ConfigLib/issues/56" TargetMode="External"/><Relationship Id="rId462" Type="http://schemas.openxmlformats.org/officeDocument/2006/relationships/hyperlink" Target="https://github.com/aws-powertools/powertools-lambda-java/issues/1902" TargetMode="External"/><Relationship Id="rId1293" Type="http://schemas.openxmlformats.org/officeDocument/2006/relationships/hyperlink" Target="https://drive.google.com/drive/folders/1RIjainbljwPj_YsPaDjSPnl1W_7AJxmz" TargetMode="External"/><Relationship Id="rId5651" Type="http://schemas.openxmlformats.org/officeDocument/2006/relationships/hyperlink" Target="https://github.com/hiero-ledger/hiero-consensus-node/issues/20732" TargetMode="External"/><Relationship Id="rId461" Type="http://schemas.openxmlformats.org/officeDocument/2006/relationships/hyperlink" Target="https://drive.google.com/drive/folders/1P3GubuL4da0xHce0EK0igfZCt0Work8i" TargetMode="External"/><Relationship Id="rId1294" Type="http://schemas.openxmlformats.org/officeDocument/2006/relationships/hyperlink" Target="https://github.com/Expensify/App/issues/71513" TargetMode="External"/><Relationship Id="rId5652" Type="http://schemas.openxmlformats.org/officeDocument/2006/relationships/hyperlink" Target="https://drive.google.com/drive/folders/1kXP5GSMj-A3P-zSJykyUlooLBAr_B2yH" TargetMode="External"/><Relationship Id="rId460" Type="http://schemas.openxmlformats.org/officeDocument/2006/relationships/hyperlink" Target="https://github.com/aws-powertools/powertools-lambda-dotnet/issues/785" TargetMode="External"/><Relationship Id="rId1295" Type="http://schemas.openxmlformats.org/officeDocument/2006/relationships/hyperlink" Target="https://drive.google.com/drive/folders/1b9ynl-Bl-s8SuV-O6_KqrZA2NZNjTFLb" TargetMode="External"/><Relationship Id="rId4321" Type="http://schemas.openxmlformats.org/officeDocument/2006/relationships/hyperlink" Target="https://github.com/camunda/camunda/issues/25330" TargetMode="External"/><Relationship Id="rId1296" Type="http://schemas.openxmlformats.org/officeDocument/2006/relationships/hyperlink" Target="https://github.com/express-rate-limit/express-rate-limit/issues/486" TargetMode="External"/><Relationship Id="rId4320" Type="http://schemas.openxmlformats.org/officeDocument/2006/relationships/hyperlink" Target="https://drive.google.com/drive/folders/1AJBp2sdiKnygloUxCD0pz356w9HVbb4x" TargetMode="External"/><Relationship Id="rId5650" Type="http://schemas.openxmlformats.org/officeDocument/2006/relationships/hyperlink" Target="https://drive.google.com/drive/folders/1R4aGSWs6AJTnHOA5PA_HfzLZWxg4Vgcx" TargetMode="External"/><Relationship Id="rId466" Type="http://schemas.openxmlformats.org/officeDocument/2006/relationships/hyperlink" Target="https://drive.google.com/drive/folders/1qiQqorfS7QtmUWjVTG0ggxrAU9mj5QFu" TargetMode="External"/><Relationship Id="rId1297" Type="http://schemas.openxmlformats.org/officeDocument/2006/relationships/hyperlink" Target="https://drive.google.com/drive/folders/1EhElJIs4_G-kFI9zu8SRUtz3u0gquY3S" TargetMode="External"/><Relationship Id="rId4323" Type="http://schemas.openxmlformats.org/officeDocument/2006/relationships/hyperlink" Target="https://github.com/camunda/camunda/issues/25955" TargetMode="External"/><Relationship Id="rId5655" Type="http://schemas.openxmlformats.org/officeDocument/2006/relationships/hyperlink" Target="https://github.com/iterative/datachain/issues/1231" TargetMode="External"/><Relationship Id="rId465" Type="http://schemas.openxmlformats.org/officeDocument/2006/relationships/hyperlink" Target="https://drive.google.com/drive/folders/1QuYiqALVipJA8g9Kj9IklEpAO69GB9Qy" TargetMode="External"/><Relationship Id="rId1298" Type="http://schemas.openxmlformats.org/officeDocument/2006/relationships/hyperlink" Target="https://github.com/express-rate-limit/express-rate-limit/issues/549" TargetMode="External"/><Relationship Id="rId4322" Type="http://schemas.openxmlformats.org/officeDocument/2006/relationships/hyperlink" Target="https://drive.google.com/drive/folders/1QL4FVF2xG44BkoqTDrzBCN_UKITilTgD" TargetMode="External"/><Relationship Id="rId5656" Type="http://schemas.openxmlformats.org/officeDocument/2006/relationships/hyperlink" Target="https://drive.google.com/drive/folders/1-x12x3HyX11hZLD0dLj5y6ar0nX9QVpK" TargetMode="External"/><Relationship Id="rId464" Type="http://schemas.openxmlformats.org/officeDocument/2006/relationships/hyperlink" Target="https://github.com/aws-powertools/powertools-lambda-python/issues/7028" TargetMode="External"/><Relationship Id="rId1299" Type="http://schemas.openxmlformats.org/officeDocument/2006/relationships/hyperlink" Target="https://drive.google.com/drive/folders/1ScUYKhzhjN7PyHU4Nu6EDPOyqLGNR0ub" TargetMode="External"/><Relationship Id="rId4325" Type="http://schemas.openxmlformats.org/officeDocument/2006/relationships/hyperlink" Target="https://drive.google.com/drive/folders/1ttmRCOZ2IBk1Kxb5vmbCREm-Sul-di36" TargetMode="External"/><Relationship Id="rId5653" Type="http://schemas.openxmlformats.org/officeDocument/2006/relationships/hyperlink" Target="https://github.com/instructlab/sdg/issues/339" TargetMode="External"/><Relationship Id="rId463" Type="http://schemas.openxmlformats.org/officeDocument/2006/relationships/hyperlink" Target="https://drive.google.com/drive/folders/1ImkFZ3WR_0XylW1dtYAaTMArUhleugeR" TargetMode="External"/><Relationship Id="rId4324" Type="http://schemas.openxmlformats.org/officeDocument/2006/relationships/hyperlink" Target="https://github.com/canonical/cloud-init/issues/6063" TargetMode="External"/><Relationship Id="rId5654" Type="http://schemas.openxmlformats.org/officeDocument/2006/relationships/hyperlink" Target="https://drive.google.com/drive/folders/1eDW-CdLKehjQegEJFpCHTxrvoDqhCHKW" TargetMode="External"/><Relationship Id="rId4316" Type="http://schemas.openxmlformats.org/officeDocument/2006/relationships/hyperlink" Target="https://drive.google.com/drive/folders/1oiH7vPNa9dNGhL9AmVqXhLMKKbSVhLH9" TargetMode="External"/><Relationship Id="rId5648" Type="http://schemas.openxmlformats.org/officeDocument/2006/relationships/hyperlink" Target="https://github.com/helm/helm/issues/31076" TargetMode="External"/><Relationship Id="rId4315" Type="http://schemas.openxmlformats.org/officeDocument/2006/relationships/hyperlink" Target="https://github.com/calcom/cal.com/issues/17591" TargetMode="External"/><Relationship Id="rId5649" Type="http://schemas.openxmlformats.org/officeDocument/2006/relationships/hyperlink" Target="https://drive.google.com/drive/folders/1lutinqSCrHojZF8BpWy6OSqc84qs9oMe" TargetMode="External"/><Relationship Id="rId4318" Type="http://schemas.openxmlformats.org/officeDocument/2006/relationships/hyperlink" Target="https://github.com/camel-ai/camel/issues/1099" TargetMode="External"/><Relationship Id="rId5646" Type="http://schemas.openxmlformats.org/officeDocument/2006/relationships/hyperlink" Target="https://drive.google.com/drive/folders/1BC97YPwlPB0yAfVjDOhZ45LjR8aj9SWX" TargetMode="External"/><Relationship Id="rId4317" Type="http://schemas.openxmlformats.org/officeDocument/2006/relationships/hyperlink" Target="https://drive.google.com/drive/folders/1oeWowlE_r1MplCYqwlO6NUmOSxv8Fi5U" TargetMode="External"/><Relationship Id="rId5647" Type="http://schemas.openxmlformats.org/officeDocument/2006/relationships/hyperlink" Target="https://drive.google.com/drive/folders/1FY1QYVcEAacOVGiy3RXVFStCI2XaIRit" TargetMode="External"/><Relationship Id="rId4319" Type="http://schemas.openxmlformats.org/officeDocument/2006/relationships/hyperlink" Target="https://github.com/Cammisuli/monodon/issues/75" TargetMode="External"/><Relationship Id="rId459" Type="http://schemas.openxmlformats.org/officeDocument/2006/relationships/hyperlink" Target="https://drive.google.com/drive/folders/1uivmPEq8f7lRlOeClBQssRbBI3H1V_Pw" TargetMode="External"/><Relationship Id="rId458" Type="http://schemas.openxmlformats.org/officeDocument/2006/relationships/hyperlink" Target="https://github.com/aws-powertools/powertools-lambda-dotnet/issues/909" TargetMode="External"/><Relationship Id="rId457" Type="http://schemas.openxmlformats.org/officeDocument/2006/relationships/hyperlink" Target="https://drive.google.com/drive/folders/1EkQg6oqK5SQaPxUwWQSyaP80ljNFqdC6" TargetMode="External"/><Relationship Id="rId456" Type="http://schemas.openxmlformats.org/officeDocument/2006/relationships/hyperlink" Target="https://drive.google.com/drive/folders/14PKUrCRwZChmjhDhyj-yu19ffxSYnI0q" TargetMode="External"/><Relationship Id="rId1280" Type="http://schemas.openxmlformats.org/officeDocument/2006/relationships/hyperlink" Target="https://drive.google.com/drive/folders/18rftA_vFj0uwmm0meLuNampFOSYbeKNs" TargetMode="External"/><Relationship Id="rId1281" Type="http://schemas.openxmlformats.org/officeDocument/2006/relationships/hyperlink" Target="https://drive.google.com/drive/folders/1_ONpplv7gZP2uqxcqQHxhdZx2Boz5so4" TargetMode="External"/><Relationship Id="rId451" Type="http://schemas.openxmlformats.org/officeDocument/2006/relationships/hyperlink" Target="https://github.com/AvitalTamir/cyphernetes/issues/138" TargetMode="External"/><Relationship Id="rId1282" Type="http://schemas.openxmlformats.org/officeDocument/2006/relationships/hyperlink" Target="https://github.com/event-catalog/eventcatalog/issues/1585" TargetMode="External"/><Relationship Id="rId5640" Type="http://schemas.openxmlformats.org/officeDocument/2006/relationships/hyperlink" Target="https://drive.google.com/drive/folders/1fg-yhbXhedqQnatWI9xA_rGCB-LlLLYp" TargetMode="External"/><Relationship Id="rId450" Type="http://schemas.openxmlformats.org/officeDocument/2006/relationships/hyperlink" Target="https://drive.google.com/drive/folders/1hRnHFUcysnl56yQrXQgVo_4EGsIGRohR" TargetMode="External"/><Relationship Id="rId1283" Type="http://schemas.openxmlformats.org/officeDocument/2006/relationships/hyperlink" Target="https://github.com/evstack/ev-node/issues/2771" TargetMode="External"/><Relationship Id="rId5641" Type="http://schemas.openxmlformats.org/officeDocument/2006/relationships/hyperlink" Target="https://github.com/grll/mcpadapt/issues/42" TargetMode="External"/><Relationship Id="rId1284" Type="http://schemas.openxmlformats.org/officeDocument/2006/relationships/hyperlink" Target="https://drive.google.com/drive/folders/1E8iLh07j2cxdW09IS9nmrQCN6pd28jAp" TargetMode="External"/><Relationship Id="rId4310" Type="http://schemas.openxmlformats.org/officeDocument/2006/relationships/hyperlink" Target="https://drive.google.com/drive/folders/1S8dRKpyxvrtsrQaDDEVAn0lA19f-mVBk" TargetMode="External"/><Relationship Id="rId1285" Type="http://schemas.openxmlformats.org/officeDocument/2006/relationships/hyperlink" Target="https://github.com/evstack/ev-node/issues/2363" TargetMode="External"/><Relationship Id="rId455" Type="http://schemas.openxmlformats.org/officeDocument/2006/relationships/hyperlink" Target="https://github.com/aws-observability/aws-rum-web/issues/610" TargetMode="External"/><Relationship Id="rId1286" Type="http://schemas.openxmlformats.org/officeDocument/2006/relationships/hyperlink" Target="https://drive.google.com/drive/folders/1n1YymPhlPcQGrtcfRuDNCRt_1omXBdKM" TargetMode="External"/><Relationship Id="rId4312" Type="http://schemas.openxmlformats.org/officeDocument/2006/relationships/hyperlink" Target="https://drive.google.com/drive/folders/1j32x3m_2-wZ8db5N0g6ZrPIgVE6scASx" TargetMode="External"/><Relationship Id="rId5644" Type="http://schemas.openxmlformats.org/officeDocument/2006/relationships/hyperlink" Target="https://drive.google.com/drive/folders/19LHrlzVWJjqQsXPYMTQjcyRqH7ariPPs" TargetMode="External"/><Relationship Id="rId454" Type="http://schemas.openxmlformats.org/officeDocument/2006/relationships/hyperlink" Target="https://drive.google.com/drive/folders/1GJ2XwXPQpK0MeKLRczh_uySoN-YiE5HG" TargetMode="External"/><Relationship Id="rId1287" Type="http://schemas.openxmlformats.org/officeDocument/2006/relationships/hyperlink" Target="https://github.com/exadel-inc/etoolbox-authoring-kit/issues/586" TargetMode="External"/><Relationship Id="rId4311" Type="http://schemas.openxmlformats.org/officeDocument/2006/relationships/hyperlink" Target="https://github.com/bytecodealliance/go-modules/issues/333" TargetMode="External"/><Relationship Id="rId5645" Type="http://schemas.openxmlformats.org/officeDocument/2006/relationships/hyperlink" Target="https://github.com/hahwul/dalfox/issues/740" TargetMode="External"/><Relationship Id="rId453" Type="http://schemas.openxmlformats.org/officeDocument/2006/relationships/hyperlink" Target="https://github.com/avoidwork/tiny-lru/issues/312" TargetMode="External"/><Relationship Id="rId1288" Type="http://schemas.openxmlformats.org/officeDocument/2006/relationships/hyperlink" Target="https://drive.google.com/drive/folders/15fken9mFgin6BaKL3C0c9kddQYGwi58S" TargetMode="External"/><Relationship Id="rId4314" Type="http://schemas.openxmlformats.org/officeDocument/2006/relationships/hyperlink" Target="https://drive.google.com/drive/folders/1ocwJFLnP95stv6Ysu7tBzUkP69IcROIR" TargetMode="External"/><Relationship Id="rId5642" Type="http://schemas.openxmlformats.org/officeDocument/2006/relationships/hyperlink" Target="https://drive.google.com/drive/folders/1-sLM5oTamRmPszPWf0ZVvCu3GEwSOoFM" TargetMode="External"/><Relationship Id="rId452" Type="http://schemas.openxmlformats.org/officeDocument/2006/relationships/hyperlink" Target="https://drive.google.com/drive/folders/1G6I_mILeDte6R8nzNiHNfpL376dO8FXn" TargetMode="External"/><Relationship Id="rId1289" Type="http://schemas.openxmlformats.org/officeDocument/2006/relationships/hyperlink" Target="https://github.com/exasol/pyexasol/issues/209" TargetMode="External"/><Relationship Id="rId4313" Type="http://schemas.openxmlformats.org/officeDocument/2006/relationships/hyperlink" Target="https://github.com/bytecodealliance/wasm-tools/issues/2160" TargetMode="External"/><Relationship Id="rId5643" Type="http://schemas.openxmlformats.org/officeDocument/2006/relationships/hyperlink" Target="https://github.com/grpc/grpc-java/issues/11778" TargetMode="External"/><Relationship Id="rId3018" Type="http://schemas.openxmlformats.org/officeDocument/2006/relationships/hyperlink" Target="https://github.com/prometheus/prometheus/issues/16452" TargetMode="External"/><Relationship Id="rId4349" Type="http://schemas.openxmlformats.org/officeDocument/2006/relationships/hyperlink" Target="https://github.com/chainguard-dev/dfc/issues/35" TargetMode="External"/><Relationship Id="rId3017" Type="http://schemas.openxmlformats.org/officeDocument/2006/relationships/hyperlink" Target="https://drive.google.com/drive/folders/1hAsWaFs0seZyLLxGPFwFXTdDdJMSUxB5" TargetMode="External"/><Relationship Id="rId4348" Type="http://schemas.openxmlformats.org/officeDocument/2006/relationships/hyperlink" Target="https://drive.google.com/drive/folders/1H5VTTlgkXCHAwQdbYIz37AwkOogg5mjZ" TargetMode="External"/><Relationship Id="rId5679" Type="http://schemas.openxmlformats.org/officeDocument/2006/relationships/hyperlink" Target="https://drive.google.com/drive/folders/1Tjn_XY9gpoWmGUn6oKpqCiVcbpSQ_sCd" TargetMode="External"/><Relationship Id="rId3019" Type="http://schemas.openxmlformats.org/officeDocument/2006/relationships/hyperlink" Target="https://drive.google.com/drive/folders/1cRw-2i6WJ2J_Wa1UG2O9zZE_U5Gqey0r" TargetMode="External"/><Relationship Id="rId491" Type="http://schemas.openxmlformats.org/officeDocument/2006/relationships/hyperlink" Target="https://github.com/awspring/spring-cloud-aws/issues/1574" TargetMode="External"/><Relationship Id="rId490" Type="http://schemas.openxmlformats.org/officeDocument/2006/relationships/hyperlink" Target="https://drive.google.com/drive/folders/151G8MqlSYAzXHFEUMAolvDdrhA95_hfm" TargetMode="External"/><Relationship Id="rId489" Type="http://schemas.openxmlformats.org/officeDocument/2006/relationships/hyperlink" Target="https://github.com/aws/serverless-java-container/issues/18" TargetMode="External"/><Relationship Id="rId5670" Type="http://schemas.openxmlformats.org/officeDocument/2006/relationships/hyperlink" Target="https://drive.google.com/drive/folders/15X3eCFwti6G1B-sd2fnK0FPMRth3FRog" TargetMode="External"/><Relationship Id="rId484" Type="http://schemas.openxmlformats.org/officeDocument/2006/relationships/hyperlink" Target="https://drive.google.com/drive/folders/1bGaPAksE4_xIOzNhrox0bF6qMwPnczWN" TargetMode="External"/><Relationship Id="rId3010" Type="http://schemas.openxmlformats.org/officeDocument/2006/relationships/hyperlink" Target="https://drive.google.com/drive/folders/1UYZfo0dn7fiUCTQklt1l4Szqwz5eADVh" TargetMode="External"/><Relationship Id="rId4341" Type="http://schemas.openxmlformats.org/officeDocument/2006/relationships/hyperlink" Target="https://github.com/casey/just/issues/2794" TargetMode="External"/><Relationship Id="rId5673" Type="http://schemas.openxmlformats.org/officeDocument/2006/relationships/hyperlink" Target="https://drive.google.com/drive/folders/1LsrP8RwRsbBLO8DMdY69M9AU5Is96WLX" TargetMode="External"/><Relationship Id="rId483" Type="http://schemas.openxmlformats.org/officeDocument/2006/relationships/hyperlink" Target="https://drive.google.com/drive/folders/1hRBZS3Te6s9u7jeGsiDAprs-pEB1SH5K" TargetMode="External"/><Relationship Id="rId4340" Type="http://schemas.openxmlformats.org/officeDocument/2006/relationships/hyperlink" Target="https://drive.google.com/drive/folders/18kwI7h0yMu0H9GbWQctSBfGiYFfKL3to" TargetMode="External"/><Relationship Id="rId5674" Type="http://schemas.openxmlformats.org/officeDocument/2006/relationships/hyperlink" Target="https://github.com/microsoft/azure-devops-mcp/issues/442" TargetMode="External"/><Relationship Id="rId482" Type="http://schemas.openxmlformats.org/officeDocument/2006/relationships/hyperlink" Target="https://github.com/aws-powertools/powertools-lambda-python/issues/6336" TargetMode="External"/><Relationship Id="rId3012" Type="http://schemas.openxmlformats.org/officeDocument/2006/relationships/hyperlink" Target="https://github.com/prometheus/prometheus/issues/16695" TargetMode="External"/><Relationship Id="rId4343" Type="http://schemas.openxmlformats.org/officeDocument/2006/relationships/hyperlink" Target="https://github.com/cdpdriver/zendriver/issues/141" TargetMode="External"/><Relationship Id="rId5671" Type="http://schemas.openxmlformats.org/officeDocument/2006/relationships/hyperlink" Target="https://github.com/Lightning-AI/litData/issues/438" TargetMode="External"/><Relationship Id="rId481" Type="http://schemas.openxmlformats.org/officeDocument/2006/relationships/hyperlink" Target="https://drive.google.com/drive/folders/1CsSZObCuv737UIEVujdgPW9UeuOnOnK3" TargetMode="External"/><Relationship Id="rId3011" Type="http://schemas.openxmlformats.org/officeDocument/2006/relationships/hyperlink" Target="https://drive.google.com/drive/folders/1YIs1ZBtnO4MdQif382JcD8tvJPLg9-Jb" TargetMode="External"/><Relationship Id="rId4342" Type="http://schemas.openxmlformats.org/officeDocument/2006/relationships/hyperlink" Target="https://drive.google.com/drive/folders/1wYkF63MXsX2Vtd6jNdrRmuqO4BawgQQh" TargetMode="External"/><Relationship Id="rId5672" Type="http://schemas.openxmlformats.org/officeDocument/2006/relationships/hyperlink" Target="https://drive.google.com/drive/folders/1wxEt9XnOztOUivJKwE2FH2D2fhMLlzvY" TargetMode="External"/><Relationship Id="rId488" Type="http://schemas.openxmlformats.org/officeDocument/2006/relationships/hyperlink" Target="https://drive.google.com/drive/folders/1a59MYubdpndvR4zfOZVKWmUZgjjgC3Xy" TargetMode="External"/><Relationship Id="rId3014" Type="http://schemas.openxmlformats.org/officeDocument/2006/relationships/hyperlink" Target="https://drive.google.com/drive/folders/1YIgIdGoYCWpJMo0lXjXZ0-3eo6LzueFe" TargetMode="External"/><Relationship Id="rId4345" Type="http://schemas.openxmlformats.org/officeDocument/2006/relationships/hyperlink" Target="https://github.com/celery/celery/issues/9879" TargetMode="External"/><Relationship Id="rId5677" Type="http://schemas.openxmlformats.org/officeDocument/2006/relationships/hyperlink" Target="https://drive.google.com/drive/folders/1LZsJ5iIDTtXXTdtHRBymiM6NK0JxhI9l" TargetMode="External"/><Relationship Id="rId487" Type="http://schemas.openxmlformats.org/officeDocument/2006/relationships/hyperlink" Target="https://github.com/aws/eventbridge-kafka-connector/issues/464" TargetMode="External"/><Relationship Id="rId3013" Type="http://schemas.openxmlformats.org/officeDocument/2006/relationships/hyperlink" Target="https://drive.google.com/drive/folders/134Epw7O47m5qqlzMZHw5uvAZkHk5BFeK" TargetMode="External"/><Relationship Id="rId4344" Type="http://schemas.openxmlformats.org/officeDocument/2006/relationships/hyperlink" Target="https://drive.google.com/drive/folders/1pu0IovlhupxnkE5chkS1vO2Y2mt0fEvl" TargetMode="External"/><Relationship Id="rId5678" Type="http://schemas.openxmlformats.org/officeDocument/2006/relationships/hyperlink" Target="https://github.com/microsoft/proxy/issues/85" TargetMode="External"/><Relationship Id="rId486" Type="http://schemas.openxmlformats.org/officeDocument/2006/relationships/hyperlink" Target="https://drive.google.com/drive/folders/1SPE9X76NlPslEibkwwRVcI_RlL_5-yuw" TargetMode="External"/><Relationship Id="rId3016" Type="http://schemas.openxmlformats.org/officeDocument/2006/relationships/hyperlink" Target="https://drive.google.com/drive/folders/1yaJOZzWidTWu1VpSS5bTGkNYmvaxOcO9" TargetMode="External"/><Relationship Id="rId4347" Type="http://schemas.openxmlformats.org/officeDocument/2006/relationships/hyperlink" Target="https://github.com/certbot/certbot/issues/10207" TargetMode="External"/><Relationship Id="rId5675" Type="http://schemas.openxmlformats.org/officeDocument/2006/relationships/hyperlink" Target="https://drive.google.com/drive/folders/1dYfg3VMXZlofb8_flrDzAlKy8Qu77LJr" TargetMode="External"/><Relationship Id="rId485" Type="http://schemas.openxmlformats.org/officeDocument/2006/relationships/hyperlink" Target="https://github.com/aws/aws-sdk-rails/issues/168" TargetMode="External"/><Relationship Id="rId3015" Type="http://schemas.openxmlformats.org/officeDocument/2006/relationships/hyperlink" Target="https://github.com/prometheus/prometheus/issues/17021" TargetMode="External"/><Relationship Id="rId4346" Type="http://schemas.openxmlformats.org/officeDocument/2006/relationships/hyperlink" Target="https://drive.google.com/drive/folders/1T4Y9c8iB_89HADdKqB277JB8xu9dLV56" TargetMode="External"/><Relationship Id="rId5676" Type="http://schemas.openxmlformats.org/officeDocument/2006/relationships/hyperlink" Target="https://github.com/microsoft/azure-devops-mcp/issues/410" TargetMode="External"/><Relationship Id="rId3007" Type="http://schemas.openxmlformats.org/officeDocument/2006/relationships/hyperlink" Target="https://drive.google.com/drive/folders/146Nc6D9PInkDU90y26D0QRJhMADN620c" TargetMode="External"/><Relationship Id="rId4338" Type="http://schemas.openxmlformats.org/officeDocument/2006/relationships/hyperlink" Target="https://drive.google.com/drive/folders/1mu27yAAGFO3P8MqWeC60H4APuJrUg9z7" TargetMode="External"/><Relationship Id="rId3006" Type="http://schemas.openxmlformats.org/officeDocument/2006/relationships/hyperlink" Target="https://github.com/prometheus/client_java/issues/1292" TargetMode="External"/><Relationship Id="rId4337" Type="http://schemas.openxmlformats.org/officeDocument/2006/relationships/hyperlink" Target="https://drive.google.com/drive/folders/1a0iCA_rD7lcreMP9i_ZbF5PV21eudqai" TargetMode="External"/><Relationship Id="rId3009" Type="http://schemas.openxmlformats.org/officeDocument/2006/relationships/hyperlink" Target="https://github.com/prometheus/jmx_exporter/issues/1042" TargetMode="External"/><Relationship Id="rId5668" Type="http://schemas.openxmlformats.org/officeDocument/2006/relationships/hyperlink" Target="https://drive.google.com/drive/folders/1t1kJZFrkrxmOK-4Ll1g0m_9VwWgTHmkN" TargetMode="External"/><Relationship Id="rId3008" Type="http://schemas.openxmlformats.org/officeDocument/2006/relationships/hyperlink" Target="https://drive.google.com/drive/folders/1foGInWhjtPnXemrnRGknJf2kYjkWIRy2" TargetMode="External"/><Relationship Id="rId4339" Type="http://schemas.openxmlformats.org/officeDocument/2006/relationships/hyperlink" Target="https://github.com/casbin/jcasbin/issues/488" TargetMode="External"/><Relationship Id="rId5669" Type="http://schemas.openxmlformats.org/officeDocument/2006/relationships/hyperlink" Target="https://github.com/libp2p/go-libp2p/issues/3137" TargetMode="External"/><Relationship Id="rId480" Type="http://schemas.openxmlformats.org/officeDocument/2006/relationships/hyperlink" Target="https://drive.google.com/drive/folders/1w4MGfOqlFWwaHiULdX_VqhSUVO1-h_OY" TargetMode="External"/><Relationship Id="rId479" Type="http://schemas.openxmlformats.org/officeDocument/2006/relationships/hyperlink" Target="https://github.com/aws-powertools/powertools-lambda-python/issues/6189" TargetMode="External"/><Relationship Id="rId478" Type="http://schemas.openxmlformats.org/officeDocument/2006/relationships/hyperlink" Target="https://drive.google.com/drive/folders/1l9G0SNOFL_3v3Jz2zIdxAu7N7IVWmtTO" TargetMode="External"/><Relationship Id="rId473" Type="http://schemas.openxmlformats.org/officeDocument/2006/relationships/hyperlink" Target="https://github.com/aws-powertools/powertools-lambda-python/issues/7058" TargetMode="External"/><Relationship Id="rId4330" Type="http://schemas.openxmlformats.org/officeDocument/2006/relationships/hyperlink" Target="https://github.com/CAREamics/careamics/issues/267" TargetMode="External"/><Relationship Id="rId5662" Type="http://schemas.openxmlformats.org/officeDocument/2006/relationships/hyperlink" Target="https://github.com/kolide/launcher/issues/2063" TargetMode="External"/><Relationship Id="rId472" Type="http://schemas.openxmlformats.org/officeDocument/2006/relationships/hyperlink" Target="https://drive.google.com/drive/folders/1bN3DZvnTIInXp0zDq64a6T4jribMxCgz" TargetMode="External"/><Relationship Id="rId5663" Type="http://schemas.openxmlformats.org/officeDocument/2006/relationships/hyperlink" Target="https://drive.google.com/drive/folders/1DCjfXgv66N6RDFXVpNsQXD3M78nUQ2mW" TargetMode="External"/><Relationship Id="rId471" Type="http://schemas.openxmlformats.org/officeDocument/2006/relationships/hyperlink" Target="https://drive.google.com/drive/folders/1w10D0HWIh4S0LjljkLvzYx-xfQOY0pZH" TargetMode="External"/><Relationship Id="rId3001" Type="http://schemas.openxmlformats.org/officeDocument/2006/relationships/hyperlink" Target="https://drive.google.com/drive/folders/1D_gDQzjKk4wPOdIEYrg7QpzkxIFjopFu" TargetMode="External"/><Relationship Id="rId4332" Type="http://schemas.openxmlformats.org/officeDocument/2006/relationships/hyperlink" Target="https://drive.google.com/drive/folders/1MBRWqwVIrH8nnIAsQ-QSwQwli2w18wdH" TargetMode="External"/><Relationship Id="rId5660" Type="http://schemas.openxmlformats.org/officeDocument/2006/relationships/hyperlink" Target="https://drive.google.com/drive/folders/1jqeNnFGHP9Rm-DloRW2Ay3tcb_-I-Vm5" TargetMode="External"/><Relationship Id="rId470" Type="http://schemas.openxmlformats.org/officeDocument/2006/relationships/hyperlink" Target="https://github.com/aws-powertools/powertools-lambda-python/issues/5956" TargetMode="External"/><Relationship Id="rId3000" Type="http://schemas.openxmlformats.org/officeDocument/2006/relationships/hyperlink" Target="https://drive.google.com/drive/folders/1rjtfXmgxjhNZFwmnY0XKKoFZ09S5qSED" TargetMode="External"/><Relationship Id="rId4331" Type="http://schemas.openxmlformats.org/officeDocument/2006/relationships/hyperlink" Target="https://drive.google.com/drive/folders/1gbVY5NeBOjVXVuxqciGOPgR0Odk2RB3R" TargetMode="External"/><Relationship Id="rId5661" Type="http://schemas.openxmlformats.org/officeDocument/2006/relationships/hyperlink" Target="https://drive.google.com/drive/folders/1KxejYn9H0Wcj257HV2Z9cc9tvZC5IlhL" TargetMode="External"/><Relationship Id="rId477" Type="http://schemas.openxmlformats.org/officeDocument/2006/relationships/hyperlink" Target="https://drive.google.com/drive/folders/1TThCH_wqV6SKhytWjQz0dm9w02CzQ08k" TargetMode="External"/><Relationship Id="rId3003" Type="http://schemas.openxmlformats.org/officeDocument/2006/relationships/hyperlink" Target="https://drive.google.com/drive/folders/1Ivt3u5bUn6jRVwllwl5-xEQuzHL2kwwl" TargetMode="External"/><Relationship Id="rId4334" Type="http://schemas.openxmlformats.org/officeDocument/2006/relationships/hyperlink" Target="https://drive.google.com/drive/folders/1Glw4UdD_Z1Ivnjho7ev16xH6eK8XdpTl" TargetMode="External"/><Relationship Id="rId5666" Type="http://schemas.openxmlformats.org/officeDocument/2006/relationships/hyperlink" Target="https://drive.google.com/drive/folders/1vgxte8SQUgW4QY0tL-7lsBkmaCcZITDu" TargetMode="External"/><Relationship Id="rId476" Type="http://schemas.openxmlformats.org/officeDocument/2006/relationships/hyperlink" Target="https://github.com/aws-powertools/powertools-lambda-python/issues/6413" TargetMode="External"/><Relationship Id="rId3002" Type="http://schemas.openxmlformats.org/officeDocument/2006/relationships/hyperlink" Target="https://github.com/prom3theu5/aspirational-manifests/issues/273" TargetMode="External"/><Relationship Id="rId4333" Type="http://schemas.openxmlformats.org/officeDocument/2006/relationships/hyperlink" Target="https://github.com/CAREamics/careamics/issues/417" TargetMode="External"/><Relationship Id="rId5667" Type="http://schemas.openxmlformats.org/officeDocument/2006/relationships/hyperlink" Target="https://github.com/kubernetes/release/issues/3971" TargetMode="External"/><Relationship Id="rId475" Type="http://schemas.openxmlformats.org/officeDocument/2006/relationships/hyperlink" Target="https://drive.google.com/drive/folders/1QzsE23uCx0pnb67gfj8pUfUalA6XBtKP" TargetMode="External"/><Relationship Id="rId3005" Type="http://schemas.openxmlformats.org/officeDocument/2006/relationships/hyperlink" Target="https://drive.google.com/drive/folders/1ohc-YvL8mTrIa0liYR45WKNG6o4M6m4U" TargetMode="External"/><Relationship Id="rId4336" Type="http://schemas.openxmlformats.org/officeDocument/2006/relationships/hyperlink" Target="https://github.com/casbin/jcasbin/issues/402" TargetMode="External"/><Relationship Id="rId5664" Type="http://schemas.openxmlformats.org/officeDocument/2006/relationships/hyperlink" Target="https://github.com/kubernetes/kubernetes/issues/130281" TargetMode="External"/><Relationship Id="rId474" Type="http://schemas.openxmlformats.org/officeDocument/2006/relationships/hyperlink" Target="https://drive.google.com/drive/folders/1IkK5FCT2PVuRdlYbKRyjbNfFMHrq-Abp" TargetMode="External"/><Relationship Id="rId3004" Type="http://schemas.openxmlformats.org/officeDocument/2006/relationships/hyperlink" Target="https://github.com/prometheus/client_java/issues/1800" TargetMode="External"/><Relationship Id="rId4335" Type="http://schemas.openxmlformats.org/officeDocument/2006/relationships/hyperlink" Target="https://drive.google.com/drive/folders/1V1LkjCzicEFlHfQoPtWSn5Y9M4JaDg0Y" TargetMode="External"/><Relationship Id="rId5665" Type="http://schemas.openxmlformats.org/officeDocument/2006/relationships/hyperlink" Target="https://drive.google.com/drive/folders/1Nw86j1PsBvn0UuzTeFiD0aL4caMdPxi8" TargetMode="External"/><Relationship Id="rId1257" Type="http://schemas.openxmlformats.org/officeDocument/2006/relationships/hyperlink" Target="https://drive.google.com/drive/folders/11VXxRul0IIaDODHJtCU2JNqupzHo1grV" TargetMode="External"/><Relationship Id="rId2588" Type="http://schemas.openxmlformats.org/officeDocument/2006/relationships/hyperlink" Target="https://github.com/nasa/fprime/issues/2790" TargetMode="External"/><Relationship Id="rId5615" Type="http://schemas.openxmlformats.org/officeDocument/2006/relationships/hyperlink" Target="https://drive.google.com/drive/folders/15qUqHWfiJ0MKlwNjEacWXYmQ2wMDJQMk" TargetMode="External"/><Relationship Id="rId1258" Type="http://schemas.openxmlformats.org/officeDocument/2006/relationships/hyperlink" Target="https://github.com/enzonotario/vitepress-openapi/issues/136" TargetMode="External"/><Relationship Id="rId2589" Type="http://schemas.openxmlformats.org/officeDocument/2006/relationships/hyperlink" Target="https://drive.google.com/drive/folders/1IVLkZmzbYr_wSBsWHiwVx2nfBIXiLbra" TargetMode="External"/><Relationship Id="rId5616" Type="http://schemas.openxmlformats.org/officeDocument/2006/relationships/hyperlink" Target="https://github.com/covibes/zeroshot/issues/222" TargetMode="External"/><Relationship Id="rId1259" Type="http://schemas.openxmlformats.org/officeDocument/2006/relationships/hyperlink" Target="https://drive.google.com/drive/folders/11eX5Xa3Y9IyHddbGcYHkVjjYpB0SY2fC" TargetMode="External"/><Relationship Id="rId5613" Type="http://schemas.openxmlformats.org/officeDocument/2006/relationships/hyperlink" Target="https://github.com/conan-io/conan/issues/18649" TargetMode="External"/><Relationship Id="rId5614" Type="http://schemas.openxmlformats.org/officeDocument/2006/relationships/hyperlink" Target="https://drive.google.com/drive/folders/1tOBo2t1IAAmoqQrnc5_5R3fwSMj-MhfZ" TargetMode="External"/><Relationship Id="rId5619" Type="http://schemas.openxmlformats.org/officeDocument/2006/relationships/hyperlink" Target="https://github.com/crowdsecurity/crowdsec/issues/3499" TargetMode="External"/><Relationship Id="rId5617" Type="http://schemas.openxmlformats.org/officeDocument/2006/relationships/hyperlink" Target="https://drive.google.com/drive/folders/1NpYvWgcTxUtVN8lSDsFUkXZVGSL0fbk8" TargetMode="External"/><Relationship Id="rId5618" Type="http://schemas.openxmlformats.org/officeDocument/2006/relationships/hyperlink" Target="https://drive.google.com/drive/folders/1TPNTR0wunkiPXiRRnck5shaunccHYGdH" TargetMode="External"/><Relationship Id="rId426" Type="http://schemas.openxmlformats.org/officeDocument/2006/relationships/hyperlink" Target="https://drive.google.com/drive/folders/1YwUJ1lvALE2yMPxn8-Fp0hIqmBjyY5tp" TargetMode="External"/><Relationship Id="rId425" Type="http://schemas.openxmlformats.org/officeDocument/2006/relationships/hyperlink" Target="https://github.com/auth0/react-native-auth0/issues/1063" TargetMode="External"/><Relationship Id="rId424" Type="http://schemas.openxmlformats.org/officeDocument/2006/relationships/hyperlink" Target="https://drive.google.com/drive/folders/1b_0MjoqPxxDSqiTbTva0gbmwkCK4fZB5" TargetMode="External"/><Relationship Id="rId423" Type="http://schemas.openxmlformats.org/officeDocument/2006/relationships/hyperlink" Target="https://drive.google.com/drive/folders/1cZZKudmcdHw6sPgTOGekX02-B00bqTf6" TargetMode="External"/><Relationship Id="rId429" Type="http://schemas.openxmlformats.org/officeDocument/2006/relationships/hyperlink" Target="https://github.com/authlib/authlib/issues/749" TargetMode="External"/><Relationship Id="rId428" Type="http://schemas.openxmlformats.org/officeDocument/2006/relationships/hyperlink" Target="https://drive.google.com/drive/folders/1FwZq96MhOmEQqgIuQpPmF62-o8VhRWel" TargetMode="External"/><Relationship Id="rId427" Type="http://schemas.openxmlformats.org/officeDocument/2006/relationships/hyperlink" Target="https://github.com/authlib/authlib/issues/707" TargetMode="External"/><Relationship Id="rId2580" Type="http://schemas.openxmlformats.org/officeDocument/2006/relationships/hyperlink" Target="https://drive.google.com/drive/folders/1cRpwhGGTicWIZ9l4Q5H-vF3GVPQreHzz" TargetMode="External"/><Relationship Id="rId1250" Type="http://schemas.openxmlformats.org/officeDocument/2006/relationships/hyperlink" Target="https://drive.google.com/drive/folders/1yOl4v28jJ6K5yT89jSDjKJJ6f_p8IC-9" TargetMode="External"/><Relationship Id="rId2581" Type="http://schemas.openxmlformats.org/officeDocument/2006/relationships/hyperlink" Target="https://drive.google.com/drive/folders/1k2rIX-hK190tZc98PXnLaKaiSMdriEKt" TargetMode="External"/><Relationship Id="rId1251" Type="http://schemas.openxmlformats.org/officeDocument/2006/relationships/hyperlink" Target="https://github.com/enzonotario/vitepress-openapi/issues/207" TargetMode="External"/><Relationship Id="rId2582" Type="http://schemas.openxmlformats.org/officeDocument/2006/relationships/hyperlink" Target="https://github.com/nasa/fprime/issues/3049" TargetMode="External"/><Relationship Id="rId1252" Type="http://schemas.openxmlformats.org/officeDocument/2006/relationships/hyperlink" Target="https://drive.google.com/drive/folders/1hNAD9ePCYs0rjO9rRAzS3P7ePXGLUGvW" TargetMode="External"/><Relationship Id="rId2583" Type="http://schemas.openxmlformats.org/officeDocument/2006/relationships/hyperlink" Target="https://drive.google.com/drive/folders/1ewDUaBHi0HnKkbS2pfhdQx6_catzpFqL" TargetMode="External"/><Relationship Id="rId422" Type="http://schemas.openxmlformats.org/officeDocument/2006/relationships/hyperlink" Target="https://github.com/auth0/nextjs-auth0/issues/2207" TargetMode="External"/><Relationship Id="rId1253" Type="http://schemas.openxmlformats.org/officeDocument/2006/relationships/hyperlink" Target="https://github.com/enzonotario/vitepress-openapi/issues/132" TargetMode="External"/><Relationship Id="rId2584" Type="http://schemas.openxmlformats.org/officeDocument/2006/relationships/hyperlink" Target="https://drive.google.com/drive/folders/1HUAzU7d4s1ne5mfQOEDtRhfPqiell5wo" TargetMode="External"/><Relationship Id="rId5611" Type="http://schemas.openxmlformats.org/officeDocument/2006/relationships/hyperlink" Target="https://drive.google.com/drive/folders/1tnKnKNOOeRVuRNvTfjR5DzhlD7M1hyxA" TargetMode="External"/><Relationship Id="rId421" Type="http://schemas.openxmlformats.org/officeDocument/2006/relationships/hyperlink" Target="https://drive.google.com/drive/folders/1RErUbmMejskkOuMUU3OoYbQ9tGtMC4ao" TargetMode="External"/><Relationship Id="rId1254" Type="http://schemas.openxmlformats.org/officeDocument/2006/relationships/hyperlink" Target="https://drive.google.com/drive/folders/1SMyFAMe0lJe14XbOILGRBMKVqL7wyhGx" TargetMode="External"/><Relationship Id="rId2585" Type="http://schemas.openxmlformats.org/officeDocument/2006/relationships/hyperlink" Target="https://github.com/nasa/fprime/issues/3488" TargetMode="External"/><Relationship Id="rId5612" Type="http://schemas.openxmlformats.org/officeDocument/2006/relationships/hyperlink" Target="https://drive.google.com/drive/folders/1rN4ubI430xR_uhXYDNT6ebp3H9sgZ9YC" TargetMode="External"/><Relationship Id="rId420" Type="http://schemas.openxmlformats.org/officeDocument/2006/relationships/hyperlink" Target="https://github.com/auth0/auth0-mcp-server/issues/55" TargetMode="External"/><Relationship Id="rId1255" Type="http://schemas.openxmlformats.org/officeDocument/2006/relationships/hyperlink" Target="https://drive.google.com/drive/folders/1LqUqLpQOjr1XK0--rGJoviaJgJ40emZU" TargetMode="External"/><Relationship Id="rId2586" Type="http://schemas.openxmlformats.org/officeDocument/2006/relationships/hyperlink" Target="https://drive.google.com/drive/folders/1nvNzrDUavR1zmhFwoCPVGdiA8viBszf7" TargetMode="External"/><Relationship Id="rId1256" Type="http://schemas.openxmlformats.org/officeDocument/2006/relationships/hyperlink" Target="https://github.com/enzonotario/vitepress-openapi/issues/137" TargetMode="External"/><Relationship Id="rId2587" Type="http://schemas.openxmlformats.org/officeDocument/2006/relationships/hyperlink" Target="https://drive.google.com/drive/folders/15bpqZV-VCy8OHREUyZ8ZO4XkrFB8_Moo" TargetMode="External"/><Relationship Id="rId5610" Type="http://schemas.openxmlformats.org/officeDocument/2006/relationships/hyperlink" Target="https://github.com/conan-io/conan/issues/18676" TargetMode="External"/><Relationship Id="rId1246" Type="http://schemas.openxmlformats.org/officeDocument/2006/relationships/hyperlink" Target="https://drive.google.com/drive/folders/1SINa5BZk21reJ8y2U8CC-XZJ4TAdPV7m" TargetMode="External"/><Relationship Id="rId2577" Type="http://schemas.openxmlformats.org/officeDocument/2006/relationships/hyperlink" Target="https://drive.google.com/drive/folders/1fH19fGimXJ4heA-CqEgzvj29awF5LXxW" TargetMode="External"/><Relationship Id="rId5604" Type="http://schemas.openxmlformats.org/officeDocument/2006/relationships/hyperlink" Target="https://github.com/caronc/apprise-api/issues/254" TargetMode="External"/><Relationship Id="rId1247" Type="http://schemas.openxmlformats.org/officeDocument/2006/relationships/hyperlink" Target="https://github.com/enonic/xp/issues/10825" TargetMode="External"/><Relationship Id="rId2578" Type="http://schemas.openxmlformats.org/officeDocument/2006/relationships/hyperlink" Target="https://drive.google.com/drive/folders/1b59xCFTO96m3phdbPkCUkS1csY3V6o-a" TargetMode="External"/><Relationship Id="rId5605" Type="http://schemas.openxmlformats.org/officeDocument/2006/relationships/hyperlink" Target="https://drive.google.com/drive/folders/1w7v8WMbq97IE2IgNIkkddbj7-Xd8vTbC" TargetMode="External"/><Relationship Id="rId1248" Type="http://schemas.openxmlformats.org/officeDocument/2006/relationships/hyperlink" Target="https://drive.google.com/drive/folders/1spJjZKv5WBnWJJmwg4y_3kr8RxFjOgBV" TargetMode="External"/><Relationship Id="rId2579" Type="http://schemas.openxmlformats.org/officeDocument/2006/relationships/hyperlink" Target="https://github.com/nasa/fprime/issues/3820" TargetMode="External"/><Relationship Id="rId5602" Type="http://schemas.openxmlformats.org/officeDocument/2006/relationships/hyperlink" Target="https://github.com/bmf-san/ggc/issues/50" TargetMode="External"/><Relationship Id="rId1249" Type="http://schemas.openxmlformats.org/officeDocument/2006/relationships/hyperlink" Target="https://github.com/envoyproxy/ai-gateway/issues/1351" TargetMode="External"/><Relationship Id="rId5603" Type="http://schemas.openxmlformats.org/officeDocument/2006/relationships/hyperlink" Target="https://drive.google.com/drive/folders/1QC92DIayxOEe4VlNTwd-z8DBqV5wBfKM" TargetMode="External"/><Relationship Id="rId5608" Type="http://schemas.openxmlformats.org/officeDocument/2006/relationships/hyperlink" Target="https://github.com/ChainSafe/gossamer/issues/4424" TargetMode="External"/><Relationship Id="rId5609" Type="http://schemas.openxmlformats.org/officeDocument/2006/relationships/hyperlink" Target="https://drive.google.com/drive/folders/1OHmnRhD8HxQc1N2HIn1IZEnpRJQNvJpP" TargetMode="External"/><Relationship Id="rId5606" Type="http://schemas.openxmlformats.org/officeDocument/2006/relationships/hyperlink" Target="https://github.com/cdk/cdk/issues/1238" TargetMode="External"/><Relationship Id="rId5607" Type="http://schemas.openxmlformats.org/officeDocument/2006/relationships/hyperlink" Target="https://drive.google.com/drive/folders/1mGpTnqUIVPIqNAtanQdA0TKcms3W_CpH" TargetMode="External"/><Relationship Id="rId415" Type="http://schemas.openxmlformats.org/officeDocument/2006/relationships/hyperlink" Target="https://drive.google.com/drive/folders/1U9l3B5UjPGYreRADAsU9qXaY2uZE9li1" TargetMode="External"/><Relationship Id="rId414" Type="http://schemas.openxmlformats.org/officeDocument/2006/relationships/hyperlink" Target="https://github.com/asyncapi/generator/issues/1567" TargetMode="External"/><Relationship Id="rId413" Type="http://schemas.openxmlformats.org/officeDocument/2006/relationships/hyperlink" Target="https://drive.google.com/drive/folders/1MxvxTlWU5uGgHLU2QAv8zw045pcMPEKu" TargetMode="External"/><Relationship Id="rId412" Type="http://schemas.openxmlformats.org/officeDocument/2006/relationships/hyperlink" Target="https://drive.google.com/drive/folders/18XMWvO0XNwB6oHXN_29nrwEknXK59cFb" TargetMode="External"/><Relationship Id="rId419" Type="http://schemas.openxmlformats.org/officeDocument/2006/relationships/hyperlink" Target="https://drive.google.com/drive/folders/1_N5c6LuVwcPhhWJcqBLDb9yxdJdAS9s0" TargetMode="External"/><Relationship Id="rId418" Type="http://schemas.openxmlformats.org/officeDocument/2006/relationships/hyperlink" Target="https://github.com/Austinb/GameQ/issues/660" TargetMode="External"/><Relationship Id="rId417" Type="http://schemas.openxmlformats.org/officeDocument/2006/relationships/hyperlink" Target="https://drive.google.com/drive/folders/1COoZo8wc_tQZA9Y-ih9VGzgBSE5-P2d3" TargetMode="External"/><Relationship Id="rId416" Type="http://schemas.openxmlformats.org/officeDocument/2006/relationships/hyperlink" Target="https://github.com/aurelia/aurelia/issues/2146" TargetMode="External"/><Relationship Id="rId2570" Type="http://schemas.openxmlformats.org/officeDocument/2006/relationships/hyperlink" Target="https://github.com/nasa/fprime/issues/4025" TargetMode="External"/><Relationship Id="rId1240" Type="http://schemas.openxmlformats.org/officeDocument/2006/relationships/hyperlink" Target="https://github.com/endorhq/rover/issues/108" TargetMode="External"/><Relationship Id="rId2571" Type="http://schemas.openxmlformats.org/officeDocument/2006/relationships/hyperlink" Target="https://drive.google.com/drive/folders/1LIKjuKweH028ePYrmVJpujVmp9nWzBxV" TargetMode="External"/><Relationship Id="rId1241" Type="http://schemas.openxmlformats.org/officeDocument/2006/relationships/hyperlink" Target="https://drive.google.com/drive/folders/1vWu2Zfyb67kK20-KYVWpW_TVZWcg7isz" TargetMode="External"/><Relationship Id="rId2572" Type="http://schemas.openxmlformats.org/officeDocument/2006/relationships/hyperlink" Target="https://drive.google.com/drive/folders/1t-haWHsCp3QZZ-NqwofNw1wjdP-YtkLf" TargetMode="External"/><Relationship Id="rId411" Type="http://schemas.openxmlformats.org/officeDocument/2006/relationships/hyperlink" Target="https://github.com/asyncapi/generator/issues/1513" TargetMode="External"/><Relationship Id="rId1242" Type="http://schemas.openxmlformats.org/officeDocument/2006/relationships/hyperlink" Target="https://github.com/enoch3712/ExtractThinker/issues/191" TargetMode="External"/><Relationship Id="rId2573" Type="http://schemas.openxmlformats.org/officeDocument/2006/relationships/hyperlink" Target="https://github.com/nasa/fprime/issues/3845" TargetMode="External"/><Relationship Id="rId5600" Type="http://schemas.openxmlformats.org/officeDocument/2006/relationships/hyperlink" Target="https://github.com/blinklabs-io/gouroboros/issues/1169" TargetMode="External"/><Relationship Id="rId410" Type="http://schemas.openxmlformats.org/officeDocument/2006/relationships/hyperlink" Target="https://drive.google.com/drive/folders/1R_xSDoLEG3WAgSJ6hiBy9HSGswAFoVL8" TargetMode="External"/><Relationship Id="rId1243" Type="http://schemas.openxmlformats.org/officeDocument/2006/relationships/hyperlink" Target="https://drive.google.com/drive/folders/1xy9SYzyjm7W8egotdKjdQJ3sLL9l8g4H" TargetMode="External"/><Relationship Id="rId2574" Type="http://schemas.openxmlformats.org/officeDocument/2006/relationships/hyperlink" Target="https://drive.google.com/drive/folders/1c6qnXbkmBmR-YVH4DtKVtmN185eRNJ_x" TargetMode="External"/><Relationship Id="rId5601" Type="http://schemas.openxmlformats.org/officeDocument/2006/relationships/hyperlink" Target="https://drive.google.com/drive/folders/1SgmRaQAULxisJfaPwzxRpml89BMDdGtE" TargetMode="External"/><Relationship Id="rId1244" Type="http://schemas.openxmlformats.org/officeDocument/2006/relationships/hyperlink" Target="https://drive.google.com/drive/folders/1C55RT6PD8YSvwdLp2yr2LewpC5cF-ijo" TargetMode="External"/><Relationship Id="rId2575" Type="http://schemas.openxmlformats.org/officeDocument/2006/relationships/hyperlink" Target="https://drive.google.com/drive/folders/1Gbfu3hvxJ3gRvfVSuySl5n3JxHUF4FvV" TargetMode="External"/><Relationship Id="rId1245" Type="http://schemas.openxmlformats.org/officeDocument/2006/relationships/hyperlink" Target="https://github.com/enonic/xp/issues/11551" TargetMode="External"/><Relationship Id="rId2576" Type="http://schemas.openxmlformats.org/officeDocument/2006/relationships/hyperlink" Target="https://github.com/nasa/fprime/issues/3847" TargetMode="External"/><Relationship Id="rId1279" Type="http://schemas.openxmlformats.org/officeDocument/2006/relationships/hyperlink" Target="https://github.com/evalstate/hf-mcp-server/issues/46" TargetMode="External"/><Relationship Id="rId4305" Type="http://schemas.openxmlformats.org/officeDocument/2006/relationships/hyperlink" Target="https://drive.google.com/drive/folders/1IVn38nezMSp_Agc82vVTTumrrQ-qC82T" TargetMode="External"/><Relationship Id="rId5637" Type="http://schemas.openxmlformats.org/officeDocument/2006/relationships/hyperlink" Target="https://drive.google.com/drive/folders/1E03sDHgHs6j7Cj_u45NTkwC5nwU71R2X" TargetMode="External"/><Relationship Id="rId4304" Type="http://schemas.openxmlformats.org/officeDocument/2006/relationships/hyperlink" Target="https://github.com/boostorg/unordered/issues/265" TargetMode="External"/><Relationship Id="rId5638" Type="http://schemas.openxmlformats.org/officeDocument/2006/relationships/hyperlink" Target="https://github.com/fyne-io/fyne/issues/5514" TargetMode="External"/><Relationship Id="rId4307" Type="http://schemas.openxmlformats.org/officeDocument/2006/relationships/hyperlink" Target="https://drive.google.com/drive/folders/1kQqCFbnhK8n-uCG1U_jzocLZ-U8H6FKa" TargetMode="External"/><Relationship Id="rId5635" Type="http://schemas.openxmlformats.org/officeDocument/2006/relationships/hyperlink" Target="https://drive.google.com/drive/folders/1obnFFGJn67OuQSTj2ojQoG71FJuaH2_q" TargetMode="External"/><Relationship Id="rId4306" Type="http://schemas.openxmlformats.org/officeDocument/2006/relationships/hyperlink" Target="https://github.com/BrainBlend-AI/atomic-agents/issues/139" TargetMode="External"/><Relationship Id="rId5636" Type="http://schemas.openxmlformats.org/officeDocument/2006/relationships/hyperlink" Target="https://github.com/ethereum-optimism/optimism/issues/15888" TargetMode="External"/><Relationship Id="rId4309" Type="http://schemas.openxmlformats.org/officeDocument/2006/relationships/hyperlink" Target="https://drive.google.com/drive/folders/1ccYMY-QpUPEOYgf5vA48qBR2EaVLDBJj" TargetMode="External"/><Relationship Id="rId4308" Type="http://schemas.openxmlformats.org/officeDocument/2006/relationships/hyperlink" Target="https://github.com/budimanjojo/talhelper/issues/890" TargetMode="External"/><Relationship Id="rId5639" Type="http://schemas.openxmlformats.org/officeDocument/2006/relationships/hyperlink" Target="https://github.com/google-gemini/gemini-cli/issues/11961" TargetMode="External"/><Relationship Id="rId448" Type="http://schemas.openxmlformats.org/officeDocument/2006/relationships/hyperlink" Target="https://drive.google.com/drive/folders/1mc9NfwBPd5BNEI-zqY-VBKrULsvUMzbs" TargetMode="External"/><Relationship Id="rId447" Type="http://schemas.openxmlformats.org/officeDocument/2006/relationships/hyperlink" Target="https://github.com/avifenesh/awesome-slash/issues/167" TargetMode="External"/><Relationship Id="rId446" Type="http://schemas.openxmlformats.org/officeDocument/2006/relationships/hyperlink" Target="https://drive.google.com/drive/folders/1BsVIjRNlq7ccvij3DAfIfXLhe549Nwm9" TargetMode="External"/><Relationship Id="rId445" Type="http://schemas.openxmlformats.org/officeDocument/2006/relationships/hyperlink" Target="https://github.com/AvaloniaUI/Avalonia/issues/18270" TargetMode="External"/><Relationship Id="rId449" Type="http://schemas.openxmlformats.org/officeDocument/2006/relationships/hyperlink" Target="https://github.com/AvitalTamir/cyphernetes/issues/258" TargetMode="External"/><Relationship Id="rId1270" Type="http://schemas.openxmlformats.org/officeDocument/2006/relationships/hyperlink" Target="https://drive.google.com/drive/folders/1gqk48-p2VZqFMaZ9W55wVe9mEjotJJb6" TargetMode="External"/><Relationship Id="rId440" Type="http://schemas.openxmlformats.org/officeDocument/2006/relationships/hyperlink" Target="https://drive.google.com/drive/folders/1GZqOm_1fi-mvzrqFbeK4ke5SctGahq6v" TargetMode="External"/><Relationship Id="rId1271" Type="http://schemas.openxmlformats.org/officeDocument/2006/relationships/hyperlink" Target="https://github.com/eslint/js/issues/646" TargetMode="External"/><Relationship Id="rId1272" Type="http://schemas.openxmlformats.org/officeDocument/2006/relationships/hyperlink" Target="https://drive.google.com/drive/folders/1iLcBKBivyY_t-bdhSzFqikWyE8eXAI1w" TargetMode="External"/><Relationship Id="rId5630" Type="http://schemas.openxmlformats.org/officeDocument/2006/relationships/hyperlink" Target="https://drive.google.com/drive/folders/1SLvhhSCI5KjeqgN5UqDQvqFUKzhoSYOs" TargetMode="External"/><Relationship Id="rId1273" Type="http://schemas.openxmlformats.org/officeDocument/2006/relationships/hyperlink" Target="https://github.com/ethereum-optimism/superchain-registry/issues/951" TargetMode="External"/><Relationship Id="rId1274" Type="http://schemas.openxmlformats.org/officeDocument/2006/relationships/hyperlink" Target="https://drive.google.com/drive/folders/1D0xFtPErDPotZix1dKOMlz4racadE4hP" TargetMode="External"/><Relationship Id="rId444" Type="http://schemas.openxmlformats.org/officeDocument/2006/relationships/hyperlink" Target="https://drive.google.com/drive/folders/1Je9TjKHOWcZwC9v-M0eVxP7Cq5sZMMlB" TargetMode="External"/><Relationship Id="rId1275" Type="http://schemas.openxmlformats.org/officeDocument/2006/relationships/hyperlink" Target="https://github.com/ethstorage/es-node/issues/360" TargetMode="External"/><Relationship Id="rId4301" Type="http://schemas.openxmlformats.org/officeDocument/2006/relationships/hyperlink" Target="https://drive.google.com/drive/folders/1TCBeTu2N611lFyoYoeCoyANWBTYjWfBd" TargetMode="External"/><Relationship Id="rId5633" Type="http://schemas.openxmlformats.org/officeDocument/2006/relationships/hyperlink" Target="https://drive.google.com/drive/folders/1pKofg4C7Hyrd9fx-N4CuSRljAth8JcpT" TargetMode="External"/><Relationship Id="rId443" Type="http://schemas.openxmlformats.org/officeDocument/2006/relationships/hyperlink" Target="https://github.com/avaje/avaje-validator/issues/280" TargetMode="External"/><Relationship Id="rId1276" Type="http://schemas.openxmlformats.org/officeDocument/2006/relationships/hyperlink" Target="https://drive.google.com/drive/folders/1urAREmltcj537Vlt1pe4jScZkoMGVRFa" TargetMode="External"/><Relationship Id="rId4300" Type="http://schemas.openxmlformats.org/officeDocument/2006/relationships/hyperlink" Target="https://github.com/bndtools/bnd/issues/7068" TargetMode="External"/><Relationship Id="rId5634" Type="http://schemas.openxmlformats.org/officeDocument/2006/relationships/hyperlink" Target="https://github.com/eslint/eslint/issues/19621" TargetMode="External"/><Relationship Id="rId442" Type="http://schemas.openxmlformats.org/officeDocument/2006/relationships/hyperlink" Target="https://drive.google.com/drive/folders/1yELscOnz9jYhLQR7mkKvrDL4Neol6Yd0" TargetMode="External"/><Relationship Id="rId1277" Type="http://schemas.openxmlformats.org/officeDocument/2006/relationships/hyperlink" Target="https://github.com/etiennebacher/jarl/issues/165" TargetMode="External"/><Relationship Id="rId4303" Type="http://schemas.openxmlformats.org/officeDocument/2006/relationships/hyperlink" Target="https://drive.google.com/drive/folders/1uo-Mj4hv3FXxgsXSckERgcoA1MxQJw7N" TargetMode="External"/><Relationship Id="rId5631" Type="http://schemas.openxmlformats.org/officeDocument/2006/relationships/hyperlink" Target="https://github.com/dropwizard/metrics/issues/4817" TargetMode="External"/><Relationship Id="rId441" Type="http://schemas.openxmlformats.org/officeDocument/2006/relationships/hyperlink" Target="https://github.com/avaje/avaje-inject/issues/756" TargetMode="External"/><Relationship Id="rId1278" Type="http://schemas.openxmlformats.org/officeDocument/2006/relationships/hyperlink" Target="https://drive.google.com/drive/folders/1dPde8I4VkgV0F-B3w6bfKmeCbZI1SzrE" TargetMode="External"/><Relationship Id="rId4302" Type="http://schemas.openxmlformats.org/officeDocument/2006/relationships/hyperlink" Target="https://github.com/BoltzExchange/boltz-web-app/issues/1050" TargetMode="External"/><Relationship Id="rId5632" Type="http://schemas.openxmlformats.org/officeDocument/2006/relationships/hyperlink" Target="https://drive.google.com/drive/folders/1CEee_wHOBY0NdW8asejV9IciCWPDw0-U" TargetMode="External"/><Relationship Id="rId1268" Type="http://schemas.openxmlformats.org/officeDocument/2006/relationships/hyperlink" Target="https://drive.google.com/drive/folders/15LYhYiURQVR_X7lybxudW5tziaG3ppSm" TargetMode="External"/><Relationship Id="rId2599" Type="http://schemas.openxmlformats.org/officeDocument/2006/relationships/hyperlink" Target="https://github.com/neo-project/neo/issues/3696" TargetMode="External"/><Relationship Id="rId5626" Type="http://schemas.openxmlformats.org/officeDocument/2006/relationships/hyperlink" Target="https://github.com/docker/buildx/issues/3167" TargetMode="External"/><Relationship Id="rId1269" Type="http://schemas.openxmlformats.org/officeDocument/2006/relationships/hyperlink" Target="https://github.com/ErikKalkoken/evebuddy/issues/292" TargetMode="External"/><Relationship Id="rId5627" Type="http://schemas.openxmlformats.org/officeDocument/2006/relationships/hyperlink" Target="https://drive.google.com/drive/folders/1VB5VJ3rRIWiLxjhFRHpbIf0ZVh0za2Md" TargetMode="External"/><Relationship Id="rId5624" Type="http://schemas.openxmlformats.org/officeDocument/2006/relationships/hyperlink" Target="https://github.com/dathere/qsv/issues/2960" TargetMode="External"/><Relationship Id="rId5625" Type="http://schemas.openxmlformats.org/officeDocument/2006/relationships/hyperlink" Target="https://drive.google.com/drive/folders/1L3N8mssZZrhw5rfhLma1w3TyhC2lt7nk" TargetMode="External"/><Relationship Id="rId5628" Type="http://schemas.openxmlformats.org/officeDocument/2006/relationships/hyperlink" Target="https://drive.google.com/drive/folders/1bOsrHuDLo5Fhs6S1HJXN9YvD6YkSj5qp" TargetMode="External"/><Relationship Id="rId5629" Type="http://schemas.openxmlformats.org/officeDocument/2006/relationships/hyperlink" Target="https://github.com/docker/docker-language-server/issues/140" TargetMode="External"/><Relationship Id="rId437" Type="http://schemas.openxmlformats.org/officeDocument/2006/relationships/hyperlink" Target="https://github.com/autoscrape-labs/pydoll/issues/109" TargetMode="External"/><Relationship Id="rId436" Type="http://schemas.openxmlformats.org/officeDocument/2006/relationships/hyperlink" Target="https://drive.google.com/drive/folders/1Fu-d-7_V4Xq-W4Px1jQvEMiUHAw8M487" TargetMode="External"/><Relationship Id="rId435" Type="http://schemas.openxmlformats.org/officeDocument/2006/relationships/hyperlink" Target="https://drive.google.com/drive/folders/1b7tJ7yxZX5Ix6TA-RHgwDIyXR_2ZdBSA" TargetMode="External"/><Relationship Id="rId434" Type="http://schemas.openxmlformats.org/officeDocument/2006/relationships/hyperlink" Target="https://github.com/Automattic/wp-calypso/issues/97944" TargetMode="External"/><Relationship Id="rId439" Type="http://schemas.openxmlformats.org/officeDocument/2006/relationships/hyperlink" Target="https://github.com/ava-labs/avalanchego/issues/4410" TargetMode="External"/><Relationship Id="rId438" Type="http://schemas.openxmlformats.org/officeDocument/2006/relationships/hyperlink" Target="https://drive.google.com/drive/folders/1_e7QXVFKDuclcHk0OoKySnHQuKOzIkYM" TargetMode="External"/><Relationship Id="rId2590" Type="http://schemas.openxmlformats.org/officeDocument/2006/relationships/hyperlink" Target="https://drive.google.com/drive/folders/1twNpQ3yrSsC_kNi8xqKYLOWcI1dO84DX" TargetMode="External"/><Relationship Id="rId1260" Type="http://schemas.openxmlformats.org/officeDocument/2006/relationships/hyperlink" Target="https://drive.google.com/drive/folders/1_fWiDYUiXEbyp8QPSHmJuJ346BkdRZVs" TargetMode="External"/><Relationship Id="rId2591" Type="http://schemas.openxmlformats.org/officeDocument/2006/relationships/hyperlink" Target="https://github.com/NatLibFi/Annif/issues/877" TargetMode="External"/><Relationship Id="rId1261" Type="http://schemas.openxmlformats.org/officeDocument/2006/relationships/hyperlink" Target="https://github.com/epam/edp-keycloak-operator/issues/240" TargetMode="External"/><Relationship Id="rId2592" Type="http://schemas.openxmlformats.org/officeDocument/2006/relationships/hyperlink" Target="https://drive.google.com/drive/folders/1h-ykgHdaK94pcTpfE-LDAwwRD4AhwWns" TargetMode="External"/><Relationship Id="rId1262" Type="http://schemas.openxmlformats.org/officeDocument/2006/relationships/hyperlink" Target="https://drive.google.com/drive/folders/1O7agjHX_duRHCttVW0k9-PZ4ZA_3XgBl" TargetMode="External"/><Relationship Id="rId2593" Type="http://schemas.openxmlformats.org/officeDocument/2006/relationships/hyperlink" Target="https://github.com/NcStudios/NcEngine/issues/799" TargetMode="External"/><Relationship Id="rId1263" Type="http://schemas.openxmlformats.org/officeDocument/2006/relationships/hyperlink" Target="https://github.com/epam/Indigo/issues/1455" TargetMode="External"/><Relationship Id="rId2594" Type="http://schemas.openxmlformats.org/officeDocument/2006/relationships/hyperlink" Target="https://drive.google.com/drive/folders/1BWQaaPU-Q337zxlGxFutqhfJMruhYPim" TargetMode="External"/><Relationship Id="rId433" Type="http://schemas.openxmlformats.org/officeDocument/2006/relationships/hyperlink" Target="https://drive.google.com/drive/folders/1bwB174sLQw16gWFOQ5gD0808u3e0JVOZ" TargetMode="External"/><Relationship Id="rId1264" Type="http://schemas.openxmlformats.org/officeDocument/2006/relationships/hyperlink" Target="https://drive.google.com/drive/folders/1jIHNFeiT0n72oaQ-_BNch4ddyJ1djVa-" TargetMode="External"/><Relationship Id="rId2595" Type="http://schemas.openxmlformats.org/officeDocument/2006/relationships/hyperlink" Target="https://github.com/NcStudios/NcEngine/issues/787" TargetMode="External"/><Relationship Id="rId5622" Type="http://schemas.openxmlformats.org/officeDocument/2006/relationships/hyperlink" Target="https://github.com/dan-online/autopulse/issues/289" TargetMode="External"/><Relationship Id="rId432" Type="http://schemas.openxmlformats.org/officeDocument/2006/relationships/hyperlink" Target="https://github.com/authorjapps/zerocode/issues/711" TargetMode="External"/><Relationship Id="rId1265" Type="http://schemas.openxmlformats.org/officeDocument/2006/relationships/hyperlink" Target="https://drive.google.com/drive/folders/1OUq1rd2wfxXn1wtJY_LeCbiMKEuP4ngz" TargetMode="External"/><Relationship Id="rId2596" Type="http://schemas.openxmlformats.org/officeDocument/2006/relationships/hyperlink" Target="https://drive.google.com/drive/folders/1L9-gxATRFJaEFNfaaEwNZKWhEO9ZGHXO" TargetMode="External"/><Relationship Id="rId5623" Type="http://schemas.openxmlformats.org/officeDocument/2006/relationships/hyperlink" Target="https://drive.google.com/drive/folders/1ZPNtwa60gTC-kWHZCL9tV3sY7jfyuIra" TargetMode="External"/><Relationship Id="rId431" Type="http://schemas.openxmlformats.org/officeDocument/2006/relationships/hyperlink" Target="https://drive.google.com/drive/folders/1rNC4Qz7vyLUCUkj1qloZY2tcuH0QMPi4" TargetMode="External"/><Relationship Id="rId1266" Type="http://schemas.openxmlformats.org/officeDocument/2006/relationships/hyperlink" Target="https://github.com/equinor/resdata/issues/1083" TargetMode="External"/><Relationship Id="rId2597" Type="http://schemas.openxmlformats.org/officeDocument/2006/relationships/hyperlink" Target="https://github.com/NeilMacMullen/kusto-loco/issues/216" TargetMode="External"/><Relationship Id="rId5620" Type="http://schemas.openxmlformats.org/officeDocument/2006/relationships/hyperlink" Target="https://drive.google.com/drive/folders/1aAlDzvkMrzzKL29nRG9CUp1gWIBiscr4" TargetMode="External"/><Relationship Id="rId430" Type="http://schemas.openxmlformats.org/officeDocument/2006/relationships/hyperlink" Target="https://drive.google.com/drive/folders/18uGdG9hZPFHYDACvLZY1EWwsr9ddITsN" TargetMode="External"/><Relationship Id="rId1267" Type="http://schemas.openxmlformats.org/officeDocument/2006/relationships/hyperlink" Target="https://github.com/ErikKalkoken/evebuddy/issues/271" TargetMode="External"/><Relationship Id="rId2598" Type="http://schemas.openxmlformats.org/officeDocument/2006/relationships/hyperlink" Target="https://drive.google.com/drive/folders/13wtvAApitCF3ZntHoXecaZa69FzsIu8n" TargetMode="External"/><Relationship Id="rId5621" Type="http://schemas.openxmlformats.org/officeDocument/2006/relationships/hyperlink" Target="https://drive.google.com/drive/folders/1E2ixUvetuCnsJsJIDCpQ-OOBvojFhNkp" TargetMode="External"/><Relationship Id="rId3070" Type="http://schemas.openxmlformats.org/officeDocument/2006/relationships/hyperlink" Target="https://github.com/pyccel/pyccel/issues/2117" TargetMode="External"/><Relationship Id="rId3072" Type="http://schemas.openxmlformats.org/officeDocument/2006/relationships/hyperlink" Target="https://github.com/pyccel/pyccel/issues/2392" TargetMode="External"/><Relationship Id="rId3071" Type="http://schemas.openxmlformats.org/officeDocument/2006/relationships/hyperlink" Target="https://drive.google.com/drive/folders/1vEKDPfy9nzuhsKKqdHvGWyyLvPZmFMfh" TargetMode="External"/><Relationship Id="rId3074" Type="http://schemas.openxmlformats.org/officeDocument/2006/relationships/hyperlink" Target="https://drive.google.com/drive/folders/1de5fUnBJz-k0c6zQVVfAGbQbC90bIOax" TargetMode="External"/><Relationship Id="rId3073" Type="http://schemas.openxmlformats.org/officeDocument/2006/relationships/hyperlink" Target="https://drive.google.com/drive/folders/18ihM9-KvALpJVLv0H9iMrw4sgaFJivNM" TargetMode="External"/><Relationship Id="rId3076" Type="http://schemas.openxmlformats.org/officeDocument/2006/relationships/hyperlink" Target="https://drive.google.com/drive/folders/1xqqvwFUappj_S5hlQ1In71QT5KjcMoLs" TargetMode="External"/><Relationship Id="rId3075" Type="http://schemas.openxmlformats.org/officeDocument/2006/relationships/hyperlink" Target="https://github.com/pyccel/pyccel/issues/2348" TargetMode="External"/><Relationship Id="rId3078" Type="http://schemas.openxmlformats.org/officeDocument/2006/relationships/hyperlink" Target="https://github.com/pyccel/pyccel/issues/2200" TargetMode="External"/><Relationship Id="rId3077" Type="http://schemas.openxmlformats.org/officeDocument/2006/relationships/hyperlink" Target="https://drive.google.com/drive/folders/1CaWRH8x5aSo4XXbyCxFKySZF-V143ub2" TargetMode="External"/><Relationship Id="rId3079" Type="http://schemas.openxmlformats.org/officeDocument/2006/relationships/hyperlink" Target="https://drive.google.com/drive/folders/1jlpBVzJu4hOPmPBBIBvef8NOy5wgO_2m" TargetMode="External"/><Relationship Id="rId4390" Type="http://schemas.openxmlformats.org/officeDocument/2006/relationships/hyperlink" Target="https://github.com/conan-io/conan/issues/18493" TargetMode="External"/><Relationship Id="rId3061" Type="http://schemas.openxmlformats.org/officeDocument/2006/relationships/hyperlink" Target="https://drive.google.com/drive/folders/1c2tfrO_YWTZP7oHBOOtOGCDSOYcKwd8O" TargetMode="External"/><Relationship Id="rId4392" Type="http://schemas.openxmlformats.org/officeDocument/2006/relationships/hyperlink" Target="https://drive.google.com/drive/folders/1wY5wnkEzYtPWGmCsKU2U9tVrSBtB3P-j" TargetMode="External"/><Relationship Id="rId3060" Type="http://schemas.openxmlformats.org/officeDocument/2006/relationships/hyperlink" Target="https://drive.google.com/drive/folders/1zBL4MM907tYpsX-pBUBw9Ddaosgo1eJp" TargetMode="External"/><Relationship Id="rId4391" Type="http://schemas.openxmlformats.org/officeDocument/2006/relationships/hyperlink" Target="https://drive.google.com/drive/folders/16Yocx_08-zLWmZerm1ghbQf2vjKVQIxn" TargetMode="External"/><Relationship Id="rId3063" Type="http://schemas.openxmlformats.org/officeDocument/2006/relationships/hyperlink" Target="https://drive.google.com/drive/folders/18IYLTkqsYlTfOcwxgA06zoprfoYprKi4" TargetMode="External"/><Relationship Id="rId4394" Type="http://schemas.openxmlformats.org/officeDocument/2006/relationships/hyperlink" Target="https://github.com/containers/podman-desktop-extension-ai-lab/issues/2534" TargetMode="External"/><Relationship Id="rId3062" Type="http://schemas.openxmlformats.org/officeDocument/2006/relationships/hyperlink" Target="https://github.com/pybind/pybind11/issues/5624" TargetMode="External"/><Relationship Id="rId4393" Type="http://schemas.openxmlformats.org/officeDocument/2006/relationships/hyperlink" Target="https://github.com/conda/conda/issues/15165" TargetMode="External"/><Relationship Id="rId3065" Type="http://schemas.openxmlformats.org/officeDocument/2006/relationships/hyperlink" Target="https://github.com/pybind/pybind11/issues/5540" TargetMode="External"/><Relationship Id="rId4396" Type="http://schemas.openxmlformats.org/officeDocument/2006/relationships/hyperlink" Target="https://github.com/crate/crate/issues/17670" TargetMode="External"/><Relationship Id="rId3064" Type="http://schemas.openxmlformats.org/officeDocument/2006/relationships/hyperlink" Target="https://drive.google.com/drive/folders/1fxGI3q4d9hmE1A0FH5wdTBW_hOBnLX0s" TargetMode="External"/><Relationship Id="rId4395" Type="http://schemas.openxmlformats.org/officeDocument/2006/relationships/hyperlink" Target="https://drive.google.com/drive/folders/1x_D3kJSBLd6miCpwC_ZokBxz5ctwIu8Y" TargetMode="External"/><Relationship Id="rId3067" Type="http://schemas.openxmlformats.org/officeDocument/2006/relationships/hyperlink" Target="https://drive.google.com/drive/folders/1KoEqhi7ItLteI6LpWdCF3D-hslFWQQVm" TargetMode="External"/><Relationship Id="rId4398" Type="http://schemas.openxmlformats.org/officeDocument/2006/relationships/hyperlink" Target="https://drive.google.com/drive/folders/1CBCGQ2xyh9eGCsTUanJVVXlCCAOr-F8D" TargetMode="External"/><Relationship Id="rId3066" Type="http://schemas.openxmlformats.org/officeDocument/2006/relationships/hyperlink" Target="https://drive.google.com/drive/folders/1ILCISZvGo8TIVTzBXxJmm2gKu38eUVYs" TargetMode="External"/><Relationship Id="rId4397" Type="http://schemas.openxmlformats.org/officeDocument/2006/relationships/hyperlink" Target="https://drive.google.com/drive/folders/17ij05U4-dMGY53yDzTkpSqICLeJJQNMh" TargetMode="External"/><Relationship Id="rId3069" Type="http://schemas.openxmlformats.org/officeDocument/2006/relationships/hyperlink" Target="https://drive.google.com/drive/folders/1fpkuawsg-vkgeia9xElYI5loELv-sXuZ" TargetMode="External"/><Relationship Id="rId3068" Type="http://schemas.openxmlformats.org/officeDocument/2006/relationships/hyperlink" Target="https://github.com/pyccel/pyccel/issues/2082" TargetMode="External"/><Relationship Id="rId4399" Type="http://schemas.openxmlformats.org/officeDocument/2006/relationships/hyperlink" Target="https://github.com/crc-org/vfkit/issues/300" TargetMode="External"/><Relationship Id="rId3090" Type="http://schemas.openxmlformats.org/officeDocument/2006/relationships/hyperlink" Target="https://github.com/pyccel/pyccel/issues/2185" TargetMode="External"/><Relationship Id="rId3092" Type="http://schemas.openxmlformats.org/officeDocument/2006/relationships/hyperlink" Target="https://drive.google.com/drive/folders/1w_S9y0L_lvub8YfKa1hQgRC6EPtxfNi5" TargetMode="External"/><Relationship Id="rId3091" Type="http://schemas.openxmlformats.org/officeDocument/2006/relationships/hyperlink" Target="https://drive.google.com/drive/folders/1q4fQSX_oockyMFcK_hKr_CaYzVXp8YNE" TargetMode="External"/><Relationship Id="rId3094" Type="http://schemas.openxmlformats.org/officeDocument/2006/relationships/hyperlink" Target="https://drive.google.com/drive/folders/1ZphCWJH8eydqhUNwpx4hysbqlmqvMJPK" TargetMode="External"/><Relationship Id="rId3093" Type="http://schemas.openxmlformats.org/officeDocument/2006/relationships/hyperlink" Target="https://github.com/pydantic/logfire/issues/829" TargetMode="External"/><Relationship Id="rId3096" Type="http://schemas.openxmlformats.org/officeDocument/2006/relationships/hyperlink" Target="https://drive.google.com/drive/folders/1KN7NOa6eg5ethuurd22NHuOZfLyOI1Z1" TargetMode="External"/><Relationship Id="rId3095" Type="http://schemas.openxmlformats.org/officeDocument/2006/relationships/hyperlink" Target="https://github.com/pydantic/pydantic/issues/11479" TargetMode="External"/><Relationship Id="rId3098" Type="http://schemas.openxmlformats.org/officeDocument/2006/relationships/hyperlink" Target="https://github.com/pydantic/pydantic/issues/12068" TargetMode="External"/><Relationship Id="rId3097" Type="http://schemas.openxmlformats.org/officeDocument/2006/relationships/hyperlink" Target="https://drive.google.com/drive/folders/1PpYd5rQOj72oAwvdL7e-c_7uezaibs_T" TargetMode="External"/><Relationship Id="rId3099" Type="http://schemas.openxmlformats.org/officeDocument/2006/relationships/hyperlink" Target="https://drive.google.com/drive/folders/1MQQow5QBePU1H19t1yvyZvbAj-fjPMrS" TargetMode="External"/><Relationship Id="rId3081" Type="http://schemas.openxmlformats.org/officeDocument/2006/relationships/hyperlink" Target="https://github.com/pyccel/pyccel/issues/2184" TargetMode="External"/><Relationship Id="rId3080" Type="http://schemas.openxmlformats.org/officeDocument/2006/relationships/hyperlink" Target="https://drive.google.com/drive/folders/17Gvhnvvs2FkxgvUcMRGsME1matLealiK" TargetMode="External"/><Relationship Id="rId3083" Type="http://schemas.openxmlformats.org/officeDocument/2006/relationships/hyperlink" Target="https://drive.google.com/drive/folders/1Y_bdKbijIBwxWIgjOBb7q4o2RBoYZKKY" TargetMode="External"/><Relationship Id="rId3082" Type="http://schemas.openxmlformats.org/officeDocument/2006/relationships/hyperlink" Target="https://drive.google.com/drive/folders/1449aJNpKA_I-ruJFAharcKLX82OAbmgJ" TargetMode="External"/><Relationship Id="rId3085" Type="http://schemas.openxmlformats.org/officeDocument/2006/relationships/hyperlink" Target="https://drive.google.com/drive/folders/1z8faMsnPkPDCl8FnTc_a2JPe8T2ASTMK" TargetMode="External"/><Relationship Id="rId3084" Type="http://schemas.openxmlformats.org/officeDocument/2006/relationships/hyperlink" Target="https://github.com/pyccel/pyccel/issues/2031" TargetMode="External"/><Relationship Id="rId3087" Type="http://schemas.openxmlformats.org/officeDocument/2006/relationships/hyperlink" Target="https://github.com/pyccel/pyccel/issues/2072" TargetMode="External"/><Relationship Id="rId3086" Type="http://schemas.openxmlformats.org/officeDocument/2006/relationships/hyperlink" Target="https://drive.google.com/drive/folders/1kPUd_VL0lSyqdZ0aBfNqLTOK0kAJ6TcC" TargetMode="External"/><Relationship Id="rId3089" Type="http://schemas.openxmlformats.org/officeDocument/2006/relationships/hyperlink" Target="https://drive.google.com/drive/folders/1Gug8tA5k2vQRkF2Pmu1w5tXllYoaIq5A" TargetMode="External"/><Relationship Id="rId3088" Type="http://schemas.openxmlformats.org/officeDocument/2006/relationships/hyperlink" Target="https://drive.google.com/drive/folders/19db42Vf3RqVZi688oS1Xu62iNsP84jFh" TargetMode="External"/><Relationship Id="rId3039" Type="http://schemas.openxmlformats.org/officeDocument/2006/relationships/hyperlink" Target="https://drive.google.com/drive/folders/1p_OuC5P0oIbrP0X39VDIYiBG1BtTi5Gg" TargetMode="External"/><Relationship Id="rId1" Type="http://schemas.openxmlformats.org/officeDocument/2006/relationships/hyperlink" Target="https://github.com/0x2a-42/lelwel/issues/4" TargetMode="External"/><Relationship Id="rId2" Type="http://schemas.openxmlformats.org/officeDocument/2006/relationships/hyperlink" Target="https://drive.google.com/drive/folders/1LlHIhkRm7oR-lD7kuwyi6Glujfya9hEm" TargetMode="External"/><Relationship Id="rId3" Type="http://schemas.openxmlformats.org/officeDocument/2006/relationships/hyperlink" Target="https://github.com/0xMiden/miden-base/issues/1421" TargetMode="External"/><Relationship Id="rId4" Type="http://schemas.openxmlformats.org/officeDocument/2006/relationships/hyperlink" Target="https://drive.google.com/drive/folders/16ONI16m86ZIcfDUXJfsRg35R8cV32Lce" TargetMode="External"/><Relationship Id="rId5691" Type="http://schemas.openxmlformats.org/officeDocument/2006/relationships/hyperlink" Target="https://drive.google.com/drive/folders/1SpvFDl1LMSknscGQWDGF2i5xTe4n__GX" TargetMode="External"/><Relationship Id="rId5692" Type="http://schemas.openxmlformats.org/officeDocument/2006/relationships/hyperlink" Target="https://github.com/NeuralEnsemble/python-neo/issues/1719" TargetMode="External"/><Relationship Id="rId3030" Type="http://schemas.openxmlformats.org/officeDocument/2006/relationships/hyperlink" Target="https://drive.google.com/drive/folders/14KzybZrZAHPyi2c_S8GJ_k1nKucz6I8Y" TargetMode="External"/><Relationship Id="rId4361" Type="http://schemas.openxmlformats.org/officeDocument/2006/relationships/hyperlink" Target="https://drive.google.com/drive/folders/1aAWs3hM_CdolFV-Xjz4oFFeCqjF6vqKk" TargetMode="External"/><Relationship Id="rId4360" Type="http://schemas.openxmlformats.org/officeDocument/2006/relationships/hyperlink" Target="https://github.com/clflushopt/tpchgen-rs/issues/175" TargetMode="External"/><Relationship Id="rId5690" Type="http://schemas.openxmlformats.org/officeDocument/2006/relationships/hyperlink" Target="https://github.com/narwhals-dev/narwhals/issues/3157" TargetMode="External"/><Relationship Id="rId9" Type="http://schemas.openxmlformats.org/officeDocument/2006/relationships/hyperlink" Target="https://github.com/0xMiden/miden-vm/issues/1941" TargetMode="External"/><Relationship Id="rId3032" Type="http://schemas.openxmlformats.org/officeDocument/2006/relationships/hyperlink" Target="https://drive.google.com/drive/folders/1ELW_sTCKcO4R12FDw9dLs7h-mjisFeRh" TargetMode="External"/><Relationship Id="rId4363" Type="http://schemas.openxmlformats.org/officeDocument/2006/relationships/hyperlink" Target="https://drive.google.com/drive/folders/1zpJh-t62pU1qF-zA-oR-4bzvFm4EySGh" TargetMode="External"/><Relationship Id="rId5695" Type="http://schemas.openxmlformats.org/officeDocument/2006/relationships/hyperlink" Target="https://drive.google.com/drive/folders/1gFiPTRHuarjNTycV3t32K6NzjFBCQVcH" TargetMode="External"/><Relationship Id="rId3031" Type="http://schemas.openxmlformats.org/officeDocument/2006/relationships/hyperlink" Target="https://github.com/promptfoo/promptfoo/issues/5994" TargetMode="External"/><Relationship Id="rId4362" Type="http://schemas.openxmlformats.org/officeDocument/2006/relationships/hyperlink" Target="https://github.com/cli/cli/issues/11544" TargetMode="External"/><Relationship Id="rId5696" Type="http://schemas.openxmlformats.org/officeDocument/2006/relationships/hyperlink" Target="https://drive.google.com/drive/folders/1DYXedK-2-oQRql1KSH5vn6P6Tf1-X_N1" TargetMode="External"/><Relationship Id="rId3034" Type="http://schemas.openxmlformats.org/officeDocument/2006/relationships/hyperlink" Target="https://drive.google.com/drive/folders/1UAL6RU268sNAg01-PBgt1mSkeLW-3yYY" TargetMode="External"/><Relationship Id="rId4365" Type="http://schemas.openxmlformats.org/officeDocument/2006/relationships/hyperlink" Target="https://github.com/cloudfoundry/go-cfclient/issues/452" TargetMode="External"/><Relationship Id="rId5693" Type="http://schemas.openxmlformats.org/officeDocument/2006/relationships/hyperlink" Target="https://drive.google.com/drive/folders/1-MHLiUmDmRJ8HvBHDICEos_w-V1iCNiv" TargetMode="External"/><Relationship Id="rId3033" Type="http://schemas.openxmlformats.org/officeDocument/2006/relationships/hyperlink" Target="https://github.com/protofire/solhint/issues/680" TargetMode="External"/><Relationship Id="rId4364" Type="http://schemas.openxmlformats.org/officeDocument/2006/relationships/hyperlink" Target="https://drive.google.com/drive/folders/148NXyMKd3fzwYsuNitfedWfzOL3Atnkk" TargetMode="External"/><Relationship Id="rId5694" Type="http://schemas.openxmlformats.org/officeDocument/2006/relationships/hyperlink" Target="https://github.com/nginx/nginx-gateway-fabric/issues/3754" TargetMode="External"/><Relationship Id="rId5" Type="http://schemas.openxmlformats.org/officeDocument/2006/relationships/hyperlink" Target="https://drive.google.com/drive/folders/1QPBS9OraGcxI49Jqr_R7Q89u3EU22LbF" TargetMode="External"/><Relationship Id="rId3036" Type="http://schemas.openxmlformats.org/officeDocument/2006/relationships/hyperlink" Target="https://drive.google.com/drive/folders/1QOQn2HHKHnXR6t-JVq3gTsfa4Y4cIT4M" TargetMode="External"/><Relationship Id="rId4367" Type="http://schemas.openxmlformats.org/officeDocument/2006/relationships/hyperlink" Target="https://github.com/comet-ml/opik/issues/2051" TargetMode="External"/><Relationship Id="rId5699" Type="http://schemas.openxmlformats.org/officeDocument/2006/relationships/hyperlink" Target="https://github.com/palantir/javapoet/issues/196" TargetMode="External"/><Relationship Id="rId6" Type="http://schemas.openxmlformats.org/officeDocument/2006/relationships/hyperlink" Target="https://github.com/0xMiden/miden-vm/issues/1996" TargetMode="External"/><Relationship Id="rId3035" Type="http://schemas.openxmlformats.org/officeDocument/2006/relationships/hyperlink" Target="https://github.com/provenance-io/provenance/issues/2379" TargetMode="External"/><Relationship Id="rId4366" Type="http://schemas.openxmlformats.org/officeDocument/2006/relationships/hyperlink" Target="https://drive.google.com/drive/folders/1j1SP--BS9XbVQtGAWMsAZYRwV72NqcXU" TargetMode="External"/><Relationship Id="rId7" Type="http://schemas.openxmlformats.org/officeDocument/2006/relationships/hyperlink" Target="https://drive.google.com/drive/folders/1ch_rmum8n1Wo74l_QRXbMIpFuTumHVeg" TargetMode="External"/><Relationship Id="rId3038" Type="http://schemas.openxmlformats.org/officeDocument/2006/relationships/hyperlink" Target="https://drive.google.com/drive/folders/1oUUUQZgYuaHkwDQeSF8Pnrsb4UtoN6tH" TargetMode="External"/><Relationship Id="rId4369" Type="http://schemas.openxmlformats.org/officeDocument/2006/relationships/hyperlink" Target="https://drive.google.com/drive/folders/1FMndzJIES_rZpNWIVykvfjJgDiecSs2Q" TargetMode="External"/><Relationship Id="rId5697" Type="http://schemas.openxmlformats.org/officeDocument/2006/relationships/hyperlink" Target="https://github.com/onflow/flow-cli/issues/2054" TargetMode="External"/><Relationship Id="rId8" Type="http://schemas.openxmlformats.org/officeDocument/2006/relationships/hyperlink" Target="https://drive.google.com/drive/folders/14Iqe0ntCd4-fpj376ZjBzr5ab7YTkRJY" TargetMode="External"/><Relationship Id="rId3037" Type="http://schemas.openxmlformats.org/officeDocument/2006/relationships/hyperlink" Target="https://github.com/publint/publint/issues/201" TargetMode="External"/><Relationship Id="rId4368" Type="http://schemas.openxmlformats.org/officeDocument/2006/relationships/hyperlink" Target="https://drive.google.com/drive/folders/1d5AtwTdxaGLiF14xi5jtMpxtyAW-xRC9" TargetMode="External"/><Relationship Id="rId5698" Type="http://schemas.openxmlformats.org/officeDocument/2006/relationships/hyperlink" Target="https://drive.google.com/drive/folders/1aN6Y8KZ636MsgoEhOtqguU6O-EEel9HD" TargetMode="External"/><Relationship Id="rId3029" Type="http://schemas.openxmlformats.org/officeDocument/2006/relationships/hyperlink" Target="https://github.com/promptfoo/promptfoo/issues/5977" TargetMode="External"/><Relationship Id="rId3028" Type="http://schemas.openxmlformats.org/officeDocument/2006/relationships/hyperlink" Target="https://drive.google.com/drive/folders/1SGRUF2YYZ7D41Qk_9_dMlTe7VQbL0T-z" TargetMode="External"/><Relationship Id="rId4359" Type="http://schemas.openxmlformats.org/officeDocument/2006/relationships/hyperlink" Target="https://drive.google.com/drive/folders/1OwRR1kAzQgOd6HwuVtKdrzhUWa_SZVIc" TargetMode="External"/><Relationship Id="rId5680" Type="http://schemas.openxmlformats.org/officeDocument/2006/relationships/hyperlink" Target="https://github.com/Mintplex-Labs/anything-llm/issues/4359" TargetMode="External"/><Relationship Id="rId5681" Type="http://schemas.openxmlformats.org/officeDocument/2006/relationships/hyperlink" Target="https://drive.google.com/drive/folders/1L7NT7Ja_IEy4M_gz8Rcf6ZanaFOGeEvx" TargetMode="External"/><Relationship Id="rId4350" Type="http://schemas.openxmlformats.org/officeDocument/2006/relationships/hyperlink" Target="https://drive.google.com/drive/folders/1TPWQm5x3vHGxxyafG5Cyi4KppGlxXxgu" TargetMode="External"/><Relationship Id="rId3021" Type="http://schemas.openxmlformats.org/officeDocument/2006/relationships/hyperlink" Target="https://github.com/prometheus/prometheus/issues/16066" TargetMode="External"/><Relationship Id="rId4352" Type="http://schemas.openxmlformats.org/officeDocument/2006/relationships/hyperlink" Target="https://drive.google.com/drive/folders/1CY6v651HThpCC99sxted8ST7mhI9a-0B" TargetMode="External"/><Relationship Id="rId5684" Type="http://schemas.openxmlformats.org/officeDocument/2006/relationships/hyperlink" Target="https://drive.google.com/drive/folders/1q2TO-5VnexewbJIoYjNVNqjpxlpluvCT" TargetMode="External"/><Relationship Id="rId3020" Type="http://schemas.openxmlformats.org/officeDocument/2006/relationships/hyperlink" Target="https://drive.google.com/drive/folders/186SdY1wbOgKc0tV7web_9ytpVm-wPmPw" TargetMode="External"/><Relationship Id="rId4351" Type="http://schemas.openxmlformats.org/officeDocument/2006/relationships/hyperlink" Target="https://github.com/chatwoot/ai-agents/issues/17" TargetMode="External"/><Relationship Id="rId5685" Type="http://schemas.openxmlformats.org/officeDocument/2006/relationships/hyperlink" Target="https://github.com/mvz/gir_ffi/issues/382" TargetMode="External"/><Relationship Id="rId3023" Type="http://schemas.openxmlformats.org/officeDocument/2006/relationships/hyperlink" Target="https://drive.google.com/drive/folders/1ptK0igfJdo3IPyibVWx6jQU-_o8qL1QU" TargetMode="External"/><Relationship Id="rId4354" Type="http://schemas.openxmlformats.org/officeDocument/2006/relationships/hyperlink" Target="https://drive.google.com/drive/folders/1XML7wbOi5TuOLzt_KBos0IknMQdpqMh_" TargetMode="External"/><Relationship Id="rId5682" Type="http://schemas.openxmlformats.org/officeDocument/2006/relationships/hyperlink" Target="https://drive.google.com/drive/folders/1WGfdwhjNNU0B8PGugzR4RhiKDdvKMnqG" TargetMode="External"/><Relationship Id="rId3022" Type="http://schemas.openxmlformats.org/officeDocument/2006/relationships/hyperlink" Target="https://drive.google.com/drive/folders/1_eZBkYuzofZc6kCxA5uzI3meanHKV4FQ" TargetMode="External"/><Relationship Id="rId4353" Type="http://schemas.openxmlformats.org/officeDocument/2006/relationships/hyperlink" Target="https://github.com/chemfiles/chemfiles/issues/501" TargetMode="External"/><Relationship Id="rId5683" Type="http://schemas.openxmlformats.org/officeDocument/2006/relationships/hyperlink" Target="https://github.com/mpmath/mpmath/issues/925" TargetMode="External"/><Relationship Id="rId3025" Type="http://schemas.openxmlformats.org/officeDocument/2006/relationships/hyperlink" Target="https://drive.google.com/drive/folders/1Je8Qw9WtiudAV8JWKbu_GxK3hSntOsCL" TargetMode="External"/><Relationship Id="rId4356" Type="http://schemas.openxmlformats.org/officeDocument/2006/relationships/hyperlink" Target="https://drive.google.com/drive/folders/1ZDY7xkPGMYKU5zAgaiv52oFjCe6zBh7r" TargetMode="External"/><Relationship Id="rId5688" Type="http://schemas.openxmlformats.org/officeDocument/2006/relationships/hyperlink" Target="https://github.com/narwhals-dev/narwhals/issues/2608" TargetMode="External"/><Relationship Id="rId3024" Type="http://schemas.openxmlformats.org/officeDocument/2006/relationships/hyperlink" Target="https://github.com/prometheus/prometheus/issues/16226" TargetMode="External"/><Relationship Id="rId4355" Type="http://schemas.openxmlformats.org/officeDocument/2006/relationships/hyperlink" Target="https://github.com/cieslarmichal/faker-cxx/issues/998" TargetMode="External"/><Relationship Id="rId5689" Type="http://schemas.openxmlformats.org/officeDocument/2006/relationships/hyperlink" Target="https://drive.google.com/drive/folders/1mXezwEBG9AWNVogAa0urvzviX4xES7u8" TargetMode="External"/><Relationship Id="rId3027" Type="http://schemas.openxmlformats.org/officeDocument/2006/relationships/hyperlink" Target="https://github.com/promptfoo/promptfoo/issues/4835" TargetMode="External"/><Relationship Id="rId4358" Type="http://schemas.openxmlformats.org/officeDocument/2006/relationships/hyperlink" Target="https://drive.google.com/drive/folders/1-dkfqsP9rE4Gt64n9JLzu4XK3JLHjDWn" TargetMode="External"/><Relationship Id="rId5686" Type="http://schemas.openxmlformats.org/officeDocument/2006/relationships/hyperlink" Target="https://drive.google.com/drive/folders/1XdCC3AeNWwgao1IpGgrF9iCPqnNuPvpp" TargetMode="External"/><Relationship Id="rId3026" Type="http://schemas.openxmlformats.org/officeDocument/2006/relationships/hyperlink" Target="https://drive.google.com/drive/folders/1PnrapZa8u6rPnkAxH3RHlVGF38RIGoIG" TargetMode="External"/><Relationship Id="rId4357" Type="http://schemas.openxmlformats.org/officeDocument/2006/relationships/hyperlink" Target="https://github.com/cilium/cilium/issues/39220" TargetMode="External"/><Relationship Id="rId5687" Type="http://schemas.openxmlformats.org/officeDocument/2006/relationships/hyperlink" Target="https://drive.google.com/drive/folders/1ZGnP-xZFBN6j2IXcFTXhwK5TO1Bshjwc" TargetMode="External"/><Relationship Id="rId3050" Type="http://schemas.openxmlformats.org/officeDocument/2006/relationships/hyperlink" Target="https://github.com/puzzle/skills/issues/972" TargetMode="External"/><Relationship Id="rId4381" Type="http://schemas.openxmlformats.org/officeDocument/2006/relationships/hyperlink" Target="https://github.com/conan-io/conan/issues/17985" TargetMode="External"/><Relationship Id="rId4380" Type="http://schemas.openxmlformats.org/officeDocument/2006/relationships/hyperlink" Target="https://drive.google.com/drive/folders/1YhSON5aKcSODA2MBAmoTC5QUSJDIu01-" TargetMode="External"/><Relationship Id="rId3052" Type="http://schemas.openxmlformats.org/officeDocument/2006/relationships/hyperlink" Target="https://github.com/puzzmo-com/xd-crossword-tools/issues/42" TargetMode="External"/><Relationship Id="rId4383" Type="http://schemas.openxmlformats.org/officeDocument/2006/relationships/hyperlink" Target="https://drive.google.com/drive/folders/1Y_7pXtZSbZWa8RRV0Vlv7bnS1keemuZX" TargetMode="External"/><Relationship Id="rId3051" Type="http://schemas.openxmlformats.org/officeDocument/2006/relationships/hyperlink" Target="https://drive.google.com/drive/folders/1sCTYnxZK8CbHgtMuBYHO90oCi-xf0yhn" TargetMode="External"/><Relationship Id="rId4382" Type="http://schemas.openxmlformats.org/officeDocument/2006/relationships/hyperlink" Target="https://drive.google.com/drive/folders/1WQXm621WjfxNJKij_pOxRyVD-yb2uBxK" TargetMode="External"/><Relationship Id="rId3054" Type="http://schemas.openxmlformats.org/officeDocument/2006/relationships/hyperlink" Target="https://github.com/pybamm-team/PyBaMM/issues/5044" TargetMode="External"/><Relationship Id="rId4385" Type="http://schemas.openxmlformats.org/officeDocument/2006/relationships/hyperlink" Target="https://drive.google.com/drive/folders/1KOewA87_ODilILSRW2P_Tln_SKDqmVTx" TargetMode="External"/><Relationship Id="rId3053" Type="http://schemas.openxmlformats.org/officeDocument/2006/relationships/hyperlink" Target="https://drive.google.com/drive/folders/1rzr0L50xVvBDiPivMOBtYkabYgyZCyaL" TargetMode="External"/><Relationship Id="rId4384" Type="http://schemas.openxmlformats.org/officeDocument/2006/relationships/hyperlink" Target="https://github.com/conan-io/conan/issues/18334" TargetMode="External"/><Relationship Id="rId3056" Type="http://schemas.openxmlformats.org/officeDocument/2006/relationships/hyperlink" Target="https://github.com/pybamm-team/PyBaMM/issues/4825" TargetMode="External"/><Relationship Id="rId4387" Type="http://schemas.openxmlformats.org/officeDocument/2006/relationships/hyperlink" Target="https://github.com/conan-io/conan/issues/18642" TargetMode="External"/><Relationship Id="rId3055" Type="http://schemas.openxmlformats.org/officeDocument/2006/relationships/hyperlink" Target="https://drive.google.com/drive/folders/1owyMVq_G-T04hl-6EgHH72-WqJX1nuMP" TargetMode="External"/><Relationship Id="rId4386" Type="http://schemas.openxmlformats.org/officeDocument/2006/relationships/hyperlink" Target="https://drive.google.com/drive/folders/1tKiF1KyjGXeTSAnZirDD0wm3Vxq0yiq3" TargetMode="External"/><Relationship Id="rId3058" Type="http://schemas.openxmlformats.org/officeDocument/2006/relationships/hyperlink" Target="https://drive.google.com/drive/folders/1fMKmZ-cJKZ3TSvmdskxxNNfRwx7kqRKV" TargetMode="External"/><Relationship Id="rId4389" Type="http://schemas.openxmlformats.org/officeDocument/2006/relationships/hyperlink" Target="https://drive.google.com/drive/folders/1Hbp6T0focaopj7UkBQOMLcfovxgwnIXS" TargetMode="External"/><Relationship Id="rId3057" Type="http://schemas.openxmlformats.org/officeDocument/2006/relationships/hyperlink" Target="https://drive.google.com/drive/folders/1BGYc4O3AzjJ2EjXkzS0T9VasWNnewjK4" TargetMode="External"/><Relationship Id="rId4388" Type="http://schemas.openxmlformats.org/officeDocument/2006/relationships/hyperlink" Target="https://drive.google.com/drive/folders/1OYyt6xcwb2N6Bbwv6sXFoH2j6OKqL3yz" TargetMode="External"/><Relationship Id="rId3059" Type="http://schemas.openxmlformats.org/officeDocument/2006/relationships/hyperlink" Target="https://github.com/pybamm-team/PyBaMM/issues/5071" TargetMode="External"/><Relationship Id="rId4370" Type="http://schemas.openxmlformats.org/officeDocument/2006/relationships/hyperlink" Target="https://github.com/Comfy-Org/comfy-cli/issues/279" TargetMode="External"/><Relationship Id="rId3041" Type="http://schemas.openxmlformats.org/officeDocument/2006/relationships/hyperlink" Target="https://drive.google.com/drive/folders/12G4OuIGqic4GT587FbS97w1f4-PRFfV0" TargetMode="External"/><Relationship Id="rId4372" Type="http://schemas.openxmlformats.org/officeDocument/2006/relationships/hyperlink" Target="https://github.com/CommunityToolkit/Datasync/issues/382" TargetMode="External"/><Relationship Id="rId3040" Type="http://schemas.openxmlformats.org/officeDocument/2006/relationships/hyperlink" Target="https://github.com/pulumi/pulumi-cdk/issues/215" TargetMode="External"/><Relationship Id="rId4371" Type="http://schemas.openxmlformats.org/officeDocument/2006/relationships/hyperlink" Target="https://drive.google.com/drive/folders/1TAAeSpgkgsbDXQk1IsxbmO_gnj5tTxwa" TargetMode="External"/><Relationship Id="rId3043" Type="http://schemas.openxmlformats.org/officeDocument/2006/relationships/hyperlink" Target="https://github.com/puzzle/skills/issues/1001" TargetMode="External"/><Relationship Id="rId4374" Type="http://schemas.openxmlformats.org/officeDocument/2006/relationships/hyperlink" Target="https://github.com/ComPlat/chemotion_ELN/issues/2490" TargetMode="External"/><Relationship Id="rId3042" Type="http://schemas.openxmlformats.org/officeDocument/2006/relationships/hyperlink" Target="https://drive.google.com/drive/folders/1ITXZ3Y8zHlOO7F7zirH0R827MbZPTrKH" TargetMode="External"/><Relationship Id="rId4373" Type="http://schemas.openxmlformats.org/officeDocument/2006/relationships/hyperlink" Target="https://drive.google.com/drive/folders/1wzQhv4kpfgeNV9kMf7V9nNu-tmymwM5-" TargetMode="External"/><Relationship Id="rId3045" Type="http://schemas.openxmlformats.org/officeDocument/2006/relationships/hyperlink" Target="https://github.com/puzzle/skills/issues/886" TargetMode="External"/><Relationship Id="rId4376" Type="http://schemas.openxmlformats.org/officeDocument/2006/relationships/hyperlink" Target="https://github.com/compose-spec/compose-go/issues/789" TargetMode="External"/><Relationship Id="rId3044" Type="http://schemas.openxmlformats.org/officeDocument/2006/relationships/hyperlink" Target="https://drive.google.com/drive/folders/1Hk6zq6RCL7A6xhM_1lTz0mBZaqBUmVo-" TargetMode="External"/><Relationship Id="rId4375" Type="http://schemas.openxmlformats.org/officeDocument/2006/relationships/hyperlink" Target="https://drive.google.com/drive/folders/1ld9TguHI1bKS6Lt-dSpvQAjpzrlwiGSg" TargetMode="External"/><Relationship Id="rId3047" Type="http://schemas.openxmlformats.org/officeDocument/2006/relationships/hyperlink" Target="https://github.com/puzzle/skills/issues/917" TargetMode="External"/><Relationship Id="rId4378" Type="http://schemas.openxmlformats.org/officeDocument/2006/relationships/hyperlink" Target="https://github.com/conan-io/conan/issues/17518" TargetMode="External"/><Relationship Id="rId3046" Type="http://schemas.openxmlformats.org/officeDocument/2006/relationships/hyperlink" Target="https://drive.google.com/drive/folders/1ie1j8LL681x6RM-4R1LmQYlLeqkRzev3" TargetMode="External"/><Relationship Id="rId4377" Type="http://schemas.openxmlformats.org/officeDocument/2006/relationships/hyperlink" Target="https://drive.google.com/drive/folders/1Z-6ROt32EnS0-ITvXx3KVPE9-fBKg0QC" TargetMode="External"/><Relationship Id="rId3049" Type="http://schemas.openxmlformats.org/officeDocument/2006/relationships/hyperlink" Target="https://drive.google.com/drive/folders/12oznSK4TnNX__RR61dIHddi1RJ3PjXe6" TargetMode="External"/><Relationship Id="rId3048" Type="http://schemas.openxmlformats.org/officeDocument/2006/relationships/hyperlink" Target="https://drive.google.com/drive/folders/1t6-ZNvC1X_qN3VROgRDLAQRrOG3cqWe5" TargetMode="External"/><Relationship Id="rId4379" Type="http://schemas.openxmlformats.org/officeDocument/2006/relationships/hyperlink" Target="https://drive.google.com/drive/folders/1_Bh_tYItk-201QBcelzX6QfXAbrwW9bL" TargetMode="External"/><Relationship Id="rId3911" Type="http://schemas.openxmlformats.org/officeDocument/2006/relationships/hyperlink" Target="https://github.com/vgvassilev/clad/issues/749" TargetMode="External"/><Relationship Id="rId3910" Type="http://schemas.openxmlformats.org/officeDocument/2006/relationships/hyperlink" Target="https://drive.google.com/drive/folders/1BYKM1TWJjmGFnhmpvjQ56MAB2Z-M_mD1" TargetMode="External"/><Relationship Id="rId3913" Type="http://schemas.openxmlformats.org/officeDocument/2006/relationships/hyperlink" Target="https://drive.google.com/drive/folders/1_L-woWa0FLXcgi0xeyWHa2uzgUyb6GKo" TargetMode="External"/><Relationship Id="rId3912" Type="http://schemas.openxmlformats.org/officeDocument/2006/relationships/hyperlink" Target="https://drive.google.com/drive/folders/1pYRvQNHJtGqrLN-v2ExZQrLZ3M4hSRyA" TargetMode="External"/><Relationship Id="rId3915" Type="http://schemas.openxmlformats.org/officeDocument/2006/relationships/hyperlink" Target="https://drive.google.com/drive/folders/16whNh4AVgKnZZHIALOlAmXJM5DUpG-MA" TargetMode="External"/><Relationship Id="rId3914" Type="http://schemas.openxmlformats.org/officeDocument/2006/relationships/hyperlink" Target="https://github.com/vicentereig/dspy.rb/issues/158" TargetMode="External"/><Relationship Id="rId3917" Type="http://schemas.openxmlformats.org/officeDocument/2006/relationships/hyperlink" Target="https://github.com/vicentereig/dspy.rb/issues/85" TargetMode="External"/><Relationship Id="rId3916" Type="http://schemas.openxmlformats.org/officeDocument/2006/relationships/hyperlink" Target="https://drive.google.com/drive/folders/1C6oeW5Awr9g8m0mfhDneOpPX_dE_fvpt" TargetMode="External"/><Relationship Id="rId3919" Type="http://schemas.openxmlformats.org/officeDocument/2006/relationships/hyperlink" Target="https://github.com/VictoriaMetrics/VictoriaMetrics/issues/5536" TargetMode="External"/><Relationship Id="rId3918" Type="http://schemas.openxmlformats.org/officeDocument/2006/relationships/hyperlink" Target="https://drive.google.com/drive/folders/1ahmEFp6Fvw0-cy9HdzoYUc-MjjbANTmh" TargetMode="External"/><Relationship Id="rId3900" Type="http://schemas.openxmlformats.org/officeDocument/2006/relationships/hyperlink" Target="https://github.com/vercel/ai/issues/4415" TargetMode="External"/><Relationship Id="rId3902" Type="http://schemas.openxmlformats.org/officeDocument/2006/relationships/hyperlink" Target="https://drive.google.com/drive/folders/1NmTErLcOc8q4-1EetcK5vYOT0huwEHdt" TargetMode="External"/><Relationship Id="rId3901" Type="http://schemas.openxmlformats.org/officeDocument/2006/relationships/hyperlink" Target="https://drive.google.com/drive/folders/1e11OujoqsbqM4T6bWngg_Y-DCoy5GoAw" TargetMode="External"/><Relationship Id="rId3904" Type="http://schemas.openxmlformats.org/officeDocument/2006/relationships/hyperlink" Target="https://drive.google.com/drive/folders/1txNX0PX3PB5te8GA_aJu_-vfLebqDofK" TargetMode="External"/><Relationship Id="rId3903" Type="http://schemas.openxmlformats.org/officeDocument/2006/relationships/hyperlink" Target="https://github.com/vercel/ai/issues/9662" TargetMode="External"/><Relationship Id="rId3906" Type="http://schemas.openxmlformats.org/officeDocument/2006/relationships/hyperlink" Target="https://drive.google.com/drive/folders/14bxEpYKUiophwCFUgXThyUjJy_DZBE3B" TargetMode="External"/><Relationship Id="rId3905" Type="http://schemas.openxmlformats.org/officeDocument/2006/relationships/hyperlink" Target="https://github.com/vfarcic/dot-ai/issues/63" TargetMode="External"/><Relationship Id="rId3908" Type="http://schemas.openxmlformats.org/officeDocument/2006/relationships/hyperlink" Target="https://drive.google.com/drive/folders/1QhIMwAYLYQMPvlsXXa-tZAHqLgI5rDyC" TargetMode="External"/><Relationship Id="rId3907" Type="http://schemas.openxmlformats.org/officeDocument/2006/relationships/hyperlink" Target="https://github.com/vfarcic/dot-ai/issues/86" TargetMode="External"/><Relationship Id="rId3909" Type="http://schemas.openxmlformats.org/officeDocument/2006/relationships/hyperlink" Target="https://github.com/vgvassilev/clad/issues/1018" TargetMode="External"/><Relationship Id="rId3931" Type="http://schemas.openxmlformats.org/officeDocument/2006/relationships/hyperlink" Target="https://drive.google.com/drive/folders/1GWksQRcf-B7MESXuo5g8U7Ex6pdixBh9" TargetMode="External"/><Relationship Id="rId2600" Type="http://schemas.openxmlformats.org/officeDocument/2006/relationships/hyperlink" Target="https://drive.google.com/drive/folders/1O6yaoQOWbyhcj65ZWtVAlgB-LVRQ5Pul" TargetMode="External"/><Relationship Id="rId3930" Type="http://schemas.openxmlformats.org/officeDocument/2006/relationships/hyperlink" Target="https://drive.google.com/drive/folders/1Of_13OuInRxKyheHZwDHfMkmv7p-nN54" TargetMode="External"/><Relationship Id="rId2601" Type="http://schemas.openxmlformats.org/officeDocument/2006/relationships/hyperlink" Target="https://drive.google.com/drive/folders/1Rr3lQmTFXEwODFD0IZmPBWKglQLPST6P" TargetMode="External"/><Relationship Id="rId3933" Type="http://schemas.openxmlformats.org/officeDocument/2006/relationships/hyperlink" Target="https://drive.google.com/drive/folders/1PVtriLii5DjEqGG405JQOA4zQGg99Ywb" TargetMode="External"/><Relationship Id="rId2602" Type="http://schemas.openxmlformats.org/officeDocument/2006/relationships/hyperlink" Target="https://github.com/neo4j/cypher-builder/issues/444" TargetMode="External"/><Relationship Id="rId3932" Type="http://schemas.openxmlformats.org/officeDocument/2006/relationships/hyperlink" Target="https://github.com/volcano-sh/volcano/issues/3874" TargetMode="External"/><Relationship Id="rId2603" Type="http://schemas.openxmlformats.org/officeDocument/2006/relationships/hyperlink" Target="https://drive.google.com/drive/folders/1fC1kkA7AO8-79RCNnXNiOapQeqczqOcg" TargetMode="External"/><Relationship Id="rId3935" Type="http://schemas.openxmlformats.org/officeDocument/2006/relationships/hyperlink" Target="https://github.com/volfpeter/htmy/issues/33" TargetMode="External"/><Relationship Id="rId2604" Type="http://schemas.openxmlformats.org/officeDocument/2006/relationships/hyperlink" Target="https://github.com/nestjs/event-emitter/issues/1248" TargetMode="External"/><Relationship Id="rId3934" Type="http://schemas.openxmlformats.org/officeDocument/2006/relationships/hyperlink" Target="https://drive.google.com/drive/folders/1Fu0sXmgKqvDDDCGbt9k-jDWOKC0mKCM7" TargetMode="External"/><Relationship Id="rId2605" Type="http://schemas.openxmlformats.org/officeDocument/2006/relationships/hyperlink" Target="https://drive.google.com/drive/folders/13YAUzKWTiLsMen_Xh8ksLFQ-DEQTjyvO" TargetMode="External"/><Relationship Id="rId3937" Type="http://schemas.openxmlformats.org/officeDocument/2006/relationships/hyperlink" Target="https://github.com/VoltAgent/voltagent/issues/693" TargetMode="External"/><Relationship Id="rId2606" Type="http://schemas.openxmlformats.org/officeDocument/2006/relationships/hyperlink" Target="https://github.com/NetApp/harvest/issues/3433" TargetMode="External"/><Relationship Id="rId3936" Type="http://schemas.openxmlformats.org/officeDocument/2006/relationships/hyperlink" Target="https://drive.google.com/drive/folders/1e0d3aOxtDU2M_ig2hbIiIW3jURdcg1ha" TargetMode="External"/><Relationship Id="rId808" Type="http://schemas.openxmlformats.org/officeDocument/2006/relationships/hyperlink" Target="https://github.com/cloudfoundry/go-cfclient/issues/476" TargetMode="External"/><Relationship Id="rId2607" Type="http://schemas.openxmlformats.org/officeDocument/2006/relationships/hyperlink" Target="https://drive.google.com/drive/folders/11tp2fQU6sSmJ1c2ULNTWr7I4-DZfvtcl" TargetMode="External"/><Relationship Id="rId3939" Type="http://schemas.openxmlformats.org/officeDocument/2006/relationships/hyperlink" Target="https://github.com/vybestack/llxprt-code/issues/392" TargetMode="External"/><Relationship Id="rId807" Type="http://schemas.openxmlformats.org/officeDocument/2006/relationships/hyperlink" Target="https://drive.google.com/drive/folders/1gnx4r49FmzkQLR0mA0f-MTHt04047PNh" TargetMode="External"/><Relationship Id="rId2608" Type="http://schemas.openxmlformats.org/officeDocument/2006/relationships/hyperlink" Target="https://drive.google.com/drive/folders/1YmCnLS2LxGsRlQ9ezQZA24FKQAFEnzN9" TargetMode="External"/><Relationship Id="rId3938" Type="http://schemas.openxmlformats.org/officeDocument/2006/relationships/hyperlink" Target="https://drive.google.com/drive/folders/1BnNHsVGHI5xQywPDF40uDOjoECPJ_75I" TargetMode="External"/><Relationship Id="rId806" Type="http://schemas.openxmlformats.org/officeDocument/2006/relationships/hyperlink" Target="https://github.com/cloudfoundry/cloud_controller_ng/issues/4219" TargetMode="External"/><Relationship Id="rId2609" Type="http://schemas.openxmlformats.org/officeDocument/2006/relationships/hyperlink" Target="https://github.com/netdevops/hier_config/issues/138" TargetMode="External"/><Relationship Id="rId805" Type="http://schemas.openxmlformats.org/officeDocument/2006/relationships/hyperlink" Target="https://drive.google.com/drive/folders/1F18YP8SUevGaQmDbs0aykiWi1p8ZZzoG" TargetMode="External"/><Relationship Id="rId809" Type="http://schemas.openxmlformats.org/officeDocument/2006/relationships/hyperlink" Target="https://drive.google.com/drive/folders/1yL4mtOmfsF9lScJdNjrod-cV2IU0N7Db" TargetMode="External"/><Relationship Id="rId800" Type="http://schemas.openxmlformats.org/officeDocument/2006/relationships/hyperlink" Target="https://github.com/cli/cli/issues/11518" TargetMode="External"/><Relationship Id="rId804" Type="http://schemas.openxmlformats.org/officeDocument/2006/relationships/hyperlink" Target="https://drive.google.com/drive/folders/1R_nzLGT3cWNjahBx8kCK_mnY8Wulsukv" TargetMode="External"/><Relationship Id="rId803" Type="http://schemas.openxmlformats.org/officeDocument/2006/relationships/hyperlink" Target="https://github.com/cline/cline/issues/5315" TargetMode="External"/><Relationship Id="rId802" Type="http://schemas.openxmlformats.org/officeDocument/2006/relationships/hyperlink" Target="https://drive.google.com/drive/folders/1M6o1Jwd919eefsgfNMZs8eNNkijzgDFk" TargetMode="External"/><Relationship Id="rId801" Type="http://schemas.openxmlformats.org/officeDocument/2006/relationships/hyperlink" Target="https://drive.google.com/drive/folders/1N6ruQA7g2FPNMW6Y_zW98mJrSB5XE6fz" TargetMode="External"/><Relationship Id="rId3920" Type="http://schemas.openxmlformats.org/officeDocument/2006/relationships/hyperlink" Target="https://drive.google.com/drive/folders/1-Sy-vgMKX_Cd5oTR6vsSN8eiIDQfuvbw" TargetMode="External"/><Relationship Id="rId3922" Type="http://schemas.openxmlformats.org/officeDocument/2006/relationships/hyperlink" Target="https://github.com/VineLang/vine/issues/383" TargetMode="External"/><Relationship Id="rId3921" Type="http://schemas.openxmlformats.org/officeDocument/2006/relationships/hyperlink" Target="https://drive.google.com/drive/folders/1tUs31bhvxOszMdRxLovN44jWxmD1MnrT" TargetMode="External"/><Relationship Id="rId3924" Type="http://schemas.openxmlformats.org/officeDocument/2006/relationships/hyperlink" Target="https://github.com/vitejs/vite/issues/18488" TargetMode="External"/><Relationship Id="rId3923" Type="http://schemas.openxmlformats.org/officeDocument/2006/relationships/hyperlink" Target="https://drive.google.com/drive/folders/1B0njUUTV-lPx7URuAUnZBxwazxhosN-U" TargetMode="External"/><Relationship Id="rId3926" Type="http://schemas.openxmlformats.org/officeDocument/2006/relationships/hyperlink" Target="https://drive.google.com/drive/folders/160jA3UAz1QXJqmbKkC_TP5Wx37zyXCst" TargetMode="External"/><Relationship Id="rId3925" Type="http://schemas.openxmlformats.org/officeDocument/2006/relationships/hyperlink" Target="https://drive.google.com/drive/folders/1BnOHY_VLf3bhy-5ZVyt9GcMG0K9kYcmi" TargetMode="External"/><Relationship Id="rId3928" Type="http://schemas.openxmlformats.org/officeDocument/2006/relationships/hyperlink" Target="https://github.com/vitest-dev/vitest/issues/7937" TargetMode="External"/><Relationship Id="rId3927" Type="http://schemas.openxmlformats.org/officeDocument/2006/relationships/hyperlink" Target="https://github.com/vitejs/vite/issues/18546" TargetMode="External"/><Relationship Id="rId3929" Type="http://schemas.openxmlformats.org/officeDocument/2006/relationships/hyperlink" Target="https://github.com/volcano-sh/volcano/issues/4454" TargetMode="External"/><Relationship Id="rId1334" Type="http://schemas.openxmlformats.org/officeDocument/2006/relationships/hyperlink" Target="https://github.com/facelessuser/pyspelling/issues/201" TargetMode="External"/><Relationship Id="rId2665" Type="http://schemas.openxmlformats.org/officeDocument/2006/relationships/hyperlink" Target="https://github.com/NREL/floris/issues/1129" TargetMode="External"/><Relationship Id="rId3997" Type="http://schemas.openxmlformats.org/officeDocument/2006/relationships/hyperlink" Target="https://drive.google.com/drive/folders/11GJOKhCx9dHf_u4NEmU2VY6kdnIBHN_2" TargetMode="External"/><Relationship Id="rId1335" Type="http://schemas.openxmlformats.org/officeDocument/2006/relationships/hyperlink" Target="https://drive.google.com/drive/folders/1WvYHalmGdqx0aq7N--63oRxRQ5pIo7s-" TargetMode="External"/><Relationship Id="rId2666" Type="http://schemas.openxmlformats.org/officeDocument/2006/relationships/hyperlink" Target="https://drive.google.com/drive/folders/154nOfbLUZ6MCpffRpcBuV2cj-CNuNGWn" TargetMode="External"/><Relationship Id="rId3996" Type="http://schemas.openxmlformats.org/officeDocument/2006/relationships/hyperlink" Target="https://github.com/Yamashou/gqlgenc/issues/269" TargetMode="External"/><Relationship Id="rId1336" Type="http://schemas.openxmlformats.org/officeDocument/2006/relationships/hyperlink" Target="https://drive.google.com/drive/folders/1uEiJfmhNVnN5eCeoEWEfPKbzdJ12GT4j" TargetMode="External"/><Relationship Id="rId2667" Type="http://schemas.openxmlformats.org/officeDocument/2006/relationships/hyperlink" Target="https://drive.google.com/drive/folders/1jjQPO5dj3F05-X84sCAeikTiMZ0mtv8a" TargetMode="External"/><Relationship Id="rId3999" Type="http://schemas.openxmlformats.org/officeDocument/2006/relationships/hyperlink" Target="https://drive.google.com/drive/folders/1i6DoTcrS6u7mHHRmMUHphe5BgvS8en5r" TargetMode="External"/><Relationship Id="rId1337" Type="http://schemas.openxmlformats.org/officeDocument/2006/relationships/hyperlink" Target="https://github.com/facet-rs/facet/issues/130" TargetMode="External"/><Relationship Id="rId2668" Type="http://schemas.openxmlformats.org/officeDocument/2006/relationships/hyperlink" Target="https://github.com/nspady/google-calendar-mcp/issues/36" TargetMode="External"/><Relationship Id="rId3998" Type="http://schemas.openxmlformats.org/officeDocument/2006/relationships/hyperlink" Target="https://github.com/Yeraze/meshmonitor/issues/237" TargetMode="External"/><Relationship Id="rId1338" Type="http://schemas.openxmlformats.org/officeDocument/2006/relationships/hyperlink" Target="https://drive.google.com/drive/folders/1vFImFIkCwTcfgh8xlQMmvKwZqgCV632g" TargetMode="External"/><Relationship Id="rId2669" Type="http://schemas.openxmlformats.org/officeDocument/2006/relationships/hyperlink" Target="https://drive.google.com/drive/folders/1H9Kx_XlGfIGTL1IAav9XGw9k1In7sM05" TargetMode="External"/><Relationship Id="rId1339" Type="http://schemas.openxmlformats.org/officeDocument/2006/relationships/hyperlink" Target="https://github.com/fast-excel/fesod/issues/567" TargetMode="External"/><Relationship Id="rId745" Type="http://schemas.openxmlformats.org/officeDocument/2006/relationships/hyperlink" Target="https://drive.google.com/drive/folders/1iPA0d_cLVjrZcMtpweLjBRejDI1RKfuP" TargetMode="External"/><Relationship Id="rId744" Type="http://schemas.openxmlformats.org/officeDocument/2006/relationships/hyperlink" Target="https://github.com/celestiaorg/celestia-app/issues/5184" TargetMode="External"/><Relationship Id="rId743" Type="http://schemas.openxmlformats.org/officeDocument/2006/relationships/hyperlink" Target="https://drive.google.com/drive/folders/1U_kv7FwhzzHXi6FvSubIHA_cjOt0bQKQ" TargetMode="External"/><Relationship Id="rId742" Type="http://schemas.openxmlformats.org/officeDocument/2006/relationships/hyperlink" Target="https://github.com/cedarcode/webauthn-ruby/issues/431" TargetMode="External"/><Relationship Id="rId749" Type="http://schemas.openxmlformats.org/officeDocument/2006/relationships/hyperlink" Target="https://drive.google.com/drive/folders/1DzoaLhkrI44NUoO0UYik8yXNqZf2wNKl" TargetMode="External"/><Relationship Id="rId748" Type="http://schemas.openxmlformats.org/officeDocument/2006/relationships/hyperlink" Target="https://github.com/celestiaorg/celestia-app/issues/5526" TargetMode="External"/><Relationship Id="rId747" Type="http://schemas.openxmlformats.org/officeDocument/2006/relationships/hyperlink" Target="https://drive.google.com/drive/folders/155rz0a9g-Ni3K-C4Dh3hAdOfjOYlftjy" TargetMode="External"/><Relationship Id="rId746" Type="http://schemas.openxmlformats.org/officeDocument/2006/relationships/hyperlink" Target="https://github.com/celestiaorg/celestia-app/issues/5332" TargetMode="External"/><Relationship Id="rId3991" Type="http://schemas.openxmlformats.org/officeDocument/2006/relationships/hyperlink" Target="https://drive.google.com/drive/folders/1hQdg21emCug9t_Q_akzMnjwDqpPSpz8L" TargetMode="External"/><Relationship Id="rId2660" Type="http://schemas.openxmlformats.org/officeDocument/2006/relationships/hyperlink" Target="https://drive.google.com/drive/folders/1pukW5sAG-ohNMzm08PE__OEiwBTsl313" TargetMode="External"/><Relationship Id="rId3990" Type="http://schemas.openxmlformats.org/officeDocument/2006/relationships/hyperlink" Target="https://drive.google.com/drive/folders/1v7JBHfyeQSYIylUmAryK9YpCVkTrkcV3" TargetMode="External"/><Relationship Id="rId741" Type="http://schemas.openxmlformats.org/officeDocument/2006/relationships/hyperlink" Target="https://drive.google.com/drive/folders/1SXYFmv65VSQRCqoTaJOieIL4rcYCfkPz" TargetMode="External"/><Relationship Id="rId1330" Type="http://schemas.openxmlformats.org/officeDocument/2006/relationships/hyperlink" Target="https://drive.google.com/drive/folders/1ODYg_pQYZwM8EHvJhNZodhM2u1tv9ibw" TargetMode="External"/><Relationship Id="rId2661" Type="http://schemas.openxmlformats.org/officeDocument/2006/relationships/hyperlink" Target="https://github.com/nowarp/misti/issues/235" TargetMode="External"/><Relationship Id="rId3993" Type="http://schemas.openxmlformats.org/officeDocument/2006/relationships/hyperlink" Target="https://drive.google.com/drive/folders/1SlHQR5JdmlTWdmxYAuG5AA4cbC1u0A-w" TargetMode="External"/><Relationship Id="rId740" Type="http://schemas.openxmlformats.org/officeDocument/2006/relationships/hyperlink" Target="https://github.com/cedarcode/webauthn-ruby/issues/459" TargetMode="External"/><Relationship Id="rId1331" Type="http://schemas.openxmlformats.org/officeDocument/2006/relationships/hyperlink" Target="https://github.com/facelessuser/pymdown-extensions/issues/2649" TargetMode="External"/><Relationship Id="rId2662" Type="http://schemas.openxmlformats.org/officeDocument/2006/relationships/hyperlink" Target="https://drive.google.com/drive/folders/1C_UH7646MVJu45fO1YdA5BlaXHd2KhY3" TargetMode="External"/><Relationship Id="rId3992" Type="http://schemas.openxmlformats.org/officeDocument/2006/relationships/hyperlink" Target="https://github.com/yamada-ui/yamada-ui/issues/3320" TargetMode="External"/><Relationship Id="rId1332" Type="http://schemas.openxmlformats.org/officeDocument/2006/relationships/hyperlink" Target="https://drive.google.com/drive/folders/1NNSoE2EGtUGuQblNIRieb7tzigqtZNTz" TargetMode="External"/><Relationship Id="rId2663" Type="http://schemas.openxmlformats.org/officeDocument/2006/relationships/hyperlink" Target="https://github.com/nowarp/misti/issues/275" TargetMode="External"/><Relationship Id="rId3995" Type="http://schemas.openxmlformats.org/officeDocument/2006/relationships/hyperlink" Target="https://drive.google.com/drive/folders/17BpafArLVaxcdH27LVZ4oFqJ_DBJ73hf" TargetMode="External"/><Relationship Id="rId1333" Type="http://schemas.openxmlformats.org/officeDocument/2006/relationships/hyperlink" Target="https://drive.google.com/drive/folders/1ZQMB143nhaNh0D2p4yES6WjUbIINdFaK" TargetMode="External"/><Relationship Id="rId2664" Type="http://schemas.openxmlformats.org/officeDocument/2006/relationships/hyperlink" Target="https://drive.google.com/drive/folders/1goa3pTsBxP3C0AGU4F0cJgo0bfK-qA6w" TargetMode="External"/><Relationship Id="rId3994" Type="http://schemas.openxmlformats.org/officeDocument/2006/relationships/hyperlink" Target="https://github.com/yamadashy/repomix/issues/716" TargetMode="External"/><Relationship Id="rId1323" Type="http://schemas.openxmlformats.org/officeDocument/2006/relationships/hyperlink" Target="https://drive.google.com/drive/folders/1t06ws67K3joIcA2813uFAvjTrzLlddED" TargetMode="External"/><Relationship Id="rId2654" Type="http://schemas.openxmlformats.org/officeDocument/2006/relationships/hyperlink" Target="https://github.com/novasamatech/nova-spektr/issues/4348" TargetMode="External"/><Relationship Id="rId3986" Type="http://schemas.openxmlformats.org/officeDocument/2006/relationships/hyperlink" Target="https://github.com/XLSForm/pyxform/issues/776" TargetMode="External"/><Relationship Id="rId1324" Type="http://schemas.openxmlformats.org/officeDocument/2006/relationships/hyperlink" Target="https://github.com/facebook/react/issues/32461" TargetMode="External"/><Relationship Id="rId2655" Type="http://schemas.openxmlformats.org/officeDocument/2006/relationships/hyperlink" Target="https://drive.google.com/drive/folders/1mLN7GNFHFiMIbc26Muc7SQjixjhykquo" TargetMode="External"/><Relationship Id="rId3985" Type="http://schemas.openxmlformats.org/officeDocument/2006/relationships/hyperlink" Target="https://drive.google.com/drive/folders/1_VRrVcFZSVfAX-Q1m1SEP7v1v7Y8RHkw" TargetMode="External"/><Relationship Id="rId1325" Type="http://schemas.openxmlformats.org/officeDocument/2006/relationships/hyperlink" Target="https://drive.google.com/drive/folders/1WcKGqSDKAJL_8RGd6wxXuDWK97vzZddU" TargetMode="External"/><Relationship Id="rId2656" Type="http://schemas.openxmlformats.org/officeDocument/2006/relationships/hyperlink" Target="https://github.com/novasamatech/nova-spektr/issues/2740" TargetMode="External"/><Relationship Id="rId3988" Type="http://schemas.openxmlformats.org/officeDocument/2006/relationships/hyperlink" Target="https://drive.google.com/drive/folders/1DkmleWmXJDl5B_FxuejlXD4iDaUY8_qp" TargetMode="External"/><Relationship Id="rId1326" Type="http://schemas.openxmlformats.org/officeDocument/2006/relationships/hyperlink" Target="https://github.com/facebook/react/issues/32828" TargetMode="External"/><Relationship Id="rId2657" Type="http://schemas.openxmlformats.org/officeDocument/2006/relationships/hyperlink" Target="https://drive.google.com/drive/folders/1QVvO_iljKRor95p9xv3QvO3YncUTaR5f" TargetMode="External"/><Relationship Id="rId3987" Type="http://schemas.openxmlformats.org/officeDocument/2006/relationships/hyperlink" Target="https://drive.google.com/drive/folders/17Cb5BHtMhgNGYtnKMLL-SU0cOqK29sIZ" TargetMode="External"/><Relationship Id="rId1327" Type="http://schemas.openxmlformats.org/officeDocument/2006/relationships/hyperlink" Target="https://drive.google.com/drive/folders/1a9OTPRhSTobqlAdxKrVcULxYF6lgOnnv" TargetMode="External"/><Relationship Id="rId2658" Type="http://schemas.openxmlformats.org/officeDocument/2006/relationships/hyperlink" Target="https://drive.google.com/drive/folders/1bcKqzsciBu1Vj-euxGhw7mT1BTfQX-7Y" TargetMode="External"/><Relationship Id="rId1328" Type="http://schemas.openxmlformats.org/officeDocument/2006/relationships/hyperlink" Target="https://github.com/facebookresearch/matrix/issues/80" TargetMode="External"/><Relationship Id="rId2659" Type="http://schemas.openxmlformats.org/officeDocument/2006/relationships/hyperlink" Target="https://github.com/nowarp/misti/issues/219" TargetMode="External"/><Relationship Id="rId3989" Type="http://schemas.openxmlformats.org/officeDocument/2006/relationships/hyperlink" Target="https://github.com/XRPLF/xrpl-py/issues/708" TargetMode="External"/><Relationship Id="rId1329" Type="http://schemas.openxmlformats.org/officeDocument/2006/relationships/hyperlink" Target="https://drive.google.com/drive/folders/1r94b38n-kSIB5kSr8fDBozfIJbZ-fSNk" TargetMode="External"/><Relationship Id="rId739" Type="http://schemas.openxmlformats.org/officeDocument/2006/relationships/hyperlink" Target="https://drive.google.com/drive/folders/1bv-73If4cOxJ6WXFXcftrkWvg1gm8uU3" TargetMode="External"/><Relationship Id="rId734" Type="http://schemas.openxmlformats.org/officeDocument/2006/relationships/hyperlink" Target="https://drive.google.com/drive/folders/1O3HtMxkDZMMxn2bGq67D2wz5KxBWmkta" TargetMode="External"/><Relationship Id="rId733" Type="http://schemas.openxmlformats.org/officeDocument/2006/relationships/hyperlink" Target="https://drive.google.com/drive/folders/13Qgi6MtyrYhfmjcWv9-MoPCJpN8Phrj0" TargetMode="External"/><Relationship Id="rId732" Type="http://schemas.openxmlformats.org/officeDocument/2006/relationships/hyperlink" Target="https://github.com/casey/just/issues/2878" TargetMode="External"/><Relationship Id="rId731" Type="http://schemas.openxmlformats.org/officeDocument/2006/relationships/hyperlink" Target="https://drive.google.com/drive/folders/1gFdrvjQKtU5agfKGUJhD_faqn3Y9OCFS" TargetMode="External"/><Relationship Id="rId738" Type="http://schemas.openxmlformats.org/officeDocument/2006/relationships/hyperlink" Target="https://github.com/castwide/solargraph/issues/743" TargetMode="External"/><Relationship Id="rId737" Type="http://schemas.openxmlformats.org/officeDocument/2006/relationships/hyperlink" Target="https://drive.google.com/drive/folders/1MWHVjIcA9NFF8ej2m91DcTDwmN-Ih1cH" TargetMode="External"/><Relationship Id="rId736" Type="http://schemas.openxmlformats.org/officeDocument/2006/relationships/hyperlink" Target="https://drive.google.com/drive/folders/10E-6M9qXbfDWiNnIljhDdRtAZEH7OFjo" TargetMode="External"/><Relationship Id="rId735" Type="http://schemas.openxmlformats.org/officeDocument/2006/relationships/hyperlink" Target="https://github.com/casey/just/issues/2785" TargetMode="External"/><Relationship Id="rId3980" Type="http://schemas.openxmlformats.org/officeDocument/2006/relationships/hyperlink" Target="https://github.com/wultra/powerauth-crypto/issues/693" TargetMode="External"/><Relationship Id="rId730" Type="http://schemas.openxmlformats.org/officeDocument/2006/relationships/hyperlink" Target="https://drive.google.com/drive/folders/1ukGwauviZbKLoi3ZCCqjDLwLAx4JZGtf" TargetMode="External"/><Relationship Id="rId2650" Type="http://schemas.openxmlformats.org/officeDocument/2006/relationships/hyperlink" Target="https://drive.google.com/drive/folders/1on4Q6jNn7MFMDRqUlzXgZYrTESeLg9eL" TargetMode="External"/><Relationship Id="rId3982" Type="http://schemas.openxmlformats.org/officeDocument/2006/relationships/hyperlink" Target="https://github.com/xataio/pgstream/issues/473" TargetMode="External"/><Relationship Id="rId1320" Type="http://schemas.openxmlformats.org/officeDocument/2006/relationships/hyperlink" Target="https://github.com/facebook/docusaurus/issues/11138" TargetMode="External"/><Relationship Id="rId2651" Type="http://schemas.openxmlformats.org/officeDocument/2006/relationships/hyperlink" Target="https://github.com/NomicFoundation/hardhat/issues/6139" TargetMode="External"/><Relationship Id="rId3981" Type="http://schemas.openxmlformats.org/officeDocument/2006/relationships/hyperlink" Target="https://drive.google.com/drive/folders/1W1Xu60qsxk6YOeas38EhObRyBEifx850" TargetMode="External"/><Relationship Id="rId1321" Type="http://schemas.openxmlformats.org/officeDocument/2006/relationships/hyperlink" Target="https://drive.google.com/drive/folders/1nU363_L7z4Ids--6GUF3WyLDz3zVRZpd" TargetMode="External"/><Relationship Id="rId2652" Type="http://schemas.openxmlformats.org/officeDocument/2006/relationships/hyperlink" Target="https://drive.google.com/drive/folders/1SM6QJVaLuBDMmS3ONtKZ7yqunnpJNwvD" TargetMode="External"/><Relationship Id="rId3984" Type="http://schemas.openxmlformats.org/officeDocument/2006/relationships/hyperlink" Target="https://github.com/Xceptance/XLT/issues/597" TargetMode="External"/><Relationship Id="rId1322" Type="http://schemas.openxmlformats.org/officeDocument/2006/relationships/hyperlink" Target="https://github.com/facebook/docusaurus/issues/10852" TargetMode="External"/><Relationship Id="rId2653" Type="http://schemas.openxmlformats.org/officeDocument/2006/relationships/hyperlink" Target="https://drive.google.com/drive/folders/1A6UYgLP2GhzQZ59cnGlCdZ-rXh-KJJAt" TargetMode="External"/><Relationship Id="rId3983" Type="http://schemas.openxmlformats.org/officeDocument/2006/relationships/hyperlink" Target="https://drive.google.com/drive/folders/1l08H6ckXqlNFjTltiVvLr2bXVC9FQ_Gq" TargetMode="External"/><Relationship Id="rId1356" Type="http://schemas.openxmlformats.org/officeDocument/2006/relationships/hyperlink" Target="https://drive.google.com/drive/folders/1XS48qL1gn3EWYU_ZaChErfHh5n7XRITV" TargetMode="External"/><Relationship Id="rId2687" Type="http://schemas.openxmlformats.org/officeDocument/2006/relationships/hyperlink" Target="https://drive.google.com/drive/folders/1zek1nMuIBGDpwUrR7OH1AAB3c-tTiuKu" TargetMode="External"/><Relationship Id="rId5714" Type="http://schemas.openxmlformats.org/officeDocument/2006/relationships/hyperlink" Target="https://github.com/Rails-Designer/rails_icons/issues/19" TargetMode="External"/><Relationship Id="rId1357" Type="http://schemas.openxmlformats.org/officeDocument/2006/relationships/hyperlink" Target="https://github.com/feldroy/air/issues/246" TargetMode="External"/><Relationship Id="rId2688" Type="http://schemas.openxmlformats.org/officeDocument/2006/relationships/hyperlink" Target="https://github.com/objectionary/eo/issues/3920" TargetMode="External"/><Relationship Id="rId5715" Type="http://schemas.openxmlformats.org/officeDocument/2006/relationships/hyperlink" Target="https://drive.google.com/drive/folders/1Ol7dF78QoVq1V0z6w_GFsiDr0ExQ0Vkd" TargetMode="External"/><Relationship Id="rId1358" Type="http://schemas.openxmlformats.org/officeDocument/2006/relationships/hyperlink" Target="https://drive.google.com/drive/folders/1vPg_74tjBaoMZucG5rj-H7mhk1cegCX6" TargetMode="External"/><Relationship Id="rId2689" Type="http://schemas.openxmlformats.org/officeDocument/2006/relationships/hyperlink" Target="https://drive.google.com/drive/folders/1nxIM0lBFSaFB5NuZybNdY-n1UOOX-FgJ" TargetMode="External"/><Relationship Id="rId5712" Type="http://schemas.openxmlformats.org/officeDocument/2006/relationships/hyperlink" Target="https://github.com/q9f/eth.rb/issues/361" TargetMode="External"/><Relationship Id="rId1359" Type="http://schemas.openxmlformats.org/officeDocument/2006/relationships/hyperlink" Target="https://github.com/feldroy/air/issues/81" TargetMode="External"/><Relationship Id="rId5713" Type="http://schemas.openxmlformats.org/officeDocument/2006/relationships/hyperlink" Target="https://drive.google.com/drive/folders/1pvCYDbTG_UeTZbE_u9K6OmNbAdm10zOJ" TargetMode="External"/><Relationship Id="rId5718" Type="http://schemas.openxmlformats.org/officeDocument/2006/relationships/hyperlink" Target="https://drive.google.com/drive/folders/1__--694GZ-Mk_nFEkXdz6yk5xKyHDpWn" TargetMode="External"/><Relationship Id="rId5719" Type="http://schemas.openxmlformats.org/officeDocument/2006/relationships/hyperlink" Target="https://drive.google.com/drive/folders/1yH5J4ASJZVTETGLtJQi2T2eVW_FanppB" TargetMode="External"/><Relationship Id="rId5716" Type="http://schemas.openxmlformats.org/officeDocument/2006/relationships/hyperlink" Target="https://drive.google.com/drive/folders/1_J5DIu-ajs1FIj3sLMCe0DKXCv8wG5RZ" TargetMode="External"/><Relationship Id="rId5717" Type="http://schemas.openxmlformats.org/officeDocument/2006/relationships/hyperlink" Target="https://github.com/RipMeApp/ripme/issues/744" TargetMode="External"/><Relationship Id="rId767" Type="http://schemas.openxmlformats.org/officeDocument/2006/relationships/hyperlink" Target="https://github.com/charmbracelet/crush/issues/407" TargetMode="External"/><Relationship Id="rId766" Type="http://schemas.openxmlformats.org/officeDocument/2006/relationships/hyperlink" Target="https://drive.google.com/drive/folders/11uwbO3HpI0WUB2Y2Bsk3-KBf2weHL0pl" TargetMode="External"/><Relationship Id="rId765" Type="http://schemas.openxmlformats.org/officeDocument/2006/relationships/hyperlink" Target="https://drive.google.com/drive/folders/1IC7IHZraVUZn1P8mTVgSDY2BizxQV9ng" TargetMode="External"/><Relationship Id="rId764" Type="http://schemas.openxmlformats.org/officeDocument/2006/relationships/hyperlink" Target="https://github.com/charlesnicholson/nanocobs/issues/50" TargetMode="External"/><Relationship Id="rId769" Type="http://schemas.openxmlformats.org/officeDocument/2006/relationships/hyperlink" Target="https://github.com/charnley/rmsd/issues/114" TargetMode="External"/><Relationship Id="rId768" Type="http://schemas.openxmlformats.org/officeDocument/2006/relationships/hyperlink" Target="https://drive.google.com/drive/folders/1OT-zqim0j4iyeI4DrhDfKk8zZbth1LMN" TargetMode="External"/><Relationship Id="rId2680" Type="http://schemas.openxmlformats.org/officeDocument/2006/relationships/hyperlink" Target="https://drive.google.com/drive/folders/1TmoIFhI4bxY6dSdaxItyfTKcyBVVhePe" TargetMode="External"/><Relationship Id="rId1350" Type="http://schemas.openxmlformats.org/officeDocument/2006/relationships/hyperlink" Target="https://github.com/fastfloat/fast_float/issues/280" TargetMode="External"/><Relationship Id="rId2681" Type="http://schemas.openxmlformats.org/officeDocument/2006/relationships/hyperlink" Target="https://github.com/NVIDIA/KAI-Scheduler/issues/379" TargetMode="External"/><Relationship Id="rId1351" Type="http://schemas.openxmlformats.org/officeDocument/2006/relationships/hyperlink" Target="https://drive.google.com/drive/folders/1yyyugBBcdIFxyyX03BgK_63Lm_2J8Ihm" TargetMode="External"/><Relationship Id="rId2682" Type="http://schemas.openxmlformats.org/officeDocument/2006/relationships/hyperlink" Target="https://drive.google.com/drive/folders/1Vto-kvUYBDnjE0FNFYDCIn09yJcxwfle" TargetMode="External"/><Relationship Id="rId763" Type="http://schemas.openxmlformats.org/officeDocument/2006/relationships/hyperlink" Target="https://drive.google.com/drive/folders/10VfPJ_TNa-B5KLziBnh7hvZXvs9i2DwY" TargetMode="External"/><Relationship Id="rId1352" Type="http://schemas.openxmlformats.org/officeDocument/2006/relationships/hyperlink" Target="https://github.com/fatkodima/online_migrations/issues/68" TargetMode="External"/><Relationship Id="rId2683" Type="http://schemas.openxmlformats.org/officeDocument/2006/relationships/hyperlink" Target="https://github.com/NVIDIA/Megatron-Energon/issues/41" TargetMode="External"/><Relationship Id="rId5710" Type="http://schemas.openxmlformats.org/officeDocument/2006/relationships/hyperlink" Target="https://drive.google.com/drive/folders/1INXq_sw9V1Fdl2Ror2CDqCoS6CGwpbiw" TargetMode="External"/><Relationship Id="rId762" Type="http://schemas.openxmlformats.org/officeDocument/2006/relationships/hyperlink" Target="https://drive.google.com/drive/folders/1xQbfi5ufFmLhQqFoxJvCg8Qa_SQqjAIH" TargetMode="External"/><Relationship Id="rId1353" Type="http://schemas.openxmlformats.org/officeDocument/2006/relationships/hyperlink" Target="https://drive.google.com/drive/folders/1OD71q87uSskoo8LqP7Le3DKFmENcn_h1" TargetMode="External"/><Relationship Id="rId2684" Type="http://schemas.openxmlformats.org/officeDocument/2006/relationships/hyperlink" Target="https://drive.google.com/drive/folders/13kRTbGiRbbeW0T7qt0YIkpuX72Feo_dR" TargetMode="External"/><Relationship Id="rId5711" Type="http://schemas.openxmlformats.org/officeDocument/2006/relationships/hyperlink" Target="https://drive.google.com/drive/folders/1c7VEUexNI8fh3QPJM4yiobkEKVW-OS5k" TargetMode="External"/><Relationship Id="rId761" Type="http://schemas.openxmlformats.org/officeDocument/2006/relationships/hyperlink" Target="https://github.com/changesets/changesets/issues/1453" TargetMode="External"/><Relationship Id="rId1354" Type="http://schemas.openxmlformats.org/officeDocument/2006/relationships/hyperlink" Target="https://github.com/fdm-monster/fdm-monster/issues/3755" TargetMode="External"/><Relationship Id="rId2685" Type="http://schemas.openxmlformats.org/officeDocument/2006/relationships/hyperlink" Target="https://drive.google.com/drive/folders/1qQdSupyqUxS3CBRKj8cCea91eHDIYmkI" TargetMode="External"/><Relationship Id="rId760" Type="http://schemas.openxmlformats.org/officeDocument/2006/relationships/hyperlink" Target="https://drive.google.com/drive/folders/1dNGiWcdgFc2qsV0VYTnZmpCobuJkA7oo" TargetMode="External"/><Relationship Id="rId1355" Type="http://schemas.openxmlformats.org/officeDocument/2006/relationships/hyperlink" Target="https://drive.google.com/drive/folders/1KOgGirsTJk7Av3j6JUz-4S-K07GZhRe9" TargetMode="External"/><Relationship Id="rId2686" Type="http://schemas.openxmlformats.org/officeDocument/2006/relationships/hyperlink" Target="https://github.com/objectionary/eo/issues/3578" TargetMode="External"/><Relationship Id="rId1345" Type="http://schemas.openxmlformats.org/officeDocument/2006/relationships/hyperlink" Target="https://github.com/FasterXML/jackson-databind/issues/5520" TargetMode="External"/><Relationship Id="rId2676" Type="http://schemas.openxmlformats.org/officeDocument/2006/relationships/hyperlink" Target="https://drive.google.com/drive/folders/1lPz2_nxMmv88C7ZEv2VLi2KuSgmP9f3m" TargetMode="External"/><Relationship Id="rId5703" Type="http://schemas.openxmlformats.org/officeDocument/2006/relationships/hyperlink" Target="https://drive.google.com/drive/folders/158Rkgf6nICbk5RO0o8fIAwIRYeCtrpPj" TargetMode="External"/><Relationship Id="rId1346" Type="http://schemas.openxmlformats.org/officeDocument/2006/relationships/hyperlink" Target="https://github.com/FasterXML/jackson-databind/issues/5370" TargetMode="External"/><Relationship Id="rId2677" Type="http://schemas.openxmlformats.org/officeDocument/2006/relationships/hyperlink" Target="https://drive.google.com/drive/folders/1MbgxNpjOhoHMIQze6h4D2s89l82KMjKA" TargetMode="External"/><Relationship Id="rId5704" Type="http://schemas.openxmlformats.org/officeDocument/2006/relationships/hyperlink" Target="https://github.com/pulse2percept/pulse2percept/issues/652" TargetMode="External"/><Relationship Id="rId1347" Type="http://schemas.openxmlformats.org/officeDocument/2006/relationships/hyperlink" Target="https://github.com/FasterXML/jackson-databind/issues/5576" TargetMode="External"/><Relationship Id="rId2678" Type="http://schemas.openxmlformats.org/officeDocument/2006/relationships/hyperlink" Target="https://github.com/NVIDIA-NeMo/RL/issues/697" TargetMode="External"/><Relationship Id="rId5701" Type="http://schemas.openxmlformats.org/officeDocument/2006/relationships/hyperlink" Target="https://github.com/pastas/pastas/issues/825" TargetMode="External"/><Relationship Id="rId1348" Type="http://schemas.openxmlformats.org/officeDocument/2006/relationships/hyperlink" Target="https://github.com/FasterXML/jackson-databind/issues/5571" TargetMode="External"/><Relationship Id="rId2679" Type="http://schemas.openxmlformats.org/officeDocument/2006/relationships/hyperlink" Target="https://drive.google.com/drive/folders/1_69XW7p4Zn_UXpXWultTW0vmosyzfupF" TargetMode="External"/><Relationship Id="rId5702" Type="http://schemas.openxmlformats.org/officeDocument/2006/relationships/hyperlink" Target="https://drive.google.com/drive/folders/1suLDppq-0F3AFvkzrylSt65zT3-TPItr" TargetMode="External"/><Relationship Id="rId1349" Type="http://schemas.openxmlformats.org/officeDocument/2006/relationships/hyperlink" Target="https://github.com/FasterXML/jackson-datatypes-collections/issues/163" TargetMode="External"/><Relationship Id="rId5707" Type="http://schemas.openxmlformats.org/officeDocument/2006/relationships/hyperlink" Target="https://github.com/python-discord/bot/issues/3297" TargetMode="External"/><Relationship Id="rId5708" Type="http://schemas.openxmlformats.org/officeDocument/2006/relationships/hyperlink" Target="https://drive.google.com/drive/folders/1kV-qNpMmivez0WDVG9RFVZCUVRZ9tIQD" TargetMode="External"/><Relationship Id="rId5705" Type="http://schemas.openxmlformats.org/officeDocument/2006/relationships/hyperlink" Target="https://drive.google.com/drive/folders/1fqczRhHkhh-1WYRWtcM_8Tll0Y5FRkcc" TargetMode="External"/><Relationship Id="rId5706" Type="http://schemas.openxmlformats.org/officeDocument/2006/relationships/hyperlink" Target="https://github.com/pymc-labs/pymc-marketing/issues/1881" TargetMode="External"/><Relationship Id="rId5709" Type="http://schemas.openxmlformats.org/officeDocument/2006/relationships/hyperlink" Target="https://github.com/python/release-tools/issues/226" TargetMode="External"/><Relationship Id="rId756" Type="http://schemas.openxmlformats.org/officeDocument/2006/relationships/hyperlink" Target="https://drive.google.com/drive/folders/1-K7vH2v-VHg9YKTrdpBPCq9c9zai-2ZO" TargetMode="External"/><Relationship Id="rId755" Type="http://schemas.openxmlformats.org/officeDocument/2006/relationships/hyperlink" Target="https://github.com/CesiumGS/cesium-native/issues/1112" TargetMode="External"/><Relationship Id="rId754" Type="http://schemas.openxmlformats.org/officeDocument/2006/relationships/hyperlink" Target="https://drive.google.com/drive/folders/1nl_xt1dovMcu6Rgb_oOmwxFKOkY79jRC" TargetMode="External"/><Relationship Id="rId753" Type="http://schemas.openxmlformats.org/officeDocument/2006/relationships/hyperlink" Target="https://github.com/CesiumGS/cesium-native/issues/811" TargetMode="External"/><Relationship Id="rId759" Type="http://schemas.openxmlformats.org/officeDocument/2006/relationships/hyperlink" Target="https://github.com/ChainSafe/gossamer/issues/4785" TargetMode="External"/><Relationship Id="rId758" Type="http://schemas.openxmlformats.org/officeDocument/2006/relationships/hyperlink" Target="https://drive.google.com/drive/folders/1svvkLkLWJ_iH3AyYFTziOf24aXL5B_w2" TargetMode="External"/><Relationship Id="rId757" Type="http://schemas.openxmlformats.org/officeDocument/2006/relationships/hyperlink" Target="https://github.com/ChainSafe/gossamer/issues/4651" TargetMode="External"/><Relationship Id="rId2670" Type="http://schemas.openxmlformats.org/officeDocument/2006/relationships/hyperlink" Target="https://github.com/nspcc-dev/neo-go/issues/3978" TargetMode="External"/><Relationship Id="rId1340" Type="http://schemas.openxmlformats.org/officeDocument/2006/relationships/hyperlink" Target="https://drive.google.com/drive/folders/1rkdx2u3DIEjeLonYX-n7GxTMLNGoyPnN" TargetMode="External"/><Relationship Id="rId2671" Type="http://schemas.openxmlformats.org/officeDocument/2006/relationships/hyperlink" Target="https://drive.google.com/drive/folders/1v6EUuZ9mzjUH-_wjKuWapzRKjNmo-2Oy" TargetMode="External"/><Relationship Id="rId752" Type="http://schemas.openxmlformats.org/officeDocument/2006/relationships/hyperlink" Target="https://drive.google.com/drive/folders/1muiiC-X2_vt_xv1iO-KhUQwB5BbjOFmq" TargetMode="External"/><Relationship Id="rId1341" Type="http://schemas.openxmlformats.org/officeDocument/2006/relationships/hyperlink" Target="https://github.com/fastapi/typer/issues/987" TargetMode="External"/><Relationship Id="rId2672" Type="http://schemas.openxmlformats.org/officeDocument/2006/relationships/hyperlink" Target="https://github.com/nspcc-dev/neo-go/issues/3724" TargetMode="External"/><Relationship Id="rId751" Type="http://schemas.openxmlformats.org/officeDocument/2006/relationships/hyperlink" Target="https://drive.google.com/drive/folders/13qnCCPonPDwgXkgtEsf9qhv_BOltcuhF" TargetMode="External"/><Relationship Id="rId1342" Type="http://schemas.openxmlformats.org/officeDocument/2006/relationships/hyperlink" Target="https://drive.google.com/drive/folders/19BbvvuyxJ6tvKgOX5WcCKpu93tLG-D-c" TargetMode="External"/><Relationship Id="rId2673" Type="http://schemas.openxmlformats.org/officeDocument/2006/relationships/hyperlink" Target="https://drive.google.com/drive/folders/13DLcoAJuBNoIWk096RfLwvq73AvrL32B" TargetMode="External"/><Relationship Id="rId5700" Type="http://schemas.openxmlformats.org/officeDocument/2006/relationships/hyperlink" Target="https://drive.google.com/drive/folders/11wdPTjsWvO85Cs298ho2m6ANaojqoIcr" TargetMode="External"/><Relationship Id="rId750" Type="http://schemas.openxmlformats.org/officeDocument/2006/relationships/hyperlink" Target="https://github.com/certbot/certbot/issues/10146" TargetMode="External"/><Relationship Id="rId1343" Type="http://schemas.openxmlformats.org/officeDocument/2006/relationships/hyperlink" Target="https://github.com/FasterXML/jackson-databind/issues/5044" TargetMode="External"/><Relationship Id="rId2674" Type="http://schemas.openxmlformats.org/officeDocument/2006/relationships/hyperlink" Target="https://drive.google.com/drive/folders/1EHpnTq92_KIsI95qbg2W1pCwKwlr2p_N" TargetMode="External"/><Relationship Id="rId1344" Type="http://schemas.openxmlformats.org/officeDocument/2006/relationships/hyperlink" Target="https://github.com/FasterXML/jackson-databind/issues/5632" TargetMode="External"/><Relationship Id="rId2675" Type="http://schemas.openxmlformats.org/officeDocument/2006/relationships/hyperlink" Target="https://github.com/numpy/numpydoc/issues/611" TargetMode="External"/><Relationship Id="rId2621" Type="http://schemas.openxmlformats.org/officeDocument/2006/relationships/hyperlink" Target="https://github.com/newrelic/node-newrelic/issues/3121" TargetMode="External"/><Relationship Id="rId3953" Type="http://schemas.openxmlformats.org/officeDocument/2006/relationships/hyperlink" Target="https://github.com/wanaku-ai/wanaku/issues/565" TargetMode="External"/><Relationship Id="rId2622" Type="http://schemas.openxmlformats.org/officeDocument/2006/relationships/hyperlink" Target="https://drive.google.com/drive/folders/1YVW79WQz1Fx98qOSW25wbCWBLwQYjRLz" TargetMode="External"/><Relationship Id="rId3952" Type="http://schemas.openxmlformats.org/officeDocument/2006/relationships/hyperlink" Target="https://drive.google.com/drive/folders/1TEUsCSGJ6uXgPfu6-J4qEuOg0pfItR5r" TargetMode="External"/><Relationship Id="rId2623" Type="http://schemas.openxmlformats.org/officeDocument/2006/relationships/hyperlink" Target="https://github.com/Nexus-Mods/NexusMods.App/issues/3729" TargetMode="External"/><Relationship Id="rId3955" Type="http://schemas.openxmlformats.org/officeDocument/2006/relationships/hyperlink" Target="https://github.com/WasmEdge/WasmEdge/issues/4207" TargetMode="External"/><Relationship Id="rId2624" Type="http://schemas.openxmlformats.org/officeDocument/2006/relationships/hyperlink" Target="https://drive.google.com/drive/folders/1YQHYRyxXfDelZ9fGAwRG5X9EvaR3Ay5X" TargetMode="External"/><Relationship Id="rId3954" Type="http://schemas.openxmlformats.org/officeDocument/2006/relationships/hyperlink" Target="https://drive.google.com/drive/folders/1jHRGISOCmyaO6bSLL0UGDkUfgo74gziK" TargetMode="External"/><Relationship Id="rId2625" Type="http://schemas.openxmlformats.org/officeDocument/2006/relationships/hyperlink" Target="https://github.com/nginx/nginx-gateway-fabric/issues/3942" TargetMode="External"/><Relationship Id="rId3957" Type="http://schemas.openxmlformats.org/officeDocument/2006/relationships/hyperlink" Target="https://github.com/wboayue/rust-ibapi/issues/261" TargetMode="External"/><Relationship Id="rId2626" Type="http://schemas.openxmlformats.org/officeDocument/2006/relationships/hyperlink" Target="https://drive.google.com/drive/folders/14EQU4AvoQiMKCh-qc3H-kxbTHy7Qgd5O" TargetMode="External"/><Relationship Id="rId3956" Type="http://schemas.openxmlformats.org/officeDocument/2006/relationships/hyperlink" Target="https://drive.google.com/drive/folders/1Viu62zlCitgiZ7Zy2PRuGmmrQ5ufBWtn" TargetMode="External"/><Relationship Id="rId2627" Type="http://schemas.openxmlformats.org/officeDocument/2006/relationships/hyperlink" Target="https://drive.google.com/drive/folders/1j2MuOCzZU7p_c2sI1cnFYQEPQx4f_MD8" TargetMode="External"/><Relationship Id="rId3959" Type="http://schemas.openxmlformats.org/officeDocument/2006/relationships/hyperlink" Target="https://drive.google.com/drive/folders/1rtoeL2PtKL_3w6b3sv7utCk4jMUL4gGj" TargetMode="External"/><Relationship Id="rId2628" Type="http://schemas.openxmlformats.org/officeDocument/2006/relationships/hyperlink" Target="https://github.com/ngx-formly/ngx-formly/issues/4141" TargetMode="External"/><Relationship Id="rId3958" Type="http://schemas.openxmlformats.org/officeDocument/2006/relationships/hyperlink" Target="https://drive.google.com/drive/folders/1rqlE7tWcEsW-HnnJRJfKSwYqPxHvc2lq" TargetMode="External"/><Relationship Id="rId709" Type="http://schemas.openxmlformats.org/officeDocument/2006/relationships/hyperlink" Target="https://drive.google.com/drive/folders/1S9J2cLbQYxOL4DS_Gf9zcWS3icSrVPZP" TargetMode="External"/><Relationship Id="rId2629" Type="http://schemas.openxmlformats.org/officeDocument/2006/relationships/hyperlink" Target="https://drive.google.com/drive/folders/1khsD9wwjYjU9Lt1NAMYimtbILxC9AZ4K" TargetMode="External"/><Relationship Id="rId708" Type="http://schemas.openxmlformats.org/officeDocument/2006/relationships/hyperlink" Target="https://github.com/camunda/connectors/issues/5089" TargetMode="External"/><Relationship Id="rId707" Type="http://schemas.openxmlformats.org/officeDocument/2006/relationships/hyperlink" Target="https://drive.google.com/drive/folders/1sccHeY3oV_ysS5d2pDF8mZJB_EwrpMgc" TargetMode="External"/><Relationship Id="rId706" Type="http://schemas.openxmlformats.org/officeDocument/2006/relationships/hyperlink" Target="https://github.com/camunda/connectors/issues/5625" TargetMode="External"/><Relationship Id="rId701" Type="http://schemas.openxmlformats.org/officeDocument/2006/relationships/hyperlink" Target="https://github.com/camunda/camunda/issues/41522" TargetMode="External"/><Relationship Id="rId700" Type="http://schemas.openxmlformats.org/officeDocument/2006/relationships/hyperlink" Target="https://github.com/camunda/camunda/issues/25701" TargetMode="External"/><Relationship Id="rId705" Type="http://schemas.openxmlformats.org/officeDocument/2006/relationships/hyperlink" Target="https://github.com/camunda/camunda-modeler/issues/5492" TargetMode="External"/><Relationship Id="rId704" Type="http://schemas.openxmlformats.org/officeDocument/2006/relationships/hyperlink" Target="https://github.com/camunda/camunda-modeler/issues/5226" TargetMode="External"/><Relationship Id="rId703" Type="http://schemas.openxmlformats.org/officeDocument/2006/relationships/hyperlink" Target="https://drive.google.com/drive/folders/19mFBVvB3DrcttJTGYBk7rpgADsxUr9Kw" TargetMode="External"/><Relationship Id="rId702" Type="http://schemas.openxmlformats.org/officeDocument/2006/relationships/hyperlink" Target="https://github.com/camunda/camunda-bpm-platform/issues/5285" TargetMode="External"/><Relationship Id="rId3951" Type="http://schemas.openxmlformats.org/officeDocument/2006/relationships/hyperlink" Target="https://github.com/waku-org/js-waku/issues/2251" TargetMode="External"/><Relationship Id="rId2620" Type="http://schemas.openxmlformats.org/officeDocument/2006/relationships/hyperlink" Target="https://drive.google.com/drive/folders/1RMEdeR8FLyN0S31xNvge9ZUNX9ut3aim" TargetMode="External"/><Relationship Id="rId3950" Type="http://schemas.openxmlformats.org/officeDocument/2006/relationships/hyperlink" Target="https://drive.google.com/drive/folders/1HK5Dbx57n5szC8GBhww8q94NOA723FKL" TargetMode="External"/><Relationship Id="rId2610" Type="http://schemas.openxmlformats.org/officeDocument/2006/relationships/hyperlink" Target="https://drive.google.com/drive/folders/1emA35PUyjNbfFbxrDSixAUUlmelk4x8S" TargetMode="External"/><Relationship Id="rId3942" Type="http://schemas.openxmlformats.org/officeDocument/2006/relationships/hyperlink" Target="https://drive.google.com/drive/folders/1szUNy2s2dft0KZR4BZXOLJT9GaotbR7V" TargetMode="External"/><Relationship Id="rId2611" Type="http://schemas.openxmlformats.org/officeDocument/2006/relationships/hyperlink" Target="https://github.com/netromdk/vermin/issues/111" TargetMode="External"/><Relationship Id="rId3941" Type="http://schemas.openxmlformats.org/officeDocument/2006/relationships/hyperlink" Target="https://github.com/vybestack/llxprt-code/issues/347" TargetMode="External"/><Relationship Id="rId2612" Type="http://schemas.openxmlformats.org/officeDocument/2006/relationships/hyperlink" Target="https://drive.google.com/drive/folders/1uaYVwSKm5T318A5xUAO2HPScKs5wl-8H" TargetMode="External"/><Relationship Id="rId3944" Type="http://schemas.openxmlformats.org/officeDocument/2006/relationships/hyperlink" Target="https://drive.google.com/drive/folders/17x64HKPRBQWEAUYcNYiPCpmj8ieHFKkD" TargetMode="External"/><Relationship Id="rId2613" Type="http://schemas.openxmlformats.org/officeDocument/2006/relationships/hyperlink" Target="https://drive.google.com/drive/folders/1jeF0vOqyVsxh2n1s2bKEv_KZgy1-wwo0" TargetMode="External"/><Relationship Id="rId3943" Type="http://schemas.openxmlformats.org/officeDocument/2006/relationships/hyperlink" Target="https://github.com/vybestack/llxprt-code/issues/351" TargetMode="External"/><Relationship Id="rId2614" Type="http://schemas.openxmlformats.org/officeDocument/2006/relationships/hyperlink" Target="https://github.com/netty/netty/issues/14152" TargetMode="External"/><Relationship Id="rId3946" Type="http://schemas.openxmlformats.org/officeDocument/2006/relationships/hyperlink" Target="https://drive.google.com/drive/folders/1lLikhU5Gci7WASYX_6N0kclrvOyYND4u" TargetMode="External"/><Relationship Id="rId2615" Type="http://schemas.openxmlformats.org/officeDocument/2006/relationships/hyperlink" Target="https://drive.google.com/drive/folders/1_Cnsa8ziVpe12J3RDMhH46vD0VphyNtx" TargetMode="External"/><Relationship Id="rId3945" Type="http://schemas.openxmlformats.org/officeDocument/2006/relationships/hyperlink" Target="https://github.com/vyperlang/vyper/issues/4290" TargetMode="External"/><Relationship Id="rId2616" Type="http://schemas.openxmlformats.org/officeDocument/2006/relationships/hyperlink" Target="https://drive.google.com/drive/folders/1KvGdLKw9Ew1jImNqjrxoT_lIrkKDYq4j" TargetMode="External"/><Relationship Id="rId3948" Type="http://schemas.openxmlformats.org/officeDocument/2006/relationships/hyperlink" Target="https://github.com/Wakoma/nimble/issues/101" TargetMode="External"/><Relationship Id="rId2617" Type="http://schemas.openxmlformats.org/officeDocument/2006/relationships/hyperlink" Target="https://github.com/newrelic/newrelic-lambda-extension/issues/352" TargetMode="External"/><Relationship Id="rId3947" Type="http://schemas.openxmlformats.org/officeDocument/2006/relationships/hyperlink" Target="https://drive.google.com/drive/folders/1Z_jpki7hZbKCmPOe-0HArmuHBcCxleE7" TargetMode="External"/><Relationship Id="rId2618" Type="http://schemas.openxmlformats.org/officeDocument/2006/relationships/hyperlink" Target="https://drive.google.com/drive/folders/1xcg49Tm4dVna_9t3i_1f9mdBVAE66d5G" TargetMode="External"/><Relationship Id="rId2619" Type="http://schemas.openxmlformats.org/officeDocument/2006/relationships/hyperlink" Target="https://github.com/newrelic/node-newrelic/issues/3206" TargetMode="External"/><Relationship Id="rId3949" Type="http://schemas.openxmlformats.org/officeDocument/2006/relationships/hyperlink" Target="https://drive.google.com/drive/folders/1oYmnGug_hZgeAiy4wXz47HFEQr0IJa8P" TargetMode="External"/><Relationship Id="rId3940" Type="http://schemas.openxmlformats.org/officeDocument/2006/relationships/hyperlink" Target="https://drive.google.com/drive/folders/1YW2DkfzmzE9U9IGpDiiFQRUJZf4Tvyjt" TargetMode="External"/><Relationship Id="rId1312" Type="http://schemas.openxmlformats.org/officeDocument/2006/relationships/hyperlink" Target="https://github.com/fabric8io/docker-maven-plugin/issues/1881" TargetMode="External"/><Relationship Id="rId2643" Type="http://schemas.openxmlformats.org/officeDocument/2006/relationships/hyperlink" Target="https://drive.google.com/drive/folders/1MTIshgiVyU8vngo7d92LF6oC4JlxIJmy" TargetMode="External"/><Relationship Id="rId3975" Type="http://schemas.openxmlformats.org/officeDocument/2006/relationships/hyperlink" Target="https://drive.google.com/drive/folders/1Pb3-5Idy6nDyFx7WB7ixe-aViJdAqUev" TargetMode="External"/><Relationship Id="rId1313" Type="http://schemas.openxmlformats.org/officeDocument/2006/relationships/hyperlink" Target="https://drive.google.com/drive/folders/1ruytj2hFZ2HKtR7UPk6PVeMTtbRN2AdF" TargetMode="External"/><Relationship Id="rId2644" Type="http://schemas.openxmlformats.org/officeDocument/2006/relationships/hyperlink" Target="https://drive.google.com/drive/folders/1HRpSPfwgpcmWSJffMqJfULFSgBwdE8mM" TargetMode="External"/><Relationship Id="rId3974" Type="http://schemas.openxmlformats.org/officeDocument/2006/relationships/hyperlink" Target="https://github.com/wKovacs64/hibp/issues/538" TargetMode="External"/><Relationship Id="rId1314" Type="http://schemas.openxmlformats.org/officeDocument/2006/relationships/hyperlink" Target="https://github.com/FabricMC/fabric/issues/1656" TargetMode="External"/><Relationship Id="rId2645" Type="http://schemas.openxmlformats.org/officeDocument/2006/relationships/hyperlink" Target="https://github.com/nitrite/nitrite-java/issues/1183" TargetMode="External"/><Relationship Id="rId3977" Type="http://schemas.openxmlformats.org/officeDocument/2006/relationships/hyperlink" Target="https://drive.google.com/drive/folders/1sRZY2-dbpwHCBrc6C6_3cgl-b0qXrK8S" TargetMode="External"/><Relationship Id="rId1315" Type="http://schemas.openxmlformats.org/officeDocument/2006/relationships/hyperlink" Target="https://drive.google.com/drive/folders/1BFWAT3gWMW5POjAuxARt0OHuDVXQwEw6" TargetMode="External"/><Relationship Id="rId2646" Type="http://schemas.openxmlformats.org/officeDocument/2006/relationships/hyperlink" Target="https://drive.google.com/drive/folders/18FFp6lfhN7DB5aaiqbECWsUa79EdPwTF" TargetMode="External"/><Relationship Id="rId3976" Type="http://schemas.openxmlformats.org/officeDocument/2006/relationships/hyperlink" Target="https://github.com/wrenfold/wrenfold/issues/319" TargetMode="External"/><Relationship Id="rId1316" Type="http://schemas.openxmlformats.org/officeDocument/2006/relationships/hyperlink" Target="https://github.com/FabricMC/fabric/issues/4119" TargetMode="External"/><Relationship Id="rId2647" Type="http://schemas.openxmlformats.org/officeDocument/2006/relationships/hyperlink" Target="https://github.com/nlewo/comin/issues/64" TargetMode="External"/><Relationship Id="rId3979" Type="http://schemas.openxmlformats.org/officeDocument/2006/relationships/hyperlink" Target="https://drive.google.com/drive/folders/1mQwMo2PTq_m_OHKYJ6O1_UH9FwM9IZpb" TargetMode="External"/><Relationship Id="rId1317" Type="http://schemas.openxmlformats.org/officeDocument/2006/relationships/hyperlink" Target="https://drive.google.com/drive/folders/1Kn7oGcOhNvVhYDtenwmrRUFNe-CImaUc" TargetMode="External"/><Relationship Id="rId2648" Type="http://schemas.openxmlformats.org/officeDocument/2006/relationships/hyperlink" Target="https://drive.google.com/drive/folders/1oSKxIZkd865b89hrl_3P9r6HPaWuPSMs" TargetMode="External"/><Relationship Id="rId3978" Type="http://schemas.openxmlformats.org/officeDocument/2006/relationships/hyperlink" Target="https://github.com/wultra/powerauth-crypto/issues/743" TargetMode="External"/><Relationship Id="rId1318" Type="http://schemas.openxmlformats.org/officeDocument/2006/relationships/hyperlink" Target="https://github.com/FabricMC/fabric-api/issues/4119" TargetMode="External"/><Relationship Id="rId2649" Type="http://schemas.openxmlformats.org/officeDocument/2006/relationships/hyperlink" Target="https://github.com/nodeSolidServer/node-solid-server/issues/1800" TargetMode="External"/><Relationship Id="rId1319" Type="http://schemas.openxmlformats.org/officeDocument/2006/relationships/hyperlink" Target="https://drive.google.com/drive/folders/1qeBF-rDIbwjIaAETx_GkTkJ6cL9Lh6Ex" TargetMode="External"/><Relationship Id="rId729" Type="http://schemas.openxmlformats.org/officeDocument/2006/relationships/hyperlink" Target="https://github.com/casbin/jcasbin/issues/194" TargetMode="External"/><Relationship Id="rId728" Type="http://schemas.openxmlformats.org/officeDocument/2006/relationships/hyperlink" Target="https://drive.google.com/drive/folders/1C50TkgoMDI60pnAFj8M692UJnBiwbeUf" TargetMode="External"/><Relationship Id="rId723" Type="http://schemas.openxmlformats.org/officeDocument/2006/relationships/hyperlink" Target="https://drive.google.com/drive/folders/1rwYx2y0UezUVdRKcVnNzeTR0p_NEIuFt" TargetMode="External"/><Relationship Id="rId722" Type="http://schemas.openxmlformats.org/officeDocument/2006/relationships/hyperlink" Target="https://github.com/carbon-design-system/ibm-products/issues/6904" TargetMode="External"/><Relationship Id="rId721" Type="http://schemas.openxmlformats.org/officeDocument/2006/relationships/hyperlink" Target="https://drive.google.com/drive/folders/1VcktgvODtMnBZRGKgzocD_b1FNu_8oBw" TargetMode="External"/><Relationship Id="rId720" Type="http://schemas.openxmlformats.org/officeDocument/2006/relationships/hyperlink" Target="https://github.com/carbon-design-system/ibm-products/issues/7548" TargetMode="External"/><Relationship Id="rId727" Type="http://schemas.openxmlformats.org/officeDocument/2006/relationships/hyperlink" Target="https://github.com/carthage-software/mago/issues/132" TargetMode="External"/><Relationship Id="rId726" Type="http://schemas.openxmlformats.org/officeDocument/2006/relationships/hyperlink" Target="https://drive.google.com/drive/folders/1OjZv4oxmYvGqu5PwE-KhMta4YDtedgTW" TargetMode="External"/><Relationship Id="rId725" Type="http://schemas.openxmlformats.org/officeDocument/2006/relationships/hyperlink" Target="https://drive.google.com/drive/folders/1-q_g5nAKmd9vb7fTgdjIO5ECrKYCic5Y" TargetMode="External"/><Relationship Id="rId724" Type="http://schemas.openxmlformats.org/officeDocument/2006/relationships/hyperlink" Target="https://github.com/caronc/apprise/issues/1323" TargetMode="External"/><Relationship Id="rId3971" Type="http://schemas.openxmlformats.org/officeDocument/2006/relationships/hyperlink" Target="https://drive.google.com/drive/folders/1FVVqTp5bSXLPAdygXTtKVn9ceMS-qbET" TargetMode="External"/><Relationship Id="rId2640" Type="http://schemas.openxmlformats.org/officeDocument/2006/relationships/hyperlink" Target="https://github.com/nilsschmidt1337/ldparteditor/issues/1154" TargetMode="External"/><Relationship Id="rId3970" Type="http://schemas.openxmlformats.org/officeDocument/2006/relationships/hyperlink" Target="https://github.com/wimdeblauwe/error-handling-spring-boot-starter/issues/113" TargetMode="External"/><Relationship Id="rId1310" Type="http://schemas.openxmlformats.org/officeDocument/2006/relationships/hyperlink" Target="https://github.com/fabian-beck/pure-suggest/issues/527" TargetMode="External"/><Relationship Id="rId2641" Type="http://schemas.openxmlformats.org/officeDocument/2006/relationships/hyperlink" Target="https://drive.google.com/drive/folders/1GRY7Bnm55cK6RGYYFQCFqE5PJJGV40xU" TargetMode="External"/><Relationship Id="rId3973" Type="http://schemas.openxmlformats.org/officeDocument/2006/relationships/hyperlink" Target="https://drive.google.com/drive/folders/1xtjcsaPGDdjeDSzBiRv1DCiQQh68DpK9" TargetMode="External"/><Relationship Id="rId1311" Type="http://schemas.openxmlformats.org/officeDocument/2006/relationships/hyperlink" Target="https://drive.google.com/drive/folders/1WQph4WzSi1X10cD4oUMZuVSrgK1i4jUR" TargetMode="External"/><Relationship Id="rId2642" Type="http://schemas.openxmlformats.org/officeDocument/2006/relationships/hyperlink" Target="https://github.com/ninja-build/ninja/issues/2497" TargetMode="External"/><Relationship Id="rId3972" Type="http://schemas.openxmlformats.org/officeDocument/2006/relationships/hyperlink" Target="https://github.com/wizardsardine/liana/issues/1692" TargetMode="External"/><Relationship Id="rId1301" Type="http://schemas.openxmlformats.org/officeDocument/2006/relationships/hyperlink" Target="https://drive.google.com/drive/folders/1Qu9V31Z_f82WcEoBXOG0F2WeqZz9FLTX" TargetMode="External"/><Relationship Id="rId2632" Type="http://schemas.openxmlformats.org/officeDocument/2006/relationships/hyperlink" Target="https://github.com/nilearn/nilearn/issues/5672" TargetMode="External"/><Relationship Id="rId3964" Type="http://schemas.openxmlformats.org/officeDocument/2006/relationships/hyperlink" Target="https://drive.google.com/drive/folders/1uyMpDOsNnkwwRRXyJbbs66jd9IxvA_9o" TargetMode="External"/><Relationship Id="rId1302" Type="http://schemas.openxmlformats.org/officeDocument/2006/relationships/hyperlink" Target="https://github.com/external-secrets/external-secrets/issues/5022" TargetMode="External"/><Relationship Id="rId2633" Type="http://schemas.openxmlformats.org/officeDocument/2006/relationships/hyperlink" Target="https://drive.google.com/drive/folders/1AVHMgLtzGpyMOJtLGOEGHlFi_3wq5HKC" TargetMode="External"/><Relationship Id="rId3963" Type="http://schemas.openxmlformats.org/officeDocument/2006/relationships/hyperlink" Target="https://github.com/widefix/actual_db_schema/issues/129" TargetMode="External"/><Relationship Id="rId1303" Type="http://schemas.openxmlformats.org/officeDocument/2006/relationships/hyperlink" Target="https://drive.google.com/drive/folders/1u9tCB00jwIJEuIjzIElSAzw5otzl9mxb" TargetMode="External"/><Relationship Id="rId2634" Type="http://schemas.openxmlformats.org/officeDocument/2006/relationships/hyperlink" Target="https://drive.google.com/drive/folders/1vy9BUGNI69xhu1T5AsvuQ4U4Hg5THw1C" TargetMode="External"/><Relationship Id="rId3966" Type="http://schemas.openxmlformats.org/officeDocument/2006/relationships/hyperlink" Target="https://drive.google.com/drive/folders/1rP40XoJtZ6LhGQP2Gvh1UPCU_Kk4_oRA" TargetMode="External"/><Relationship Id="rId1304" Type="http://schemas.openxmlformats.org/officeDocument/2006/relationships/hyperlink" Target="https://drive.google.com/drive/folders/10CGMAlFJjJOBbxLlNE6VjHdny5HfP_t-" TargetMode="External"/><Relationship Id="rId2635" Type="http://schemas.openxmlformats.org/officeDocument/2006/relationships/hyperlink" Target="https://github.com/nilearn/nilearn/issues/5450" TargetMode="External"/><Relationship Id="rId3965" Type="http://schemas.openxmlformats.org/officeDocument/2006/relationships/hyperlink" Target="https://github.com/wildmeshing/wildmeshing-toolkit/issues/579" TargetMode="External"/><Relationship Id="rId1305" Type="http://schemas.openxmlformats.org/officeDocument/2006/relationships/hyperlink" Target="https://github.com/external-secrets/external-secrets/issues/3934" TargetMode="External"/><Relationship Id="rId2636" Type="http://schemas.openxmlformats.org/officeDocument/2006/relationships/hyperlink" Target="https://drive.google.com/drive/folders/1EbTAqSmM88wkXk5RCB-Rf1j50ElEpM5D" TargetMode="External"/><Relationship Id="rId3968" Type="http://schemas.openxmlformats.org/officeDocument/2006/relationships/hyperlink" Target="https://drive.google.com/drive/folders/1J4BsyAOYVuFIcsUpWMDkGOYn6Wh-5fci" TargetMode="External"/><Relationship Id="rId1306" Type="http://schemas.openxmlformats.org/officeDocument/2006/relationships/hyperlink" Target="https://drive.google.com/drive/folders/1GfGw4KF4M_wKB34FKGESojcdpfdxWUIA" TargetMode="External"/><Relationship Id="rId2637" Type="http://schemas.openxmlformats.org/officeDocument/2006/relationships/hyperlink" Target="https://github.com/nilearn/nilearn/issues/5309" TargetMode="External"/><Relationship Id="rId3967" Type="http://schemas.openxmlformats.org/officeDocument/2006/relationships/hyperlink" Target="https://github.com/wildmeshing/wildmeshing-toolkit/issues/576" TargetMode="External"/><Relationship Id="rId1307" Type="http://schemas.openxmlformats.org/officeDocument/2006/relationships/hyperlink" Target="https://drive.google.com/drive/folders/1Zxy2ggHmPp58HohrqPLIamnhjdZXz5gS" TargetMode="External"/><Relationship Id="rId2638" Type="http://schemas.openxmlformats.org/officeDocument/2006/relationships/hyperlink" Target="https://drive.google.com/drive/folders/1cTD7wzqj6LkPvE31UrZ-GRb8eNZLNR3_" TargetMode="External"/><Relationship Id="rId1308" Type="http://schemas.openxmlformats.org/officeDocument/2006/relationships/hyperlink" Target="https://github.com/faaxm/spix/issues/135" TargetMode="External"/><Relationship Id="rId2639" Type="http://schemas.openxmlformats.org/officeDocument/2006/relationships/hyperlink" Target="https://drive.google.com/drive/folders/1f8aMWUXAlMyaLfCjogS6S1qUpa3wfzlz" TargetMode="External"/><Relationship Id="rId3969" Type="http://schemas.openxmlformats.org/officeDocument/2006/relationships/hyperlink" Target="https://drive.google.com/drive/folders/1aMsvwKZ-PT6KEHL5v7VUYBMuip99XXxB" TargetMode="External"/><Relationship Id="rId1309" Type="http://schemas.openxmlformats.org/officeDocument/2006/relationships/hyperlink" Target="https://drive.google.com/drive/folders/1XGXJrQTOBDiRdPt7XAu77kBpCtg0OS8K" TargetMode="External"/><Relationship Id="rId719" Type="http://schemas.openxmlformats.org/officeDocument/2006/relationships/hyperlink" Target="https://drive.google.com/drive/folders/1lSSK-EE7Kb-XJ7yX316JFlgCAzFFlwmg" TargetMode="External"/><Relationship Id="rId718" Type="http://schemas.openxmlformats.org/officeDocument/2006/relationships/hyperlink" Target="https://drive.google.com/drive/folders/1J6gEkXouQ6AZhjPN2VOzEmG9Dp_bLOmB" TargetMode="External"/><Relationship Id="rId717" Type="http://schemas.openxmlformats.org/officeDocument/2006/relationships/hyperlink" Target="https://github.com/canonical/snapcraft/issues/5524" TargetMode="External"/><Relationship Id="rId712" Type="http://schemas.openxmlformats.org/officeDocument/2006/relationships/hyperlink" Target="https://github.com/canonical/operator/issues/1610" TargetMode="External"/><Relationship Id="rId711" Type="http://schemas.openxmlformats.org/officeDocument/2006/relationships/hyperlink" Target="https://drive.google.com/drive/folders/1caykJauM9ZQ79byNqMOfjrPa5mgY-R_b" TargetMode="External"/><Relationship Id="rId710" Type="http://schemas.openxmlformats.org/officeDocument/2006/relationships/hyperlink" Target="https://github.com/camunda/connectors/issues/5397" TargetMode="External"/><Relationship Id="rId716" Type="http://schemas.openxmlformats.org/officeDocument/2006/relationships/hyperlink" Target="https://drive.google.com/drive/folders/1zd3dlbPuqpDayu_t4YpzU5BZnWC03v3L" TargetMode="External"/><Relationship Id="rId715" Type="http://schemas.openxmlformats.org/officeDocument/2006/relationships/hyperlink" Target="https://drive.google.com/drive/folders/1WFZyQET0o631puZSUl4eIipPsKCNsOtF" TargetMode="External"/><Relationship Id="rId714" Type="http://schemas.openxmlformats.org/officeDocument/2006/relationships/hyperlink" Target="https://github.com/canonical/snapcraft/issues/5239" TargetMode="External"/><Relationship Id="rId713" Type="http://schemas.openxmlformats.org/officeDocument/2006/relationships/hyperlink" Target="https://drive.google.com/drive/folders/1IMLLeCWBus85wMNQznUxYIGWv7JGFHIr" TargetMode="External"/><Relationship Id="rId3960" Type="http://schemas.openxmlformats.org/officeDocument/2006/relationships/hyperlink" Target="https://github.com/wichmann-lab/python-psignifit/issues/214" TargetMode="External"/><Relationship Id="rId2630" Type="http://schemas.openxmlformats.org/officeDocument/2006/relationships/hyperlink" Target="https://github.com/nibanks/msh3/issues/317" TargetMode="External"/><Relationship Id="rId3962" Type="http://schemas.openxmlformats.org/officeDocument/2006/relationships/hyperlink" Target="https://drive.google.com/drive/folders/1_wEJA27q0PPTe87PXzTMOl-xzZMuz-9x" TargetMode="External"/><Relationship Id="rId1300" Type="http://schemas.openxmlformats.org/officeDocument/2006/relationships/hyperlink" Target="https://github.com/express-rate-limit/express-rate-limit/issues/578" TargetMode="External"/><Relationship Id="rId2631" Type="http://schemas.openxmlformats.org/officeDocument/2006/relationships/hyperlink" Target="https://drive.google.com/drive/folders/1j7pVg76_Q7zzbX-yhEXUzmrBKdmJZGbc" TargetMode="External"/><Relationship Id="rId3961" Type="http://schemas.openxmlformats.org/officeDocument/2006/relationships/hyperlink" Target="https://drive.google.com/drive/folders/1tECTo970-hCRlEnuq_N6cgLO8CFV87vT" TargetMode="External"/><Relationship Id="rId3117" Type="http://schemas.openxmlformats.org/officeDocument/2006/relationships/hyperlink" Target="https://github.com/pymc-devs/pytensor/issues/1231" TargetMode="External"/><Relationship Id="rId4448" Type="http://schemas.openxmlformats.org/officeDocument/2006/relationships/hyperlink" Target="https://github.com/deepset-ai/haystack/issues/9275" TargetMode="External"/><Relationship Id="rId3116" Type="http://schemas.openxmlformats.org/officeDocument/2006/relationships/hyperlink" Target="https://drive.google.com/drive/folders/1tQqPR7u2YWEaN1TeYQ2t3OuUTw955nVI" TargetMode="External"/><Relationship Id="rId4447" Type="http://schemas.openxmlformats.org/officeDocument/2006/relationships/hyperlink" Target="https://drive.google.com/drive/folders/1HO2jcCyd8yHFxprq9snwBQYpo-zIzn67" TargetMode="External"/><Relationship Id="rId3119" Type="http://schemas.openxmlformats.org/officeDocument/2006/relationships/hyperlink" Target="https://drive.google.com/drive/folders/1QgYfM-PBQRMUdzbXVxgVZZsy0iNagMn4" TargetMode="External"/><Relationship Id="rId5778" Type="http://schemas.openxmlformats.org/officeDocument/2006/relationships/hyperlink" Target="https://github.com/tinylog-org/tinylog/issues/3c2d6f6d815d9c65ecc53388f81aea400dd665d9_3207a90dcd182f69495688259e0f626b248c669a" TargetMode="External"/><Relationship Id="rId3118" Type="http://schemas.openxmlformats.org/officeDocument/2006/relationships/hyperlink" Target="https://drive.google.com/drive/folders/1M1nwJoCxMj2BvLtwaSjf-kpGbzO9h_n6" TargetMode="External"/><Relationship Id="rId4449" Type="http://schemas.openxmlformats.org/officeDocument/2006/relationships/hyperlink" Target="https://drive.google.com/drive/folders/1BF4U79rEBreMma0421MAJC0zWAGmTIcO" TargetMode="External"/><Relationship Id="rId5779" Type="http://schemas.openxmlformats.org/officeDocument/2006/relationships/hyperlink" Target="https://drive.google.com/drive/folders/1nNOASlQmDHOzPMD3DvACQqHwiUv334hp" TargetMode="External"/><Relationship Id="rId4440" Type="http://schemas.openxmlformats.org/officeDocument/2006/relationships/hyperlink" Target="https://drive.google.com/drive/folders/1sL9WOYBcC_c7Yf6Ou1N5R5P_Tm20jaN7" TargetMode="External"/><Relationship Id="rId5772" Type="http://schemas.openxmlformats.org/officeDocument/2006/relationships/hyperlink" Target="https://github.com/stakater/Reloader/issues/59ebab3b68b5185d8eb783082c6d990564020cc0_bccefb162481b8ac92c36c75ff1bb1c6a9148fd4" TargetMode="External"/><Relationship Id="rId5773" Type="http://schemas.openxmlformats.org/officeDocument/2006/relationships/hyperlink" Target="https://drive.google.com/drive/folders/1vsH9Y5bT-bya2k0THucEncDg62t-JPiB" TargetMode="External"/><Relationship Id="rId3111" Type="http://schemas.openxmlformats.org/officeDocument/2006/relationships/hyperlink" Target="https://github.com/pydicom/pydicom/issues/2212" TargetMode="External"/><Relationship Id="rId4442" Type="http://schemas.openxmlformats.org/officeDocument/2006/relationships/hyperlink" Target="https://github.com/deepset-ai/haystack/issues/8568" TargetMode="External"/><Relationship Id="rId5770" Type="http://schemas.openxmlformats.org/officeDocument/2006/relationships/hyperlink" Target="https://github.com/shardeum/shardeum/issues/08663ee430d6a536f6c9a2bd0a00c1db7048fea0_53006701a64ae353a805056217b518eb8d54b2ac" TargetMode="External"/><Relationship Id="rId3110" Type="http://schemas.openxmlformats.org/officeDocument/2006/relationships/hyperlink" Target="https://drive.google.com/drive/folders/1_s0ZstqBwWneK8KNlrkDPUmKS4xbw9kU" TargetMode="External"/><Relationship Id="rId4441" Type="http://schemas.openxmlformats.org/officeDocument/2006/relationships/hyperlink" Target="https://drive.google.com/drive/folders/1k_9YzQn-4GI0r8B_03XE5WMHBVHjqj93" TargetMode="External"/><Relationship Id="rId5771" Type="http://schemas.openxmlformats.org/officeDocument/2006/relationships/hyperlink" Target="https://drive.google.com/drive/folders/1atle3ENP0sZSmvOcV0EuyjG_qTxC6_k5" TargetMode="External"/><Relationship Id="rId3113" Type="http://schemas.openxmlformats.org/officeDocument/2006/relationships/hyperlink" Target="https://drive.google.com/drive/folders/1ZQCpmgDq0ftG594tQtBithRo28uDqxTh" TargetMode="External"/><Relationship Id="rId4444" Type="http://schemas.openxmlformats.org/officeDocument/2006/relationships/hyperlink" Target="https://drive.google.com/drive/folders/1lr4OO8WuUFEUeL9_5RrFdQB3m7rrUU3W" TargetMode="External"/><Relationship Id="rId5776" Type="http://schemas.openxmlformats.org/officeDocument/2006/relationships/hyperlink" Target="https://drive.google.com/drive/folders/195hL1KfAYPDnzswnIQqVlah3fmtrhNaT" TargetMode="External"/><Relationship Id="rId3112" Type="http://schemas.openxmlformats.org/officeDocument/2006/relationships/hyperlink" Target="https://drive.google.com/drive/folders/1i1uxNiCzXJ2FaYYoeFuWfvBYra4-O4IS" TargetMode="External"/><Relationship Id="rId4443" Type="http://schemas.openxmlformats.org/officeDocument/2006/relationships/hyperlink" Target="https://drive.google.com/drive/folders/1McicqKzGfRFs7xdzPNfLXPiWzqw2NOOu" TargetMode="External"/><Relationship Id="rId5777" Type="http://schemas.openxmlformats.org/officeDocument/2006/relationships/hyperlink" Target="https://drive.google.com/drive/folders/1SagLyGAp7swC7OoyIqzRjxu_LrpGJyrL" TargetMode="External"/><Relationship Id="rId3115" Type="http://schemas.openxmlformats.org/officeDocument/2006/relationships/hyperlink" Target="https://drive.google.com/drive/folders/1R31SrNY6sPEv2ruAz7bjIkHr64PwVgBU" TargetMode="External"/><Relationship Id="rId4446" Type="http://schemas.openxmlformats.org/officeDocument/2006/relationships/hyperlink" Target="https://drive.google.com/drive/folders/18eluqAIkrqy1ZGdYYmFsBSJhsMUt6Vxw" TargetMode="External"/><Relationship Id="rId5774" Type="http://schemas.openxmlformats.org/officeDocument/2006/relationships/hyperlink" Target="https://drive.google.com/drive/folders/1dr9zsfxnx6hkumcOJeroVDdz4l_javtx" TargetMode="External"/><Relationship Id="rId3114" Type="http://schemas.openxmlformats.org/officeDocument/2006/relationships/hyperlink" Target="https://github.com/pydicom/pydicom/issues/2188" TargetMode="External"/><Relationship Id="rId4445" Type="http://schemas.openxmlformats.org/officeDocument/2006/relationships/hyperlink" Target="https://github.com/deepset-ai/haystack/issues/9271" TargetMode="External"/><Relationship Id="rId5775" Type="http://schemas.openxmlformats.org/officeDocument/2006/relationships/hyperlink" Target="https://github.com/tensorflow/tfjs-models/issues/8faa92d8933d8036deae63b034db399c09173a2e_9d94916e5862df37c5eac4ed614abcebe2ca6a60" TargetMode="External"/><Relationship Id="rId3106" Type="http://schemas.openxmlformats.org/officeDocument/2006/relationships/hyperlink" Target="https://github.com/pydata/xarray/issues/9776" TargetMode="External"/><Relationship Id="rId4437" Type="http://schemas.openxmlformats.org/officeDocument/2006/relationships/hyperlink" Target="https://drive.google.com/drive/folders/1xziEE45lrIcXyK_QmwagskPfJSi7f-be" TargetMode="External"/><Relationship Id="rId5769" Type="http://schemas.openxmlformats.org/officeDocument/2006/relationships/hyperlink" Target="https://github.com/pmndrs/jotai/issues/3137" TargetMode="External"/><Relationship Id="rId3105" Type="http://schemas.openxmlformats.org/officeDocument/2006/relationships/hyperlink" Target="https://drive.google.com/drive/folders/1Idn_Ua2bPTzCJQqKq7IGs3jWCpNTNNNA" TargetMode="External"/><Relationship Id="rId4436" Type="http://schemas.openxmlformats.org/officeDocument/2006/relationships/hyperlink" Target="https://github.com/deepset-ai/haystack/issues/9099" TargetMode="External"/><Relationship Id="rId3108" Type="http://schemas.openxmlformats.org/officeDocument/2006/relationships/hyperlink" Target="https://github.com/pydicom/pydicom/issues/2198" TargetMode="External"/><Relationship Id="rId4439" Type="http://schemas.openxmlformats.org/officeDocument/2006/relationships/hyperlink" Target="https://github.com/deepset-ai/haystack/issues/9218" TargetMode="External"/><Relationship Id="rId5767" Type="http://schemas.openxmlformats.org/officeDocument/2006/relationships/hyperlink" Target="https://drive.google.com/drive/folders/1N23vBsmbfz1vxo9WU-szsRHNH6CjlvZ7" TargetMode="External"/><Relationship Id="rId3107" Type="http://schemas.openxmlformats.org/officeDocument/2006/relationships/hyperlink" Target="https://drive.google.com/drive/folders/1tVfuhmqqZWLhViB04dr4Hd6fqHm5Jo87" TargetMode="External"/><Relationship Id="rId4438" Type="http://schemas.openxmlformats.org/officeDocument/2006/relationships/hyperlink" Target="https://drive.google.com/drive/folders/1vEnYk6mxKOepaCNPzxIKYYRBFqphcnTC" TargetMode="External"/><Relationship Id="rId5768" Type="http://schemas.openxmlformats.org/officeDocument/2006/relationships/hyperlink" Target="https://drive.google.com/drive/folders/1yYmfmnv9BPHsuIL_28OuEhcdDmtIDFSt" TargetMode="External"/><Relationship Id="rId3109" Type="http://schemas.openxmlformats.org/officeDocument/2006/relationships/hyperlink" Target="https://drive.google.com/drive/folders/1I_prtDK_nPh5iaSch3taGdfWZQOWnB8_" TargetMode="External"/><Relationship Id="rId5761" Type="http://schemas.openxmlformats.org/officeDocument/2006/relationships/hyperlink" Target="https://github.com/Koenkk/zigbee2mqtt/issues/0e66b29983ae691a2dab44f6649e20a9e00a43cd_cd9b752ede91db1d02c567dded92c4e52c05b88d" TargetMode="External"/><Relationship Id="rId5762" Type="http://schemas.openxmlformats.org/officeDocument/2006/relationships/hyperlink" Target="https://github.com/mapbox/mapbox-gl-js/issues/a8226c66a3b6efa0d7f6f599e769d144d628083e_5191752ce2303198a4bc2a69e43bf77044444bb3" TargetMode="External"/><Relationship Id="rId3100" Type="http://schemas.openxmlformats.org/officeDocument/2006/relationships/hyperlink" Target="https://github.com/pydantic/pydantic-ai/issues/2366" TargetMode="External"/><Relationship Id="rId4431" Type="http://schemas.openxmlformats.org/officeDocument/2006/relationships/hyperlink" Target="https://drive.google.com/drive/folders/1ohiI2r69TSw-GxyRRcqbl0E3hGC9E9ls" TargetMode="External"/><Relationship Id="rId4430" Type="http://schemas.openxmlformats.org/officeDocument/2006/relationships/hyperlink" Target="https://github.com/dbcli/litecli/issues/193" TargetMode="External"/><Relationship Id="rId5760" Type="http://schemas.openxmlformats.org/officeDocument/2006/relationships/hyperlink" Target="https://drive.google.com/drive/folders/1niZC8ZI0vq3B0omLYyu3RJ5OiIQnL4d-" TargetMode="External"/><Relationship Id="rId3102" Type="http://schemas.openxmlformats.org/officeDocument/2006/relationships/hyperlink" Target="https://drive.google.com/drive/folders/1FY2UlV_YQuP2l54ZMdyPxFj-3Hv4bxKo" TargetMode="External"/><Relationship Id="rId4433" Type="http://schemas.openxmlformats.org/officeDocument/2006/relationships/hyperlink" Target="https://github.com/deepset-ai/haystack/issues/8725" TargetMode="External"/><Relationship Id="rId5765" Type="http://schemas.openxmlformats.org/officeDocument/2006/relationships/hyperlink" Target="https://drive.google.com/drive/folders/1JtTfLlXDQZRxl9WH0hMFL4UI2EtNMgD3" TargetMode="External"/><Relationship Id="rId3101" Type="http://schemas.openxmlformats.org/officeDocument/2006/relationships/hyperlink" Target="https://drive.google.com/drive/folders/13yAJQJMCuJ32AMgQKPQdkaJOQO-MnY-G" TargetMode="External"/><Relationship Id="rId4432" Type="http://schemas.openxmlformats.org/officeDocument/2006/relationships/hyperlink" Target="https://github.com/deepset-ai/haystack/issues/8554" TargetMode="External"/><Relationship Id="rId5766" Type="http://schemas.openxmlformats.org/officeDocument/2006/relationships/hyperlink" Target="https://github.com/open-policy-agent/opa/issues/75c41b702afe6b0acecea78ed99371b3378e31a0_878f42b131899ff7c00313059358d8da35fafda8" TargetMode="External"/><Relationship Id="rId3104" Type="http://schemas.openxmlformats.org/officeDocument/2006/relationships/hyperlink" Target="https://github.com/pydata/xarray/issues/10293" TargetMode="External"/><Relationship Id="rId4435" Type="http://schemas.openxmlformats.org/officeDocument/2006/relationships/hyperlink" Target="https://drive.google.com/drive/folders/1JY9x8vir8T6VG_Up8wfEO3aactskF_rB" TargetMode="External"/><Relationship Id="rId5763" Type="http://schemas.openxmlformats.org/officeDocument/2006/relationships/hyperlink" Target="https://drive.google.com/drive/folders/1FW4ygQJN3oROCP3iD0ZK71TtXdfmBUTJ" TargetMode="External"/><Relationship Id="rId3103" Type="http://schemas.openxmlformats.org/officeDocument/2006/relationships/hyperlink" Target="https://github.com/pydata/xarray/issues/10519" TargetMode="External"/><Relationship Id="rId4434" Type="http://schemas.openxmlformats.org/officeDocument/2006/relationships/hyperlink" Target="https://drive.google.com/drive/folders/1zBYYlFJJ0hJLGPrVmMu38He_MIGYYfVP" TargetMode="External"/><Relationship Id="rId5764" Type="http://schemas.openxmlformats.org/officeDocument/2006/relationships/hyperlink" Target="https://github.com/maxwellito/vivus/issues/c608973a8b576579bcb432558b531998f319592b_e7c719157ad1de3e71f7ebf615ae6060b966aa3b" TargetMode="External"/><Relationship Id="rId3139" Type="http://schemas.openxmlformats.org/officeDocument/2006/relationships/hyperlink" Target="https://drive.google.com/drive/folders/1djJufwn4csvPhQmObAvV8TIBdVB8vwuq" TargetMode="External"/><Relationship Id="rId3138" Type="http://schemas.openxmlformats.org/officeDocument/2006/relationships/hyperlink" Target="https://github.com/python-kasa/python-kasa/issues/1413" TargetMode="External"/><Relationship Id="rId4469" Type="http://schemas.openxmlformats.org/officeDocument/2006/relationships/hyperlink" Target="https://github.com/deepset-ai/haystack/issues/8799" TargetMode="External"/><Relationship Id="rId4460" Type="http://schemas.openxmlformats.org/officeDocument/2006/relationships/hyperlink" Target="https://github.com/deepset-ai/haystack/issues/9688" TargetMode="External"/><Relationship Id="rId3131" Type="http://schemas.openxmlformats.org/officeDocument/2006/relationships/hyperlink" Target="https://drive.google.com/drive/folders/10_MHng3WpcgzLxvrn_jv9A81NJkoeAbQ" TargetMode="External"/><Relationship Id="rId4462" Type="http://schemas.openxmlformats.org/officeDocument/2006/relationships/hyperlink" Target="https://drive.google.com/drive/folders/1Ko7AvMqEYo1mLQxOM7SZmXIjq9BX_GSp" TargetMode="External"/><Relationship Id="rId3130" Type="http://schemas.openxmlformats.org/officeDocument/2006/relationships/hyperlink" Target="https://github.com/python-attrs/cattrs/issues/588" TargetMode="External"/><Relationship Id="rId4461" Type="http://schemas.openxmlformats.org/officeDocument/2006/relationships/hyperlink" Target="https://drive.google.com/drive/folders/1YHyXuvhwOGgiD8L9pvdEKrhlmN_mFkE4" TargetMode="External"/><Relationship Id="rId3133" Type="http://schemas.openxmlformats.org/officeDocument/2006/relationships/hyperlink" Target="https://drive.google.com/drive/folders/1dIsNvsodzHqFhYL9MkgREn2p7MuJ_CVh" TargetMode="External"/><Relationship Id="rId4464" Type="http://schemas.openxmlformats.org/officeDocument/2006/relationships/hyperlink" Target="https://drive.google.com/drive/folders/11qSN01DqEiXWptYahgBs4t6jQrVRXUU-" TargetMode="External"/><Relationship Id="rId3132" Type="http://schemas.openxmlformats.org/officeDocument/2006/relationships/hyperlink" Target="https://github.com/python-attrs/cattrs/issues/618" TargetMode="External"/><Relationship Id="rId4463" Type="http://schemas.openxmlformats.org/officeDocument/2006/relationships/hyperlink" Target="https://github.com/deepset-ai/haystack/issues/9704" TargetMode="External"/><Relationship Id="rId3135" Type="http://schemas.openxmlformats.org/officeDocument/2006/relationships/hyperlink" Target="https://github.com/python-cmd2/cmd2/issues/1475" TargetMode="External"/><Relationship Id="rId4466" Type="http://schemas.openxmlformats.org/officeDocument/2006/relationships/hyperlink" Target="https://github.com/deepset-ai/haystack/issues/9069" TargetMode="External"/><Relationship Id="rId3134" Type="http://schemas.openxmlformats.org/officeDocument/2006/relationships/hyperlink" Target="https://drive.google.com/drive/folders/1PqhlslSPDkYIu--LT4xl4aP90G9nE4Pq" TargetMode="External"/><Relationship Id="rId4465" Type="http://schemas.openxmlformats.org/officeDocument/2006/relationships/hyperlink" Target="https://drive.google.com/drive/folders/1tnAc2-Ilos8S-yXb715-B6scCptdINIy" TargetMode="External"/><Relationship Id="rId3137" Type="http://schemas.openxmlformats.org/officeDocument/2006/relationships/hyperlink" Target="https://drive.google.com/drive/folders/1mnPBvPsUWe-pLj_0vSfMeTNvPXNTqnMY" TargetMode="External"/><Relationship Id="rId4468" Type="http://schemas.openxmlformats.org/officeDocument/2006/relationships/hyperlink" Target="https://drive.google.com/drive/folders/1E6aWjapFiwlbCYDWcT9r6J-r26m-8Vut" TargetMode="External"/><Relationship Id="rId3136" Type="http://schemas.openxmlformats.org/officeDocument/2006/relationships/hyperlink" Target="https://github.com/python-cmd2/cmd2/issues/1433" TargetMode="External"/><Relationship Id="rId4467" Type="http://schemas.openxmlformats.org/officeDocument/2006/relationships/hyperlink" Target="https://drive.google.com/drive/folders/1OuibytpCkOgYXMqDqbwfTX4O5P8F6CzU" TargetMode="External"/><Relationship Id="rId3128" Type="http://schemas.openxmlformats.org/officeDocument/2006/relationships/hyperlink" Target="https://drive.google.com/drive/folders/137ED26FdAHECqUL4CLan-Z-SCkF2-6IN" TargetMode="External"/><Relationship Id="rId4459" Type="http://schemas.openxmlformats.org/officeDocument/2006/relationships/hyperlink" Target="https://drive.google.com/drive/folders/1Xwun458IlZvjHMVfmQ6d9YMwNUGExQod" TargetMode="External"/><Relationship Id="rId3127" Type="http://schemas.openxmlformats.org/officeDocument/2006/relationships/hyperlink" Target="https://github.com/pypa/setuptools/issues/4698" TargetMode="External"/><Relationship Id="rId4458" Type="http://schemas.openxmlformats.org/officeDocument/2006/relationships/hyperlink" Target="https://drive.google.com/drive/folders/1YYwMwjTliWEO3HS7Xyc70zJFjYspaIMc" TargetMode="External"/><Relationship Id="rId3129" Type="http://schemas.openxmlformats.org/officeDocument/2006/relationships/hyperlink" Target="https://github.com/python-attrs/attrs/issues/1457" TargetMode="External"/><Relationship Id="rId5780" Type="http://schemas.openxmlformats.org/officeDocument/2006/relationships/hyperlink" Target="https://github.com/vercel/ai/issues/eb150a626443eb80ed2074f8f129801e2b4a8f68_4d683e19f86a98fbdb22d7c4d2968d3697f47448" TargetMode="External"/><Relationship Id="rId3120" Type="http://schemas.openxmlformats.org/officeDocument/2006/relationships/hyperlink" Target="https://github.com/pymc-labs/pymc-marketing/issues/1498" TargetMode="External"/><Relationship Id="rId4451" Type="http://schemas.openxmlformats.org/officeDocument/2006/relationships/hyperlink" Target="https://github.com/deepset-ai/haystack/issues/9474" TargetMode="External"/><Relationship Id="rId4450" Type="http://schemas.openxmlformats.org/officeDocument/2006/relationships/hyperlink" Target="https://drive.google.com/drive/folders/1tVfee8nHgs22U7eS4WCIqY7a4KGn4fmh" TargetMode="External"/><Relationship Id="rId5784" Type="http://schemas.openxmlformats.org/officeDocument/2006/relationships/table" Target="../tables/table1.xml"/><Relationship Id="rId3122" Type="http://schemas.openxmlformats.org/officeDocument/2006/relationships/hyperlink" Target="https://drive.google.com/drive/folders/1Rd9hbvMpcPfZGA_G9BZ0Ct_Zmg8Qu40T" TargetMode="External"/><Relationship Id="rId4453" Type="http://schemas.openxmlformats.org/officeDocument/2006/relationships/hyperlink" Target="https://drive.google.com/drive/folders/1v4ojY7qwfjCMr0xvlzBkRRf3aH8bBawc" TargetMode="External"/><Relationship Id="rId5781" Type="http://schemas.openxmlformats.org/officeDocument/2006/relationships/hyperlink" Target="https://drive.google.com/drive/folders/1tK0e6Nxc3rRmKPEqFJAnt9ILEKYK796D" TargetMode="External"/><Relationship Id="rId3121" Type="http://schemas.openxmlformats.org/officeDocument/2006/relationships/hyperlink" Target="https://github.com/pypa/flit/issues/705" TargetMode="External"/><Relationship Id="rId4452" Type="http://schemas.openxmlformats.org/officeDocument/2006/relationships/hyperlink" Target="https://drive.google.com/drive/folders/1WPgrRvFzoRWvIjSXx8qyb4ixbv9eDpCf" TargetMode="External"/><Relationship Id="rId5782" Type="http://schemas.openxmlformats.org/officeDocument/2006/relationships/drawing" Target="../drawings/drawing5.xml"/><Relationship Id="rId3124" Type="http://schemas.openxmlformats.org/officeDocument/2006/relationships/hyperlink" Target="https://github.com/pypa/pip/issues/12991" TargetMode="External"/><Relationship Id="rId4455" Type="http://schemas.openxmlformats.org/officeDocument/2006/relationships/hyperlink" Target="https://drive.google.com/drive/folders/1oa7-DAboVKDtmJFns7feqhKh-929Ir0Z" TargetMode="External"/><Relationship Id="rId3123" Type="http://schemas.openxmlformats.org/officeDocument/2006/relationships/hyperlink" Target="https://drive.google.com/drive/folders/1alkatvDRGBefVmu1nJnQEmtPdTLgmYYD" TargetMode="External"/><Relationship Id="rId4454" Type="http://schemas.openxmlformats.org/officeDocument/2006/relationships/hyperlink" Target="https://github.com/deepset-ai/haystack/issues/9680" TargetMode="External"/><Relationship Id="rId3126" Type="http://schemas.openxmlformats.org/officeDocument/2006/relationships/hyperlink" Target="https://drive.google.com/drive/folders/1j0n-5QjzaSfgIs_CO4zFx-gPROGI6n-s" TargetMode="External"/><Relationship Id="rId4457" Type="http://schemas.openxmlformats.org/officeDocument/2006/relationships/hyperlink" Target="https://github.com/deepset-ai/haystack/issues/9622" TargetMode="External"/><Relationship Id="rId3125" Type="http://schemas.openxmlformats.org/officeDocument/2006/relationships/hyperlink" Target="https://drive.google.com/drive/folders/1GUEWcLFFLtwDQ0lZJZqcJ9ca73GZB1dv" TargetMode="External"/><Relationship Id="rId4456" Type="http://schemas.openxmlformats.org/officeDocument/2006/relationships/hyperlink" Target="https://drive.google.com/drive/folders/1_GD8fDtHHpt3M6VCLxP8ad_p_3W6tkpy" TargetMode="External"/><Relationship Id="rId1378" Type="http://schemas.openxmlformats.org/officeDocument/2006/relationships/hyperlink" Target="https://drive.google.com/drive/folders/1lSH-w5dQqs1J5TFw3ZtkHyJG2VMUCTRS" TargetMode="External"/><Relationship Id="rId4404" Type="http://schemas.openxmlformats.org/officeDocument/2006/relationships/hyperlink" Target="https://github.com/CrowdStrike/falcon-mcp/issues/24" TargetMode="External"/><Relationship Id="rId5736" Type="http://schemas.openxmlformats.org/officeDocument/2006/relationships/hyperlink" Target="https://github.com/tailscale/tailscale/issues/16881" TargetMode="External"/><Relationship Id="rId1379" Type="http://schemas.openxmlformats.org/officeDocument/2006/relationships/hyperlink" Target="https://github.com/fgmacedo/python-statemachine/issues/485" TargetMode="External"/><Relationship Id="rId4403" Type="http://schemas.openxmlformats.org/officeDocument/2006/relationships/hyperlink" Target="https://drive.google.com/drive/folders/1SlArnk-8QH79jmAf1fkT9bt8_fiGFgvF" TargetMode="External"/><Relationship Id="rId5737" Type="http://schemas.openxmlformats.org/officeDocument/2006/relationships/hyperlink" Target="https://drive.google.com/drive/folders/1GxtMI_R3v-3QaD_KuMLsUhxfkKXLcAL2" TargetMode="External"/><Relationship Id="rId4406" Type="http://schemas.openxmlformats.org/officeDocument/2006/relationships/hyperlink" Target="https://drive.google.com/drive/folders/1j4jdsnG-RB_pApOH_hpFjnKXY6V8j6pZ" TargetMode="External"/><Relationship Id="rId5734" Type="http://schemas.openxmlformats.org/officeDocument/2006/relationships/hyperlink" Target="https://drive.google.com/drive/folders/1Do2XlgoFc7pOJFZMSwOnBiTPP8CSNXUj" TargetMode="External"/><Relationship Id="rId4405" Type="http://schemas.openxmlformats.org/officeDocument/2006/relationships/hyperlink" Target="https://drive.google.com/drive/folders/1yC6Dc0xHUJjpTjGS9l-xG7DERDnBXayR" TargetMode="External"/><Relationship Id="rId5735" Type="http://schemas.openxmlformats.org/officeDocument/2006/relationships/hyperlink" Target="https://drive.google.com/drive/folders/1BEo3rfkvceeqpVl0HumhnnNALC3xuQnj" TargetMode="External"/><Relationship Id="rId4408" Type="http://schemas.openxmlformats.org/officeDocument/2006/relationships/hyperlink" Target="https://github.com/CS-SI/eodag/issues/1672" TargetMode="External"/><Relationship Id="rId4407" Type="http://schemas.openxmlformats.org/officeDocument/2006/relationships/hyperlink" Target="https://github.com/CS-SI/eodag/issues/1353" TargetMode="External"/><Relationship Id="rId5738" Type="http://schemas.openxmlformats.org/officeDocument/2006/relationships/hyperlink" Target="https://drive.google.com/drive/folders/1PH-vF0aOFtpgKIw44nx7Swu9WUXiwVhR" TargetMode="External"/><Relationship Id="rId4409" Type="http://schemas.openxmlformats.org/officeDocument/2006/relationships/hyperlink" Target="https://drive.google.com/drive/folders/1wJRWZcoGoIH8vjjJlEuTI3XuFamUTdUX" TargetMode="External"/><Relationship Id="rId5739" Type="http://schemas.openxmlformats.org/officeDocument/2006/relationships/hyperlink" Target="https://github.com/vaadin/flow/issues/22796" TargetMode="External"/><Relationship Id="rId789" Type="http://schemas.openxmlformats.org/officeDocument/2006/relationships/hyperlink" Target="https://drive.google.com/drive/folders/1XebP1QphpFUmuON81n6Ix1-sV6u05Zcq" TargetMode="External"/><Relationship Id="rId788" Type="http://schemas.openxmlformats.org/officeDocument/2006/relationships/hyperlink" Target="https://github.com/cilium/cilium/issues/36027" TargetMode="External"/><Relationship Id="rId787" Type="http://schemas.openxmlformats.org/officeDocument/2006/relationships/hyperlink" Target="https://drive.google.com/drive/folders/17PjMXG7PTTcUDxp9TX2dccDSu9_4Fasc" TargetMode="External"/><Relationship Id="rId786" Type="http://schemas.openxmlformats.org/officeDocument/2006/relationships/hyperlink" Target="https://drive.google.com/drive/folders/1roVL_ncFgDMk7PjFQcn1LMI9jQUrY0oT" TargetMode="External"/><Relationship Id="rId781" Type="http://schemas.openxmlformats.org/officeDocument/2006/relationships/hyperlink" Target="https://drive.google.com/drive/folders/1WeZudT-KYomlVS3zpJT698um433jmf7D" TargetMode="External"/><Relationship Id="rId1370" Type="http://schemas.openxmlformats.org/officeDocument/2006/relationships/hyperlink" Target="https://drive.google.com/drive/folders/1TLXdxb9_P4SmFDoWTdT6QJVpGvqFSSIO" TargetMode="External"/><Relationship Id="rId780" Type="http://schemas.openxmlformats.org/officeDocument/2006/relationships/hyperlink" Target="https://drive.google.com/drive/folders/1_OfbkCT0UWHQ1XfiLwpxt1BcKmJo5ZcK" TargetMode="External"/><Relationship Id="rId1371" Type="http://schemas.openxmlformats.org/officeDocument/2006/relationships/hyperlink" Target="https://github.com/FEX-Emu/FEX/issues/3883" TargetMode="External"/><Relationship Id="rId1372" Type="http://schemas.openxmlformats.org/officeDocument/2006/relationships/hyperlink" Target="https://drive.google.com/drive/folders/1LlgG27J0Vp9nDHgZZgXk-RLNUJ3Lfnye" TargetMode="External"/><Relationship Id="rId1373" Type="http://schemas.openxmlformats.org/officeDocument/2006/relationships/hyperlink" Target="https://drive.google.com/drive/folders/1dcgw042oz4TG2_jfbtFktdvBYvagfv4C" TargetMode="External"/><Relationship Id="rId785" Type="http://schemas.openxmlformats.org/officeDocument/2006/relationships/hyperlink" Target="https://github.com/chronotope/chrono/issues/1719" TargetMode="External"/><Relationship Id="rId1374" Type="http://schemas.openxmlformats.org/officeDocument/2006/relationships/hyperlink" Target="https://github.com/ffuf/ffuf/issues/771" TargetMode="External"/><Relationship Id="rId4400" Type="http://schemas.openxmlformats.org/officeDocument/2006/relationships/hyperlink" Target="https://drive.google.com/drive/folders/1XsKROs2rxdkyITyQBuy83ZJU4WsL9PHe" TargetMode="External"/><Relationship Id="rId5732" Type="http://schemas.openxmlformats.org/officeDocument/2006/relationships/hyperlink" Target="https://drive.google.com/drive/folders/1iH1RXr1rSb_AfQCHVHOR6OUW9vIt4aiB" TargetMode="External"/><Relationship Id="rId784" Type="http://schemas.openxmlformats.org/officeDocument/2006/relationships/hyperlink" Target="https://drive.google.com/drive/folders/1RVMw2e-0RmFNvT79E3j1ycaiOi9XJMgM" TargetMode="External"/><Relationship Id="rId1375" Type="http://schemas.openxmlformats.org/officeDocument/2006/relationships/hyperlink" Target="https://drive.google.com/drive/folders/1NTYcp9ZXO7rebHJKHj0zA3X2GUq97BZk" TargetMode="External"/><Relationship Id="rId5733" Type="http://schemas.openxmlformats.org/officeDocument/2006/relationships/hyperlink" Target="https://github.com/stratum-mining/stratum/issues/1339" TargetMode="External"/><Relationship Id="rId783" Type="http://schemas.openxmlformats.org/officeDocument/2006/relationships/hyperlink" Target="https://github.com/Chillu1/ModiBuff/issues/57" TargetMode="External"/><Relationship Id="rId1376" Type="http://schemas.openxmlformats.org/officeDocument/2006/relationships/hyperlink" Target="https://drive.google.com/drive/folders/1a5AwfVb2pX-cn7Zc5Ga91xoe1U6MjD--" TargetMode="External"/><Relationship Id="rId4402" Type="http://schemas.openxmlformats.org/officeDocument/2006/relationships/hyperlink" Target="https://drive.google.com/drive/folders/1f87rYSzAufxjeqFyS11gM7g9ea62uaSA" TargetMode="External"/><Relationship Id="rId5730" Type="http://schemas.openxmlformats.org/officeDocument/2006/relationships/hyperlink" Target="https://drive.google.com/drive/folders/1SLXpA2_9dSXaBa6lXEevEylHAN8evQdg" TargetMode="External"/><Relationship Id="rId782" Type="http://schemas.openxmlformats.org/officeDocument/2006/relationships/hyperlink" Target="https://github.com/ChilliCream/graphql-platform/issues/8425" TargetMode="External"/><Relationship Id="rId1377" Type="http://schemas.openxmlformats.org/officeDocument/2006/relationships/hyperlink" Target="https://github.com/FgForrest/evitaDB/issues/747" TargetMode="External"/><Relationship Id="rId4401" Type="http://schemas.openxmlformats.org/officeDocument/2006/relationships/hyperlink" Target="https://github.com/crewAIInc/crewAI/issues/2893" TargetMode="External"/><Relationship Id="rId5731" Type="http://schemas.openxmlformats.org/officeDocument/2006/relationships/hyperlink" Target="https://github.com/stleary/JSON-java/issues/983" TargetMode="External"/><Relationship Id="rId1367" Type="http://schemas.openxmlformats.org/officeDocument/2006/relationships/hyperlink" Target="https://drive.google.com/drive/folders/1kH0mBMXNjvAGxIptOBffAsropqL_AUo8" TargetMode="External"/><Relationship Id="rId2698" Type="http://schemas.openxmlformats.org/officeDocument/2006/relationships/hyperlink" Target="https://github.com/odygrd/quill/issues/788" TargetMode="External"/><Relationship Id="rId5725" Type="http://schemas.openxmlformats.org/officeDocument/2006/relationships/hyperlink" Target="https://drive.google.com/drive/folders/1bZnvpZl936y2ZBcf2THSiVR0u3GW4eGz" TargetMode="External"/><Relationship Id="rId1368" Type="http://schemas.openxmlformats.org/officeDocument/2006/relationships/hyperlink" Target="https://github.com/ferstl/pedantic-pom-enforcers/issues/51" TargetMode="External"/><Relationship Id="rId2699" Type="http://schemas.openxmlformats.org/officeDocument/2006/relationships/hyperlink" Target="https://drive.google.com/drive/folders/11L9V7X_SD3EvFSht1U3ZMYIUbE4Eaxy3" TargetMode="External"/><Relationship Id="rId5726" Type="http://schemas.openxmlformats.org/officeDocument/2006/relationships/hyperlink" Target="https://drive.google.com/drive/folders/1WVHIak8LBC1a5A-aUnzfBzTqC_Nbu51p" TargetMode="External"/><Relationship Id="rId1369" Type="http://schemas.openxmlformats.org/officeDocument/2006/relationships/hyperlink" Target="https://drive.google.com/drive/folders/1JL5rbUtt0tn55mJck76XkHOL5qs4axIH" TargetMode="External"/><Relationship Id="rId5723" Type="http://schemas.openxmlformats.org/officeDocument/2006/relationships/hyperlink" Target="https://drive.google.com/drive/folders/1T7kM-KA4eU4H-IGIqWYSVBkIytJfTZrA" TargetMode="External"/><Relationship Id="rId5724" Type="http://schemas.openxmlformats.org/officeDocument/2006/relationships/hyperlink" Target="https://github.com/screwdriver-cd/screwdriver/issues/3365" TargetMode="External"/><Relationship Id="rId5729" Type="http://schemas.openxmlformats.org/officeDocument/2006/relationships/hyperlink" Target="https://github.com/springwolf/springwolf-core/issues/1516" TargetMode="External"/><Relationship Id="rId5727" Type="http://schemas.openxmlformats.org/officeDocument/2006/relationships/hyperlink" Target="https://github.com/spring-projects/spring-security/issues/16381" TargetMode="External"/><Relationship Id="rId5728" Type="http://schemas.openxmlformats.org/officeDocument/2006/relationships/hyperlink" Target="https://drive.google.com/drive/folders/1BTzk4dGf1jjMwPhtGQcR9WeQNhVltOXV" TargetMode="External"/><Relationship Id="rId778" Type="http://schemas.openxmlformats.org/officeDocument/2006/relationships/hyperlink" Target="https://drive.google.com/drive/folders/1bxjQFa7Ggjtjckb5Htf9nCdR7e16NorT" TargetMode="External"/><Relationship Id="rId777" Type="http://schemas.openxmlformats.org/officeDocument/2006/relationships/hyperlink" Target="https://drive.google.com/drive/folders/1o5M49fWRqj21IBEg8naGoKrF3lBmnZW1" TargetMode="External"/><Relationship Id="rId776" Type="http://schemas.openxmlformats.org/officeDocument/2006/relationships/hyperlink" Target="https://github.com/chemprop/chemprop/issues/1146" TargetMode="External"/><Relationship Id="rId775" Type="http://schemas.openxmlformats.org/officeDocument/2006/relationships/hyperlink" Target="https://drive.google.com/drive/folders/15uRFL9j9VmfAMtpdwvnMhbPszeVpA9Ki" TargetMode="External"/><Relationship Id="rId779" Type="http://schemas.openxmlformats.org/officeDocument/2006/relationships/hyperlink" Target="https://github.com/chialab/rna/issues/192" TargetMode="External"/><Relationship Id="rId770" Type="http://schemas.openxmlformats.org/officeDocument/2006/relationships/hyperlink" Target="https://drive.google.com/drive/folders/1Sgmzxpk2d2pio-SmNcHlnDeha4jyRSx5" TargetMode="External"/><Relationship Id="rId2690" Type="http://schemas.openxmlformats.org/officeDocument/2006/relationships/hyperlink" Target="https://github.com/obmarg/cynic/issues/1144" TargetMode="External"/><Relationship Id="rId1360" Type="http://schemas.openxmlformats.org/officeDocument/2006/relationships/hyperlink" Target="https://drive.google.com/drive/folders/1StWmj_gJOI9F4A4kPO3SbIV48uZLxFQ6" TargetMode="External"/><Relationship Id="rId2691" Type="http://schemas.openxmlformats.org/officeDocument/2006/relationships/hyperlink" Target="https://drive.google.com/drive/folders/1MrX0RwyAmMOJob-rs0Tek1DZBsA5Ztu1" TargetMode="External"/><Relationship Id="rId1361" Type="http://schemas.openxmlformats.org/officeDocument/2006/relationships/hyperlink" Target="https://drive.google.com/drive/folders/1VAxGdMNENw16BSnUPvB1ceES4ogZ4N9k" TargetMode="External"/><Relationship Id="rId2692" Type="http://schemas.openxmlformats.org/officeDocument/2006/relationships/hyperlink" Target="https://github.com/obsidian-tasks-group/obsidian-tasks/issues/3364" TargetMode="External"/><Relationship Id="rId1362" Type="http://schemas.openxmlformats.org/officeDocument/2006/relationships/hyperlink" Target="https://github.com/felipeangelimvieira/prophetverse/issues/277" TargetMode="External"/><Relationship Id="rId2693" Type="http://schemas.openxmlformats.org/officeDocument/2006/relationships/hyperlink" Target="https://drive.google.com/drive/folders/1TZZ_yK3Sbh91mSvBOlkkqQfd87fG1BrD" TargetMode="External"/><Relationship Id="rId774" Type="http://schemas.openxmlformats.org/officeDocument/2006/relationships/hyperlink" Target="https://github.com/checkstyle/checkstyle/issues/18635" TargetMode="External"/><Relationship Id="rId1363" Type="http://schemas.openxmlformats.org/officeDocument/2006/relationships/hyperlink" Target="https://drive.google.com/drive/folders/1iAIKyr6jW5unUfLc8MyilhRRWHUTq7qi" TargetMode="External"/><Relationship Id="rId2694" Type="http://schemas.openxmlformats.org/officeDocument/2006/relationships/hyperlink" Target="https://drive.google.com/drive/folders/1rsaOP5g4K8gkXH-wuOL7-W1J9ifgV1cG" TargetMode="External"/><Relationship Id="rId5721" Type="http://schemas.openxmlformats.org/officeDocument/2006/relationships/hyperlink" Target="https://drive.google.com/drive/folders/1LrYBcKEniUmXr32jWOP6k6WRWMgM3aC8" TargetMode="External"/><Relationship Id="rId773" Type="http://schemas.openxmlformats.org/officeDocument/2006/relationships/hyperlink" Target="https://drive.google.com/drive/folders/1lmQrCDWHIioEGwaeMZCsOhcf_zU56r2L" TargetMode="External"/><Relationship Id="rId1364" Type="http://schemas.openxmlformats.org/officeDocument/2006/relationships/hyperlink" Target="https://drive.google.com/drive/folders/1CYgtEtrLcbWL0d5VXavvKHiHEFeUOyp6" TargetMode="External"/><Relationship Id="rId2695" Type="http://schemas.openxmlformats.org/officeDocument/2006/relationships/hyperlink" Target="https://github.com/obsidian-tasks-group/obsidian-tasks/issues/1330" TargetMode="External"/><Relationship Id="rId5722" Type="http://schemas.openxmlformats.org/officeDocument/2006/relationships/hyperlink" Target="https://github.com/roc-streaming/roc-toolkit/issues/690" TargetMode="External"/><Relationship Id="rId772" Type="http://schemas.openxmlformats.org/officeDocument/2006/relationships/hyperlink" Target="https://github.com/chatwoot/ai-agents/issues/30" TargetMode="External"/><Relationship Id="rId1365" Type="http://schemas.openxmlformats.org/officeDocument/2006/relationships/hyperlink" Target="https://github.com/FerretDB/FerretDB/issues/4936" TargetMode="External"/><Relationship Id="rId2696" Type="http://schemas.openxmlformats.org/officeDocument/2006/relationships/hyperlink" Target="https://drive.google.com/drive/folders/1lOgufy4oGdIJKrIVKaYRNPGNUDwYs9fs" TargetMode="External"/><Relationship Id="rId771" Type="http://schemas.openxmlformats.org/officeDocument/2006/relationships/hyperlink" Target="https://drive.google.com/drive/folders/1WRqDbwTdhwyM-YtfRk1zMXj1Kq7hTzIf" TargetMode="External"/><Relationship Id="rId1366" Type="http://schemas.openxmlformats.org/officeDocument/2006/relationships/hyperlink" Target="https://drive.google.com/drive/folders/1bfyLOcX1lcSUEbnycZGUYsvyZmbCULse" TargetMode="External"/><Relationship Id="rId2697" Type="http://schemas.openxmlformats.org/officeDocument/2006/relationships/hyperlink" Target="https://drive.google.com/drive/folders/1FAibNnWfAkvH4bPIjyXrL9Gs5TkC8FtC" TargetMode="External"/><Relationship Id="rId5720" Type="http://schemas.openxmlformats.org/officeDocument/2006/relationships/hyperlink" Target="https://github.com/robotology/idyntree/issues/1275" TargetMode="External"/><Relationship Id="rId4426" Type="http://schemas.openxmlformats.org/officeDocument/2006/relationships/hyperlink" Target="https://github.com/datacontract/datacontract-cli/issues/547" TargetMode="External"/><Relationship Id="rId5758" Type="http://schemas.openxmlformats.org/officeDocument/2006/relationships/hyperlink" Target="https://github.com/heyverse/hey/issues/7899b3bd865da696256b229511573aed1bf72685_c50a4f4f5640fcd3f885bba8bebe788383907225" TargetMode="External"/><Relationship Id="rId4425" Type="http://schemas.openxmlformats.org/officeDocument/2006/relationships/hyperlink" Target="https://drive.google.com/drive/folders/1KUTKQ1lJfVTrJkDv-VeNDIStI5PrEv2Y" TargetMode="External"/><Relationship Id="rId5759" Type="http://schemas.openxmlformats.org/officeDocument/2006/relationships/hyperlink" Target="https://drive.google.com/drive/folders/1iE3eobaoaGjVSqpJ0yxWOPjmzUsHnXPD" TargetMode="External"/><Relationship Id="rId4428" Type="http://schemas.openxmlformats.org/officeDocument/2006/relationships/hyperlink" Target="https://github.com/datafaker-net/datafaker/issues/1414" TargetMode="External"/><Relationship Id="rId5756" Type="http://schemas.openxmlformats.org/officeDocument/2006/relationships/hyperlink" Target="https://github.com/FlowiseAI/Flowise/issues/b0266718873cfa1cd2cdcf40aeccb68546b4e273_736c2b11a1ea3bef22065cc6bc86d8ce022ce74b" TargetMode="External"/><Relationship Id="rId4427" Type="http://schemas.openxmlformats.org/officeDocument/2006/relationships/hyperlink" Target="https://drive.google.com/drive/folders/1JymgNuZKN2Mj3sWSROkpZCiQl0sDzWxa" TargetMode="External"/><Relationship Id="rId5757" Type="http://schemas.openxmlformats.org/officeDocument/2006/relationships/hyperlink" Target="https://drive.google.com/drive/folders/1qFBSg0FRkDaFA5CXmaVENQODIKM7LuV1" TargetMode="External"/><Relationship Id="rId4429" Type="http://schemas.openxmlformats.org/officeDocument/2006/relationships/hyperlink" Target="https://drive.google.com/drive/folders/1UBSHrw365xiz6GAKd1X11SCtMM-2DVM8" TargetMode="External"/><Relationship Id="rId1390" Type="http://schemas.openxmlformats.org/officeDocument/2006/relationships/hyperlink" Target="https://github.com/FlowFuse/flowfuse/issues/6215" TargetMode="External"/><Relationship Id="rId1391" Type="http://schemas.openxmlformats.org/officeDocument/2006/relationships/hyperlink" Target="https://drive.google.com/drive/folders/1LnX73A4WcnAvhnL74e5StyEtQTi0ScJa" TargetMode="External"/><Relationship Id="rId1392" Type="http://schemas.openxmlformats.org/officeDocument/2006/relationships/hyperlink" Target="https://github.com/FlowFuse/flowfuse/issues/5528" TargetMode="External"/><Relationship Id="rId5750" Type="http://schemas.openxmlformats.org/officeDocument/2006/relationships/hyperlink" Target="https://drive.google.com/drive/folders/1Nfgcvfjqt8Zl-u4Aml1_xcQu8-NbmnOw" TargetMode="External"/><Relationship Id="rId1393" Type="http://schemas.openxmlformats.org/officeDocument/2006/relationships/hyperlink" Target="https://drive.google.com/drive/folders/1x3WAu8QCW5YThK4iJxzbLFGoRzVwkjXa" TargetMode="External"/><Relationship Id="rId5751" Type="http://schemas.openxmlformats.org/officeDocument/2006/relationships/hyperlink" Target="https://github.com/apache/echarts/issues/1e3f1addbe0aa5994b4e805d9ecab1c50e8e150a_ea7b2ecf1d8f2f28b7fa19a2955d31e9b2494215" TargetMode="External"/><Relationship Id="rId1394" Type="http://schemas.openxmlformats.org/officeDocument/2006/relationships/hyperlink" Target="https://github.com/FormidableLabs/groqd/issues/354" TargetMode="External"/><Relationship Id="rId4420" Type="http://schemas.openxmlformats.org/officeDocument/2006/relationships/hyperlink" Target="https://drive.google.com/drive/folders/1zBWwQt-YiA1XUBZmd4l3vZqG6Ohkl_9P" TargetMode="External"/><Relationship Id="rId1395" Type="http://schemas.openxmlformats.org/officeDocument/2006/relationships/hyperlink" Target="https://drive.google.com/drive/folders/1I-DRoyK05xWl1uuY1VkR1RihsIE2DLEb" TargetMode="External"/><Relationship Id="rId1396" Type="http://schemas.openxmlformats.org/officeDocument/2006/relationships/hyperlink" Target="https://github.com/formwerkjs/formwerk/issues/81" TargetMode="External"/><Relationship Id="rId4422" Type="http://schemas.openxmlformats.org/officeDocument/2006/relationships/hyperlink" Target="https://drive.google.com/drive/folders/1ZJSkNtgwk-sOpogU0o_QbtmMMnNMBo5_" TargetMode="External"/><Relationship Id="rId5754" Type="http://schemas.openxmlformats.org/officeDocument/2006/relationships/hyperlink" Target="https://github.com/facebook/docusaurus/issues/0c92f5aacd7bb3a4f8ac97c7a566025a724eb73a_f6b1c85b01697b955b710bee5dd369d81fc7bcfa" TargetMode="External"/><Relationship Id="rId1397" Type="http://schemas.openxmlformats.org/officeDocument/2006/relationships/hyperlink" Target="https://drive.google.com/drive/folders/1FJUqXYFUh7fosbxzy6zS_vG-CvvanAhV" TargetMode="External"/><Relationship Id="rId4421" Type="http://schemas.openxmlformats.org/officeDocument/2006/relationships/hyperlink" Target="https://github.com/databendlabs/databend/issues/17848" TargetMode="External"/><Relationship Id="rId5755" Type="http://schemas.openxmlformats.org/officeDocument/2006/relationships/hyperlink" Target="https://github.com/facebookarchive/prepack/issues/725" TargetMode="External"/><Relationship Id="rId1398" Type="http://schemas.openxmlformats.org/officeDocument/2006/relationships/hyperlink" Target="https://github.com/formwerkjs/formwerk/issues/76" TargetMode="External"/><Relationship Id="rId4424" Type="http://schemas.openxmlformats.org/officeDocument/2006/relationships/hyperlink" Target="https://github.com/databricks/terraform-provider-databricks/issues/5014" TargetMode="External"/><Relationship Id="rId5752" Type="http://schemas.openxmlformats.org/officeDocument/2006/relationships/hyperlink" Target="https://drive.google.com/drive/folders/1hSb6zF-bI1QDG9Na51UhP4kTO8Ju57sT" TargetMode="External"/><Relationship Id="rId1399" Type="http://schemas.openxmlformats.org/officeDocument/2006/relationships/hyperlink" Target="https://drive.google.com/drive/folders/18ZrWYSlaarH7B2Az2Xw7d2EiTIw3DKQ0" TargetMode="External"/><Relationship Id="rId4423" Type="http://schemas.openxmlformats.org/officeDocument/2006/relationships/hyperlink" Target="https://drive.google.com/drive/folders/17cc-hf2Z_p64E6PBGYvTpPgU-zr6WcDq" TargetMode="External"/><Relationship Id="rId5753" Type="http://schemas.openxmlformats.org/officeDocument/2006/relationships/hyperlink" Target="https://github.com/CherryHQ/cherry-studio/issues/aaa0eb7140358241c38feda4017f9eae21cb75fd_649a2a645cdd610d3060e233134b9e180f871c57" TargetMode="External"/><Relationship Id="rId1389" Type="http://schemas.openxmlformats.org/officeDocument/2006/relationships/hyperlink" Target="https://drive.google.com/drive/folders/1sfYCO3yH64HH-E-htcbRGNTa7YVEFEhP" TargetMode="External"/><Relationship Id="rId4415" Type="http://schemas.openxmlformats.org/officeDocument/2006/relationships/hyperlink" Target="https://github.com/dadrus/heimdall/issues/2193" TargetMode="External"/><Relationship Id="rId5747" Type="http://schemas.openxmlformats.org/officeDocument/2006/relationships/hyperlink" Target="https://drive.google.com/drive/folders/1rwV7N0gE1SakX8IikvVLJO1mRLvTlW-H" TargetMode="External"/><Relationship Id="rId4414" Type="http://schemas.openxmlformats.org/officeDocument/2006/relationships/hyperlink" Target="https://drive.google.com/drive/folders/1N_r7Qk7AQkKpaKhDv07ChcedbdockrkT" TargetMode="External"/><Relationship Id="rId5748" Type="http://schemas.openxmlformats.org/officeDocument/2006/relationships/hyperlink" Target="https://github.com/wagtail/wagtail/issues/13051" TargetMode="External"/><Relationship Id="rId4417" Type="http://schemas.openxmlformats.org/officeDocument/2006/relationships/hyperlink" Target="https://github.com/daniel-hauser/moneyman/issues/646" TargetMode="External"/><Relationship Id="rId5745" Type="http://schemas.openxmlformats.org/officeDocument/2006/relationships/hyperlink" Target="https://github.com/vitejs/vite/issues/20519" TargetMode="External"/><Relationship Id="rId4416" Type="http://schemas.openxmlformats.org/officeDocument/2006/relationships/hyperlink" Target="https://drive.google.com/drive/folders/174F2bq8-15-JCx1m9YV3_sSaHfsrTFJw" TargetMode="External"/><Relationship Id="rId5746" Type="http://schemas.openxmlformats.org/officeDocument/2006/relationships/hyperlink" Target="https://drive.google.com/drive/folders/1y-dkk6xBFiyGFPxvw7lUlOG60vDk95Pr" TargetMode="External"/><Relationship Id="rId4419" Type="http://schemas.openxmlformats.org/officeDocument/2006/relationships/hyperlink" Target="https://github.com/danielroe/carpenter/issues/182" TargetMode="External"/><Relationship Id="rId4418" Type="http://schemas.openxmlformats.org/officeDocument/2006/relationships/hyperlink" Target="https://drive.google.com/drive/folders/1SnL-EXJxS_6KaMR5r0hB5iaHxDaGZfbe" TargetMode="External"/><Relationship Id="rId5749" Type="http://schemas.openxmlformats.org/officeDocument/2006/relationships/hyperlink" Target="https://drive.google.com/drive/folders/1D0GpE9qpaOYWMD9ijJ6nCypnkYOiP64H" TargetMode="External"/><Relationship Id="rId799" Type="http://schemas.openxmlformats.org/officeDocument/2006/relationships/hyperlink" Target="https://drive.google.com/drive/folders/1GWk6Y0hRqGutZqyGB4ufIM_TVarTDpgW" TargetMode="External"/><Relationship Id="rId798" Type="http://schemas.openxmlformats.org/officeDocument/2006/relationships/hyperlink" Target="https://github.com/cksource/mrgit/issues/190" TargetMode="External"/><Relationship Id="rId797" Type="http://schemas.openxmlformats.org/officeDocument/2006/relationships/hyperlink" Target="https://drive.google.com/drive/folders/1uRoQoXNTDCDwp6iAwbDMZe2frbYKVWfo" TargetMode="External"/><Relationship Id="rId1380" Type="http://schemas.openxmlformats.org/officeDocument/2006/relationships/hyperlink" Target="https://drive.google.com/drive/folders/1-YLJ6GGOmbDXFxI3pTxQ7_KVk5nk6QPu" TargetMode="External"/><Relationship Id="rId792" Type="http://schemas.openxmlformats.org/officeDocument/2006/relationships/hyperlink" Target="https://drive.google.com/drive/folders/1yeKSVMjDsWzL_Ubh_C78K3lkZD-mmYVm" TargetMode="External"/><Relationship Id="rId1381" Type="http://schemas.openxmlformats.org/officeDocument/2006/relationships/hyperlink" Target="https://github.com/fiberplane/mcp-lite/issues/62" TargetMode="External"/><Relationship Id="rId791" Type="http://schemas.openxmlformats.org/officeDocument/2006/relationships/hyperlink" Target="https://github.com/cilium/cilium/issues/41231" TargetMode="External"/><Relationship Id="rId1382" Type="http://schemas.openxmlformats.org/officeDocument/2006/relationships/hyperlink" Target="https://drive.google.com/drive/folders/12ajK3XnxVirofyHN5Tc-Cr1fM1BOamPj" TargetMode="External"/><Relationship Id="rId5740" Type="http://schemas.openxmlformats.org/officeDocument/2006/relationships/hyperlink" Target="https://drive.google.com/drive/folders/1oyNs0yldgRn_YciguK3sl0Zfd0a_s3-j" TargetMode="External"/><Relationship Id="rId790" Type="http://schemas.openxmlformats.org/officeDocument/2006/relationships/hyperlink" Target="https://drive.google.com/drive/folders/1ukf0sX5FKDVuckUwCMJBh2uCVKtP7IL6" TargetMode="External"/><Relationship Id="rId1383" Type="http://schemas.openxmlformats.org/officeDocument/2006/relationships/hyperlink" Target="https://github.com/filecoin-project/lotus/issues/13282" TargetMode="External"/><Relationship Id="rId1384" Type="http://schemas.openxmlformats.org/officeDocument/2006/relationships/hyperlink" Target="https://drive.google.com/drive/folders/1rwxndEEmjEdE67pWdWPnxny7lQzDAa9z" TargetMode="External"/><Relationship Id="rId796" Type="http://schemas.openxmlformats.org/officeDocument/2006/relationships/hyperlink" Target="https://drive.google.com/drive/folders/1ESXS0SObRzXcijmYDQSNQp9xrRSIrYiR" TargetMode="External"/><Relationship Id="rId1385" Type="http://schemas.openxmlformats.org/officeDocument/2006/relationships/hyperlink" Target="https://drive.google.com/drive/folders/1g4zWFRNVRq2mHLnV4ZyF_2l-EKrqmQl4" TargetMode="External"/><Relationship Id="rId4411" Type="http://schemas.openxmlformats.org/officeDocument/2006/relationships/hyperlink" Target="https://drive.google.com/drive/folders/1JGzix5HxG4HbiuhVMMgVYtMAi4RdWBUV" TargetMode="External"/><Relationship Id="rId5743" Type="http://schemas.openxmlformats.org/officeDocument/2006/relationships/hyperlink" Target="https://github.com/valyala/fasthttp/issues/2072" TargetMode="External"/><Relationship Id="rId795" Type="http://schemas.openxmlformats.org/officeDocument/2006/relationships/hyperlink" Target="https://github.com/civiform/civiform/issues/10633" TargetMode="External"/><Relationship Id="rId1386" Type="http://schemas.openxmlformats.org/officeDocument/2006/relationships/hyperlink" Target="https://github.com/finos/git-proxy/issues/781" TargetMode="External"/><Relationship Id="rId4410" Type="http://schemas.openxmlformats.org/officeDocument/2006/relationships/hyperlink" Target="https://github.com/csu-hmc/opty/issues/472" TargetMode="External"/><Relationship Id="rId5744" Type="http://schemas.openxmlformats.org/officeDocument/2006/relationships/hyperlink" Target="https://drive.google.com/drive/folders/1z5tuVhTYaq4jXLrWL6Dk2aEv09mz8OkA" TargetMode="External"/><Relationship Id="rId794" Type="http://schemas.openxmlformats.org/officeDocument/2006/relationships/hyperlink" Target="https://drive.google.com/drive/folders/1XQF6Y3E_jvD4E0b6w0lFiBvLS29csMX-" TargetMode="External"/><Relationship Id="rId1387" Type="http://schemas.openxmlformats.org/officeDocument/2006/relationships/hyperlink" Target="https://drive.google.com/drive/folders/1t6i4Dzbkq4qW9K2h8AKIdEKUuQZCJVBn" TargetMode="External"/><Relationship Id="rId4413" Type="http://schemas.openxmlformats.org/officeDocument/2006/relationships/hyperlink" Target="https://github.com/cybersemics/em/issues/2703" TargetMode="External"/><Relationship Id="rId5741" Type="http://schemas.openxmlformats.org/officeDocument/2006/relationships/hyperlink" Target="https://github.com/vaadin/flow-components/issues/7120" TargetMode="External"/><Relationship Id="rId793" Type="http://schemas.openxmlformats.org/officeDocument/2006/relationships/hyperlink" Target="https://github.com/cirruslabs/orchard/issues/224" TargetMode="External"/><Relationship Id="rId1388" Type="http://schemas.openxmlformats.org/officeDocument/2006/relationships/hyperlink" Target="https://github.com/firebuild/firebuild/issues/1283" TargetMode="External"/><Relationship Id="rId4412" Type="http://schemas.openxmlformats.org/officeDocument/2006/relationships/hyperlink" Target="https://drive.google.com/drive/folders/1eK7q4Cxjc4mpBvlPh_Y_HPA1uEe_G5KH" TargetMode="External"/><Relationship Id="rId5742" Type="http://schemas.openxmlformats.org/officeDocument/2006/relationships/hyperlink" Target="https://drive.google.com/drive/folders/1PZO_Q8bueugmd0OFQGTrsPS_MihTWdJc" TargetMode="External"/><Relationship Id="rId3191" Type="http://schemas.openxmlformats.org/officeDocument/2006/relationships/hyperlink" Target="https://github.com/Rails-Designer/rails_icons/issues/54" TargetMode="External"/><Relationship Id="rId3190" Type="http://schemas.openxmlformats.org/officeDocument/2006/relationships/hyperlink" Target="https://drive.google.com/drive/folders/11DYOrDNnU1mN_xigGeNBNM4ij4oGvlA4" TargetMode="External"/><Relationship Id="rId3193" Type="http://schemas.openxmlformats.org/officeDocument/2006/relationships/hyperlink" Target="https://github.com/rails/solid_queue/issues/516" TargetMode="External"/><Relationship Id="rId3192" Type="http://schemas.openxmlformats.org/officeDocument/2006/relationships/hyperlink" Target="https://drive.google.com/drive/folders/1qdC27RGClbJZkwWsmWjwv1huJu1nnZKQ" TargetMode="External"/><Relationship Id="rId3195" Type="http://schemas.openxmlformats.org/officeDocument/2006/relationships/hyperlink" Target="https://drive.google.com/drive/folders/1Tw7saWNx_WKrij7hYkLpVsR_xGLwq0pb" TargetMode="External"/><Relationship Id="rId3194" Type="http://schemas.openxmlformats.org/officeDocument/2006/relationships/hyperlink" Target="https://drive.google.com/drive/folders/1mXPHkLjGxo4OF_l6vZiWf4GecGbV6uhU" TargetMode="External"/><Relationship Id="rId3197" Type="http://schemas.openxmlformats.org/officeDocument/2006/relationships/hyperlink" Target="https://drive.google.com/drive/folders/1LS4_XFcdRku5g8GCetA1OSAMKEBcvCuC" TargetMode="External"/><Relationship Id="rId3196" Type="http://schemas.openxmlformats.org/officeDocument/2006/relationships/hyperlink" Target="https://github.com/RailsEventStore/ecommerce/issues/418" TargetMode="External"/><Relationship Id="rId3199" Type="http://schemas.openxmlformats.org/officeDocument/2006/relationships/hyperlink" Target="https://drive.google.com/drive/folders/1xKhh3bL3M6jwlYnX7wqF_Tl-AwLojl47" TargetMode="External"/><Relationship Id="rId3198" Type="http://schemas.openxmlformats.org/officeDocument/2006/relationships/hyperlink" Target="https://github.com/railslove/epics/issues/166" TargetMode="External"/><Relationship Id="rId3180" Type="http://schemas.openxmlformats.org/officeDocument/2006/relationships/hyperlink" Target="https://drive.google.com/drive/folders/1Q2kvwGygOJcTBGZbF2JSTpBNvrveDC3-" TargetMode="External"/><Relationship Id="rId3182" Type="http://schemas.openxmlformats.org/officeDocument/2006/relationships/hyperlink" Target="https://drive.google.com/drive/folders/1FG4yvHrYoLCBnOfsfFqEt9QLlHQN2ccb" TargetMode="External"/><Relationship Id="rId3181" Type="http://schemas.openxmlformats.org/officeDocument/2006/relationships/hyperlink" Target="https://github.com/quarkusio/quarkus/issues/52173" TargetMode="External"/><Relationship Id="rId3184" Type="http://schemas.openxmlformats.org/officeDocument/2006/relationships/hyperlink" Target="https://drive.google.com/drive/folders/1n_jgqYt76Kb7bOgtkSsz4qWkOumwUU4T" TargetMode="External"/><Relationship Id="rId3183" Type="http://schemas.openxmlformats.org/officeDocument/2006/relationships/hyperlink" Target="https://github.com/quarkusio/quarkus/issues/52147" TargetMode="External"/><Relationship Id="rId3186" Type="http://schemas.openxmlformats.org/officeDocument/2006/relationships/hyperlink" Target="https://drive.google.com/drive/folders/1Jf_vS_ds03ej8DrmSox8c_mhjzp1BiYi" TargetMode="External"/><Relationship Id="rId3185" Type="http://schemas.openxmlformats.org/officeDocument/2006/relationships/hyperlink" Target="https://github.com/queritylib/querity/issues/26" TargetMode="External"/><Relationship Id="rId3188" Type="http://schemas.openxmlformats.org/officeDocument/2006/relationships/hyperlink" Target="https://drive.google.com/drive/folders/1X5UgM5vm5ACFy9lCdK6fo_Cr1JIEfCj_" TargetMode="External"/><Relationship Id="rId3187" Type="http://schemas.openxmlformats.org/officeDocument/2006/relationships/hyperlink" Target="https://github.com/radis/radis/issues/689" TargetMode="External"/><Relationship Id="rId3189" Type="http://schemas.openxmlformats.org/officeDocument/2006/relationships/hyperlink" Target="https://github.com/railmapgen/rmg/issues/667" TargetMode="External"/><Relationship Id="rId4480" Type="http://schemas.openxmlformats.org/officeDocument/2006/relationships/hyperlink" Target="https://drive.google.com/drive/folders/1AVu3wVnhIjpPd1LHB9G95cqgvEjatYif" TargetMode="External"/><Relationship Id="rId3151" Type="http://schemas.openxmlformats.org/officeDocument/2006/relationships/hyperlink" Target="https://github.com/quantumlib/Cirq/issues/7048" TargetMode="External"/><Relationship Id="rId4482" Type="http://schemas.openxmlformats.org/officeDocument/2006/relationships/hyperlink" Target="https://drive.google.com/drive/folders/1ssm_gVZmkPh2YTfB3u81MbuyD1pgO5Dc" TargetMode="External"/><Relationship Id="rId3150" Type="http://schemas.openxmlformats.org/officeDocument/2006/relationships/hyperlink" Target="https://drive.google.com/drive/folders/1Gl5jqhqX88LVsEWpsbnwJaPCbONz-rK3" TargetMode="External"/><Relationship Id="rId4481" Type="http://schemas.openxmlformats.org/officeDocument/2006/relationships/hyperlink" Target="https://github.com/DependencyTrack/dependency-track/issues/4738" TargetMode="External"/><Relationship Id="rId3153" Type="http://schemas.openxmlformats.org/officeDocument/2006/relationships/hyperlink" Target="https://github.com/quantumlib/Stim/issues/711" TargetMode="External"/><Relationship Id="rId4484" Type="http://schemas.openxmlformats.org/officeDocument/2006/relationships/hyperlink" Target="https://drive.google.com/drive/folders/1MwlFqy2zoysSu5tl2PzAMttisNrXkk_D" TargetMode="External"/><Relationship Id="rId3152" Type="http://schemas.openxmlformats.org/officeDocument/2006/relationships/hyperlink" Target="https://drive.google.com/drive/folders/1EmOlZcxYFjvJdeDix-IlIdAMNftkJnGY" TargetMode="External"/><Relationship Id="rId4483" Type="http://schemas.openxmlformats.org/officeDocument/2006/relationships/hyperlink" Target="https://github.com/devlooped/DependencyInjection/issues/112" TargetMode="External"/><Relationship Id="rId3155" Type="http://schemas.openxmlformats.org/officeDocument/2006/relationships/hyperlink" Target="https://github.com/quantumlib/Stim/issues/949" TargetMode="External"/><Relationship Id="rId4486" Type="http://schemas.openxmlformats.org/officeDocument/2006/relationships/hyperlink" Target="https://github.com/Diaoul/subliminal/issues/1207" TargetMode="External"/><Relationship Id="rId3154" Type="http://schemas.openxmlformats.org/officeDocument/2006/relationships/hyperlink" Target="https://drive.google.com/drive/folders/1URUy3LW-bO0fRb8sVmMth-PUXDcVPXJm" TargetMode="External"/><Relationship Id="rId4485" Type="http://schemas.openxmlformats.org/officeDocument/2006/relationships/hyperlink" Target="https://drive.google.com/drive/folders/1E97xYmPPPrSxUE5_7a5kIFfLaxsQPokb" TargetMode="External"/><Relationship Id="rId3157" Type="http://schemas.openxmlformats.org/officeDocument/2006/relationships/hyperlink" Target="https://drive.google.com/drive/folders/1shN9C56u2837u-RHQiWyeYmElUnwFkpD" TargetMode="External"/><Relationship Id="rId4488" Type="http://schemas.openxmlformats.org/officeDocument/2006/relationships/hyperlink" Target="https://drive.google.com/drive/folders/1gX1htne4CPCwItMHt9J8ChjId8pi8C6U" TargetMode="External"/><Relationship Id="rId3156" Type="http://schemas.openxmlformats.org/officeDocument/2006/relationships/hyperlink" Target="https://drive.google.com/drive/folders/1XpaHMxzZ6-qqZoSoAVVQLikOhzPU3xOI" TargetMode="External"/><Relationship Id="rId4487" Type="http://schemas.openxmlformats.org/officeDocument/2006/relationships/hyperlink" Target="https://drive.google.com/drive/folders/13zQpaRwgOzsZNgzAXGBwIAYKeRGl2ADq" TargetMode="External"/><Relationship Id="rId3159" Type="http://schemas.openxmlformats.org/officeDocument/2006/relationships/hyperlink" Target="https://drive.google.com/drive/folders/1CaRdsOQJ74TSb0aNAq633DFFpkzDjEny" TargetMode="External"/><Relationship Id="rId3158" Type="http://schemas.openxmlformats.org/officeDocument/2006/relationships/hyperlink" Target="https://github.com/quantumlib/Stim/issues/907" TargetMode="External"/><Relationship Id="rId4489" Type="http://schemas.openxmlformats.org/officeDocument/2006/relationships/hyperlink" Target="https://github.com/Diaoul/subliminal/issues/1242" TargetMode="External"/><Relationship Id="rId3149" Type="http://schemas.openxmlformats.org/officeDocument/2006/relationships/hyperlink" Target="https://drive.google.com/drive/folders/1X6A5wMOyroOxJzjItSF8Tz8E345ItfFo" TargetMode="External"/><Relationship Id="rId3140" Type="http://schemas.openxmlformats.org/officeDocument/2006/relationships/hyperlink" Target="https://github.com/python-poetry/poetry/issues/10129" TargetMode="External"/><Relationship Id="rId4471" Type="http://schemas.openxmlformats.org/officeDocument/2006/relationships/hyperlink" Target="https://drive.google.com/drive/folders/17JPJ0Z1b2REFMywSEmI9yGF9oQuwPe7H" TargetMode="External"/><Relationship Id="rId4470" Type="http://schemas.openxmlformats.org/officeDocument/2006/relationships/hyperlink" Target="https://drive.google.com/drive/folders/1pr59NMMGXqf1qb7UhP2cKj6jRSFywzsn" TargetMode="External"/><Relationship Id="rId3142" Type="http://schemas.openxmlformats.org/officeDocument/2006/relationships/hyperlink" Target="https://drive.google.com/drive/folders/1ubnc5eS1-ZaAFNZ74OM7rcBT-hHUnVW6" TargetMode="External"/><Relationship Id="rId4473" Type="http://schemas.openxmlformats.org/officeDocument/2006/relationships/hyperlink" Target="https://drive.google.com/drive/folders/1wGPq_4RiQrmkKw5dqX7kIyiHvS5IVsvL" TargetMode="External"/><Relationship Id="rId3141" Type="http://schemas.openxmlformats.org/officeDocument/2006/relationships/hyperlink" Target="https://drive.google.com/drive/folders/1trBFuV8Hf2ko-GVCIHkCWUwqpWhHU8kq" TargetMode="External"/><Relationship Id="rId4472" Type="http://schemas.openxmlformats.org/officeDocument/2006/relationships/hyperlink" Target="https://github.com/delph-in/pydelphin/issues/398" TargetMode="External"/><Relationship Id="rId3144" Type="http://schemas.openxmlformats.org/officeDocument/2006/relationships/hyperlink" Target="https://drive.google.com/drive/folders/1q1q_DRhyY0jfqKrfjjiB8M-qM3NrIWNt" TargetMode="External"/><Relationship Id="rId4475" Type="http://schemas.openxmlformats.org/officeDocument/2006/relationships/hyperlink" Target="https://github.com/delta-io/delta-kernel-rs/issues/988" TargetMode="External"/><Relationship Id="rId3143" Type="http://schemas.openxmlformats.org/officeDocument/2006/relationships/hyperlink" Target="https://github.com/python-poetry/poetry/issues/9831" TargetMode="External"/><Relationship Id="rId4474" Type="http://schemas.openxmlformats.org/officeDocument/2006/relationships/hyperlink" Target="https://drive.google.com/drive/folders/1mchY7-h1gYMgAt-b2LxdIhWZ9SH4xf4S" TargetMode="External"/><Relationship Id="rId3146" Type="http://schemas.openxmlformats.org/officeDocument/2006/relationships/hyperlink" Target="https://github.com/python-semantic-release/python-semantic-release/issues/1289" TargetMode="External"/><Relationship Id="rId4477" Type="http://schemas.openxmlformats.org/officeDocument/2006/relationships/hyperlink" Target="https://drive.google.com/drive/folders/1zUqMpwQYKWy9hG0HGY7sS4RebqrY4gaw" TargetMode="External"/><Relationship Id="rId3145" Type="http://schemas.openxmlformats.org/officeDocument/2006/relationships/hyperlink" Target="https://drive.google.com/drive/folders/1nPrLQ6fZzUOenTlJHBTBs-J1-7_TGOpr" TargetMode="External"/><Relationship Id="rId4476" Type="http://schemas.openxmlformats.org/officeDocument/2006/relationships/hyperlink" Target="https://github.com/department-of-veterans-affairs/vets-website/issues/35629" TargetMode="External"/><Relationship Id="rId3148" Type="http://schemas.openxmlformats.org/officeDocument/2006/relationships/hyperlink" Target="https://github.com/python-telegram-bot/python-telegram-bot/issues/4594" TargetMode="External"/><Relationship Id="rId4479" Type="http://schemas.openxmlformats.org/officeDocument/2006/relationships/hyperlink" Target="https://drive.google.com/drive/folders/1CQ4LOBu51mkJKsWANYubfIEW5nfSIob8" TargetMode="External"/><Relationship Id="rId3147" Type="http://schemas.openxmlformats.org/officeDocument/2006/relationships/hyperlink" Target="https://drive.google.com/drive/folders/1yoKXl899D42E_i_a_QVDIvD6qjE2_hvO" TargetMode="External"/><Relationship Id="rId4478" Type="http://schemas.openxmlformats.org/officeDocument/2006/relationships/hyperlink" Target="https://github.com/dependabot/dependabot-core/issues/11851" TargetMode="External"/><Relationship Id="rId3171" Type="http://schemas.openxmlformats.org/officeDocument/2006/relationships/hyperlink" Target="https://drive.google.com/drive/folders/1aDRmlvMJK945bVrum9YEHnCnSaZG0wFW" TargetMode="External"/><Relationship Id="rId3170" Type="http://schemas.openxmlformats.org/officeDocument/2006/relationships/hyperlink" Target="https://github.com/quarkiverse/quarkus-mcp-server/issues/88" TargetMode="External"/><Relationship Id="rId3173" Type="http://schemas.openxmlformats.org/officeDocument/2006/relationships/hyperlink" Target="https://drive.google.com/drive/folders/19KK8sT_AOKHz8oecOYU_glSCTON_BEt2" TargetMode="External"/><Relationship Id="rId3172" Type="http://schemas.openxmlformats.org/officeDocument/2006/relationships/hyperlink" Target="https://github.com/quarkiverse/quarkus-mcp-server/issues/195" TargetMode="External"/><Relationship Id="rId3175" Type="http://schemas.openxmlformats.org/officeDocument/2006/relationships/hyperlink" Target="https://github.com/quarkusio/gizmo/issues/297" TargetMode="External"/><Relationship Id="rId3174" Type="http://schemas.openxmlformats.org/officeDocument/2006/relationships/hyperlink" Target="https://drive.google.com/drive/folders/11RfUlK_Fpb6Gj4Wrd4pdo_yf-DeJTKLS" TargetMode="External"/><Relationship Id="rId3177" Type="http://schemas.openxmlformats.org/officeDocument/2006/relationships/hyperlink" Target="https://github.com/quarkusio/gizmo/issues/390" TargetMode="External"/><Relationship Id="rId3176" Type="http://schemas.openxmlformats.org/officeDocument/2006/relationships/hyperlink" Target="https://drive.google.com/drive/folders/1-HelMj1GOVile8p1pblJ3mOrz_Z1hed6" TargetMode="External"/><Relationship Id="rId3179" Type="http://schemas.openxmlformats.org/officeDocument/2006/relationships/hyperlink" Target="https://github.com/quarkusio/quarkus/issues/51883" TargetMode="External"/><Relationship Id="rId3178" Type="http://schemas.openxmlformats.org/officeDocument/2006/relationships/hyperlink" Target="https://drive.google.com/drive/folders/1AvMzxTRIGqKW6uq1N8uFelWW7sjKGM9H" TargetMode="External"/><Relationship Id="rId3160" Type="http://schemas.openxmlformats.org/officeDocument/2006/relationships/hyperlink" Target="https://github.com/quarkiverse/quarkus-langchain4j/issues/1472" TargetMode="External"/><Relationship Id="rId4491" Type="http://schemas.openxmlformats.org/officeDocument/2006/relationships/hyperlink" Target="https://drive.google.com/drive/folders/1cTFWUwxahaEt0AuOESUjfrf3fW0O1bjH" TargetMode="External"/><Relationship Id="rId4490" Type="http://schemas.openxmlformats.org/officeDocument/2006/relationships/hyperlink" Target="https://github.com/DLR-AMR/t8code/issues/1591" TargetMode="External"/><Relationship Id="rId3162" Type="http://schemas.openxmlformats.org/officeDocument/2006/relationships/hyperlink" Target="https://github.com/quarkiverse/quarkus-langchain4j/issues/1021" TargetMode="External"/><Relationship Id="rId4493" Type="http://schemas.openxmlformats.org/officeDocument/2006/relationships/hyperlink" Target="https://github.com/dlt-hub/dlt/issues/2817" TargetMode="External"/><Relationship Id="rId3161" Type="http://schemas.openxmlformats.org/officeDocument/2006/relationships/hyperlink" Target="https://drive.google.com/drive/folders/1dtrhRblzh3f9BZT_H07nQZpR4bWc1Mom" TargetMode="External"/><Relationship Id="rId4492" Type="http://schemas.openxmlformats.org/officeDocument/2006/relationships/hyperlink" Target="https://drive.google.com/drive/folders/1kmt-d4BjDdO_BNKpkzZno2WAk_WDD2DO" TargetMode="External"/><Relationship Id="rId3164" Type="http://schemas.openxmlformats.org/officeDocument/2006/relationships/hyperlink" Target="https://github.com/quarkiverse/quarkus-langchain4j/issues/2014" TargetMode="External"/><Relationship Id="rId4495" Type="http://schemas.openxmlformats.org/officeDocument/2006/relationships/hyperlink" Target="https://drive.google.com/drive/folders/1YWj0BK0fNR673yfuqQTUB7U-EaAzbY4x" TargetMode="External"/><Relationship Id="rId3163" Type="http://schemas.openxmlformats.org/officeDocument/2006/relationships/hyperlink" Target="https://drive.google.com/drive/folders/12uerXiCg51wdznQiE71bxTpZrU65s_Fz" TargetMode="External"/><Relationship Id="rId4494" Type="http://schemas.openxmlformats.org/officeDocument/2006/relationships/hyperlink" Target="https://drive.google.com/drive/folders/1Ukhba-xHh_rmfcy_SxO-srJkTD7QEF4u" TargetMode="External"/><Relationship Id="rId3166" Type="http://schemas.openxmlformats.org/officeDocument/2006/relationships/hyperlink" Target="https://github.com/quarkiverse/quarkus-langchain4j/issues/1434" TargetMode="External"/><Relationship Id="rId4497" Type="http://schemas.openxmlformats.org/officeDocument/2006/relationships/hyperlink" Target="https://drive.google.com/drive/folders/1yhuLucRhS0gI4eHfK509gjfIsMj4Rr27" TargetMode="External"/><Relationship Id="rId3165" Type="http://schemas.openxmlformats.org/officeDocument/2006/relationships/hyperlink" Target="https://drive.google.com/drive/folders/1am1kzsI1BOINGOrlzZz3vTF1DwtwSUV0" TargetMode="External"/><Relationship Id="rId4496" Type="http://schemas.openxmlformats.org/officeDocument/2006/relationships/hyperlink" Target="https://github.com/docker/docker-language-server/issues/208" TargetMode="External"/><Relationship Id="rId3168" Type="http://schemas.openxmlformats.org/officeDocument/2006/relationships/hyperlink" Target="https://github.com/quarkiverse/quarkus-mcp-server/issues/366" TargetMode="External"/><Relationship Id="rId4499" Type="http://schemas.openxmlformats.org/officeDocument/2006/relationships/hyperlink" Target="https://drive.google.com/drive/folders/1KLc6R_p0X_kE4-wDrbhEIwLcLuLX7pDJ" TargetMode="External"/><Relationship Id="rId3167" Type="http://schemas.openxmlformats.org/officeDocument/2006/relationships/hyperlink" Target="https://drive.google.com/drive/folders/1KuSRmAMkb2R43_a_JOLHk37K715fmFzB" TargetMode="External"/><Relationship Id="rId4498" Type="http://schemas.openxmlformats.org/officeDocument/2006/relationships/hyperlink" Target="https://github.com/docker/docker-language-server/issues/137" TargetMode="External"/><Relationship Id="rId3169" Type="http://schemas.openxmlformats.org/officeDocument/2006/relationships/hyperlink" Target="https://drive.google.com/drive/folders/1J3eyvu28iAHBNJhaPSl9I0ee_W6KZAxL" TargetMode="External"/><Relationship Id="rId2700" Type="http://schemas.openxmlformats.org/officeDocument/2006/relationships/hyperlink" Target="https://github.com/odygrd/quill/issues/597" TargetMode="External"/><Relationship Id="rId2701" Type="http://schemas.openxmlformats.org/officeDocument/2006/relationships/hyperlink" Target="https://drive.google.com/drive/folders/1APzdPThuAWfM4IrjO1wkEWZ7hjtbau6z" TargetMode="External"/><Relationship Id="rId2702" Type="http://schemas.openxmlformats.org/officeDocument/2006/relationships/hyperlink" Target="https://github.com/odygrd/quill/issues/535" TargetMode="External"/><Relationship Id="rId2703" Type="http://schemas.openxmlformats.org/officeDocument/2006/relationships/hyperlink" Target="https://drive.google.com/drive/folders/1eXI33piQPNcGZTxzokjII35M9EQ0T2ti" TargetMode="External"/><Relationship Id="rId2704" Type="http://schemas.openxmlformats.org/officeDocument/2006/relationships/hyperlink" Target="https://github.com/odygrd/quill/issues/764" TargetMode="External"/><Relationship Id="rId2705" Type="http://schemas.openxmlformats.org/officeDocument/2006/relationships/hyperlink" Target="https://drive.google.com/drive/folders/1R9ImYzYfBfAHWtTpdO4kXqftm4gRHUvM" TargetMode="External"/><Relationship Id="rId2706" Type="http://schemas.openxmlformats.org/officeDocument/2006/relationships/hyperlink" Target="https://github.com/oemof/demandlib/issues/78" TargetMode="External"/><Relationship Id="rId2707" Type="http://schemas.openxmlformats.org/officeDocument/2006/relationships/hyperlink" Target="https://drive.google.com/drive/folders/1_QrDOVFa3q3pr3-p_OPJx1C9F3O7eWQp" TargetMode="External"/><Relationship Id="rId2708" Type="http://schemas.openxmlformats.org/officeDocument/2006/relationships/hyperlink" Target="https://drive.google.com/drive/folders/1mP3wHnAle7ljwUooireD4ckCQ-K4AysP" TargetMode="External"/><Relationship Id="rId2709" Type="http://schemas.openxmlformats.org/officeDocument/2006/relationships/hyperlink" Target="https://github.com/oemof/oemof-solph/issues/980" TargetMode="External"/><Relationship Id="rId2720" Type="http://schemas.openxmlformats.org/officeDocument/2006/relationships/hyperlink" Target="https://drive.google.com/drive/folders/1RcTWNq8CeN1UvzXZBGW6hUqw-1K0Lk36" TargetMode="External"/><Relationship Id="rId2721" Type="http://schemas.openxmlformats.org/officeDocument/2006/relationships/hyperlink" Target="https://drive.google.com/drive/folders/1sgrqFvANFDD3J3wPmtANKpAxOO735lyT" TargetMode="External"/><Relationship Id="rId2722" Type="http://schemas.openxmlformats.org/officeDocument/2006/relationships/hyperlink" Target="https://github.com/OlympiaAI/raix/issues/27" TargetMode="External"/><Relationship Id="rId2723" Type="http://schemas.openxmlformats.org/officeDocument/2006/relationships/hyperlink" Target="https://drive.google.com/drive/folders/1JOdMK8iEtNrDB130AC_J52O1CxDB6qlp" TargetMode="External"/><Relationship Id="rId2724" Type="http://schemas.openxmlformats.org/officeDocument/2006/relationships/hyperlink" Target="https://github.com/omar-dulaimi/prisma-zod-generator/issues/303" TargetMode="External"/><Relationship Id="rId2725" Type="http://schemas.openxmlformats.org/officeDocument/2006/relationships/hyperlink" Target="https://drive.google.com/drive/folders/1PFsE8HckC8cwX0FHH5h3mrefDaMNKm2_" TargetMode="External"/><Relationship Id="rId2726" Type="http://schemas.openxmlformats.org/officeDocument/2006/relationships/hyperlink" Target="https://github.com/omni-us/jsonargparse/issues/758" TargetMode="External"/><Relationship Id="rId2727" Type="http://schemas.openxmlformats.org/officeDocument/2006/relationships/hyperlink" Target="https://drive.google.com/drive/folders/1McgskAcRPfA0GggDdN6ped0LrcgolAVb" TargetMode="External"/><Relationship Id="rId2728" Type="http://schemas.openxmlformats.org/officeDocument/2006/relationships/hyperlink" Target="https://drive.google.com/drive/folders/1uNEx9igJbSwLxyrG2aeYf5V62m2FDO6W" TargetMode="External"/><Relationship Id="rId2729" Type="http://schemas.openxmlformats.org/officeDocument/2006/relationships/hyperlink" Target="https://github.com/omwn/omw-data/issues/53" TargetMode="External"/><Relationship Id="rId2710" Type="http://schemas.openxmlformats.org/officeDocument/2006/relationships/hyperlink" Target="https://drive.google.com/drive/folders/1xGhWV_4huz8NN6oh9VAjTKcz--5dMS4t" TargetMode="External"/><Relationship Id="rId2711" Type="http://schemas.openxmlformats.org/officeDocument/2006/relationships/hyperlink" Target="https://drive.google.com/drive/folders/1yXOEdXj2Zwuvuy5lZeXB13mIT0Gk5MCX" TargetMode="External"/><Relationship Id="rId2712" Type="http://schemas.openxmlformats.org/officeDocument/2006/relationships/hyperlink" Target="https://github.com/OffchainLabs/prysm/issues/14687" TargetMode="External"/><Relationship Id="rId2713" Type="http://schemas.openxmlformats.org/officeDocument/2006/relationships/hyperlink" Target="https://drive.google.com/drive/folders/1z59W7nVr2kQEYUnyrZkx7GiTypeU_Lfa" TargetMode="External"/><Relationship Id="rId2714" Type="http://schemas.openxmlformats.org/officeDocument/2006/relationships/hyperlink" Target="https://drive.google.com/drive/folders/13gy1A3V5wAQVeDuOwAqDGnW-RHgGNM-q" TargetMode="External"/><Relationship Id="rId2715" Type="http://schemas.openxmlformats.org/officeDocument/2006/relationships/hyperlink" Target="https://github.com/okTurtles/group-income/issues/2725" TargetMode="External"/><Relationship Id="rId2716" Type="http://schemas.openxmlformats.org/officeDocument/2006/relationships/hyperlink" Target="https://drive.google.com/drive/folders/14ZD3fC-RRJbIPCprruTxnmUBqip50exX" TargetMode="External"/><Relationship Id="rId2717" Type="http://schemas.openxmlformats.org/officeDocument/2006/relationships/hyperlink" Target="https://github.com/OleksandrKvl/sbepp/issues/105" TargetMode="External"/><Relationship Id="rId2718" Type="http://schemas.openxmlformats.org/officeDocument/2006/relationships/hyperlink" Target="https://drive.google.com/drive/folders/1IXjYRKh5ZyldaoZPxs6clCbdsp9EPoRe" TargetMode="External"/><Relationship Id="rId2719" Type="http://schemas.openxmlformats.org/officeDocument/2006/relationships/hyperlink" Target="https://github.com/ollama/ollama/issues/10650" TargetMode="External"/><Relationship Id="rId1455" Type="http://schemas.openxmlformats.org/officeDocument/2006/relationships/hyperlink" Target="https://drive.google.com/drive/folders/1_nzMpgbpTBoYVm0YmIQo9UO9FOL9ZW06" TargetMode="External"/><Relationship Id="rId2786" Type="http://schemas.openxmlformats.org/officeDocument/2006/relationships/hyperlink" Target="https://drive.google.com/drive/folders/1gjjTBrI_3yfYwwkDfu7EaBFBtgbIiLuT" TargetMode="External"/><Relationship Id="rId1456" Type="http://schemas.openxmlformats.org/officeDocument/2006/relationships/hyperlink" Target="https://github.com/gerbera/gerbera/issues/3429" TargetMode="External"/><Relationship Id="rId2787" Type="http://schemas.openxmlformats.org/officeDocument/2006/relationships/hyperlink" Target="https://github.com/opencast/opencast/issues/6640" TargetMode="External"/><Relationship Id="rId1457" Type="http://schemas.openxmlformats.org/officeDocument/2006/relationships/hyperlink" Target="https://drive.google.com/drive/folders/1M36IxItyoDG311kxV1WldjFS7rglPsWI" TargetMode="External"/><Relationship Id="rId2788" Type="http://schemas.openxmlformats.org/officeDocument/2006/relationships/hyperlink" Target="https://drive.google.com/drive/folders/1YVwCyug3j6-TdDFzg-GZgE61FuIrlraL" TargetMode="External"/><Relationship Id="rId1458" Type="http://schemas.openxmlformats.org/officeDocument/2006/relationships/hyperlink" Target="https://github.com/getindiekit/indiekit/issues/774" TargetMode="External"/><Relationship Id="rId2789" Type="http://schemas.openxmlformats.org/officeDocument/2006/relationships/hyperlink" Target="https://github.com/opendataloader-project/opendataloader-pdf/issues/145" TargetMode="External"/><Relationship Id="rId1459" Type="http://schemas.openxmlformats.org/officeDocument/2006/relationships/hyperlink" Target="https://drive.google.com/drive/folders/1f70YO5Y1qfI5ROF77RgG-GQOhkWBL2bt" TargetMode="External"/><Relationship Id="rId629" Type="http://schemas.openxmlformats.org/officeDocument/2006/relationships/hyperlink" Target="https://drive.google.com/drive/folders/1qn8tqu91D189q3hbMSUVowRd5a_gEtSx" TargetMode="External"/><Relationship Id="rId624" Type="http://schemas.openxmlformats.org/officeDocument/2006/relationships/hyperlink" Target="https://github.com/Blueprints-org/blueprints/issues/392" TargetMode="External"/><Relationship Id="rId623" Type="http://schemas.openxmlformats.org/officeDocument/2006/relationships/hyperlink" Target="https://drive.google.com/drive/folders/1JtjxtdbQLIiHbW7mZ6TvFQXSc7d8GVyy" TargetMode="External"/><Relationship Id="rId622" Type="http://schemas.openxmlformats.org/officeDocument/2006/relationships/hyperlink" Target="https://github.com/bluenviron/gohlslib/issues/200" TargetMode="External"/><Relationship Id="rId621" Type="http://schemas.openxmlformats.org/officeDocument/2006/relationships/hyperlink" Target="https://drive.google.com/drive/folders/1EXZykvn_k8XjiZJPXjKHcol_WWLe83LT" TargetMode="External"/><Relationship Id="rId628" Type="http://schemas.openxmlformats.org/officeDocument/2006/relationships/hyperlink" Target="https://drive.google.com/drive/folders/1hKAkKWRzaPwp088eL8sHm8mOXOf56ITm" TargetMode="External"/><Relationship Id="rId627" Type="http://schemas.openxmlformats.org/officeDocument/2006/relationships/hyperlink" Target="https://github.com/Blueprints-org/blueprints/issues/409" TargetMode="External"/><Relationship Id="rId626" Type="http://schemas.openxmlformats.org/officeDocument/2006/relationships/hyperlink" Target="https://drive.google.com/drive/folders/19_kMFGCnkfzrrZeeqPDoo1J5udqI0g1q" TargetMode="External"/><Relationship Id="rId625" Type="http://schemas.openxmlformats.org/officeDocument/2006/relationships/hyperlink" Target="https://drive.google.com/drive/folders/1l3NXy9wyGEGIxkg9DIT4J4VBYIqxXvm_" TargetMode="External"/><Relationship Id="rId2780" Type="http://schemas.openxmlformats.org/officeDocument/2006/relationships/hyperlink" Target="https://github.com/OpenAgentsInc/openagents/issues/914" TargetMode="External"/><Relationship Id="rId1450" Type="http://schemas.openxmlformats.org/officeDocument/2006/relationships/hyperlink" Target="https://drive.google.com/drive/folders/1mXFaEweoYxb6LouJElPZ4-9JyboNnZLC" TargetMode="External"/><Relationship Id="rId2781" Type="http://schemas.openxmlformats.org/officeDocument/2006/relationships/hyperlink" Target="https://github.com/openai/openai-agents-python/issues/925" TargetMode="External"/><Relationship Id="rId620" Type="http://schemas.openxmlformats.org/officeDocument/2006/relationships/hyperlink" Target="https://github.com/block/elasticgraph/issues/875" TargetMode="External"/><Relationship Id="rId1451" Type="http://schemas.openxmlformats.org/officeDocument/2006/relationships/hyperlink" Target="https://drive.google.com/drive/folders/1k7MVj-vudpySmDuG6tbfQEizxtjCdplF" TargetMode="External"/><Relationship Id="rId2782" Type="http://schemas.openxmlformats.org/officeDocument/2006/relationships/hyperlink" Target="https://drive.google.com/drive/folders/14WOjoOE1FT57i0rzYaiviytx6kg3cOJt" TargetMode="External"/><Relationship Id="rId1452" Type="http://schemas.openxmlformats.org/officeDocument/2006/relationships/hyperlink" Target="https://github.com/gensx-inc/gensx/issues/440" TargetMode="External"/><Relationship Id="rId2783" Type="http://schemas.openxmlformats.org/officeDocument/2006/relationships/hyperlink" Target="https://github.com/OpenAssetIO/OpenAssetIO/issues/1190" TargetMode="External"/><Relationship Id="rId1453" Type="http://schemas.openxmlformats.org/officeDocument/2006/relationships/hyperlink" Target="https://drive.google.com/drive/folders/1fhz402jWZu7_GVq8bW56M_34MNsDRYnC" TargetMode="External"/><Relationship Id="rId2784" Type="http://schemas.openxmlformats.org/officeDocument/2006/relationships/hyperlink" Target="https://drive.google.com/drive/folders/1lQrMmoahnT4ccWimEN0AF-fp6Adu4nee" TargetMode="External"/><Relationship Id="rId1454" Type="http://schemas.openxmlformats.org/officeDocument/2006/relationships/hyperlink" Target="https://github.com/geoserver/geofence/issues/270" TargetMode="External"/><Relationship Id="rId2785" Type="http://schemas.openxmlformats.org/officeDocument/2006/relationships/hyperlink" Target="https://github.com/OpenBAS-Platform/openbas/issues/2908" TargetMode="External"/><Relationship Id="rId1444" Type="http://schemas.openxmlformats.org/officeDocument/2006/relationships/hyperlink" Target="https://github.com/gchq/sleeper/issues/6115" TargetMode="External"/><Relationship Id="rId2775" Type="http://schemas.openxmlformats.org/officeDocument/2006/relationships/hyperlink" Target="https://drive.google.com/drive/folders/1jw7SpWUuwBLfOVNXt-bCUzPyaq08jxYW" TargetMode="External"/><Relationship Id="rId1445" Type="http://schemas.openxmlformats.org/officeDocument/2006/relationships/hyperlink" Target="https://drive.google.com/drive/folders/1nXLqctfCnMnvF5gbImCsGMK_pc_lTo29" TargetMode="External"/><Relationship Id="rId2776" Type="http://schemas.openxmlformats.org/officeDocument/2006/relationships/hyperlink" Target="https://drive.google.com/drive/folders/1F-Towls5PdhgrEwsNOryTUqwXgAPdmbv" TargetMode="External"/><Relationship Id="rId1446" Type="http://schemas.openxmlformats.org/officeDocument/2006/relationships/hyperlink" Target="https://github.com/gchq/sleeper/issues/5562" TargetMode="External"/><Relationship Id="rId2777" Type="http://schemas.openxmlformats.org/officeDocument/2006/relationships/hyperlink" Target="https://github.com/open5e/open5e-api/issues/614" TargetMode="External"/><Relationship Id="rId1447" Type="http://schemas.openxmlformats.org/officeDocument/2006/relationships/hyperlink" Target="https://drive.google.com/drive/folders/13-NpK3RskglVvp57DWgwDryo32qxZQzT" TargetMode="External"/><Relationship Id="rId2778" Type="http://schemas.openxmlformats.org/officeDocument/2006/relationships/hyperlink" Target="https://drive.google.com/drive/folders/1M1C7eRPbMIJlGtptB_nLMWcAWW5MtL3R" TargetMode="External"/><Relationship Id="rId1448" Type="http://schemas.openxmlformats.org/officeDocument/2006/relationships/hyperlink" Target="https://drive.google.com/drive/folders/1KtiB66EMkk1K4CzLgcFEaZbSu93SrDia" TargetMode="External"/><Relationship Id="rId2779" Type="http://schemas.openxmlformats.org/officeDocument/2006/relationships/hyperlink" Target="https://drive.google.com/drive/folders/1LpLrcP_2cb42cR0dqivCqJflZKbVlnG9" TargetMode="External"/><Relationship Id="rId1449" Type="http://schemas.openxmlformats.org/officeDocument/2006/relationships/hyperlink" Target="https://github.com/gchq/sleeper/issues/4868" TargetMode="External"/><Relationship Id="rId619" Type="http://schemas.openxmlformats.org/officeDocument/2006/relationships/hyperlink" Target="https://drive.google.com/drive/folders/1dBRijpnfvgZrGHQcRvxQpXEqBQZ_Znmr" TargetMode="External"/><Relationship Id="rId618" Type="http://schemas.openxmlformats.org/officeDocument/2006/relationships/hyperlink" Target="https://github.com/blinklabs-io/gouroboros/issues/1142" TargetMode="External"/><Relationship Id="rId613" Type="http://schemas.openxmlformats.org/officeDocument/2006/relationships/hyperlink" Target="https://github.com/blinklabs-io/gouroboros/issues/1053" TargetMode="External"/><Relationship Id="rId612" Type="http://schemas.openxmlformats.org/officeDocument/2006/relationships/hyperlink" Target="https://drive.google.com/drive/folders/1Zp4Eiz4Bc9eAAS-vjIpXvFKEKXk8ehtU" TargetMode="External"/><Relationship Id="rId611" Type="http://schemas.openxmlformats.org/officeDocument/2006/relationships/hyperlink" Target="https://drive.google.com/drive/folders/17m46IXMaqHzDUVcWXdA-o82wI49YO9Sz" TargetMode="External"/><Relationship Id="rId610" Type="http://schemas.openxmlformats.org/officeDocument/2006/relationships/hyperlink" Target="https://github.com/blevesearch/bleve/issues/2220" TargetMode="External"/><Relationship Id="rId617" Type="http://schemas.openxmlformats.org/officeDocument/2006/relationships/hyperlink" Target="https://drive.google.com/drive/folders/1YB3MIJsxlXHIrOB6WsU9qPy5BDNfCMX4" TargetMode="External"/><Relationship Id="rId616" Type="http://schemas.openxmlformats.org/officeDocument/2006/relationships/hyperlink" Target="https://github.com/blinklabs-io/gouroboros/issues/1110" TargetMode="External"/><Relationship Id="rId615" Type="http://schemas.openxmlformats.org/officeDocument/2006/relationships/hyperlink" Target="https://drive.google.com/drive/folders/1XXK5ipt9xdiSBQfermA2Fm3Pq8znJXIl" TargetMode="External"/><Relationship Id="rId614" Type="http://schemas.openxmlformats.org/officeDocument/2006/relationships/hyperlink" Target="https://drive.google.com/drive/folders/1Jf62kTF5v68CtjJpMfvXwbURvFy0LOUk" TargetMode="External"/><Relationship Id="rId2770" Type="http://schemas.openxmlformats.org/officeDocument/2006/relationships/hyperlink" Target="https://drive.google.com/drive/folders/1-I_jxTJekkRuaWxmRRgzHvJHztNw-lTB" TargetMode="External"/><Relationship Id="rId1440" Type="http://schemas.openxmlformats.org/officeDocument/2006/relationships/hyperlink" Target="https://github.com/gchq/sleeper/issues/4668" TargetMode="External"/><Relationship Id="rId2771" Type="http://schemas.openxmlformats.org/officeDocument/2006/relationships/hyperlink" Target="https://drive.google.com/drive/folders/1-A09CeASrBWovlZmn1OMSAvduuEHsybk" TargetMode="External"/><Relationship Id="rId1441" Type="http://schemas.openxmlformats.org/officeDocument/2006/relationships/hyperlink" Target="https://drive.google.com/drive/folders/1OdEAtz-kEvC5fwLlTNIczeTPtva6stUQ" TargetMode="External"/><Relationship Id="rId2772" Type="http://schemas.openxmlformats.org/officeDocument/2006/relationships/hyperlink" Target="https://github.com/open-ug/conveyor/issues/92" TargetMode="External"/><Relationship Id="rId1442" Type="http://schemas.openxmlformats.org/officeDocument/2006/relationships/hyperlink" Target="https://github.com/gchq/sleeper/issues/5108" TargetMode="External"/><Relationship Id="rId2773" Type="http://schemas.openxmlformats.org/officeDocument/2006/relationships/hyperlink" Target="https://drive.google.com/drive/folders/1QyqrYIFsOE7YkoC6SlhAMfeVBjEyHZUw" TargetMode="External"/><Relationship Id="rId1443" Type="http://schemas.openxmlformats.org/officeDocument/2006/relationships/hyperlink" Target="https://drive.google.com/drive/folders/1flVnW_KZbP01mehRZxcmtM8zmdZ0aC5Z" TargetMode="External"/><Relationship Id="rId2774" Type="http://schemas.openxmlformats.org/officeDocument/2006/relationships/hyperlink" Target="https://github.com/open5e/open5e-api/issues/720" TargetMode="External"/><Relationship Id="rId1477" Type="http://schemas.openxmlformats.org/officeDocument/2006/relationships/hyperlink" Target="https://drive.google.com/drive/folders/14AyRGDxfjDdjyvYp3TJeGrUgGnRk7D4S" TargetMode="External"/><Relationship Id="rId4503" Type="http://schemas.openxmlformats.org/officeDocument/2006/relationships/hyperlink" Target="https://drive.google.com/drive/folders/1--NzuL87bhItj93P1bm86GPx4_PCOGKt" TargetMode="External"/><Relationship Id="rId1478" Type="http://schemas.openxmlformats.org/officeDocument/2006/relationships/hyperlink" Target="https://drive.google.com/drive/folders/1e1RGpeCvrMywvTL-sTG9bKYa3k5GpSw1" TargetMode="External"/><Relationship Id="rId4502" Type="http://schemas.openxmlformats.org/officeDocument/2006/relationships/hyperlink" Target="https://github.com/docker/docker-language-server/issues/185" TargetMode="External"/><Relationship Id="rId1479" Type="http://schemas.openxmlformats.org/officeDocument/2006/relationships/hyperlink" Target="https://github.com/ggozad/haiku.rag/issues/74" TargetMode="External"/><Relationship Id="rId4505" Type="http://schemas.openxmlformats.org/officeDocument/2006/relationships/hyperlink" Target="https://drive.google.com/drive/folders/1YkdQdaT4HiK1K2lBexowlIOGcMnsTLHt" TargetMode="External"/><Relationship Id="rId4504" Type="http://schemas.openxmlformats.org/officeDocument/2006/relationships/hyperlink" Target="https://github.com/docker/docker-language-server/issues/317" TargetMode="External"/><Relationship Id="rId4507" Type="http://schemas.openxmlformats.org/officeDocument/2006/relationships/hyperlink" Target="https://drive.google.com/drive/folders/1YLkSW2XlvzkkUPCBL3T47zExX3NoVAT8" TargetMode="External"/><Relationship Id="rId4506" Type="http://schemas.openxmlformats.org/officeDocument/2006/relationships/hyperlink" Target="https://github.com/dotnet/arcade-services/issues/4866" TargetMode="External"/><Relationship Id="rId4509" Type="http://schemas.openxmlformats.org/officeDocument/2006/relationships/hyperlink" Target="https://drive.google.com/drive/folders/1xomUdK5mthNZSD89Qw21uMrfLV2Ir3u8" TargetMode="External"/><Relationship Id="rId4508" Type="http://schemas.openxmlformats.org/officeDocument/2006/relationships/hyperlink" Target="https://github.com/dotnet/arcade-services/issues/4719" TargetMode="External"/><Relationship Id="rId646" Type="http://schemas.openxmlformats.org/officeDocument/2006/relationships/hyperlink" Target="https://drive.google.com/drive/folders/16iTLjOC-kXQl_Pz6BI13JDvY3kao8yKr" TargetMode="External"/><Relationship Id="rId645" Type="http://schemas.openxmlformats.org/officeDocument/2006/relationships/hyperlink" Target="https://drive.google.com/drive/folders/1_qVDFcJc6UGFQuFW3cNO8KHa-dNFMEm-" TargetMode="External"/><Relationship Id="rId644" Type="http://schemas.openxmlformats.org/officeDocument/2006/relationships/hyperlink" Target="https://github.com/borgbase/vorta/issues/2224" TargetMode="External"/><Relationship Id="rId643" Type="http://schemas.openxmlformats.org/officeDocument/2006/relationships/hyperlink" Target="https://drive.google.com/drive/folders/1-MJwkMaehNarqn7nSdQSVBHjHNnNYrqy" TargetMode="External"/><Relationship Id="rId649" Type="http://schemas.openxmlformats.org/officeDocument/2006/relationships/hyperlink" Target="https://drive.google.com/drive/folders/1aOHvUqhR8m2zP9-3dsWhlXmEs_xvjU4H" TargetMode="External"/><Relationship Id="rId648" Type="http://schemas.openxmlformats.org/officeDocument/2006/relationships/hyperlink" Target="https://drive.google.com/drive/folders/11OTE9qom9uJsrlR_IYdHj7msXwx6KabJ" TargetMode="External"/><Relationship Id="rId647" Type="http://schemas.openxmlformats.org/officeDocument/2006/relationships/hyperlink" Target="https://github.com/BradyAJohnston/MolecularNodes/issues/671" TargetMode="External"/><Relationship Id="rId1470" Type="http://schemas.openxmlformats.org/officeDocument/2006/relationships/hyperlink" Target="https://github.com/getsentry/sentry-react-native/issues/4524" TargetMode="External"/><Relationship Id="rId1471" Type="http://schemas.openxmlformats.org/officeDocument/2006/relationships/hyperlink" Target="https://drive.google.com/drive/folders/1h7voGfSIQUSq9A8-JzeXjAz1kH1juRQz" TargetMode="External"/><Relationship Id="rId1472" Type="http://schemas.openxmlformats.org/officeDocument/2006/relationships/hyperlink" Target="https://github.com/getsentry/sentry-ruby/issues/2634" TargetMode="External"/><Relationship Id="rId642" Type="http://schemas.openxmlformats.org/officeDocument/2006/relationships/hyperlink" Target="https://github.com/boostorg/mp11/issues/96" TargetMode="External"/><Relationship Id="rId1473" Type="http://schemas.openxmlformats.org/officeDocument/2006/relationships/hyperlink" Target="https://drive.google.com/drive/folders/1AFSW0qcecaLMZnWqNwHhHYg_EfYZvhef" TargetMode="External"/><Relationship Id="rId641" Type="http://schemas.openxmlformats.org/officeDocument/2006/relationships/hyperlink" Target="https://github.com/booklore-app/booklore/issues/1102" TargetMode="External"/><Relationship Id="rId1474" Type="http://schemas.openxmlformats.org/officeDocument/2006/relationships/hyperlink" Target="https://github.com/GetStream/stream-chat-react/issues/2584" TargetMode="External"/><Relationship Id="rId640" Type="http://schemas.openxmlformats.org/officeDocument/2006/relationships/hyperlink" Target="https://drive.google.com/drive/folders/1sLxr-UKFfInnZuoQ7eUiJs1rWUXxvbc6" TargetMode="External"/><Relationship Id="rId1475" Type="http://schemas.openxmlformats.org/officeDocument/2006/relationships/hyperlink" Target="https://drive.google.com/drive/folders/1wD4vcq4U9nKn0NoDuZO89OApjeyBCaQ0" TargetMode="External"/><Relationship Id="rId4501" Type="http://schemas.openxmlformats.org/officeDocument/2006/relationships/hyperlink" Target="https://drive.google.com/drive/folders/13A_oN4pPPyga9N-mtVO6LsvU9GGTKe6b" TargetMode="External"/><Relationship Id="rId1476" Type="http://schemas.openxmlformats.org/officeDocument/2006/relationships/hyperlink" Target="https://github.com/ggml-org/ggml/issues/620" TargetMode="External"/><Relationship Id="rId4500" Type="http://schemas.openxmlformats.org/officeDocument/2006/relationships/hyperlink" Target="https://github.com/docker/docker-language-server/issues/252" TargetMode="External"/><Relationship Id="rId1466" Type="http://schemas.openxmlformats.org/officeDocument/2006/relationships/hyperlink" Target="https://drive.google.com/drive/folders/1dq2FJkwUm7UZPyA6-RtUB8p9eoUmdyAr" TargetMode="External"/><Relationship Id="rId2797" Type="http://schemas.openxmlformats.org/officeDocument/2006/relationships/hyperlink" Target="https://drive.google.com/drive/folders/1xZwFrImta3kcEi2XB5yUvKf3EpsgInIH" TargetMode="External"/><Relationship Id="rId1467" Type="http://schemas.openxmlformats.org/officeDocument/2006/relationships/hyperlink" Target="https://github.com/getsentry/sentry-python/issues/4644" TargetMode="External"/><Relationship Id="rId2798" Type="http://schemas.openxmlformats.org/officeDocument/2006/relationships/hyperlink" Target="https://drive.google.com/drive/folders/1Qn0YQ5qbS3_L7j6FeNYOFd0Uw3vXLx85" TargetMode="External"/><Relationship Id="rId1468" Type="http://schemas.openxmlformats.org/officeDocument/2006/relationships/hyperlink" Target="https://drive.google.com/drive/folders/1WIzbr4KCusjwT1JppdEZsHEwopqGAclR" TargetMode="External"/><Relationship Id="rId2799" Type="http://schemas.openxmlformats.org/officeDocument/2006/relationships/hyperlink" Target="https://github.com/OpenLiberty/open-liberty/issues/30513" TargetMode="External"/><Relationship Id="rId1469" Type="http://schemas.openxmlformats.org/officeDocument/2006/relationships/hyperlink" Target="https://drive.google.com/drive/folders/1H6_06846AGuJji7jVCwa4qUm0pt-9M5r" TargetMode="External"/><Relationship Id="rId635" Type="http://schemas.openxmlformats.org/officeDocument/2006/relationships/hyperlink" Target="https://github.com/bmf-san/ggc/issues/40" TargetMode="External"/><Relationship Id="rId634" Type="http://schemas.openxmlformats.org/officeDocument/2006/relationships/hyperlink" Target="https://drive.google.com/drive/folders/1Rguo98Ef6xM1F5DL5OwBIoJkNA_bulpT" TargetMode="External"/><Relationship Id="rId633" Type="http://schemas.openxmlformats.org/officeDocument/2006/relationships/hyperlink" Target="https://github.com/BlueWallet/BlueWallet/issues/7758" TargetMode="External"/><Relationship Id="rId632" Type="http://schemas.openxmlformats.org/officeDocument/2006/relationships/hyperlink" Target="https://drive.google.com/drive/folders/15k2gehX9nSUupfIFVI8E80rLM82QxOjZ" TargetMode="External"/><Relationship Id="rId639" Type="http://schemas.openxmlformats.org/officeDocument/2006/relationships/hyperlink" Target="https://github.com/BoltzExchange/boltz-backend/issues/918" TargetMode="External"/><Relationship Id="rId638" Type="http://schemas.openxmlformats.org/officeDocument/2006/relationships/hyperlink" Target="https://drive.google.com/drive/folders/1SZ0aJeDrd8u6cFYlD1KEMwqMrKAjS5x6" TargetMode="External"/><Relationship Id="rId637" Type="http://schemas.openxmlformats.org/officeDocument/2006/relationships/hyperlink" Target="https://github.com/boa-dev/temporal/issues/241" TargetMode="External"/><Relationship Id="rId636" Type="http://schemas.openxmlformats.org/officeDocument/2006/relationships/hyperlink" Target="https://drive.google.com/drive/folders/1SAbvRuGLBrKQbFYeSs0qPMY27XJXzvvv" TargetMode="External"/><Relationship Id="rId2790" Type="http://schemas.openxmlformats.org/officeDocument/2006/relationships/hyperlink" Target="https://drive.google.com/drive/folders/1GLSc1ioSZbKl5LyQEcuvucNeiz45qtkm" TargetMode="External"/><Relationship Id="rId1460" Type="http://schemas.openxmlformats.org/officeDocument/2006/relationships/hyperlink" Target="https://github.com/getmoto/moto/issues/8920" TargetMode="External"/><Relationship Id="rId2791" Type="http://schemas.openxmlformats.org/officeDocument/2006/relationships/hyperlink" Target="https://github.com/openfoodfacts/robotoff/issues/1760" TargetMode="External"/><Relationship Id="rId1461" Type="http://schemas.openxmlformats.org/officeDocument/2006/relationships/hyperlink" Target="https://github.com/getodk/collect/issues/6680" TargetMode="External"/><Relationship Id="rId2792" Type="http://schemas.openxmlformats.org/officeDocument/2006/relationships/hyperlink" Target="https://drive.google.com/drive/folders/1GMc_uz7rpgQ6-H8tb2Yd6gYvhUlCT761" TargetMode="External"/><Relationship Id="rId631" Type="http://schemas.openxmlformats.org/officeDocument/2006/relationships/hyperlink" Target="https://drive.google.com/drive/folders/1DDfkbg9Gdlr1wxp7VoaAZ6gTaEMgtxN5" TargetMode="External"/><Relationship Id="rId1462" Type="http://schemas.openxmlformats.org/officeDocument/2006/relationships/hyperlink" Target="https://github.com/getodk/collect/issues/6646" TargetMode="External"/><Relationship Id="rId2793" Type="http://schemas.openxmlformats.org/officeDocument/2006/relationships/hyperlink" Target="https://drive.google.com/drive/folders/1Uz1Xj2YjgLX4SLHlPZ2AKJgKGRJNSsc-" TargetMode="External"/><Relationship Id="rId630" Type="http://schemas.openxmlformats.org/officeDocument/2006/relationships/hyperlink" Target="https://github.com/Blueprints-org/blueprints/issues/595" TargetMode="External"/><Relationship Id="rId1463" Type="http://schemas.openxmlformats.org/officeDocument/2006/relationships/hyperlink" Target="https://drive.google.com/drive/folders/1d8ukebiAdkSKYKKKPpPivqxVT9YxIjxQ" TargetMode="External"/><Relationship Id="rId2794" Type="http://schemas.openxmlformats.org/officeDocument/2006/relationships/hyperlink" Target="https://github.com/openfoodfoundation/openfoodnetwork/issues/13255" TargetMode="External"/><Relationship Id="rId1464" Type="http://schemas.openxmlformats.org/officeDocument/2006/relationships/hyperlink" Target="https://github.com/getsentry/sentry-javascript/issues/16313" TargetMode="External"/><Relationship Id="rId2795" Type="http://schemas.openxmlformats.org/officeDocument/2006/relationships/hyperlink" Target="https://drive.google.com/drive/folders/1SQu9ldPclC7YApmNKTpQFDljrFK3g5XW" TargetMode="External"/><Relationship Id="rId1465" Type="http://schemas.openxmlformats.org/officeDocument/2006/relationships/hyperlink" Target="https://drive.google.com/drive/folders/1Tzt6l7A_sW8MixFxZCXKNDDjZcwDiT3P" TargetMode="External"/><Relationship Id="rId2796" Type="http://schemas.openxmlformats.org/officeDocument/2006/relationships/hyperlink" Target="https://github.com/openkruise/kruise/issues/1873" TargetMode="External"/><Relationship Id="rId1411" Type="http://schemas.openxmlformats.org/officeDocument/2006/relationships/hyperlink" Target="https://drive.google.com/drive/folders/1EsAp35pfQI_nTJ5iJjklsI5WWo9tCa3S" TargetMode="External"/><Relationship Id="rId2742" Type="http://schemas.openxmlformats.org/officeDocument/2006/relationships/hyperlink" Target="https://github.com/Open-CMSIS-Pack/devtools/issues/1516" TargetMode="External"/><Relationship Id="rId1412" Type="http://schemas.openxmlformats.org/officeDocument/2006/relationships/hyperlink" Target="https://drive.google.com/drive/folders/1rR80Oi0bMcFH99BN6lUGB5L_rfNAiVbn" TargetMode="External"/><Relationship Id="rId2743" Type="http://schemas.openxmlformats.org/officeDocument/2006/relationships/hyperlink" Target="https://drive.google.com/drive/folders/1119nTAsMulRwYtMk7tczKY0vlpKNPP7x" TargetMode="External"/><Relationship Id="rId1413" Type="http://schemas.openxmlformats.org/officeDocument/2006/relationships/hyperlink" Target="https://github.com/FuelLabs/sway/issues/7268" TargetMode="External"/><Relationship Id="rId2744" Type="http://schemas.openxmlformats.org/officeDocument/2006/relationships/hyperlink" Target="https://github.com/Open-CMSIS-Pack/devtools/issues/1194" TargetMode="External"/><Relationship Id="rId1414" Type="http://schemas.openxmlformats.org/officeDocument/2006/relationships/hyperlink" Target="https://github.com/Futsch1/medTimer/issues/407" TargetMode="External"/><Relationship Id="rId2745" Type="http://schemas.openxmlformats.org/officeDocument/2006/relationships/hyperlink" Target="https://drive.google.com/drive/folders/1neGrs7h5Nc_JEbPC-Wej50LCOoEY8mpP" TargetMode="External"/><Relationship Id="rId1415" Type="http://schemas.openxmlformats.org/officeDocument/2006/relationships/hyperlink" Target="https://drive.google.com/drive/folders/1ZGfkvhJ9HJ3yfzpcEGdzHcEOxBWDVSN7" TargetMode="External"/><Relationship Id="rId2746" Type="http://schemas.openxmlformats.org/officeDocument/2006/relationships/hyperlink" Target="https://github.com/Open-CMSIS-Pack/devtools/issues/1408" TargetMode="External"/><Relationship Id="rId1416" Type="http://schemas.openxmlformats.org/officeDocument/2006/relationships/hyperlink" Target="https://github.com/gambitproject/gambit/issues/653" TargetMode="External"/><Relationship Id="rId2747" Type="http://schemas.openxmlformats.org/officeDocument/2006/relationships/hyperlink" Target="https://drive.google.com/drive/folders/1CpXtcA_wWG_BYywNUC7eg1_ifjsTvu0U" TargetMode="External"/><Relationship Id="rId1417" Type="http://schemas.openxmlformats.org/officeDocument/2006/relationships/hyperlink" Target="https://drive.google.com/drive/folders/1caqjhZ6EsQvqHPLxrr3SSn_OhP6gfVN9" TargetMode="External"/><Relationship Id="rId2748" Type="http://schemas.openxmlformats.org/officeDocument/2006/relationships/hyperlink" Target="https://github.com/open-feature/dotnet-sdk/issues/459" TargetMode="External"/><Relationship Id="rId1418" Type="http://schemas.openxmlformats.org/officeDocument/2006/relationships/hyperlink" Target="https://github.com/gammapy/gammapy/issues/4218" TargetMode="External"/><Relationship Id="rId2749" Type="http://schemas.openxmlformats.org/officeDocument/2006/relationships/hyperlink" Target="https://drive.google.com/drive/folders/1ywTzzm_MtclVyrPGc9RGOUglY3AK-99B" TargetMode="External"/><Relationship Id="rId1419" Type="http://schemas.openxmlformats.org/officeDocument/2006/relationships/hyperlink" Target="https://drive.google.com/drive/folders/1Lhpbh3Yjr6KbFHYmsg3U2Gnv6EhW0xVC" TargetMode="External"/><Relationship Id="rId2740" Type="http://schemas.openxmlformats.org/officeDocument/2006/relationships/hyperlink" Target="https://github.com/Open-CMSIS-Pack/devtools/issues/1575" TargetMode="External"/><Relationship Id="rId1410" Type="http://schemas.openxmlformats.org/officeDocument/2006/relationships/hyperlink" Target="https://github.com/frequency-chain/frequency/issues/2618" TargetMode="External"/><Relationship Id="rId2741" Type="http://schemas.openxmlformats.org/officeDocument/2006/relationships/hyperlink" Target="https://drive.google.com/drive/folders/1GS-0TJoB-Sakdv-5N4dpGBGtStAnLbxq" TargetMode="External"/><Relationship Id="rId1400" Type="http://schemas.openxmlformats.org/officeDocument/2006/relationships/hyperlink" Target="https://github.com/formwerkjs/formwerk/issues/68" TargetMode="External"/><Relationship Id="rId2731" Type="http://schemas.openxmlformats.org/officeDocument/2006/relationships/hyperlink" Target="https://drive.google.com/drive/folders/1ZooF0Ws087ocGLnZa2hijKwPurlFLMO4" TargetMode="External"/><Relationship Id="rId1401" Type="http://schemas.openxmlformats.org/officeDocument/2006/relationships/hyperlink" Target="https://drive.google.com/drive/folders/1mm0oEMPjfsQqeuFKDjVpsjhAfjQ2ZwwW" TargetMode="External"/><Relationship Id="rId2732" Type="http://schemas.openxmlformats.org/officeDocument/2006/relationships/hyperlink" Target="https://github.com/onetimesecret/onetimesecret/issues/1181" TargetMode="External"/><Relationship Id="rId1402" Type="http://schemas.openxmlformats.org/officeDocument/2006/relationships/hyperlink" Target="https://github.com/forntoh/LcdMenu/issues/375" TargetMode="External"/><Relationship Id="rId2733" Type="http://schemas.openxmlformats.org/officeDocument/2006/relationships/hyperlink" Target="https://drive.google.com/drive/folders/1fZSsuSmIxUp5moBLc8Y_lFhZVEEJzI7z" TargetMode="External"/><Relationship Id="rId1403" Type="http://schemas.openxmlformats.org/officeDocument/2006/relationships/hyperlink" Target="https://drive.google.com/drive/folders/1gNUJIOK2yuW2ldnt3t21NczGq1QEWZI5" TargetMode="External"/><Relationship Id="rId2734" Type="http://schemas.openxmlformats.org/officeDocument/2006/relationships/hyperlink" Target="https://github.com/onetimesecret/onetimesecret/issues/1087" TargetMode="External"/><Relationship Id="rId1404" Type="http://schemas.openxmlformats.org/officeDocument/2006/relationships/hyperlink" Target="https://github.com/FortAwesome/react-fontawesome/issues/601" TargetMode="External"/><Relationship Id="rId2735" Type="http://schemas.openxmlformats.org/officeDocument/2006/relationships/hyperlink" Target="https://drive.google.com/drive/folders/1g7aGm02cLFnvlG692teKwpZWJXlji2b4" TargetMode="External"/><Relationship Id="rId1405" Type="http://schemas.openxmlformats.org/officeDocument/2006/relationships/hyperlink" Target="https://drive.google.com/drive/folders/1PVsdWObGMRirnjFGwEb5474Nw5ECkzQY" TargetMode="External"/><Relationship Id="rId2736" Type="http://schemas.openxmlformats.org/officeDocument/2006/relationships/hyperlink" Target="https://github.com/Open-CMSIS-Pack/devtools/issues/2064" TargetMode="External"/><Relationship Id="rId1406" Type="http://schemas.openxmlformats.org/officeDocument/2006/relationships/hyperlink" Target="https://github.com/Foxboron/go-uefi/issues/34" TargetMode="External"/><Relationship Id="rId2737" Type="http://schemas.openxmlformats.org/officeDocument/2006/relationships/hyperlink" Target="https://drive.google.com/drive/folders/1K2uBRW8kBDR9Pz7M8spvQ1eM1IONXIBc" TargetMode="External"/><Relationship Id="rId1407" Type="http://schemas.openxmlformats.org/officeDocument/2006/relationships/hyperlink" Target="https://drive.google.com/drive/folders/17sAHH24FQT9ERc9Zfhchj2msuG5JTbEh" TargetMode="External"/><Relationship Id="rId2738" Type="http://schemas.openxmlformats.org/officeDocument/2006/relationships/hyperlink" Target="https://github.com/Open-CMSIS-Pack/devtools/issues/1858" TargetMode="External"/><Relationship Id="rId1408" Type="http://schemas.openxmlformats.org/officeDocument/2006/relationships/hyperlink" Target="https://github.com/freqtrade/freqtrade/issues/11143" TargetMode="External"/><Relationship Id="rId2739" Type="http://schemas.openxmlformats.org/officeDocument/2006/relationships/hyperlink" Target="https://drive.google.com/drive/folders/1VhtRs6kF4QepxpGAMXROYr6OHsotPq6h" TargetMode="External"/><Relationship Id="rId1409" Type="http://schemas.openxmlformats.org/officeDocument/2006/relationships/hyperlink" Target="https://drive.google.com/drive/folders/1Nyc89r6nA5DB94ql_dTwINb5hxfnHfnU" TargetMode="External"/><Relationship Id="rId2730" Type="http://schemas.openxmlformats.org/officeDocument/2006/relationships/hyperlink" Target="https://drive.google.com/drive/folders/1JO6RUYF_p91sjMS6xVNXVoJ-VvcwS6BW" TargetMode="External"/><Relationship Id="rId1433" Type="http://schemas.openxmlformats.org/officeDocument/2006/relationships/hyperlink" Target="https://github.com/gbdev/rgbds/issues/1800" TargetMode="External"/><Relationship Id="rId2764" Type="http://schemas.openxmlformats.org/officeDocument/2006/relationships/hyperlink" Target="https://github.com/open-telemetry/opentelemetry-js/issues/5308" TargetMode="External"/><Relationship Id="rId1434" Type="http://schemas.openxmlformats.org/officeDocument/2006/relationships/hyperlink" Target="https://drive.google.com/drive/folders/1eDqdtK56wM5TxwrG3hKTX7IfeR90jtZ6" TargetMode="External"/><Relationship Id="rId2765" Type="http://schemas.openxmlformats.org/officeDocument/2006/relationships/hyperlink" Target="https://drive.google.com/drive/folders/1e6Dw18mB4kmoucMyPc4pLyhZSvTduLuv" TargetMode="External"/><Relationship Id="rId1435" Type="http://schemas.openxmlformats.org/officeDocument/2006/relationships/hyperlink" Target="https://github.com/gbdev/rgbds/issues/1210" TargetMode="External"/><Relationship Id="rId2766" Type="http://schemas.openxmlformats.org/officeDocument/2006/relationships/hyperlink" Target="https://drive.google.com/drive/folders/1t2Pm8KLTfTUi3apMvwnJgAeSeluNceQK" TargetMode="External"/><Relationship Id="rId1436" Type="http://schemas.openxmlformats.org/officeDocument/2006/relationships/hyperlink" Target="https://drive.google.com/drive/folders/16AGWQ58qlRzoyBv8Y92fBnBX2tFdOt7Z" TargetMode="External"/><Relationship Id="rId2767" Type="http://schemas.openxmlformats.org/officeDocument/2006/relationships/hyperlink" Target="https://github.com/open-telemetry/opentelemetry-js/issues/5928" TargetMode="External"/><Relationship Id="rId1437" Type="http://schemas.openxmlformats.org/officeDocument/2006/relationships/hyperlink" Target="https://github.com/gchq/sleeper/issues/5519" TargetMode="External"/><Relationship Id="rId2768" Type="http://schemas.openxmlformats.org/officeDocument/2006/relationships/hyperlink" Target="https://drive.google.com/drive/folders/1rCdWkEE_c_TcPQlcZEzrHgf3RmdXvu7T" TargetMode="External"/><Relationship Id="rId1438" Type="http://schemas.openxmlformats.org/officeDocument/2006/relationships/hyperlink" Target="https://drive.google.com/drive/folders/1dEf-Gmz9SplMu53kSC04s8nskdPaLWEd" TargetMode="External"/><Relationship Id="rId2769" Type="http://schemas.openxmlformats.org/officeDocument/2006/relationships/hyperlink" Target="https://github.com/open-telemetry/opentelemetry-python/issues/4342" TargetMode="External"/><Relationship Id="rId1439" Type="http://schemas.openxmlformats.org/officeDocument/2006/relationships/hyperlink" Target="https://drive.google.com/drive/folders/1tEIsHuMnMFglywPLTRR1vKnx3c9OnkTT" TargetMode="External"/><Relationship Id="rId609" Type="http://schemas.openxmlformats.org/officeDocument/2006/relationships/hyperlink" Target="https://drive.google.com/drive/folders/1VdiN55dk8w5kiOfjthsHn0WCFZpq_NlH" TargetMode="External"/><Relationship Id="rId608" Type="http://schemas.openxmlformats.org/officeDocument/2006/relationships/hyperlink" Target="https://github.com/blackstork-io/fabric/issues/264" TargetMode="External"/><Relationship Id="rId607" Type="http://schemas.openxmlformats.org/officeDocument/2006/relationships/hyperlink" Target="https://drive.google.com/drive/folders/1OGlVYiCoiZhP3Kxn5s8D5csL_CCXBkzm" TargetMode="External"/><Relationship Id="rId602" Type="http://schemas.openxmlformats.org/officeDocument/2006/relationships/hyperlink" Target="https://github.com/biopragmatics/bioregistry/issues/1096" TargetMode="External"/><Relationship Id="rId601" Type="http://schemas.openxmlformats.org/officeDocument/2006/relationships/hyperlink" Target="https://drive.google.com/drive/folders/1xKlIMFP5e6vkIQw9aa1txWjx57rTx6BD" TargetMode="External"/><Relationship Id="rId600" Type="http://schemas.openxmlformats.org/officeDocument/2006/relationships/hyperlink" Target="https://drive.google.com/drive/folders/1gTO_VGqr82Zs8LZKrChO2Ei9LxuYI7vP" TargetMode="External"/><Relationship Id="rId606" Type="http://schemas.openxmlformats.org/officeDocument/2006/relationships/hyperlink" Target="https://github.com/bkryza/clang-include-graph/issues/12" TargetMode="External"/><Relationship Id="rId605" Type="http://schemas.openxmlformats.org/officeDocument/2006/relationships/hyperlink" Target="https://drive.google.com/drive/folders/1xkqUIeenqWk99G2OGW0fL5WUuX-T-FQJ" TargetMode="External"/><Relationship Id="rId604" Type="http://schemas.openxmlformats.org/officeDocument/2006/relationships/hyperlink" Target="https://github.com/bkryza/clang-include-graph/issues/20" TargetMode="External"/><Relationship Id="rId603" Type="http://schemas.openxmlformats.org/officeDocument/2006/relationships/hyperlink" Target="https://drive.google.com/drive/folders/1TGhDBB_kGFccuqzzymnrmxr4fuUp-iJj" TargetMode="External"/><Relationship Id="rId2760" Type="http://schemas.openxmlformats.org/officeDocument/2006/relationships/hyperlink" Target="https://github.com/open-telemetry/opentelemetry-java/issues/7266" TargetMode="External"/><Relationship Id="rId1430" Type="http://schemas.openxmlformats.org/officeDocument/2006/relationships/hyperlink" Target="https://drive.google.com/drive/folders/1KKSqNeCgjAFut8FORGZqzmQegwrvhGEy" TargetMode="External"/><Relationship Id="rId2761" Type="http://schemas.openxmlformats.org/officeDocument/2006/relationships/hyperlink" Target="https://github.com/open-telemetry/opentelemetry-java-instrumentation/issues/13709" TargetMode="External"/><Relationship Id="rId1431" Type="http://schemas.openxmlformats.org/officeDocument/2006/relationships/hyperlink" Target="https://github.com/gbdev/rgbds/issues/1679" TargetMode="External"/><Relationship Id="rId2762" Type="http://schemas.openxmlformats.org/officeDocument/2006/relationships/hyperlink" Target="https://drive.google.com/drive/folders/1GA-iKkbbHyKgtb7UU859WjBEVUtzqo-t" TargetMode="External"/><Relationship Id="rId1432" Type="http://schemas.openxmlformats.org/officeDocument/2006/relationships/hyperlink" Target="https://drive.google.com/drive/folders/1RR_MIzBVcjSlQgZte_6TZofwrokAu9qm" TargetMode="External"/><Relationship Id="rId2763" Type="http://schemas.openxmlformats.org/officeDocument/2006/relationships/hyperlink" Target="https://drive.google.com/drive/folders/1oA5zcT6CTW07IABTjiU6WRzDFryZDypM" TargetMode="External"/><Relationship Id="rId1422" Type="http://schemas.openxmlformats.org/officeDocument/2006/relationships/hyperlink" Target="https://github.com/GaProgMan/OwaspHeaders.Core/issues/179" TargetMode="External"/><Relationship Id="rId2753" Type="http://schemas.openxmlformats.org/officeDocument/2006/relationships/hyperlink" Target="https://drive.google.com/drive/folders/1Lo--ibMPxmF9H4E-3TfoKVjnCphReGCe" TargetMode="External"/><Relationship Id="rId1423" Type="http://schemas.openxmlformats.org/officeDocument/2006/relationships/hyperlink" Target="https://drive.google.com/drive/folders/1Ym5Sgr0R78EzL9J6IbOOcH07jRJ1wR0_" TargetMode="External"/><Relationship Id="rId2754" Type="http://schemas.openxmlformats.org/officeDocument/2006/relationships/hyperlink" Target="https://github.com/open-telemetry/opentelemetry-cpp/issues/3043" TargetMode="External"/><Relationship Id="rId1424" Type="http://schemas.openxmlformats.org/officeDocument/2006/relationships/hyperlink" Target="https://github.com/garden-co/jazz/issues/2226" TargetMode="External"/><Relationship Id="rId2755" Type="http://schemas.openxmlformats.org/officeDocument/2006/relationships/hyperlink" Target="https://drive.google.com/drive/folders/1bgsSf1dOma2On7jmFUgECFXSLxkk91Vs" TargetMode="External"/><Relationship Id="rId1425" Type="http://schemas.openxmlformats.org/officeDocument/2006/relationships/hyperlink" Target="https://github.com/gatewayd-io/gatewayd/issues/636" TargetMode="External"/><Relationship Id="rId2756" Type="http://schemas.openxmlformats.org/officeDocument/2006/relationships/hyperlink" Target="https://github.com/open-telemetry/opentelemetry-cpp/issues/3410" TargetMode="External"/><Relationship Id="rId1426" Type="http://schemas.openxmlformats.org/officeDocument/2006/relationships/hyperlink" Target="https://drive.google.com/drive/folders/1uBYFWCECbdLl6_q8K6ktXqp9bKQBqr2W" TargetMode="External"/><Relationship Id="rId2757" Type="http://schemas.openxmlformats.org/officeDocument/2006/relationships/hyperlink" Target="https://drive.google.com/drive/folders/1LU_EGGjGCT2O8MqAQ934LkFrLT6jBuh0" TargetMode="External"/><Relationship Id="rId1427" Type="http://schemas.openxmlformats.org/officeDocument/2006/relationships/hyperlink" Target="https://github.com/gazebosim/gz-math/issues/667" TargetMode="External"/><Relationship Id="rId2758" Type="http://schemas.openxmlformats.org/officeDocument/2006/relationships/hyperlink" Target="https://github.com/open-telemetry/opentelemetry-cpp/issues/3495" TargetMode="External"/><Relationship Id="rId1428" Type="http://schemas.openxmlformats.org/officeDocument/2006/relationships/hyperlink" Target="https://drive.google.com/drive/folders/1jNwvDN5EC66zzh89f_sZ7hpoEhvVxIbN" TargetMode="External"/><Relationship Id="rId2759" Type="http://schemas.openxmlformats.org/officeDocument/2006/relationships/hyperlink" Target="https://drive.google.com/drive/folders/1m4Fetlzm_EkO93VWC9M5f00pRkZzs--0" TargetMode="External"/><Relationship Id="rId1429" Type="http://schemas.openxmlformats.org/officeDocument/2006/relationships/hyperlink" Target="https://github.com/gbdev/rgbds/issues/1777" TargetMode="External"/><Relationship Id="rId2750" Type="http://schemas.openxmlformats.org/officeDocument/2006/relationships/hyperlink" Target="https://github.com/open-feature/dotnet-sdk/issues/335" TargetMode="External"/><Relationship Id="rId1420" Type="http://schemas.openxmlformats.org/officeDocument/2006/relationships/hyperlink" Target="https://github.com/GaProgMan/OwaspHeaders.Core/issues/189" TargetMode="External"/><Relationship Id="rId2751" Type="http://schemas.openxmlformats.org/officeDocument/2006/relationships/hyperlink" Target="https://drive.google.com/drive/folders/1lezwjC6BucFvVPBlaX7187UYzfi6_kN7" TargetMode="External"/><Relationship Id="rId1421" Type="http://schemas.openxmlformats.org/officeDocument/2006/relationships/hyperlink" Target="https://drive.google.com/drive/folders/131Me5_96H2zcbk25EgRmQDNAQ8RNrt6n" TargetMode="External"/><Relationship Id="rId2752" Type="http://schemas.openxmlformats.org/officeDocument/2006/relationships/hyperlink" Target="https://github.com/open-telemetry/opentelemetry-collector-contrib/issues/42752" TargetMode="External"/><Relationship Id="rId3238" Type="http://schemas.openxmlformats.org/officeDocument/2006/relationships/hyperlink" Target="https://github.com/rmurphey/claude-setup/issues/9" TargetMode="External"/><Relationship Id="rId4569" Type="http://schemas.openxmlformats.org/officeDocument/2006/relationships/hyperlink" Target="https://drive.google.com/drive/folders/1SpHsjfVNPuKF4yMm04SBcACYeIn9QF24" TargetMode="External"/><Relationship Id="rId3237" Type="http://schemas.openxmlformats.org/officeDocument/2006/relationships/hyperlink" Target="https://drive.google.com/drive/folders/1BSYUq0iOugrnDYcNrSbNiDEstaOlsmPa" TargetMode="External"/><Relationship Id="rId4568" Type="http://schemas.openxmlformats.org/officeDocument/2006/relationships/hyperlink" Target="https://github.com/evstack/ev-node/issues/2422" TargetMode="External"/><Relationship Id="rId3239" Type="http://schemas.openxmlformats.org/officeDocument/2006/relationships/hyperlink" Target="https://drive.google.com/drive/folders/1P7D6mrRhe-leU_5f6CK72F1moPS9XAqi" TargetMode="External"/><Relationship Id="rId3230" Type="http://schemas.openxmlformats.org/officeDocument/2006/relationships/hyperlink" Target="https://drive.google.com/drive/folders/1HRMKqGxJcRXPROcNfMJGGpwDoZy7YecQ" TargetMode="External"/><Relationship Id="rId4561" Type="http://schemas.openxmlformats.org/officeDocument/2006/relationships/hyperlink" Target="https://drive.google.com/drive/folders/1XeQ1WnRx4VKxTEiVpNLSG4DJCR_5XAWR" TargetMode="External"/><Relationship Id="rId4560" Type="http://schemas.openxmlformats.org/officeDocument/2006/relationships/hyperlink" Target="https://github.com/erikbrinkman/rmapi-js/issues/34" TargetMode="External"/><Relationship Id="rId3232" Type="http://schemas.openxmlformats.org/officeDocument/2006/relationships/hyperlink" Target="https://drive.google.com/drive/folders/1ylM3oLg6veTr8NnEWh3eMjs664FAK8Gh" TargetMode="External"/><Relationship Id="rId4563" Type="http://schemas.openxmlformats.org/officeDocument/2006/relationships/hyperlink" Target="https://drive.google.com/drive/folders/1F04pD2YWo6NxDr8918asvkAH5zUFnp9w" TargetMode="External"/><Relationship Id="rId3231" Type="http://schemas.openxmlformats.org/officeDocument/2006/relationships/hyperlink" Target="https://github.com/release-it/release-it/issues/1189" TargetMode="External"/><Relationship Id="rId4562" Type="http://schemas.openxmlformats.org/officeDocument/2006/relationships/hyperlink" Target="https://github.com/eslint/css/issues/357" TargetMode="External"/><Relationship Id="rId3234" Type="http://schemas.openxmlformats.org/officeDocument/2006/relationships/hyperlink" Target="https://drive.google.com/drive/folders/1gY6XX7bW1Rnoh5urs5zwCjwRoAkD9RJ-" TargetMode="External"/><Relationship Id="rId4565" Type="http://schemas.openxmlformats.org/officeDocument/2006/relationships/hyperlink" Target="https://drive.google.com/drive/folders/17E1WuTmiQD7501FXCm7eCv1fjjoEUCm5" TargetMode="External"/><Relationship Id="rId3233" Type="http://schemas.openxmlformats.org/officeDocument/2006/relationships/hyperlink" Target="https://github.com/renatoGarcia/icecream-cpp/issues/50" TargetMode="External"/><Relationship Id="rId4564" Type="http://schemas.openxmlformats.org/officeDocument/2006/relationships/hyperlink" Target="https://github.com/eslint/eslint/issues/19104" TargetMode="External"/><Relationship Id="rId3236" Type="http://schemas.openxmlformats.org/officeDocument/2006/relationships/hyperlink" Target="https://drive.google.com/drive/folders/1-zInjXnyeh-pSshFN2WV9NkTixBkvDij" TargetMode="External"/><Relationship Id="rId4567" Type="http://schemas.openxmlformats.org/officeDocument/2006/relationships/hyperlink" Target="https://drive.google.com/drive/folders/1o1iw-nNOONykrKEt4M2z46iKq86La36e" TargetMode="External"/><Relationship Id="rId3235" Type="http://schemas.openxmlformats.org/officeDocument/2006/relationships/hyperlink" Target="https://github.com/restatedev/sdk-typescript/issues/598" TargetMode="External"/><Relationship Id="rId4566" Type="http://schemas.openxmlformats.org/officeDocument/2006/relationships/hyperlink" Target="https://github.com/ethereum-optimism/optimism/issues/16158" TargetMode="External"/><Relationship Id="rId3227" Type="http://schemas.openxmlformats.org/officeDocument/2006/relationships/hyperlink" Target="https://github.com/rehanvdm/cdk-express-pipeline/issues/19" TargetMode="External"/><Relationship Id="rId4558" Type="http://schemas.openxmlformats.org/officeDocument/2006/relationships/hyperlink" Target="https://drive.google.com/drive/folders/1s6kfuqZ33tydww4LQnTgVST3xpFIPr3_" TargetMode="External"/><Relationship Id="rId3226" Type="http://schemas.openxmlformats.org/officeDocument/2006/relationships/hyperlink" Target="https://drive.google.com/drive/folders/1s3AIPEAWqa2_b1gYODFvTQsoR4teLEih" TargetMode="External"/><Relationship Id="rId4557" Type="http://schemas.openxmlformats.org/officeDocument/2006/relationships/hyperlink" Target="https://github.com/equinor/ert/issues/9887" TargetMode="External"/><Relationship Id="rId3229" Type="http://schemas.openxmlformats.org/officeDocument/2006/relationships/hyperlink" Target="https://github.com/relab/hotstuff/issues/155" TargetMode="External"/><Relationship Id="rId3228" Type="http://schemas.openxmlformats.org/officeDocument/2006/relationships/hyperlink" Target="https://drive.google.com/drive/folders/1vY_5Xc7N6VVQRZSrBMEq2JRKgpc73oHj" TargetMode="External"/><Relationship Id="rId4559" Type="http://schemas.openxmlformats.org/officeDocument/2006/relationships/hyperlink" Target="https://drive.google.com/drive/folders/1C3E763u8ZuRM5dpX7gUPEBI2JqOBUlgK" TargetMode="External"/><Relationship Id="rId699" Type="http://schemas.openxmlformats.org/officeDocument/2006/relationships/hyperlink" Target="https://github.com/camunda/camunda/issues/24604" TargetMode="External"/><Relationship Id="rId698" Type="http://schemas.openxmlformats.org/officeDocument/2006/relationships/hyperlink" Target="https://github.com/camunda/camunda/issues/32379" TargetMode="External"/><Relationship Id="rId693" Type="http://schemas.openxmlformats.org/officeDocument/2006/relationships/hyperlink" Target="https://github.com/camunda/camunda/issues/40879" TargetMode="External"/><Relationship Id="rId4550" Type="http://schemas.openxmlformats.org/officeDocument/2006/relationships/hyperlink" Target="https://github.com/elastic/rally/issues/1971" TargetMode="External"/><Relationship Id="rId692" Type="http://schemas.openxmlformats.org/officeDocument/2006/relationships/hyperlink" Target="https://drive.google.com/drive/folders/1umhxbnONdh3vJFnlRpdwK9HV0dye2I3U" TargetMode="External"/><Relationship Id="rId691" Type="http://schemas.openxmlformats.org/officeDocument/2006/relationships/hyperlink" Target="https://drive.google.com/drive/folders/1DDAbCFOy3YKYYWUUH3A9F803IhX8eXBA" TargetMode="External"/><Relationship Id="rId3221" Type="http://schemas.openxmlformats.org/officeDocument/2006/relationships/hyperlink" Target="https://github.com/redis-rb/redis-client/issues/255" TargetMode="External"/><Relationship Id="rId4552" Type="http://schemas.openxmlformats.org/officeDocument/2006/relationships/hyperlink" Target="https://drive.google.com/drive/folders/1wP2Px3jIwreCcOpP89ralt7a6jGq7keJ" TargetMode="External"/><Relationship Id="rId690" Type="http://schemas.openxmlformats.org/officeDocument/2006/relationships/hyperlink" Target="https://github.com/cameroncooke/XcodeBuildMCP/issues/111" TargetMode="External"/><Relationship Id="rId3220" Type="http://schemas.openxmlformats.org/officeDocument/2006/relationships/hyperlink" Target="https://drive.google.com/drive/folders/1NnX9SsQm_1syOOfKMaiAdc-RKnu9KjrA" TargetMode="External"/><Relationship Id="rId4551" Type="http://schemas.openxmlformats.org/officeDocument/2006/relationships/hyperlink" Target="https://drive.google.com/drive/folders/1dGXEN9H-n_cGUFtQIZZ1JA-BxoXnVdQQ" TargetMode="External"/><Relationship Id="rId697" Type="http://schemas.openxmlformats.org/officeDocument/2006/relationships/hyperlink" Target="https://github.com/camunda/camunda/issues/26607" TargetMode="External"/><Relationship Id="rId3223" Type="http://schemas.openxmlformats.org/officeDocument/2006/relationships/hyperlink" Target="https://github.com/redis/lettuce/issues/3512" TargetMode="External"/><Relationship Id="rId4554" Type="http://schemas.openxmlformats.org/officeDocument/2006/relationships/hyperlink" Target="https://drive.google.com/drive/folders/1l0Fpyw8E_um--ikYS0V2ROiYfpquEtCz" TargetMode="External"/><Relationship Id="rId696" Type="http://schemas.openxmlformats.org/officeDocument/2006/relationships/hyperlink" Target="https://github.com/camunda/camunda/issues/25253" TargetMode="External"/><Relationship Id="rId3222" Type="http://schemas.openxmlformats.org/officeDocument/2006/relationships/hyperlink" Target="https://drive.google.com/drive/folders/1mqkpCRZWQp_9HNt6-8VsTzvAr3YIoLQS" TargetMode="External"/><Relationship Id="rId4553" Type="http://schemas.openxmlformats.org/officeDocument/2006/relationships/hyperlink" Target="https://github.com/enofex/taikai/issues/196" TargetMode="External"/><Relationship Id="rId695" Type="http://schemas.openxmlformats.org/officeDocument/2006/relationships/hyperlink" Target="https://github.com/camunda/camunda/issues/42172" TargetMode="External"/><Relationship Id="rId3225" Type="http://schemas.openxmlformats.org/officeDocument/2006/relationships/hyperlink" Target="https://github.com/Redocly/redocly-cli/issues/2266" TargetMode="External"/><Relationship Id="rId4556" Type="http://schemas.openxmlformats.org/officeDocument/2006/relationships/hyperlink" Target="https://drive.google.com/drive/folders/1XqF5tHX60pkHTNOn1nqNeVwlDFpHKdV1" TargetMode="External"/><Relationship Id="rId694" Type="http://schemas.openxmlformats.org/officeDocument/2006/relationships/hyperlink" Target="https://github.com/camunda/camunda/issues/36790" TargetMode="External"/><Relationship Id="rId3224" Type="http://schemas.openxmlformats.org/officeDocument/2006/relationships/hyperlink" Target="https://drive.google.com/drive/folders/1zlutZ3nSWaUxHQGHFMa976HSYSeIO-hy" TargetMode="External"/><Relationship Id="rId4555" Type="http://schemas.openxmlformats.org/officeDocument/2006/relationships/hyperlink" Target="https://github.com/enofex/taikai/issues/218" TargetMode="External"/><Relationship Id="rId3259" Type="http://schemas.openxmlformats.org/officeDocument/2006/relationships/hyperlink" Target="https://drive.google.com/drive/folders/1Df_hCzhfclmyOQSc5FcISqu5OHDjlazg" TargetMode="External"/><Relationship Id="rId3250" Type="http://schemas.openxmlformats.org/officeDocument/2006/relationships/hyperlink" Target="https://drive.google.com/drive/folders/1_S6-_ms7g6HHaCIpqoLubHaOvQ0KcDXg" TargetMode="External"/><Relationship Id="rId4581" Type="http://schemas.openxmlformats.org/officeDocument/2006/relationships/hyperlink" Target="https://drive.google.com/drive/folders/18HnjQDhbQpyLr2AwyeN5Hz1mchyjQbtM" TargetMode="External"/><Relationship Id="rId4580" Type="http://schemas.openxmlformats.org/officeDocument/2006/relationships/hyperlink" Target="https://github.com/falconry/falcon/issues/2426" TargetMode="External"/><Relationship Id="rId3252" Type="http://schemas.openxmlformats.org/officeDocument/2006/relationships/hyperlink" Target="https://drive.google.com/drive/folders/1-9ASbdm2fLxq5YBZ8wLM36x9rmmwmVKO" TargetMode="External"/><Relationship Id="rId4583" Type="http://schemas.openxmlformats.org/officeDocument/2006/relationships/hyperlink" Target="https://drive.google.com/drive/folders/1IckyG2nPA4DyQqX1o36-HSsnMKFTPUcS" TargetMode="External"/><Relationship Id="rId3251" Type="http://schemas.openxmlformats.org/officeDocument/2006/relationships/hyperlink" Target="https://github.com/roc-streaming/roc-toolkit/issues/662" TargetMode="External"/><Relationship Id="rId4582" Type="http://schemas.openxmlformats.org/officeDocument/2006/relationships/hyperlink" Target="https://github.com/fast-aircraft-design/FAST-OAD/issues/622" TargetMode="External"/><Relationship Id="rId3254" Type="http://schemas.openxmlformats.org/officeDocument/2006/relationships/hyperlink" Target="https://drive.google.com/drive/folders/1Tj8lNBPZZ2DoL3v1ju-zW3rUyOY7fKId" TargetMode="External"/><Relationship Id="rId4585" Type="http://schemas.openxmlformats.org/officeDocument/2006/relationships/hyperlink" Target="https://github.com/FasterXML/jackson-databind/issues/4954" TargetMode="External"/><Relationship Id="rId3253" Type="http://schemas.openxmlformats.org/officeDocument/2006/relationships/hyperlink" Target="https://github.com/RocketPy-Team/RocketPy/issues/597" TargetMode="External"/><Relationship Id="rId4584" Type="http://schemas.openxmlformats.org/officeDocument/2006/relationships/hyperlink" Target="https://drive.google.com/drive/folders/1WV3dS6ochpWKkNPn2AyACGlbVJ6K0Tl2" TargetMode="External"/><Relationship Id="rId3256" Type="http://schemas.openxmlformats.org/officeDocument/2006/relationships/hyperlink" Target="https://github.com/rottytooth/Rivulet/issues/14" TargetMode="External"/><Relationship Id="rId4587" Type="http://schemas.openxmlformats.org/officeDocument/2006/relationships/hyperlink" Target="https://drive.google.com/drive/folders/12IgMnSofmMQwjYsH_7fnsPBjDrhw2jaY" TargetMode="External"/><Relationship Id="rId3255" Type="http://schemas.openxmlformats.org/officeDocument/2006/relationships/hyperlink" Target="https://drive.google.com/drive/folders/1cNrdqRB66lCOMDJ0iCcbxqdzL1pybq-s" TargetMode="External"/><Relationship Id="rId4586" Type="http://schemas.openxmlformats.org/officeDocument/2006/relationships/hyperlink" Target="https://github.com/feast-dev/feast/issues/5036" TargetMode="External"/><Relationship Id="rId3258" Type="http://schemas.openxmlformats.org/officeDocument/2006/relationships/hyperlink" Target="https://github.com/rpoleski/MulensModel/issues/184" TargetMode="External"/><Relationship Id="rId4589" Type="http://schemas.openxmlformats.org/officeDocument/2006/relationships/hyperlink" Target="https://github.com/feathersjs/feathers/issues/3578" TargetMode="External"/><Relationship Id="rId3257" Type="http://schemas.openxmlformats.org/officeDocument/2006/relationships/hyperlink" Target="https://drive.google.com/drive/folders/1tLPOMNbLb0k0ckAuNOwsHlD-9KmaL7Ke" TargetMode="External"/><Relationship Id="rId4588" Type="http://schemas.openxmlformats.org/officeDocument/2006/relationships/hyperlink" Target="https://drive.google.com/drive/folders/1mtYzm4JqXj2nCul3_EprWmYfIHboNpSZ" TargetMode="External"/><Relationship Id="rId3249" Type="http://schemas.openxmlformats.org/officeDocument/2006/relationships/hyperlink" Target="https://drive.google.com/drive/folders/1xUFXfpwH67yA3ek_3N8imWV2unBgKpkr" TargetMode="External"/><Relationship Id="rId3248" Type="http://schemas.openxmlformats.org/officeDocument/2006/relationships/hyperlink" Target="https://github.com/robusta-dev/holmesgpt/issues/547" TargetMode="External"/><Relationship Id="rId4579" Type="http://schemas.openxmlformats.org/officeDocument/2006/relationships/hyperlink" Target="https://drive.google.com/drive/folders/148cu-0zHm9plp7FzLfCEvFnO7nCvG8l4" TargetMode="External"/><Relationship Id="rId4570" Type="http://schemas.openxmlformats.org/officeDocument/2006/relationships/hyperlink" Target="https://github.com/ex-actor/ex-actor/issues/68" TargetMode="External"/><Relationship Id="rId3241" Type="http://schemas.openxmlformats.org/officeDocument/2006/relationships/hyperlink" Target="https://drive.google.com/drive/folders/1Z9a1nVx6Njnrtx8yG_tFd2uVgGrSub79" TargetMode="External"/><Relationship Id="rId4572" Type="http://schemas.openxmlformats.org/officeDocument/2006/relationships/hyperlink" Target="https://github.com/exospherehost/exospherehost/issues/328" TargetMode="External"/><Relationship Id="rId3240" Type="http://schemas.openxmlformats.org/officeDocument/2006/relationships/hyperlink" Target="https://github.com/rnpgp/rnp/issues/2266" TargetMode="External"/><Relationship Id="rId4571" Type="http://schemas.openxmlformats.org/officeDocument/2006/relationships/hyperlink" Target="https://drive.google.com/drive/folders/1_q2c8peBoalgmtyCX-k8SNK_xQ5PtF5g" TargetMode="External"/><Relationship Id="rId3243" Type="http://schemas.openxmlformats.org/officeDocument/2006/relationships/hyperlink" Target="https://drive.google.com/drive/folders/1xC1kn4E3inaUD7ZCEFUu76WXZpUmfjo0" TargetMode="External"/><Relationship Id="rId4574" Type="http://schemas.openxmlformats.org/officeDocument/2006/relationships/hyperlink" Target="https://drive.google.com/drive/folders/14BuGGiJZrgZGJdouSYsOCG0x-lJJyvUm" TargetMode="External"/><Relationship Id="rId3242" Type="http://schemas.openxmlformats.org/officeDocument/2006/relationships/hyperlink" Target="https://github.com/rnwood/smtp4dev/issues/1764" TargetMode="External"/><Relationship Id="rId4573" Type="http://schemas.openxmlformats.org/officeDocument/2006/relationships/hyperlink" Target="https://drive.google.com/drive/folders/1maJP4gLAbGaJ3_s3YCPYW3WMq7k6RadC" TargetMode="External"/><Relationship Id="rId3245" Type="http://schemas.openxmlformats.org/officeDocument/2006/relationships/hyperlink" Target="https://drive.google.com/drive/folders/1pH6lrZjJXznSO-6AaqpfTWYWXGLjuemD" TargetMode="External"/><Relationship Id="rId4576" Type="http://schemas.openxmlformats.org/officeDocument/2006/relationships/hyperlink" Target="https://drive.google.com/drive/folders/1gPtJQu5RYVmZyJToD8CJOj1piIycSU_s" TargetMode="External"/><Relationship Id="rId3244" Type="http://schemas.openxmlformats.org/officeDocument/2006/relationships/hyperlink" Target="https://github.com/RoadieHQ/roadie-backstage-plugins/issues/1744" TargetMode="External"/><Relationship Id="rId4575" Type="http://schemas.openxmlformats.org/officeDocument/2006/relationships/hyperlink" Target="https://github.com/external-secrets/external-secrets/issues/4875" TargetMode="External"/><Relationship Id="rId3247" Type="http://schemas.openxmlformats.org/officeDocument/2006/relationships/hyperlink" Target="https://drive.google.com/drive/folders/1hnqv2V_0YaxtuACseEd_7EE-X2oFLbG0" TargetMode="External"/><Relationship Id="rId4578" Type="http://schemas.openxmlformats.org/officeDocument/2006/relationships/hyperlink" Target="https://github.com/fabian-beck/pure-suggest/issues/546" TargetMode="External"/><Relationship Id="rId3246" Type="http://schemas.openxmlformats.org/officeDocument/2006/relationships/hyperlink" Target="https://github.com/RobotLocomotion/drake/issues/23083" TargetMode="External"/><Relationship Id="rId4577" Type="http://schemas.openxmlformats.org/officeDocument/2006/relationships/hyperlink" Target="https://drive.google.com/drive/folders/16ZTeVgZ7Yn31NcLKJKQv-96-LQhE-THx" TargetMode="External"/><Relationship Id="rId1499" Type="http://schemas.openxmlformats.org/officeDocument/2006/relationships/hyperlink" Target="https://github.com/githubnext/gh-aw/issues/19" TargetMode="External"/><Relationship Id="rId4525" Type="http://schemas.openxmlformats.org/officeDocument/2006/relationships/hyperlink" Target="https://github.com/eakmanrq/sqlframe/issues/307" TargetMode="External"/><Relationship Id="rId4524" Type="http://schemas.openxmlformats.org/officeDocument/2006/relationships/hyperlink" Target="https://drive.google.com/drive/folders/1k8jUZcrcogDF2wW09SEu09yC4z9LWUym" TargetMode="External"/><Relationship Id="rId4527" Type="http://schemas.openxmlformats.org/officeDocument/2006/relationships/hyperlink" Target="https://github.com/eclipse-edc/Connector/issues/4876" TargetMode="External"/><Relationship Id="rId4526" Type="http://schemas.openxmlformats.org/officeDocument/2006/relationships/hyperlink" Target="https://drive.google.com/drive/folders/1qOjjWcFFpHii7gYXP3HtNi7z3b28d3Qu" TargetMode="External"/><Relationship Id="rId4529" Type="http://schemas.openxmlformats.org/officeDocument/2006/relationships/hyperlink" Target="https://github.com/eclipse-milo/milo/issues/1477" TargetMode="External"/><Relationship Id="rId4528" Type="http://schemas.openxmlformats.org/officeDocument/2006/relationships/hyperlink" Target="https://drive.google.com/drive/folders/1-M_ITocgs1yA2djHyaKsn1S17erpig6X" TargetMode="External"/><Relationship Id="rId668" Type="http://schemas.openxmlformats.org/officeDocument/2006/relationships/hyperlink" Target="https://drive.google.com/drive/folders/1la-UQATUpx9Xu--tFjRDthw1xxCB3syL" TargetMode="External"/><Relationship Id="rId667" Type="http://schemas.openxmlformats.org/officeDocument/2006/relationships/hyperlink" Target="https://github.com/Build5Nines/SharpVector/issues/73" TargetMode="External"/><Relationship Id="rId666" Type="http://schemas.openxmlformats.org/officeDocument/2006/relationships/hyperlink" Target="https://drive.google.com/drive/folders/1j161ohJwg0EhegPGQ4k3kUQs9EcQB8B_" TargetMode="External"/><Relationship Id="rId665" Type="http://schemas.openxmlformats.org/officeDocument/2006/relationships/hyperlink" Target="https://github.com/budimanjojo/talhelper/issues/943" TargetMode="External"/><Relationship Id="rId669" Type="http://schemas.openxmlformats.org/officeDocument/2006/relationships/hyperlink" Target="https://github.com/bvanelli/actualpy/issues/110" TargetMode="External"/><Relationship Id="rId1490" Type="http://schemas.openxmlformats.org/officeDocument/2006/relationships/hyperlink" Target="https://github.com/github/gh-ost/issues/1503" TargetMode="External"/><Relationship Id="rId660" Type="http://schemas.openxmlformats.org/officeDocument/2006/relationships/hyperlink" Target="https://github.com/brisa-build/brisa/issues/660" TargetMode="External"/><Relationship Id="rId1491" Type="http://schemas.openxmlformats.org/officeDocument/2006/relationships/hyperlink" Target="https://drive.google.com/drive/folders/1cLjYfOzTLqc3mQoXicB4W7fj6pElri9B" TargetMode="External"/><Relationship Id="rId1492" Type="http://schemas.openxmlformats.org/officeDocument/2006/relationships/hyperlink" Target="https://drive.google.com/drive/folders/1-rm-dkGmY_fiRbqcU0PF1yqJw0mxLdH4" TargetMode="External"/><Relationship Id="rId1493" Type="http://schemas.openxmlformats.org/officeDocument/2006/relationships/hyperlink" Target="https://github.com/github/safe-settings/issues/750" TargetMode="External"/><Relationship Id="rId1494" Type="http://schemas.openxmlformats.org/officeDocument/2006/relationships/hyperlink" Target="https://drive.google.com/drive/folders/1d8g8harbCtx6jNaJFbacN_3ioPBX1wxh" TargetMode="External"/><Relationship Id="rId664" Type="http://schemas.openxmlformats.org/officeDocument/2006/relationships/hyperlink" Target="https://drive.google.com/drive/folders/1aZKgMcImJB5WwezMRorBRj3gFJAjx3wi" TargetMode="External"/><Relationship Id="rId1495" Type="http://schemas.openxmlformats.org/officeDocument/2006/relationships/hyperlink" Target="https://github.com/githubnext/gh-aw/issues/125" TargetMode="External"/><Relationship Id="rId4521" Type="http://schemas.openxmlformats.org/officeDocument/2006/relationships/hyperlink" Target="https://github.com/duckdb/pg_duckdb/issues/743" TargetMode="External"/><Relationship Id="rId663" Type="http://schemas.openxmlformats.org/officeDocument/2006/relationships/hyperlink" Target="https://github.com/btcsuite/btcwallet/issues/1059" TargetMode="External"/><Relationship Id="rId1496" Type="http://schemas.openxmlformats.org/officeDocument/2006/relationships/hyperlink" Target="https://drive.google.com/drive/folders/1jsppOoTD1MJfV7ujOpTdYoLSKI-UD3ay" TargetMode="External"/><Relationship Id="rId4520" Type="http://schemas.openxmlformats.org/officeDocument/2006/relationships/hyperlink" Target="https://drive.google.com/drive/folders/13PT_hbIYXJ9rN08mh-QYvYGw99Xyotfh" TargetMode="External"/><Relationship Id="rId662" Type="http://schemas.openxmlformats.org/officeDocument/2006/relationships/hyperlink" Target="https://github.com/BrokkAi/brokk/issues/1888" TargetMode="External"/><Relationship Id="rId1497" Type="http://schemas.openxmlformats.org/officeDocument/2006/relationships/hyperlink" Target="https://github.com/githubnext/gh-aw/issues/116" TargetMode="External"/><Relationship Id="rId4523" Type="http://schemas.openxmlformats.org/officeDocument/2006/relationships/hyperlink" Target="https://github.com/dylibso/chicory/issues/696" TargetMode="External"/><Relationship Id="rId661" Type="http://schemas.openxmlformats.org/officeDocument/2006/relationships/hyperlink" Target="https://drive.google.com/drive/folders/1Qn5bqkGwzNKJqlOSjRpX7HR0xlWTadpL" TargetMode="External"/><Relationship Id="rId1498" Type="http://schemas.openxmlformats.org/officeDocument/2006/relationships/hyperlink" Target="https://drive.google.com/drive/folders/1tuxEu-V-o5TKjVDaD2qNFHw_zj7vO6IP" TargetMode="External"/><Relationship Id="rId4522" Type="http://schemas.openxmlformats.org/officeDocument/2006/relationships/hyperlink" Target="https://drive.google.com/drive/folders/1GKn_jUDj12NxhhEi8-3-6qlzPu30269W" TargetMode="External"/><Relationship Id="rId1488" Type="http://schemas.openxmlformats.org/officeDocument/2006/relationships/hyperlink" Target="https://github.com/github/gh-gei/issues/1306" TargetMode="External"/><Relationship Id="rId4514" Type="http://schemas.openxmlformats.org/officeDocument/2006/relationships/hyperlink" Target="https://github.com/dottxt-ai/outlines/issues/1277" TargetMode="External"/><Relationship Id="rId1489" Type="http://schemas.openxmlformats.org/officeDocument/2006/relationships/hyperlink" Target="https://drive.google.com/drive/folders/1Et6Tl_9eMcj-jCqeEpZp87rbKsb16MBs" TargetMode="External"/><Relationship Id="rId4513" Type="http://schemas.openxmlformats.org/officeDocument/2006/relationships/hyperlink" Target="https://drive.google.com/drive/folders/1mYwUiNo6cM5yYlgQKWVJ1xHSEwsb1WTG" TargetMode="External"/><Relationship Id="rId4516" Type="http://schemas.openxmlformats.org/officeDocument/2006/relationships/hyperlink" Target="https://drive.google.com/drive/folders/1HS_HGCo_2RoaL4x1alAAH7RkaLfGomqN" TargetMode="External"/><Relationship Id="rId4515" Type="http://schemas.openxmlformats.org/officeDocument/2006/relationships/hyperlink" Target="https://drive.google.com/drive/folders/10XtD8t5v5sLId2jGYaT4Z5hcywjMjCmZ" TargetMode="External"/><Relationship Id="rId4518" Type="http://schemas.openxmlformats.org/officeDocument/2006/relationships/hyperlink" Target="https://github.com/dtolnay/thiserror/issues/337" TargetMode="External"/><Relationship Id="rId4517" Type="http://schemas.openxmlformats.org/officeDocument/2006/relationships/hyperlink" Target="https://github.com/dstackai/dstack/issues/2940" TargetMode="External"/><Relationship Id="rId4519" Type="http://schemas.openxmlformats.org/officeDocument/2006/relationships/hyperlink" Target="https://drive.google.com/drive/folders/1jBS3ZJupGFBE8xI5y2KsIpM-3Vbj7A32" TargetMode="External"/><Relationship Id="rId657" Type="http://schemas.openxmlformats.org/officeDocument/2006/relationships/hyperlink" Target="https://drive.google.com/drive/folders/1FGcYrIBkkMZu1oKcsFrvfLM-1_SPiGkY" TargetMode="External"/><Relationship Id="rId656" Type="http://schemas.openxmlformats.org/officeDocument/2006/relationships/hyperlink" Target="https://github.com/BrettMayson/HEMTT/issues/831" TargetMode="External"/><Relationship Id="rId655" Type="http://schemas.openxmlformats.org/officeDocument/2006/relationships/hyperlink" Target="https://drive.google.com/drive/folders/1x5TZMFqmdy0zoudApG5sa0J0Ag-1gw02" TargetMode="External"/><Relationship Id="rId654" Type="http://schemas.openxmlformats.org/officeDocument/2006/relationships/hyperlink" Target="https://github.com/BrettMayson/HEMTT/issues/1104" TargetMode="External"/><Relationship Id="rId659" Type="http://schemas.openxmlformats.org/officeDocument/2006/relationships/hyperlink" Target="https://drive.google.com/drive/folders/1xGTcNkSULW3I8Nqoo8d6LvKn8o8mXEWL" TargetMode="External"/><Relationship Id="rId658" Type="http://schemas.openxmlformats.org/officeDocument/2006/relationships/hyperlink" Target="https://github.com/brimdata/super/issues/6064" TargetMode="External"/><Relationship Id="rId1480" Type="http://schemas.openxmlformats.org/officeDocument/2006/relationships/hyperlink" Target="https://drive.google.com/drive/folders/1_1uFOu1HShLPrJa-HSYykp-FNvl-SYJY" TargetMode="External"/><Relationship Id="rId1481" Type="http://schemas.openxmlformats.org/officeDocument/2006/relationships/hyperlink" Target="https://github.com/giampaolo/pyftpdlib/issues/671" TargetMode="External"/><Relationship Id="rId1482" Type="http://schemas.openxmlformats.org/officeDocument/2006/relationships/hyperlink" Target="https://drive.google.com/drive/folders/1HxNiRD8rxlixVkBsJPBikA36wrIv3kmr" TargetMode="External"/><Relationship Id="rId1483" Type="http://schemas.openxmlformats.org/officeDocument/2006/relationships/hyperlink" Target="https://github.com/gilzoide/lua-gdextension/issues/52" TargetMode="External"/><Relationship Id="rId653" Type="http://schemas.openxmlformats.org/officeDocument/2006/relationships/hyperlink" Target="https://drive.google.com/drive/folders/1YjzIvT_GPBDOKJ9jHLjFJFXj7GZvoUUV" TargetMode="External"/><Relationship Id="rId1484" Type="http://schemas.openxmlformats.org/officeDocument/2006/relationships/hyperlink" Target="https://drive.google.com/drive/folders/1UtZzUf71kiQAKIXYygFhu_d__ZOyidNV" TargetMode="External"/><Relationship Id="rId4510" Type="http://schemas.openxmlformats.org/officeDocument/2006/relationships/hyperlink" Target="https://github.com/dotnet/xharness/issues/1458" TargetMode="External"/><Relationship Id="rId652" Type="http://schemas.openxmlformats.org/officeDocument/2006/relationships/hyperlink" Target="https://github.com/brettchalupa/graphql-docs/issues/171" TargetMode="External"/><Relationship Id="rId1485" Type="http://schemas.openxmlformats.org/officeDocument/2006/relationships/hyperlink" Target="https://github.com/gin-gonic/gin/issues/4053" TargetMode="External"/><Relationship Id="rId651" Type="http://schemas.openxmlformats.org/officeDocument/2006/relationships/hyperlink" Target="https://drive.google.com/drive/folders/1FNocWQo9UGyLsy__Hii9qeI4qsXq4ZvE" TargetMode="External"/><Relationship Id="rId1486" Type="http://schemas.openxmlformats.org/officeDocument/2006/relationships/hyperlink" Target="https://drive.google.com/drive/folders/1_aXrq53jx70aOle4euT_d82juk5Kft8i" TargetMode="External"/><Relationship Id="rId4512" Type="http://schemas.openxmlformats.org/officeDocument/2006/relationships/hyperlink" Target="https://github.com/dottxt-ai/outlines/issues/1706" TargetMode="External"/><Relationship Id="rId650" Type="http://schemas.openxmlformats.org/officeDocument/2006/relationships/hyperlink" Target="https://github.com/BrainBlend-AI/atomic-agents/issues/135" TargetMode="External"/><Relationship Id="rId1487" Type="http://schemas.openxmlformats.org/officeDocument/2006/relationships/hyperlink" Target="https://drive.google.com/drive/folders/1yB3LUPlk_4l-utEAEZ06Mwo_YJDvtYr-" TargetMode="External"/><Relationship Id="rId4511" Type="http://schemas.openxmlformats.org/officeDocument/2006/relationships/hyperlink" Target="https://drive.google.com/drive/folders/11fogD6IXZoGcHZt9ht7AByqEsj6L2gWK" TargetMode="External"/><Relationship Id="rId3216" Type="http://schemas.openxmlformats.org/officeDocument/2006/relationships/hyperlink" Target="https://drive.google.com/drive/folders/1nL3RfBFB80hrWRVH1Bi24hV4z-C0hClx" TargetMode="External"/><Relationship Id="rId4547" Type="http://schemas.openxmlformats.org/officeDocument/2006/relationships/hyperlink" Target="https://drive.google.com/drive/folders/1FYLqM7wQ3wZjuVhr_08JXAzxnjBFviU8" TargetMode="External"/><Relationship Id="rId3215" Type="http://schemas.openxmlformats.org/officeDocument/2006/relationships/hyperlink" Target="https://github.com/recharts/recharts/issues/6582" TargetMode="External"/><Relationship Id="rId4546" Type="http://schemas.openxmlformats.org/officeDocument/2006/relationships/hyperlink" Target="https://drive.google.com/drive/folders/1o3573XDykAhVa3cZG6HyOGoD0rbDKpG4" TargetMode="External"/><Relationship Id="rId3218" Type="http://schemas.openxmlformats.org/officeDocument/2006/relationships/hyperlink" Target="https://drive.google.com/drive/folders/1vKpYz4I_82BdlvNq5KmYn7fqHcErAwl6" TargetMode="External"/><Relationship Id="rId4549" Type="http://schemas.openxmlformats.org/officeDocument/2006/relationships/hyperlink" Target="https://drive.google.com/drive/folders/1hDGBAw-LkHfUpS9LwQEhlOW_7Jn0VZVs" TargetMode="External"/><Relationship Id="rId3217" Type="http://schemas.openxmlformats.org/officeDocument/2006/relationships/hyperlink" Target="https://github.com/recharts/recharts/issues/6749" TargetMode="External"/><Relationship Id="rId4548" Type="http://schemas.openxmlformats.org/officeDocument/2006/relationships/hyperlink" Target="https://github.com/elastic/crawler/issues/296" TargetMode="External"/><Relationship Id="rId3219" Type="http://schemas.openxmlformats.org/officeDocument/2006/relationships/hyperlink" Target="https://github.com/recharts/recharts/issues/5584" TargetMode="External"/><Relationship Id="rId689" Type="http://schemas.openxmlformats.org/officeDocument/2006/relationships/hyperlink" Target="https://drive.google.com/drive/folders/1RT_UZ-ix-dzuwF1l4jXYaMJUE0OjZDQP" TargetMode="External"/><Relationship Id="rId688" Type="http://schemas.openxmlformats.org/officeDocument/2006/relationships/hyperlink" Target="https://drive.google.com/drive/folders/1kgmlqCxX-SYmexZ1IUucPi5p71sk1rZ4" TargetMode="External"/><Relationship Id="rId687" Type="http://schemas.openxmlformats.org/officeDocument/2006/relationships/hyperlink" Target="https://github.com/callstackincubator/react-native-node-api/issues/52" TargetMode="External"/><Relationship Id="rId682" Type="http://schemas.openxmlformats.org/officeDocument/2006/relationships/hyperlink" Target="https://github.com/caas-team/py-kube-downscaler/issues/113" TargetMode="External"/><Relationship Id="rId681" Type="http://schemas.openxmlformats.org/officeDocument/2006/relationships/hyperlink" Target="https://drive.google.com/drive/folders/1EwUstBM5M5CLNQ_Zx2KoeTTpvM05SgMe" TargetMode="External"/><Relationship Id="rId680" Type="http://schemas.openxmlformats.org/officeDocument/2006/relationships/hyperlink" Target="https://github.com/caas-team/py-kube-downscaler/issues/158" TargetMode="External"/><Relationship Id="rId3210" Type="http://schemas.openxmlformats.org/officeDocument/2006/relationships/hyperlink" Target="https://drive.google.com/drive/folders/1lPk2kA2geUG8ZQuoLxfyQWuZTMyq7tN2" TargetMode="External"/><Relationship Id="rId4541" Type="http://schemas.openxmlformats.org/officeDocument/2006/relationships/hyperlink" Target="https://drive.google.com/drive/folders/1XBRcpUkEM_pCmwCrMok9SfBmzQ-9FD3M" TargetMode="External"/><Relationship Id="rId4540" Type="http://schemas.openxmlformats.org/officeDocument/2006/relationships/hyperlink" Target="https://drive.google.com/drive/folders/1BojeNFQzUenq2fDfnWeRCKnt74u5fUlm" TargetMode="External"/><Relationship Id="rId686" Type="http://schemas.openxmlformats.org/officeDocument/2006/relationships/hyperlink" Target="https://github.com/calliope-project/calliope/issues/812" TargetMode="External"/><Relationship Id="rId3212" Type="http://schemas.openxmlformats.org/officeDocument/2006/relationships/hyperlink" Target="https://drive.google.com/drive/folders/1zfilzwncKezCIs6DVz5lTiRrTJGnxhOB" TargetMode="External"/><Relationship Id="rId4543" Type="http://schemas.openxmlformats.org/officeDocument/2006/relationships/hyperlink" Target="https://drive.google.com/drive/folders/1JUoIKWISBy7RTdOQie9UOMj5G55GZTYo" TargetMode="External"/><Relationship Id="rId685" Type="http://schemas.openxmlformats.org/officeDocument/2006/relationships/hyperlink" Target="https://github.com/cakephp/cakephp/issues/17956" TargetMode="External"/><Relationship Id="rId3211" Type="http://schemas.openxmlformats.org/officeDocument/2006/relationships/hyperlink" Target="https://github.com/reaviz/reablocks/issues/312" TargetMode="External"/><Relationship Id="rId4542" Type="http://schemas.openxmlformats.org/officeDocument/2006/relationships/hyperlink" Target="https://github.com/elastic/beats/issues/41639" TargetMode="External"/><Relationship Id="rId684" Type="http://schemas.openxmlformats.org/officeDocument/2006/relationships/hyperlink" Target="https://github.com/cakephp/cakephp/issues/18153" TargetMode="External"/><Relationship Id="rId3214" Type="http://schemas.openxmlformats.org/officeDocument/2006/relationships/hyperlink" Target="https://github.com/recharts/recharts/issues/6483" TargetMode="External"/><Relationship Id="rId4545" Type="http://schemas.openxmlformats.org/officeDocument/2006/relationships/hyperlink" Target="https://github.com/elastic/connectors/issues/3110" TargetMode="External"/><Relationship Id="rId683" Type="http://schemas.openxmlformats.org/officeDocument/2006/relationships/hyperlink" Target="https://drive.google.com/drive/folders/12OAKhdULxYTLic1KHp8oTWRW-q7WgIH0" TargetMode="External"/><Relationship Id="rId3213" Type="http://schemas.openxmlformats.org/officeDocument/2006/relationships/hyperlink" Target="https://drive.google.com/drive/folders/1IciwBXgdy9ozd-8dwxqMS74uKed7pc76" TargetMode="External"/><Relationship Id="rId4544" Type="http://schemas.openxmlformats.org/officeDocument/2006/relationships/hyperlink" Target="https://drive.google.com/drive/folders/1eWvBcO6yPdDpJ1u6mWjsPX69BKdDWVp8" TargetMode="External"/><Relationship Id="rId3205" Type="http://schemas.openxmlformats.org/officeDocument/2006/relationships/hyperlink" Target="https://drive.google.com/drive/folders/131GFVWMZp6L41-w_s9qHo_mRvAM1MhsV" TargetMode="External"/><Relationship Id="rId4536" Type="http://schemas.openxmlformats.org/officeDocument/2006/relationships/hyperlink" Target="https://github.com/ej2/python-quickbooks/issues/380" TargetMode="External"/><Relationship Id="rId3204" Type="http://schemas.openxmlformats.org/officeDocument/2006/relationships/hyperlink" Target="https://github.com/raydak-labs/configarr/issues/110" TargetMode="External"/><Relationship Id="rId4535" Type="http://schemas.openxmlformats.org/officeDocument/2006/relationships/hyperlink" Target="https://drive.google.com/drive/folders/1esIz1ov1mJHzXsJt0OAopQW5bZZyssX9" TargetMode="External"/><Relationship Id="rId3207" Type="http://schemas.openxmlformats.org/officeDocument/2006/relationships/hyperlink" Target="https://drive.google.com/drive/folders/1v0iuj183dNIGiXxhEGX64SPkDXghIvuF" TargetMode="External"/><Relationship Id="rId4538" Type="http://schemas.openxmlformats.org/officeDocument/2006/relationships/hyperlink" Target="https://drive.google.com/drive/folders/17LuMWO0tmTUQOEYTsCD6VvQ8EPsIHGUq" TargetMode="External"/><Relationship Id="rId3206" Type="http://schemas.openxmlformats.org/officeDocument/2006/relationships/hyperlink" Target="https://github.com/raydak-labs/configarr/issues/187" TargetMode="External"/><Relationship Id="rId4537" Type="http://schemas.openxmlformats.org/officeDocument/2006/relationships/hyperlink" Target="https://drive.google.com/drive/folders/1TaWBFhjizwcTPjhh3D0R5MVndCioo9na" TargetMode="External"/><Relationship Id="rId3209" Type="http://schemas.openxmlformats.org/officeDocument/2006/relationships/hyperlink" Target="https://github.com/rbardini/resumed/issues/20" TargetMode="External"/><Relationship Id="rId3208" Type="http://schemas.openxmlformats.org/officeDocument/2006/relationships/hyperlink" Target="https://drive.google.com/drive/folders/163HjyPTCVTCXU-61lNaCkvTfaW-eTkdd" TargetMode="External"/><Relationship Id="rId4539" Type="http://schemas.openxmlformats.org/officeDocument/2006/relationships/hyperlink" Target="https://github.com/elastic/beats/issues/41903" TargetMode="External"/><Relationship Id="rId679" Type="http://schemas.openxmlformats.org/officeDocument/2006/relationships/hyperlink" Target="https://drive.google.com/drive/folders/1c5XL4a-maeleqN60mySXGDyv-xAWMy4r" TargetMode="External"/><Relationship Id="rId678" Type="http://schemas.openxmlformats.org/officeDocument/2006/relationships/hyperlink" Target="https://github.com/C2FO/vfs/issues/255" TargetMode="External"/><Relationship Id="rId677" Type="http://schemas.openxmlformats.org/officeDocument/2006/relationships/hyperlink" Target="https://drive.google.com/drive/folders/1yS2mym5JBbpLUhhBK12N0juzjO0gcMqI" TargetMode="External"/><Relationship Id="rId676" Type="http://schemas.openxmlformats.org/officeDocument/2006/relationships/hyperlink" Target="https://github.com/C2FO/vfs/issues/248" TargetMode="External"/><Relationship Id="rId671" Type="http://schemas.openxmlformats.org/officeDocument/2006/relationships/hyperlink" Target="https://drive.google.com/drive/folders/12n7pHewKkOWLpPts-AzmTkbPgFoUTdY9" TargetMode="External"/><Relationship Id="rId670" Type="http://schemas.openxmlformats.org/officeDocument/2006/relationships/hyperlink" Target="https://drive.google.com/drive/folders/10Sa2sMo4yYX_NDoqxtXewzaFjlOTnXRc" TargetMode="External"/><Relationship Id="rId4530" Type="http://schemas.openxmlformats.org/officeDocument/2006/relationships/hyperlink" Target="https://drive.google.com/drive/folders/1wbCA93C5gHOpd_nbhC7x4ZtpgaxqpnJm" TargetMode="External"/><Relationship Id="rId675" Type="http://schemas.openxmlformats.org/officeDocument/2006/relationships/hyperlink" Target="https://drive.google.com/drive/folders/1Hn4vANYfe00zzGQe5_sVY6Ntd-JiHc0Q" TargetMode="External"/><Relationship Id="rId3201" Type="http://schemas.openxmlformats.org/officeDocument/2006/relationships/hyperlink" Target="https://drive.google.com/drive/folders/1Gm0mAGisFq7h-f1PzAmfi66HkC_puC4p" TargetMode="External"/><Relationship Id="rId4532" Type="http://schemas.openxmlformats.org/officeDocument/2006/relationships/hyperlink" Target="https://github.com/eclipse/openvsx/issues/1327" TargetMode="External"/><Relationship Id="rId674" Type="http://schemas.openxmlformats.org/officeDocument/2006/relationships/hyperlink" Target="https://github.com/bytechefhq/bytechef/issues/3984" TargetMode="External"/><Relationship Id="rId3200" Type="http://schemas.openxmlformats.org/officeDocument/2006/relationships/hyperlink" Target="https://github.com/rancher/fleet/issues/3964" TargetMode="External"/><Relationship Id="rId4531" Type="http://schemas.openxmlformats.org/officeDocument/2006/relationships/hyperlink" Target="https://drive.google.com/drive/folders/17EHXBlU1ZV_RrkRI-V1j_y68SY47DFJy" TargetMode="External"/><Relationship Id="rId673" Type="http://schemas.openxmlformats.org/officeDocument/2006/relationships/hyperlink" Target="https://drive.google.com/drive/folders/1uSb25hJlSOHdkXsU7jYFdMs3mYKyrYKs" TargetMode="External"/><Relationship Id="rId3203" Type="http://schemas.openxmlformats.org/officeDocument/2006/relationships/hyperlink" Target="https://drive.google.com/drive/folders/1d6Wp-1VIOLYrr9N-xEbtEXj8h9CGdMF1" TargetMode="External"/><Relationship Id="rId4534" Type="http://schemas.openxmlformats.org/officeDocument/2006/relationships/hyperlink" Target="https://github.com/efcore/EFCore.CheckConstraints/issues/164" TargetMode="External"/><Relationship Id="rId672" Type="http://schemas.openxmlformats.org/officeDocument/2006/relationships/hyperlink" Target="https://github.com/bytechefhq/bytechef/issues/3960" TargetMode="External"/><Relationship Id="rId3202" Type="http://schemas.openxmlformats.org/officeDocument/2006/relationships/hyperlink" Target="https://github.com/randovania/randovania/issues/8180" TargetMode="External"/><Relationship Id="rId4533" Type="http://schemas.openxmlformats.org/officeDocument/2006/relationships/hyperlink" Target="https://drive.google.com/drive/folders/1MG6OaJapipUIz0NzjA7DV2MtE2S7dbi6" TargetMode="External"/><Relationship Id="rId190" Type="http://schemas.openxmlformats.org/officeDocument/2006/relationships/hyperlink" Target="https://github.com/All-Hands-AI/OpenHands/issues/9213" TargetMode="External"/><Relationship Id="rId5019" Type="http://schemas.openxmlformats.org/officeDocument/2006/relationships/hyperlink" Target="https://drive.google.com/drive/folders/1G-Ek7zCaHEgRh2hq-Om8qKDz1IY2fz3u" TargetMode="External"/><Relationship Id="rId194" Type="http://schemas.openxmlformats.org/officeDocument/2006/relationships/hyperlink" Target="https://drive.google.com/drive/folders/14zSMF0oH-in0phZML4PL3v4wHiDC6Q_t" TargetMode="External"/><Relationship Id="rId193" Type="http://schemas.openxmlformats.org/officeDocument/2006/relationships/hyperlink" Target="https://github.com/AllayMC/Allay/issues/578" TargetMode="External"/><Relationship Id="rId192" Type="http://schemas.openxmlformats.org/officeDocument/2006/relationships/hyperlink" Target="https://drive.google.com/drive/folders/1tYa5jUWrZXckuiz4xCbuUk4uLuYS7_fa" TargetMode="External"/><Relationship Id="rId191" Type="http://schemas.openxmlformats.org/officeDocument/2006/relationships/hyperlink" Target="https://drive.google.com/drive/folders/1GjYt-4-6GJTbnLKNpqwJhyRqO_gUJJkb" TargetMode="External"/><Relationship Id="rId5010" Type="http://schemas.openxmlformats.org/officeDocument/2006/relationships/hyperlink" Target="https://github.com/moment/luxon/issues/1685" TargetMode="External"/><Relationship Id="rId187" Type="http://schemas.openxmlformats.org/officeDocument/2006/relationships/hyperlink" Target="https://drive.google.com/drive/folders/1kHTyuYTi_uWopJ7AKBsh1u6uGYbBskdA" TargetMode="External"/><Relationship Id="rId5013" Type="http://schemas.openxmlformats.org/officeDocument/2006/relationships/hyperlink" Target="https://drive.google.com/drive/folders/1CN4Be9ANEQ4PoQVfqWBqtY25ZCf6KJ71" TargetMode="External"/><Relationship Id="rId186" Type="http://schemas.openxmlformats.org/officeDocument/2006/relationships/hyperlink" Target="https://drive.google.com/drive/folders/1zgjaV410m1BI4deD96esgxity0XSMgEU" TargetMode="External"/><Relationship Id="rId5014" Type="http://schemas.openxmlformats.org/officeDocument/2006/relationships/hyperlink" Target="https://drive.google.com/drive/folders/1quam7wf56kKlHI-PJ9RL8fhAG5gTJUX1" TargetMode="External"/><Relationship Id="rId185" Type="http://schemas.openxmlformats.org/officeDocument/2006/relationships/hyperlink" Target="https://github.com/alexrudall/ruby-openai/issues/620" TargetMode="External"/><Relationship Id="rId5011" Type="http://schemas.openxmlformats.org/officeDocument/2006/relationships/hyperlink" Target="https://drive.google.com/drive/folders/1iUfKX7x4X4tCY5PLz_RiSC3LO9_sfM_-" TargetMode="External"/><Relationship Id="rId184" Type="http://schemas.openxmlformats.org/officeDocument/2006/relationships/hyperlink" Target="https://drive.google.com/drive/folders/1FRdOo0j2Suamiv_I7DttseuveOsXCeC5" TargetMode="External"/><Relationship Id="rId5012" Type="http://schemas.openxmlformats.org/officeDocument/2006/relationships/hyperlink" Target="https://github.com/mozilla-ai/agent-factory/issues/306" TargetMode="External"/><Relationship Id="rId5017" Type="http://schemas.openxmlformats.org/officeDocument/2006/relationships/hyperlink" Target="https://github.com/mozilla/mozilla-django-oidc/issues/543" TargetMode="External"/><Relationship Id="rId5018" Type="http://schemas.openxmlformats.org/officeDocument/2006/relationships/hyperlink" Target="https://drive.google.com/drive/folders/1M69GkLE094IWI0Ri416uf_VGbA0DPBUC" TargetMode="External"/><Relationship Id="rId189" Type="http://schemas.openxmlformats.org/officeDocument/2006/relationships/hyperlink" Target="https://drive.google.com/drive/folders/1fKFxWxUb988c8VpS2qh4Gd_I_HlAab_x" TargetMode="External"/><Relationship Id="rId5015" Type="http://schemas.openxmlformats.org/officeDocument/2006/relationships/hyperlink" Target="https://github.com/mozilla-ai/mcpd/issues/171" TargetMode="External"/><Relationship Id="rId188" Type="http://schemas.openxmlformats.org/officeDocument/2006/relationships/hyperlink" Target="https://github.com/alibaba/yalantinglibs/issues/532" TargetMode="External"/><Relationship Id="rId5016" Type="http://schemas.openxmlformats.org/officeDocument/2006/relationships/hyperlink" Target="https://drive.google.com/drive/folders/1TJ7DclxUVoYuc30rgyBeuPCwQ22W95E4" TargetMode="External"/><Relationship Id="rId5008" Type="http://schemas.openxmlformats.org/officeDocument/2006/relationships/hyperlink" Target="https://github.com/mollie/mollie-api-ruby/issues/190" TargetMode="External"/><Relationship Id="rId5009" Type="http://schemas.openxmlformats.org/officeDocument/2006/relationships/hyperlink" Target="https://drive.google.com/drive/folders/1pvDUDT8ZTt1blgW1Pmah88iX6v5gm7Md" TargetMode="External"/><Relationship Id="rId183" Type="http://schemas.openxmlformats.org/officeDocument/2006/relationships/hyperlink" Target="https://github.com/alexneo2003/playwright-azure-reporter/issues/118" TargetMode="External"/><Relationship Id="rId182" Type="http://schemas.openxmlformats.org/officeDocument/2006/relationships/hyperlink" Target="https://drive.google.com/drive/folders/1uiMXtpGj0z2uyVwF-e2B_vBYS_TwVi9i" TargetMode="External"/><Relationship Id="rId181" Type="http://schemas.openxmlformats.org/officeDocument/2006/relationships/hyperlink" Target="https://drive.google.com/drive/folders/1CRG0g7LbnhPTFL_W15DNVdDcXw9ahraK" TargetMode="External"/><Relationship Id="rId180" Type="http://schemas.openxmlformats.org/officeDocument/2006/relationships/hyperlink" Target="https://github.com/alexmojaki/executing/issues/95" TargetMode="External"/><Relationship Id="rId176" Type="http://schemas.openxmlformats.org/officeDocument/2006/relationships/hyperlink" Target="https://github.com/AlertaDengue/PySUS/issues/210" TargetMode="External"/><Relationship Id="rId5002" Type="http://schemas.openxmlformats.org/officeDocument/2006/relationships/hyperlink" Target="https://github.com/modin-project/modin/issues/7524" TargetMode="External"/><Relationship Id="rId175" Type="http://schemas.openxmlformats.org/officeDocument/2006/relationships/hyperlink" Target="https://drive.google.com/drive/folders/1GEAlrP4cAx3GxYng9EpuYZG1UGbB4i1a" TargetMode="External"/><Relationship Id="rId5003" Type="http://schemas.openxmlformats.org/officeDocument/2006/relationships/hyperlink" Target="https://drive.google.com/drive/folders/1zwHs27hhERXKES3nppn64UjjtyUXYBXc" TargetMode="External"/><Relationship Id="rId174" Type="http://schemas.openxmlformats.org/officeDocument/2006/relationships/hyperlink" Target="https://github.com/Aleph-Alpha/ts-rs/issues/425" TargetMode="External"/><Relationship Id="rId5000" Type="http://schemas.openxmlformats.org/officeDocument/2006/relationships/hyperlink" Target="https://github.com/modelcontextprotocol/typescript-sdk/issues/33" TargetMode="External"/><Relationship Id="rId173" Type="http://schemas.openxmlformats.org/officeDocument/2006/relationships/hyperlink" Target="https://github.com/albumentations-team/albumentations/issues/2121" TargetMode="External"/><Relationship Id="rId5001" Type="http://schemas.openxmlformats.org/officeDocument/2006/relationships/hyperlink" Target="https://drive.google.com/drive/folders/1nCVha6BWk_ojNjL8TnBdKxAlF5NaVUsa" TargetMode="External"/><Relationship Id="rId5006" Type="http://schemas.openxmlformats.org/officeDocument/2006/relationships/hyperlink" Target="https://drive.google.com/drive/folders/1yQ-B88f4mM0MDXeu6cQvOgUg1rtvbA6X" TargetMode="External"/><Relationship Id="rId179" Type="http://schemas.openxmlformats.org/officeDocument/2006/relationships/hyperlink" Target="https://drive.google.com/drive/folders/1g7xrbnsSEIcNr8pI5k0BAsFG1dfwoj36" TargetMode="External"/><Relationship Id="rId5007" Type="http://schemas.openxmlformats.org/officeDocument/2006/relationships/hyperlink" Target="https://drive.google.com/drive/folders/1i4xTvhBh14dhJzuBH2wd9OxCq_nhKgyW" TargetMode="External"/><Relationship Id="rId178" Type="http://schemas.openxmlformats.org/officeDocument/2006/relationships/hyperlink" Target="https://drive.google.com/drive/folders/1-YPDFf6ascniQ9cY6AwfDcbO2Zh0eKJD" TargetMode="External"/><Relationship Id="rId5004" Type="http://schemas.openxmlformats.org/officeDocument/2006/relationships/hyperlink" Target="https://drive.google.com/drive/folders/1DIsN2RislpwKq9mNv3VbIr6m2DIMmh_o" TargetMode="External"/><Relationship Id="rId177" Type="http://schemas.openxmlformats.org/officeDocument/2006/relationships/hyperlink" Target="https://github.com/alexdlaird/amazon-orders/issues/21" TargetMode="External"/><Relationship Id="rId5005" Type="http://schemas.openxmlformats.org/officeDocument/2006/relationships/hyperlink" Target="https://github.com/modin-project/modin/issues/7561" TargetMode="External"/><Relationship Id="rId5031" Type="http://schemas.openxmlformats.org/officeDocument/2006/relationships/hyperlink" Target="https://github.com/needle-di/needle-di/issues/64" TargetMode="External"/><Relationship Id="rId5032" Type="http://schemas.openxmlformats.org/officeDocument/2006/relationships/hyperlink" Target="https://drive.google.com/drive/folders/1stKlstBi36v1KtHsIKkYzH3z1qovqVob" TargetMode="External"/><Relationship Id="rId5030" Type="http://schemas.openxmlformats.org/officeDocument/2006/relationships/hyperlink" Target="https://drive.google.com/drive/folders/18uPrTZKCaS7RYHME-6_Y7iD3_0l4cIeB" TargetMode="External"/><Relationship Id="rId5035" Type="http://schemas.openxmlformats.org/officeDocument/2006/relationships/hyperlink" Target="https://drive.google.com/drive/folders/1XlWjUlk5ByI16TqNnLt184kbONh9_fJ8" TargetMode="External"/><Relationship Id="rId5036" Type="http://schemas.openxmlformats.org/officeDocument/2006/relationships/hyperlink" Target="https://github.com/netty/netty/issues/15519" TargetMode="External"/><Relationship Id="rId5033" Type="http://schemas.openxmlformats.org/officeDocument/2006/relationships/hyperlink" Target="https://github.com/Netflix/archaius/issues/687" TargetMode="External"/><Relationship Id="rId5034" Type="http://schemas.openxmlformats.org/officeDocument/2006/relationships/hyperlink" Target="https://drive.google.com/drive/folders/1zh9-_xTyyqn8rUHMzeN13xrJaOaxUYmu" TargetMode="External"/><Relationship Id="rId5039" Type="http://schemas.openxmlformats.org/officeDocument/2006/relationships/hyperlink" Target="https://github.com/neuronsimulator/nrn/issues/2737" TargetMode="External"/><Relationship Id="rId5037" Type="http://schemas.openxmlformats.org/officeDocument/2006/relationships/hyperlink" Target="https://drive.google.com/drive/folders/177X0i-dVEcSpV-mSgIc4tkXi3UOSdUX-" TargetMode="External"/><Relationship Id="rId5038" Type="http://schemas.openxmlformats.org/officeDocument/2006/relationships/hyperlink" Target="https://drive.google.com/drive/folders/1_E4uCveGJ54m-g3B0pYdTg4m8bsUP2mq" TargetMode="External"/><Relationship Id="rId5020" Type="http://schemas.openxmlformats.org/officeDocument/2006/relationships/hyperlink" Target="https://github.com/mozilla/remote-settings/issues/741" TargetMode="External"/><Relationship Id="rId5021" Type="http://schemas.openxmlformats.org/officeDocument/2006/relationships/hyperlink" Target="https://drive.google.com/drive/folders/1cENElh6_m4DgDW4xlnqF06u-XIXRtiyT" TargetMode="External"/><Relationship Id="rId198" Type="http://schemas.openxmlformats.org/officeDocument/2006/relationships/hyperlink" Target="https://drive.google.com/drive/folders/1XLGBzj3w7xKCgsxaD_UjEX5byNafB2IE" TargetMode="External"/><Relationship Id="rId5024" Type="http://schemas.openxmlformats.org/officeDocument/2006/relationships/hyperlink" Target="https://drive.google.com/drive/folders/1zkmG5j4tZwIr2PggWPB4bcsErJyp1oWs" TargetMode="External"/><Relationship Id="rId197" Type="http://schemas.openxmlformats.org/officeDocument/2006/relationships/hyperlink" Target="https://github.com/alpacahq/alpaca-py/issues/552" TargetMode="External"/><Relationship Id="rId5025" Type="http://schemas.openxmlformats.org/officeDocument/2006/relationships/hyperlink" Target="https://github.com/NASA-AMMOS/3DTilesRendererJS/issues/885" TargetMode="External"/><Relationship Id="rId196" Type="http://schemas.openxmlformats.org/officeDocument/2006/relationships/hyperlink" Target="https://drive.google.com/drive/folders/1Yuag1nnpSpfBDrMMTKLGwt2mHVXbL_vq" TargetMode="External"/><Relationship Id="rId5022" Type="http://schemas.openxmlformats.org/officeDocument/2006/relationships/hyperlink" Target="https://drive.google.com/drive/folders/1bD-c9ED-8aF__-Kf3cv9VEQOQNJffaIu" TargetMode="External"/><Relationship Id="rId195" Type="http://schemas.openxmlformats.org/officeDocument/2006/relationships/hyperlink" Target="https://github.com/allenhutchison/obsidian-gemini/issues/317" TargetMode="External"/><Relationship Id="rId5023" Type="http://schemas.openxmlformats.org/officeDocument/2006/relationships/hyperlink" Target="https://github.com/narwhals-dev/narwhals/issues/2235" TargetMode="External"/><Relationship Id="rId5028" Type="http://schemas.openxmlformats.org/officeDocument/2006/relationships/hyperlink" Target="https://github.com/naver/billboard.js/issues/3961" TargetMode="External"/><Relationship Id="rId5029" Type="http://schemas.openxmlformats.org/officeDocument/2006/relationships/hyperlink" Target="https://drive.google.com/drive/folders/1YJsamiOV7vRLjaVbNIHqEmlWpZMY3iSL" TargetMode="External"/><Relationship Id="rId5026" Type="http://schemas.openxmlformats.org/officeDocument/2006/relationships/hyperlink" Target="https://drive.google.com/drive/folders/1Al14Q4YSVUDUqGG_xTY6b9RBhhPLnoKE" TargetMode="External"/><Relationship Id="rId199" Type="http://schemas.openxmlformats.org/officeDocument/2006/relationships/hyperlink" Target="https://drive.google.com/drive/folders/1K770xhB8LWxMw8ieFQXabtxb16ermjWL" TargetMode="External"/><Relationship Id="rId5027" Type="http://schemas.openxmlformats.org/officeDocument/2006/relationships/hyperlink" Target="https://drive.google.com/drive/folders/1uU4TginEUBoBBEQkH2t81APc5w_AYAna" TargetMode="External"/><Relationship Id="rId150" Type="http://schemas.openxmlformats.org/officeDocument/2006/relationships/hyperlink" Target="https://drive.google.com/drive/folders/1OyOmls186tBhGH6J6W666tWOckWLuVGD" TargetMode="External"/><Relationship Id="rId149" Type="http://schemas.openxmlformats.org/officeDocument/2006/relationships/hyperlink" Target="https://github.com/akash-network/console/issues/2421" TargetMode="External"/><Relationship Id="rId148" Type="http://schemas.openxmlformats.org/officeDocument/2006/relationships/hyperlink" Target="https://drive.google.com/drive/folders/1S3pravV7ElFR-S7wzg6eyDHSGjCD54te" TargetMode="External"/><Relationship Id="rId3270" Type="http://schemas.openxmlformats.org/officeDocument/2006/relationships/hyperlink" Target="https://github.com/rubocop/rubocop/issues/14294" TargetMode="External"/><Relationship Id="rId3272" Type="http://schemas.openxmlformats.org/officeDocument/2006/relationships/hyperlink" Target="https://drive.google.com/drive/folders/1Re6qpcr7E7nGKAiMYsivnAQ_IEtEDOhS" TargetMode="External"/><Relationship Id="rId3271" Type="http://schemas.openxmlformats.org/officeDocument/2006/relationships/hyperlink" Target="https://drive.google.com/drive/folders/1cNCj9rU9HpWckJ4GTiOStziYiYHU6hnH" TargetMode="External"/><Relationship Id="rId143" Type="http://schemas.openxmlformats.org/officeDocument/2006/relationships/hyperlink" Target="https://github.com/akash-network/console/issues/1933" TargetMode="External"/><Relationship Id="rId3274" Type="http://schemas.openxmlformats.org/officeDocument/2006/relationships/hyperlink" Target="https://drive.google.com/drive/folders/1FDP2e_xAyk5rWcVP2ABgGAyxr1ROQYIT" TargetMode="External"/><Relationship Id="rId142" Type="http://schemas.openxmlformats.org/officeDocument/2006/relationships/hyperlink" Target="https://drive.google.com/drive/folders/166LF-vYbQFdVj7M6EMjeNUGe35O3P9lZ" TargetMode="External"/><Relationship Id="rId3273" Type="http://schemas.openxmlformats.org/officeDocument/2006/relationships/hyperlink" Target="https://github.com/rubocop/rubocop/issues/14305" TargetMode="External"/><Relationship Id="rId141" Type="http://schemas.openxmlformats.org/officeDocument/2006/relationships/hyperlink" Target="https://github.com/ajoberstar/reckon/issues/205" TargetMode="External"/><Relationship Id="rId3276" Type="http://schemas.openxmlformats.org/officeDocument/2006/relationships/hyperlink" Target="https://github.com/ruby/lrama/issues/576" TargetMode="External"/><Relationship Id="rId140" Type="http://schemas.openxmlformats.org/officeDocument/2006/relationships/hyperlink" Target="https://drive.google.com/drive/folders/147ZEWNkg5lcOxtGm3JKEk6y5dzU6RgEu" TargetMode="External"/><Relationship Id="rId3275" Type="http://schemas.openxmlformats.org/officeDocument/2006/relationships/hyperlink" Target="https://drive.google.com/drive/folders/1C43w6JnwfTSTSQNj9CgnZSsK1JW0WbYb" TargetMode="External"/><Relationship Id="rId147" Type="http://schemas.openxmlformats.org/officeDocument/2006/relationships/hyperlink" Target="https://github.com/akash-network/console/issues/2256" TargetMode="External"/><Relationship Id="rId3278" Type="http://schemas.openxmlformats.org/officeDocument/2006/relationships/hyperlink" Target="https://github.com/rubyatscale/packs/issues/165" TargetMode="External"/><Relationship Id="rId146" Type="http://schemas.openxmlformats.org/officeDocument/2006/relationships/hyperlink" Target="https://drive.google.com/drive/folders/1G9hncHLVMFsqyPfEu2ulvPmap6MvmkIf" TargetMode="External"/><Relationship Id="rId3277" Type="http://schemas.openxmlformats.org/officeDocument/2006/relationships/hyperlink" Target="https://drive.google.com/drive/folders/1tmxcxqrv-cuiCruv0crNlqIfmnujcBhD" TargetMode="External"/><Relationship Id="rId145" Type="http://schemas.openxmlformats.org/officeDocument/2006/relationships/hyperlink" Target="https://github.com/akash-network/console/issues/924" TargetMode="External"/><Relationship Id="rId144" Type="http://schemas.openxmlformats.org/officeDocument/2006/relationships/hyperlink" Target="https://drive.google.com/drive/folders/1JdCGlxmg-NCIp6wl1Qg8SDmDxJbB1AnK" TargetMode="External"/><Relationship Id="rId3279" Type="http://schemas.openxmlformats.org/officeDocument/2006/relationships/hyperlink" Target="https://drive.google.com/drive/folders/1C3837R0Ovak3OJ6Mn425EyueKjqWsvgW" TargetMode="External"/><Relationship Id="rId139" Type="http://schemas.openxmlformats.org/officeDocument/2006/relationships/hyperlink" Target="https://github.com/Aiven-Open/http-connector-for-apache-kafka/issues/281" TargetMode="External"/><Relationship Id="rId138" Type="http://schemas.openxmlformats.org/officeDocument/2006/relationships/hyperlink" Target="https://drive.google.com/drive/folders/1Xxn4n4TdBUqgbAPfGF_ZtPjZwYtEYWQA" TargetMode="External"/><Relationship Id="rId137" Type="http://schemas.openxmlformats.org/officeDocument/2006/relationships/hyperlink" Target="https://github.com/Aiven-Open/http-connector-for-apache-kafka/issues/295" TargetMode="External"/><Relationship Id="rId4590" Type="http://schemas.openxmlformats.org/officeDocument/2006/relationships/hyperlink" Target="https://drive.google.com/drive/folders/1us1DsXmYQYYmPEYH1sZUw5wFfGtDi4L2" TargetMode="External"/><Relationship Id="rId3261" Type="http://schemas.openxmlformats.org/officeDocument/2006/relationships/hyperlink" Target="https://github.com/rqlite/rqlite/issues/2156" TargetMode="External"/><Relationship Id="rId4592" Type="http://schemas.openxmlformats.org/officeDocument/2006/relationships/hyperlink" Target="https://github.com/feature-engine/feature_engine/issues/857" TargetMode="External"/><Relationship Id="rId3260" Type="http://schemas.openxmlformats.org/officeDocument/2006/relationships/hyperlink" Target="https://drive.google.com/drive/folders/1ILkt5t617k9seGw-EXwPENvwLNu2PHLr" TargetMode="External"/><Relationship Id="rId4591" Type="http://schemas.openxmlformats.org/officeDocument/2006/relationships/hyperlink" Target="https://drive.google.com/drive/folders/1mYD7mIeJQQh-i0960NVARjNhOJEkzpIL" TargetMode="External"/><Relationship Id="rId132" Type="http://schemas.openxmlformats.org/officeDocument/2006/relationships/hyperlink" Target="https://drive.google.com/drive/folders/1wetHNU0mPn3FjZKdDUu3E4C6N7rxIgZ8" TargetMode="External"/><Relationship Id="rId3263" Type="http://schemas.openxmlformats.org/officeDocument/2006/relationships/hyperlink" Target="https://drive.google.com/drive/folders/1em-N7RrrGTWa-bn5NzHydYcvtHJ6ktSx" TargetMode="External"/><Relationship Id="rId4594" Type="http://schemas.openxmlformats.org/officeDocument/2006/relationships/hyperlink" Target="https://github.com/FEniCS/dolfinx/issues/3600" TargetMode="External"/><Relationship Id="rId131" Type="http://schemas.openxmlformats.org/officeDocument/2006/relationships/hyperlink" Target="https://github.com/aio-libs/aiohttp/issues/11094" TargetMode="External"/><Relationship Id="rId3262" Type="http://schemas.openxmlformats.org/officeDocument/2006/relationships/hyperlink" Target="https://drive.google.com/drive/folders/1YQrGsWsEkqVY7jibsZHlgC7QcsdzBAct" TargetMode="External"/><Relationship Id="rId4593" Type="http://schemas.openxmlformats.org/officeDocument/2006/relationships/hyperlink" Target="https://drive.google.com/drive/folders/1sQ9vcr9gHY1vFd-WDT2jL_9JuP86CF9W" TargetMode="External"/><Relationship Id="rId130" Type="http://schemas.openxmlformats.org/officeDocument/2006/relationships/hyperlink" Target="https://drive.google.com/drive/folders/1VXKKmrieNrLfbFq7mIKKawFaZxKjrN7R" TargetMode="External"/><Relationship Id="rId3265" Type="http://schemas.openxmlformats.org/officeDocument/2006/relationships/hyperlink" Target="https://drive.google.com/drive/folders/18TaxwbYmU5Ux27bgj-BBry8KcNwyeaIi" TargetMode="External"/><Relationship Id="rId4596" Type="http://schemas.openxmlformats.org/officeDocument/2006/relationships/hyperlink" Target="https://github.com/fiberplane/mcp-lite/issues/151" TargetMode="External"/><Relationship Id="rId3264" Type="http://schemas.openxmlformats.org/officeDocument/2006/relationships/hyperlink" Target="https://github.com/rubocop/rubocop/issues/13813" TargetMode="External"/><Relationship Id="rId4595" Type="http://schemas.openxmlformats.org/officeDocument/2006/relationships/hyperlink" Target="https://drive.google.com/drive/folders/174xz_XhIp76G8nJxdtuXRWdYtquC8K7c" TargetMode="External"/><Relationship Id="rId136" Type="http://schemas.openxmlformats.org/officeDocument/2006/relationships/hyperlink" Target="https://drive.google.com/drive/folders/1y-7nKCLW1-9sA-KwQ32wvriTEURSfjsc" TargetMode="External"/><Relationship Id="rId3267" Type="http://schemas.openxmlformats.org/officeDocument/2006/relationships/hyperlink" Target="https://github.com/rubocop/rubocop/issues/13922" TargetMode="External"/><Relationship Id="rId4598" Type="http://schemas.openxmlformats.org/officeDocument/2006/relationships/hyperlink" Target="https://github.com/flairNLP/flair/issues/3658" TargetMode="External"/><Relationship Id="rId135" Type="http://schemas.openxmlformats.org/officeDocument/2006/relationships/hyperlink" Target="https://drive.google.com/drive/folders/1uZ46-hCArV7nVycGK3f6eEon9FuNp2uO" TargetMode="External"/><Relationship Id="rId3266" Type="http://schemas.openxmlformats.org/officeDocument/2006/relationships/hyperlink" Target="https://drive.google.com/drive/folders/1XkdKs-m-S28RpAF3IhrfkSqpkfX1SDBB" TargetMode="External"/><Relationship Id="rId4597" Type="http://schemas.openxmlformats.org/officeDocument/2006/relationships/hyperlink" Target="https://drive.google.com/drive/folders/14wUAmYM0mjlq7nB6np0SEe759pep0Qwz" TargetMode="External"/><Relationship Id="rId134" Type="http://schemas.openxmlformats.org/officeDocument/2006/relationships/hyperlink" Target="https://github.com/aiogram/aiogram/issues/1642" TargetMode="External"/><Relationship Id="rId3269" Type="http://schemas.openxmlformats.org/officeDocument/2006/relationships/hyperlink" Target="https://drive.google.com/drive/folders/1pqHsu-oZPCgtd-bbuS6aKPsIBv1-IN9a" TargetMode="External"/><Relationship Id="rId133" Type="http://schemas.openxmlformats.org/officeDocument/2006/relationships/hyperlink" Target="https://drive.google.com/drive/folders/1AN9u_5vNVIjsnszztPxz8FF-bomoOa5R" TargetMode="External"/><Relationship Id="rId3268" Type="http://schemas.openxmlformats.org/officeDocument/2006/relationships/hyperlink" Target="https://drive.google.com/drive/folders/19zVqxvFbyEXeB73NlcD_Yn2TXEbdlQ-Z" TargetMode="External"/><Relationship Id="rId4599" Type="http://schemas.openxmlformats.org/officeDocument/2006/relationships/hyperlink" Target="https://drive.google.com/drive/folders/1jVbAeGkApqRLNxgyDrC31foI0F7XnugP" TargetMode="External"/><Relationship Id="rId172" Type="http://schemas.openxmlformats.org/officeDocument/2006/relationships/hyperlink" Target="https://github.com/albumentations-team/albumentations/issues/2130" TargetMode="External"/><Relationship Id="rId171" Type="http://schemas.openxmlformats.org/officeDocument/2006/relationships/hyperlink" Target="https://github.com/albumentations-team/albumentations/issues/2314" TargetMode="External"/><Relationship Id="rId170" Type="http://schemas.openxmlformats.org/officeDocument/2006/relationships/hyperlink" Target="https://drive.google.com/drive/folders/1XT2nSA0_f8MvMk3WeFk00Nwx6geadH_4" TargetMode="External"/><Relationship Id="rId3290" Type="http://schemas.openxmlformats.org/officeDocument/2006/relationships/hyperlink" Target="https://github.com/run-llama/llama_index/issues/19398" TargetMode="External"/><Relationship Id="rId3292" Type="http://schemas.openxmlformats.org/officeDocument/2006/relationships/hyperlink" Target="https://drive.google.com/drive/folders/1h4WeIFdcUJYwkxhBL85gKD2emHzqQ-1T" TargetMode="External"/><Relationship Id="rId3291" Type="http://schemas.openxmlformats.org/officeDocument/2006/relationships/hyperlink" Target="https://drive.google.com/drive/folders/11MTJlVlBiUkzhYCaSOgGj3TmEY_iCCaz" TargetMode="External"/><Relationship Id="rId3294" Type="http://schemas.openxmlformats.org/officeDocument/2006/relationships/hyperlink" Target="https://drive.google.com/drive/folders/1OpAsjsR6qa6ghvanGD7TApix2QVZ2TTI" TargetMode="External"/><Relationship Id="rId3293" Type="http://schemas.openxmlformats.org/officeDocument/2006/relationships/hyperlink" Target="https://github.com/runarberg/mathup/issues/130" TargetMode="External"/><Relationship Id="rId165" Type="http://schemas.openxmlformats.org/officeDocument/2006/relationships/hyperlink" Target="https://github.com/alan-turing-institute/data-safe-haven/issues/2389" TargetMode="External"/><Relationship Id="rId3296" Type="http://schemas.openxmlformats.org/officeDocument/2006/relationships/hyperlink" Target="https://github.com/rust-lang/mdBook/issues/2626" TargetMode="External"/><Relationship Id="rId164" Type="http://schemas.openxmlformats.org/officeDocument/2006/relationships/hyperlink" Target="https://drive.google.com/drive/folders/1YMfm0zAwp5mzlKXyRiVsQa9mrP557Wdo" TargetMode="External"/><Relationship Id="rId3295" Type="http://schemas.openxmlformats.org/officeDocument/2006/relationships/hyperlink" Target="https://drive.google.com/drive/folders/1-84C3idooxbAi6cQgpvqxe3Otevl9BVW" TargetMode="External"/><Relationship Id="rId163" Type="http://schemas.openxmlformats.org/officeDocument/2006/relationships/hyperlink" Target="https://github.com/alam00000/bentopdf/issues/58" TargetMode="External"/><Relationship Id="rId3298" Type="http://schemas.openxmlformats.org/officeDocument/2006/relationships/hyperlink" Target="https://drive.google.com/drive/folders/1UxZ65iCelXcPwicOgaXczymE7o09tJ1j" TargetMode="External"/><Relationship Id="rId162" Type="http://schemas.openxmlformats.org/officeDocument/2006/relationships/hyperlink" Target="https://drive.google.com/drive/folders/1KSb4a0WroehIOgOMDAinGuQdGnp5U8V0" TargetMode="External"/><Relationship Id="rId3297" Type="http://schemas.openxmlformats.org/officeDocument/2006/relationships/hyperlink" Target="https://drive.google.com/drive/folders/1m05Zmh_zg8g7_Lcn1k75Wyk1sU06qu2B" TargetMode="External"/><Relationship Id="rId169" Type="http://schemas.openxmlformats.org/officeDocument/2006/relationships/hyperlink" Target="https://github.com/albumentations-team/albumentations/issues/2122" TargetMode="External"/><Relationship Id="rId168" Type="http://schemas.openxmlformats.org/officeDocument/2006/relationships/hyperlink" Target="https://github.com/albumentations-team/albumentations/issues/2147" TargetMode="External"/><Relationship Id="rId3299" Type="http://schemas.openxmlformats.org/officeDocument/2006/relationships/hyperlink" Target="https://github.com/rust-lang/rust-analyzer/issues/18821" TargetMode="External"/><Relationship Id="rId167" Type="http://schemas.openxmlformats.org/officeDocument/2006/relationships/hyperlink" Target="https://drive.google.com/drive/folders/111FLFFUbrH7ER5T--R0GYJoh3mlrtK3i" TargetMode="External"/><Relationship Id="rId166" Type="http://schemas.openxmlformats.org/officeDocument/2006/relationships/hyperlink" Target="https://drive.google.com/drive/folders/1UNXsU3IFym3R68LogdPpIJNiMUsOj4tQ" TargetMode="External"/><Relationship Id="rId161" Type="http://schemas.openxmlformats.org/officeDocument/2006/relationships/hyperlink" Target="https://drive.google.com/drive/folders/1QLwWahMeER43wMNO-dav16NEizoUjt-z" TargetMode="External"/><Relationship Id="rId160" Type="http://schemas.openxmlformats.org/officeDocument/2006/relationships/hyperlink" Target="https://github.com/aku11i/phantom/issues/100" TargetMode="External"/><Relationship Id="rId159" Type="http://schemas.openxmlformats.org/officeDocument/2006/relationships/hyperlink" Target="https://drive.google.com/drive/folders/11j_KxSPFdBFLsV37789xTg1j9W6ohJUr" TargetMode="External"/><Relationship Id="rId3281" Type="http://schemas.openxmlformats.org/officeDocument/2006/relationships/hyperlink" Target="https://drive.google.com/drive/folders/1QcyXbrbQeK-KWqYcbZLlNm82aksMsthK" TargetMode="External"/><Relationship Id="rId3280" Type="http://schemas.openxmlformats.org/officeDocument/2006/relationships/hyperlink" Target="https://github.com/rubyforgood/human-essentials/issues/5034" TargetMode="External"/><Relationship Id="rId3283" Type="http://schemas.openxmlformats.org/officeDocument/2006/relationships/hyperlink" Target="https://drive.google.com/drive/folders/1AVCq06VH3CLJG9wiHRUHA98kXNoVPKhr" TargetMode="External"/><Relationship Id="rId3282" Type="http://schemas.openxmlformats.org/officeDocument/2006/relationships/hyperlink" Target="https://github.com/rubyforgood/human-essentials/issues/5122" TargetMode="External"/><Relationship Id="rId154" Type="http://schemas.openxmlformats.org/officeDocument/2006/relationships/hyperlink" Target="https://github.com/akkadotnet/akka.net/issues/7720" TargetMode="External"/><Relationship Id="rId3285" Type="http://schemas.openxmlformats.org/officeDocument/2006/relationships/hyperlink" Target="https://drive.google.com/drive/folders/1ATyydRo9jguyTt3_7SmNtMXFSzWPFq0f" TargetMode="External"/><Relationship Id="rId153" Type="http://schemas.openxmlformats.org/officeDocument/2006/relationships/hyperlink" Target="https://drive.google.com/drive/folders/1csys9vwjDFdPFOD_YnIUz1EbD4KbEBjd" TargetMode="External"/><Relationship Id="rId3284" Type="http://schemas.openxmlformats.org/officeDocument/2006/relationships/hyperlink" Target="https://github.com/rubyforgood/human-essentials/issues/5142" TargetMode="External"/><Relationship Id="rId152" Type="http://schemas.openxmlformats.org/officeDocument/2006/relationships/hyperlink" Target="https://drive.google.com/drive/folders/1EGTu3kcOnp4da_Ib3flv_eqm3RKvu9qp" TargetMode="External"/><Relationship Id="rId3287" Type="http://schemas.openxmlformats.org/officeDocument/2006/relationships/hyperlink" Target="https://drive.google.com/drive/folders/1U5K49R1vZ7njiv1EoCgpNAytch9N7S3h" TargetMode="External"/><Relationship Id="rId151" Type="http://schemas.openxmlformats.org/officeDocument/2006/relationships/hyperlink" Target="https://github.com/akkadotnet/akka.net/issues/7633" TargetMode="External"/><Relationship Id="rId3286" Type="http://schemas.openxmlformats.org/officeDocument/2006/relationships/hyperlink" Target="https://github.com/rubyforgood/human-essentials/issues/5209" TargetMode="External"/><Relationship Id="rId158" Type="http://schemas.openxmlformats.org/officeDocument/2006/relationships/hyperlink" Target="https://github.com/Akkudoktor-EOS/EOS/issues/500" TargetMode="External"/><Relationship Id="rId3289" Type="http://schemas.openxmlformats.org/officeDocument/2006/relationships/hyperlink" Target="https://drive.google.com/drive/folders/17pufcYgLt7-rTvxf4wWjAmjhfbnBryBy" TargetMode="External"/><Relationship Id="rId157" Type="http://schemas.openxmlformats.org/officeDocument/2006/relationships/hyperlink" Target="https://drive.google.com/drive/folders/10BQuBcyZaTaQDyIzd_-Tc4531YK-XShN" TargetMode="External"/><Relationship Id="rId3288" Type="http://schemas.openxmlformats.org/officeDocument/2006/relationships/hyperlink" Target="https://github.com/rubyforgood/human-essentials/issues/5322" TargetMode="External"/><Relationship Id="rId156" Type="http://schemas.openxmlformats.org/officeDocument/2006/relationships/hyperlink" Target="https://github.com/akkadotnet/akka.net/issues/7897" TargetMode="External"/><Relationship Id="rId155" Type="http://schemas.openxmlformats.org/officeDocument/2006/relationships/hyperlink" Target="https://drive.google.com/drive/folders/1hVnwPST9swAu0WaGQUsq2I__ZqgCI7cq" TargetMode="External"/><Relationship Id="rId2820" Type="http://schemas.openxmlformats.org/officeDocument/2006/relationships/hyperlink" Target="https://drive.google.com/drive/folders/1mSx4H3jLiGm-F1vwTyKCWMS5zqtd7DeX" TargetMode="External"/><Relationship Id="rId2821" Type="http://schemas.openxmlformats.org/officeDocument/2006/relationships/hyperlink" Target="https://github.com/opensafely-core/opencodelists/issues/2578" TargetMode="External"/><Relationship Id="rId2822" Type="http://schemas.openxmlformats.org/officeDocument/2006/relationships/hyperlink" Target="https://drive.google.com/drive/folders/1jVsncsXiQ-AIwNRjN81GVLaae3A_gR7l" TargetMode="External"/><Relationship Id="rId2823" Type="http://schemas.openxmlformats.org/officeDocument/2006/relationships/hyperlink" Target="https://drive.google.com/drive/folders/1krzBC4MdCpTiSD0cXFK59dL5pgH7BYyX" TargetMode="External"/><Relationship Id="rId2824" Type="http://schemas.openxmlformats.org/officeDocument/2006/relationships/hyperlink" Target="https://github.com/opensearch-project/data-prepper/issues/6148" TargetMode="External"/><Relationship Id="rId2825" Type="http://schemas.openxmlformats.org/officeDocument/2006/relationships/hyperlink" Target="https://drive.google.com/drive/folders/1HgD9KMcm31jd8VnNQbYlPXQkJmm45zD8" TargetMode="External"/><Relationship Id="rId2826" Type="http://schemas.openxmlformats.org/officeDocument/2006/relationships/hyperlink" Target="https://github.com/opensearch-project/data-prepper/issues/5354" TargetMode="External"/><Relationship Id="rId2827" Type="http://schemas.openxmlformats.org/officeDocument/2006/relationships/hyperlink" Target="https://drive.google.com/drive/folders/1iwVhd7Z7oANQxwQgod5Q8-zBsRk9icY2" TargetMode="External"/><Relationship Id="rId2828" Type="http://schemas.openxmlformats.org/officeDocument/2006/relationships/hyperlink" Target="https://github.com/opensearch-project/data-prepper/issues/6182" TargetMode="External"/><Relationship Id="rId2829" Type="http://schemas.openxmlformats.org/officeDocument/2006/relationships/hyperlink" Target="https://drive.google.com/drive/folders/1Utvd43gphLmjPhjJn8bvqQpHjDzknZ6i" TargetMode="External"/><Relationship Id="rId5093" Type="http://schemas.openxmlformats.org/officeDocument/2006/relationships/hyperlink" Target="https://github.com/open-telemetry/opentelemetry-js/issues/5777" TargetMode="External"/><Relationship Id="rId5094" Type="http://schemas.openxmlformats.org/officeDocument/2006/relationships/hyperlink" Target="https://drive.google.com/drive/folders/1oF35JgmqqNl-NtqNsIPV6Dx_Un9un9aW" TargetMode="External"/><Relationship Id="rId5091" Type="http://schemas.openxmlformats.org/officeDocument/2006/relationships/hyperlink" Target="https://github.com/open-policy-agent/opa/issues/7325" TargetMode="External"/><Relationship Id="rId5092" Type="http://schemas.openxmlformats.org/officeDocument/2006/relationships/hyperlink" Target="https://github.com/open-telemetry/opentelemetry-java-instrumentation/issues/12839" TargetMode="External"/><Relationship Id="rId5097" Type="http://schemas.openxmlformats.org/officeDocument/2006/relationships/hyperlink" Target="https://github.com/open-thought/reasoning-gym/issues/43" TargetMode="External"/><Relationship Id="rId5098" Type="http://schemas.openxmlformats.org/officeDocument/2006/relationships/hyperlink" Target="https://drive.google.com/drive/folders/1hgPUHKeTAEXakA7tphYiBPYLS1ydP6pd" TargetMode="External"/><Relationship Id="rId5095" Type="http://schemas.openxmlformats.org/officeDocument/2006/relationships/hyperlink" Target="https://github.com/open-telemetry/opentelemetry-ruby/issues/1887" TargetMode="External"/><Relationship Id="rId5096" Type="http://schemas.openxmlformats.org/officeDocument/2006/relationships/hyperlink" Target="https://drive.google.com/drive/folders/16i0_wHpdeFN6ex7gKFpSj2Zx5z_uPKK4" TargetMode="External"/><Relationship Id="rId5099" Type="http://schemas.openxmlformats.org/officeDocument/2006/relationships/hyperlink" Target="https://github.com/openconfig/gnmic/issues/548" TargetMode="External"/><Relationship Id="rId2810" Type="http://schemas.openxmlformats.org/officeDocument/2006/relationships/hyperlink" Target="https://drive.google.com/drive/folders/1XCrf4WOabZL7gMCsQecjDaF0Kgs3gZ0z" TargetMode="External"/><Relationship Id="rId2811" Type="http://schemas.openxmlformats.org/officeDocument/2006/relationships/hyperlink" Target="https://github.com/openmm/openmm/issues/4348" TargetMode="External"/><Relationship Id="rId2812" Type="http://schemas.openxmlformats.org/officeDocument/2006/relationships/hyperlink" Target="https://drive.google.com/drive/folders/1RMyTbjXnW8wZDv2oSnopZKYJOvs16y2i" TargetMode="External"/><Relationship Id="rId2813" Type="http://schemas.openxmlformats.org/officeDocument/2006/relationships/hyperlink" Target="https://github.com/openPMD/openPMD-api/issues/1737" TargetMode="External"/><Relationship Id="rId2814" Type="http://schemas.openxmlformats.org/officeDocument/2006/relationships/hyperlink" Target="https://drive.google.com/drive/folders/17aS6cCStgcsmyhn36UCb2M9maTZ0TFoW" TargetMode="External"/><Relationship Id="rId2815" Type="http://schemas.openxmlformats.org/officeDocument/2006/relationships/hyperlink" Target="https://github.com/openpubkey/openpubkey/issues/220" TargetMode="External"/><Relationship Id="rId2816" Type="http://schemas.openxmlformats.org/officeDocument/2006/relationships/hyperlink" Target="https://drive.google.com/drive/folders/1UrQeYUPnUPvTVWHCJQaOybANNCGgwb2V" TargetMode="External"/><Relationship Id="rId2817" Type="http://schemas.openxmlformats.org/officeDocument/2006/relationships/hyperlink" Target="https://github.com/openpubkey/opkssh/issues/68" TargetMode="External"/><Relationship Id="rId2818" Type="http://schemas.openxmlformats.org/officeDocument/2006/relationships/hyperlink" Target="https://drive.google.com/drive/folders/1Qi8fieQy_vpb9z2RJ_VG_9x7yv0kM8kj" TargetMode="External"/><Relationship Id="rId2819" Type="http://schemas.openxmlformats.org/officeDocument/2006/relationships/hyperlink" Target="https://github.com/openpubkey/opkssh/issues/181" TargetMode="External"/><Relationship Id="rId5090" Type="http://schemas.openxmlformats.org/officeDocument/2006/relationships/hyperlink" Target="https://drive.google.com/drive/folders/1JSNONmeaifI5ixQNGMc06LNSfvR0qsIc" TargetMode="External"/><Relationship Id="rId5082" Type="http://schemas.openxmlformats.org/officeDocument/2006/relationships/hyperlink" Target="https://github.com/onflow/flow-cli/issues/2074" TargetMode="External"/><Relationship Id="rId5083" Type="http://schemas.openxmlformats.org/officeDocument/2006/relationships/hyperlink" Target="https://drive.google.com/drive/folders/18FmGn38hVkLcaSUG6FiEleTWHzwy0ZnO" TargetMode="External"/><Relationship Id="rId5080" Type="http://schemas.openxmlformats.org/officeDocument/2006/relationships/hyperlink" Target="https://github.com/OneBusAway/onebusaway-gtfs-modules/issues/240" TargetMode="External"/><Relationship Id="rId5081" Type="http://schemas.openxmlformats.org/officeDocument/2006/relationships/hyperlink" Target="https://drive.google.com/drive/folders/1ye1ZCF-FMqR5hB65joGb18hw5IRKc_UL" TargetMode="External"/><Relationship Id="rId5086" Type="http://schemas.openxmlformats.org/officeDocument/2006/relationships/hyperlink" Target="https://github.com/open-cqrs/opencqrs/issues/24" TargetMode="External"/><Relationship Id="rId5087" Type="http://schemas.openxmlformats.org/officeDocument/2006/relationships/hyperlink" Target="https://drive.google.com/drive/folders/12BgWqWtK7H4GdpRTqPPyYykmb6H0qqLA" TargetMode="External"/><Relationship Id="rId5084" Type="http://schemas.openxmlformats.org/officeDocument/2006/relationships/hyperlink" Target="https://github.com/onthegomap/planetiler/issues/1173" TargetMode="External"/><Relationship Id="rId5085" Type="http://schemas.openxmlformats.org/officeDocument/2006/relationships/hyperlink" Target="https://drive.google.com/drive/folders/1rioPn9NO6-ZO76OXGcEHr93NDdDMOZpB" TargetMode="External"/><Relationship Id="rId5088" Type="http://schemas.openxmlformats.org/officeDocument/2006/relationships/hyperlink" Target="https://drive.google.com/drive/folders/1aDiaC697TfSqFdAymKhtwIdHVckCnQpR" TargetMode="External"/><Relationship Id="rId5089" Type="http://schemas.openxmlformats.org/officeDocument/2006/relationships/hyperlink" Target="https://github.com/Open-EO/openeo-python-client/issues/698" TargetMode="External"/><Relationship Id="rId1510" Type="http://schemas.openxmlformats.org/officeDocument/2006/relationships/hyperlink" Target="https://drive.google.com/drive/folders/1nIvkLnQDS6nakefJ4KO-uztchhmofvIl" TargetMode="External"/><Relationship Id="rId2841" Type="http://schemas.openxmlformats.org/officeDocument/2006/relationships/hyperlink" Target="https://github.com/opensearch-project/sql/issues/4010" TargetMode="External"/><Relationship Id="rId1511" Type="http://schemas.openxmlformats.org/officeDocument/2006/relationships/hyperlink" Target="https://github.com/gleam-lang/gleam/issues/4246" TargetMode="External"/><Relationship Id="rId2842" Type="http://schemas.openxmlformats.org/officeDocument/2006/relationships/hyperlink" Target="https://drive.google.com/drive/folders/156O52JIKPZAvpo5sP6Ogy7XnpTIVMy6u" TargetMode="External"/><Relationship Id="rId1512" Type="http://schemas.openxmlformats.org/officeDocument/2006/relationships/hyperlink" Target="https://drive.google.com/drive/folders/19uo9_FzyYgUCq3kSr3iGeHkJJcBE-dtY" TargetMode="External"/><Relationship Id="rId2843" Type="http://schemas.openxmlformats.org/officeDocument/2006/relationships/hyperlink" Target="https://github.com/openshift-pipelines/pipelines-as-code/issues/2095" TargetMode="External"/><Relationship Id="rId1513" Type="http://schemas.openxmlformats.org/officeDocument/2006/relationships/hyperlink" Target="https://drive.google.com/drive/folders/1xoddG0dra9JIdO_DPEwHwsNYzRyxK0wT" TargetMode="External"/><Relationship Id="rId2844" Type="http://schemas.openxmlformats.org/officeDocument/2006/relationships/hyperlink" Target="https://drive.google.com/drive/folders/1BSn3BJ4wrT8ADbRm4hVl7jLbsSApVo2j" TargetMode="External"/><Relationship Id="rId1514" Type="http://schemas.openxmlformats.org/officeDocument/2006/relationships/hyperlink" Target="https://github.com/gleam-lang/gleam/issues/4668" TargetMode="External"/><Relationship Id="rId2845" Type="http://schemas.openxmlformats.org/officeDocument/2006/relationships/hyperlink" Target="https://github.com/openstack-exporter/openstack-exporter/issues/378" TargetMode="External"/><Relationship Id="rId1515" Type="http://schemas.openxmlformats.org/officeDocument/2006/relationships/hyperlink" Target="https://drive.google.com/drive/folders/1vecqFYl9Yw9fsnLjGWUuFsV13FQ2g03_" TargetMode="External"/><Relationship Id="rId2846" Type="http://schemas.openxmlformats.org/officeDocument/2006/relationships/hyperlink" Target="https://drive.google.com/drive/folders/1NTIuEiSQ_9QhpqrILTlRVQgMZ8NwL1yi" TargetMode="External"/><Relationship Id="rId1516" Type="http://schemas.openxmlformats.org/officeDocument/2006/relationships/hyperlink" Target="https://github.com/gleam-lang/gleam/issues/4720" TargetMode="External"/><Relationship Id="rId2847" Type="http://schemas.openxmlformats.org/officeDocument/2006/relationships/hyperlink" Target="https://github.com/openstenoproject/plover/issues/1400" TargetMode="External"/><Relationship Id="rId1517" Type="http://schemas.openxmlformats.org/officeDocument/2006/relationships/hyperlink" Target="https://github.com/gleam-lang/gleam/issues/5019" TargetMode="External"/><Relationship Id="rId2848" Type="http://schemas.openxmlformats.org/officeDocument/2006/relationships/hyperlink" Target="https://drive.google.com/drive/folders/1ZYU8Mgth_igxOjE2-6_lkn_lnfLE3J_y" TargetMode="External"/><Relationship Id="rId1518" Type="http://schemas.openxmlformats.org/officeDocument/2006/relationships/hyperlink" Target="https://github.com/glowingjade/obsidian-smart-composer/issues/112" TargetMode="External"/><Relationship Id="rId2849" Type="http://schemas.openxmlformats.org/officeDocument/2006/relationships/hyperlink" Target="https://drive.google.com/drive/folders/1vY7C8v2FSrDjA6oEE96vNmKCNH5gZNuB" TargetMode="External"/><Relationship Id="rId1519" Type="http://schemas.openxmlformats.org/officeDocument/2006/relationships/hyperlink" Target="https://drive.google.com/drive/folders/1Yz2yNXEOvGZfDKazLdC5zU2U1w6gktoa" TargetMode="External"/><Relationship Id="rId2840" Type="http://schemas.openxmlformats.org/officeDocument/2006/relationships/hyperlink" Target="https://drive.google.com/drive/folders/1MAE1LCzMWUrnG_LzPPcLZYejmtkApIL9" TargetMode="External"/><Relationship Id="rId2830" Type="http://schemas.openxmlformats.org/officeDocument/2006/relationships/hyperlink" Target="https://github.com/opensearch-project/data-prepper/issues/5994" TargetMode="External"/><Relationship Id="rId1500" Type="http://schemas.openxmlformats.org/officeDocument/2006/relationships/hyperlink" Target="https://drive.google.com/drive/folders/1hYwk8bTXreG5635Yx_sjDBzlB2B3pmLe" TargetMode="External"/><Relationship Id="rId2831" Type="http://schemas.openxmlformats.org/officeDocument/2006/relationships/hyperlink" Target="https://drive.google.com/drive/folders/1yePWgs3OXeTLUghRj5Lo56AcNMviY4K3" TargetMode="External"/><Relationship Id="rId1501" Type="http://schemas.openxmlformats.org/officeDocument/2006/relationships/hyperlink" Target="https://github.com/gitify-app/gitify/issues/2561" TargetMode="External"/><Relationship Id="rId2832" Type="http://schemas.openxmlformats.org/officeDocument/2006/relationships/hyperlink" Target="https://github.com/opensearch-project/data-prepper/issues/6415" TargetMode="External"/><Relationship Id="rId1502" Type="http://schemas.openxmlformats.org/officeDocument/2006/relationships/hyperlink" Target="https://drive.google.com/drive/folders/1UyhdrhICO1FUuoOeleTPpW6dXHECf462" TargetMode="External"/><Relationship Id="rId2833" Type="http://schemas.openxmlformats.org/officeDocument/2006/relationships/hyperlink" Target="https://drive.google.com/drive/folders/1lBQAIxuXtdz6DgSJ0TT7YydNovFU2hCn" TargetMode="External"/><Relationship Id="rId1503" Type="http://schemas.openxmlformats.org/officeDocument/2006/relationships/hyperlink" Target="https://github.com/gitify-app/gitify/issues/2547" TargetMode="External"/><Relationship Id="rId2834" Type="http://schemas.openxmlformats.org/officeDocument/2006/relationships/hyperlink" Target="https://github.com/opensearch-project/data-prepper/issues/6273" TargetMode="External"/><Relationship Id="rId1504" Type="http://schemas.openxmlformats.org/officeDocument/2006/relationships/hyperlink" Target="https://drive.google.com/drive/folders/1FFZ2CEYegKopZQFa2tM870Pc6l2rqP8y" TargetMode="External"/><Relationship Id="rId2835" Type="http://schemas.openxmlformats.org/officeDocument/2006/relationships/hyperlink" Target="https://drive.google.com/drive/folders/1gJSt2QGOuiqasKgcYznLK8PrsgQXdY9p" TargetMode="External"/><Relationship Id="rId1505" Type="http://schemas.openxmlformats.org/officeDocument/2006/relationships/hyperlink" Target="https://github.com/gizatechxyz/LuminAIR/issues/49" TargetMode="External"/><Relationship Id="rId2836" Type="http://schemas.openxmlformats.org/officeDocument/2006/relationships/hyperlink" Target="https://github.com/opensearch-project/OpenSearch/issues/17055" TargetMode="External"/><Relationship Id="rId1506" Type="http://schemas.openxmlformats.org/officeDocument/2006/relationships/hyperlink" Target="https://drive.google.com/drive/folders/1sZR-q4lQWk3raA_NvVGgQk6I2d_nJh79" TargetMode="External"/><Relationship Id="rId2837" Type="http://schemas.openxmlformats.org/officeDocument/2006/relationships/hyperlink" Target="https://github.com/opensearch-project/OpenSearch/issues/17741" TargetMode="External"/><Relationship Id="rId1507" Type="http://schemas.openxmlformats.org/officeDocument/2006/relationships/hyperlink" Target="https://github.com/gkampitakis/go-snaps/issues/114" TargetMode="External"/><Relationship Id="rId2838" Type="http://schemas.openxmlformats.org/officeDocument/2006/relationships/hyperlink" Target="https://github.com/opensearch-project/opensearch-mcp-server-py/issues/68" TargetMode="External"/><Relationship Id="rId1508" Type="http://schemas.openxmlformats.org/officeDocument/2006/relationships/hyperlink" Target="https://drive.google.com/drive/folders/1TZt2pFS43Mc_nfrw92cZOlV8NgF62qwc" TargetMode="External"/><Relationship Id="rId2839" Type="http://schemas.openxmlformats.org/officeDocument/2006/relationships/hyperlink" Target="https://drive.google.com/drive/folders/14JZGY-iWkf39xAL8or76bkpPQm6W3a7c" TargetMode="External"/><Relationship Id="rId1509" Type="http://schemas.openxmlformats.org/officeDocument/2006/relationships/hyperlink" Target="https://github.com/gkampitakis/go-snaps/issues/128" TargetMode="External"/><Relationship Id="rId5050" Type="http://schemas.openxmlformats.org/officeDocument/2006/relationships/hyperlink" Target="https://drive.google.com/drive/folders/1LtIQy-0O-R1hbZ3_R7CzQEehTHxk8cuh" TargetMode="External"/><Relationship Id="rId5053" Type="http://schemas.openxmlformats.org/officeDocument/2006/relationships/hyperlink" Target="https://drive.google.com/drive/folders/1Kh8DZHuvDX1eRdaoNPuudAyCI5QZTymI" TargetMode="External"/><Relationship Id="rId5054" Type="http://schemas.openxmlformats.org/officeDocument/2006/relationships/hyperlink" Target="https://github.com/nix-community/nix-eval-jobs/issues/372" TargetMode="External"/><Relationship Id="rId5051" Type="http://schemas.openxmlformats.org/officeDocument/2006/relationships/hyperlink" Target="https://github.com/nilearn/nilearn/issues/5301" TargetMode="External"/><Relationship Id="rId5052" Type="http://schemas.openxmlformats.org/officeDocument/2006/relationships/hyperlink" Target="https://drive.google.com/drive/folders/1hpj7kGWIFFAuflNOejjX1HTasvSh72D7" TargetMode="External"/><Relationship Id="rId5057" Type="http://schemas.openxmlformats.org/officeDocument/2006/relationships/hyperlink" Target="https://drive.google.com/drive/folders/1Y2aUxuXG-cp2yLFK5PWif6jDFm8hI2GN" TargetMode="External"/><Relationship Id="rId5058" Type="http://schemas.openxmlformats.org/officeDocument/2006/relationships/hyperlink" Target="https://github.com/nodejs/undici/issues/4659" TargetMode="External"/><Relationship Id="rId5055" Type="http://schemas.openxmlformats.org/officeDocument/2006/relationships/hyperlink" Target="https://drive.google.com/drive/folders/1ZHzQMN-NeeYfr0ZC9n27yCxX-R3IsslA" TargetMode="External"/><Relationship Id="rId5056" Type="http://schemas.openxmlformats.org/officeDocument/2006/relationships/hyperlink" Target="https://github.com/nlpodyssey/openai-agents-go/issues/6" TargetMode="External"/><Relationship Id="rId5059" Type="http://schemas.openxmlformats.org/officeDocument/2006/relationships/hyperlink" Target="https://github.com/nodejs/undici/issues/4224" TargetMode="External"/><Relationship Id="rId5042" Type="http://schemas.openxmlformats.org/officeDocument/2006/relationships/hyperlink" Target="https://drive.google.com/drive/folders/19m-1eOt6ynlfnjgdKALOxnEyB2brtT5N" TargetMode="External"/><Relationship Id="rId5043" Type="http://schemas.openxmlformats.org/officeDocument/2006/relationships/hyperlink" Target="https://github.com/newrelic/node-newrelic/issues/2922" TargetMode="External"/><Relationship Id="rId5040" Type="http://schemas.openxmlformats.org/officeDocument/2006/relationships/hyperlink" Target="https://drive.google.com/drive/folders/1s_2DCoxeqaU584_r4tgSJBmE-eC8C3fX" TargetMode="External"/><Relationship Id="rId5041" Type="http://schemas.openxmlformats.org/officeDocument/2006/relationships/hyperlink" Target="https://github.com/NewFuture/DDNS/issues/528" TargetMode="External"/><Relationship Id="rId5046" Type="http://schemas.openxmlformats.org/officeDocument/2006/relationships/hyperlink" Target="https://drive.google.com/drive/folders/18jSFkfRdvLzO4LTXU48lmXZmghyzhnf9" TargetMode="External"/><Relationship Id="rId5047" Type="http://schemas.openxmlformats.org/officeDocument/2006/relationships/hyperlink" Target="https://github.com/nhairs/python-json-logger/issues/55" TargetMode="External"/><Relationship Id="rId5044" Type="http://schemas.openxmlformats.org/officeDocument/2006/relationships/hyperlink" Target="https://drive.google.com/drive/folders/1A-GTmmeYkoUTkj5znOciva2nyh6YDLL5" TargetMode="External"/><Relationship Id="rId5045" Type="http://schemas.openxmlformats.org/officeDocument/2006/relationships/hyperlink" Target="https://github.com/nextcloud/text/issues/7093" TargetMode="External"/><Relationship Id="rId5048" Type="http://schemas.openxmlformats.org/officeDocument/2006/relationships/hyperlink" Target="https://drive.google.com/drive/folders/177Ruwy4g3Xq3H_IsEGUFiskVsikH7tAb" TargetMode="External"/><Relationship Id="rId5049" Type="http://schemas.openxmlformats.org/officeDocument/2006/relationships/hyperlink" Target="https://github.com/nhairs/python-json-logger/issues/54" TargetMode="External"/><Relationship Id="rId2800" Type="http://schemas.openxmlformats.org/officeDocument/2006/relationships/hyperlink" Target="https://drive.google.com/drive/folders/1OJ4pUoY6SeonRCMwYEIK0r5MiPZGHzqH" TargetMode="External"/><Relationship Id="rId2801" Type="http://schemas.openxmlformats.org/officeDocument/2006/relationships/hyperlink" Target="https://github.com/OpenLiberty/open-liberty/issues/33511" TargetMode="External"/><Relationship Id="rId2802" Type="http://schemas.openxmlformats.org/officeDocument/2006/relationships/hyperlink" Target="https://drive.google.com/drive/folders/1_daceX2DfTDhbmpvloPKH1odwB8mlfCJ" TargetMode="External"/><Relationship Id="rId2803" Type="http://schemas.openxmlformats.org/officeDocument/2006/relationships/hyperlink" Target="https://github.com/OpenMDAO/dymos/issues/1147" TargetMode="External"/><Relationship Id="rId2804" Type="http://schemas.openxmlformats.org/officeDocument/2006/relationships/hyperlink" Target="https://drive.google.com/drive/folders/1zAGP8i6FQWWk6sS0JsT-UKwFjrNCzqSR" TargetMode="External"/><Relationship Id="rId2805" Type="http://schemas.openxmlformats.org/officeDocument/2006/relationships/hyperlink" Target="https://github.com/OpenMDAO/OpenMDAO/issues/3608" TargetMode="External"/><Relationship Id="rId2806" Type="http://schemas.openxmlformats.org/officeDocument/2006/relationships/hyperlink" Target="https://drive.google.com/drive/folders/1NVvGFGNK3jofZchNWjObH8EKDY9vusJy" TargetMode="External"/><Relationship Id="rId2807" Type="http://schemas.openxmlformats.org/officeDocument/2006/relationships/hyperlink" Target="https://drive.google.com/drive/folders/1uD0u0M4rxjTunucU6e1aI7gJe57x0ycz" TargetMode="External"/><Relationship Id="rId2808" Type="http://schemas.openxmlformats.org/officeDocument/2006/relationships/hyperlink" Target="https://github.com/openmm/openmm/issues/4732" TargetMode="External"/><Relationship Id="rId2809" Type="http://schemas.openxmlformats.org/officeDocument/2006/relationships/hyperlink" Target="https://drive.google.com/drive/folders/1_0Vz1nw1UcrV4AnfFIx-EFgVfPnfmVjL" TargetMode="External"/><Relationship Id="rId5071" Type="http://schemas.openxmlformats.org/officeDocument/2006/relationships/hyperlink" Target="https://drive.google.com/drive/folders/1MbcXMSnmQPpoV-2Exf0ZDlx5_bvHTV97" TargetMode="External"/><Relationship Id="rId5072" Type="http://schemas.openxmlformats.org/officeDocument/2006/relationships/hyperlink" Target="https://drive.google.com/drive/folders/1i28gow1KGN5ldboCgTdFFzM19OjTMSAv" TargetMode="External"/><Relationship Id="rId5070" Type="http://schemas.openxmlformats.org/officeDocument/2006/relationships/hyperlink" Target="https://github.com/nylas/nylas-ruby/issues/509" TargetMode="External"/><Relationship Id="rId5075" Type="http://schemas.openxmlformats.org/officeDocument/2006/relationships/hyperlink" Target="https://github.com/octokit/auth-app.js/issues/689" TargetMode="External"/><Relationship Id="rId5076" Type="http://schemas.openxmlformats.org/officeDocument/2006/relationships/hyperlink" Target="https://drive.google.com/drive/folders/1Pwz72VgjYF2d4rYprvmGWwZuDPkmvrov" TargetMode="External"/><Relationship Id="rId5073" Type="http://schemas.openxmlformats.org/officeDocument/2006/relationships/hyperlink" Target="https://github.com/objectionary/eo/issues/3758" TargetMode="External"/><Relationship Id="rId5074" Type="http://schemas.openxmlformats.org/officeDocument/2006/relationships/hyperlink" Target="https://drive.google.com/drive/folders/1IIgNjXDELQqinsdSPNa0SoYwFbMKykB8" TargetMode="External"/><Relationship Id="rId5079" Type="http://schemas.openxmlformats.org/officeDocument/2006/relationships/hyperlink" Target="https://drive.google.com/drive/folders/1RfxfVS8vGKzZ9B0wPm_D8VNb_mqY7blM" TargetMode="External"/><Relationship Id="rId5077" Type="http://schemas.openxmlformats.org/officeDocument/2006/relationships/hyperlink" Target="https://github.com/odygrd/quill/issues/575" TargetMode="External"/><Relationship Id="rId5078" Type="http://schemas.openxmlformats.org/officeDocument/2006/relationships/hyperlink" Target="https://github.com/okuramasafumi/alba/issues/396" TargetMode="External"/><Relationship Id="rId5060" Type="http://schemas.openxmlformats.org/officeDocument/2006/relationships/hyperlink" Target="https://drive.google.com/drive/folders/12D7QRJsAtTCCxUViV84ePUjYEjYbCBAa" TargetMode="External"/><Relationship Id="rId5061" Type="http://schemas.openxmlformats.org/officeDocument/2006/relationships/hyperlink" Target="https://drive.google.com/drive/folders/1-LiWu2wqi-T2pqS44sqZFLOefLeBumm2" TargetMode="External"/><Relationship Id="rId5064" Type="http://schemas.openxmlformats.org/officeDocument/2006/relationships/hyperlink" Target="https://github.com/nspcc-dev/neo-go/issues/3973" TargetMode="External"/><Relationship Id="rId5065" Type="http://schemas.openxmlformats.org/officeDocument/2006/relationships/hyperlink" Target="https://drive.google.com/drive/folders/1zscGH9cGYI0y-d3UOlUAMpVa3Fw7z68n" TargetMode="External"/><Relationship Id="rId5062" Type="http://schemas.openxmlformats.org/officeDocument/2006/relationships/hyperlink" Target="https://github.com/nspcc-dev/neo-go/issues/3996" TargetMode="External"/><Relationship Id="rId5063" Type="http://schemas.openxmlformats.org/officeDocument/2006/relationships/hyperlink" Target="https://drive.google.com/drive/folders/1dK5ev7-r2etIycdrlkzdazN_JnjBxkZM" TargetMode="External"/><Relationship Id="rId5068" Type="http://schemas.openxmlformats.org/officeDocument/2006/relationships/hyperlink" Target="https://github.com/NVIDIA/earth2studio/issues/483" TargetMode="External"/><Relationship Id="rId5069" Type="http://schemas.openxmlformats.org/officeDocument/2006/relationships/hyperlink" Target="https://drive.google.com/drive/folders/14AHGP_l9wqE5JQ6EaRArlC2h8DH_nI1b" TargetMode="External"/><Relationship Id="rId5066" Type="http://schemas.openxmlformats.org/officeDocument/2006/relationships/hyperlink" Target="https://github.com/NVIDIA-NeMo/Curator/issues/320" TargetMode="External"/><Relationship Id="rId5067" Type="http://schemas.openxmlformats.org/officeDocument/2006/relationships/hyperlink" Target="https://drive.google.com/drive/folders/1EPSBg6QbYH26zyeGsMXA0_ttTWm-TsNQ" TargetMode="External"/><Relationship Id="rId1576" Type="http://schemas.openxmlformats.org/officeDocument/2006/relationships/hyperlink" Target="https://drive.google.com/drive/folders/1jXKr8LzlbgxkYwVyVVNfH5EbnuZd7Yxv" TargetMode="External"/><Relationship Id="rId4602" Type="http://schemas.openxmlformats.org/officeDocument/2006/relationships/hyperlink" Target="https://drive.google.com/drive/folders/1_BMey1IJ6POJYLPnwAtN68H_up2MKopg" TargetMode="External"/><Relationship Id="rId1577" Type="http://schemas.openxmlformats.org/officeDocument/2006/relationships/hyperlink" Target="https://github.com/google/site-kit-wp/issues/9969" TargetMode="External"/><Relationship Id="rId4601" Type="http://schemas.openxmlformats.org/officeDocument/2006/relationships/hyperlink" Target="https://github.com/flowr-analysis/flowr/issues/1961" TargetMode="External"/><Relationship Id="rId1578" Type="http://schemas.openxmlformats.org/officeDocument/2006/relationships/hyperlink" Target="https://drive.google.com/drive/folders/10XudeKa7_k0YsheguTIH13tgyfPbVfO8" TargetMode="External"/><Relationship Id="rId4604" Type="http://schemas.openxmlformats.org/officeDocument/2006/relationships/hyperlink" Target="https://drive.google.com/drive/folders/19vHpWGZz-Xl9iy32NKzsU1HdjA0JDso4" TargetMode="External"/><Relationship Id="rId1579" Type="http://schemas.openxmlformats.org/officeDocument/2006/relationships/hyperlink" Target="https://github.com/google/site-kit-wp/issues/11038" TargetMode="External"/><Relationship Id="rId4603" Type="http://schemas.openxmlformats.org/officeDocument/2006/relationships/hyperlink" Target="https://github.com/fluent/fluentd/issues/4859" TargetMode="External"/><Relationship Id="rId4606" Type="http://schemas.openxmlformats.org/officeDocument/2006/relationships/hyperlink" Target="https://drive.google.com/drive/folders/1S-6A1g2WpmTryXMUZX6UC-lPmDW6zkaE" TargetMode="External"/><Relationship Id="rId4605" Type="http://schemas.openxmlformats.org/officeDocument/2006/relationships/hyperlink" Target="https://github.com/fmtlib/fmt/issues/3892" TargetMode="External"/><Relationship Id="rId4608" Type="http://schemas.openxmlformats.org/officeDocument/2006/relationships/hyperlink" Target="https://github.com/forge-42/remix-hook-form/issues/169" TargetMode="External"/><Relationship Id="rId4607" Type="http://schemas.openxmlformats.org/officeDocument/2006/relationships/hyperlink" Target="https://drive.google.com/drive/folders/1gZ6AVSbgNZBKxkRJyYRcr3Antq9TFfOu" TargetMode="External"/><Relationship Id="rId4609" Type="http://schemas.openxmlformats.org/officeDocument/2006/relationships/hyperlink" Target="https://drive.google.com/drive/folders/1_lqnDeTpU5HjO1Cu6asBr8qnP_RxR0Ep" TargetMode="External"/><Relationship Id="rId987" Type="http://schemas.openxmlformats.org/officeDocument/2006/relationships/hyperlink" Target="https://github.com/DaveSkender/Stock.Indicators/issues/1690" TargetMode="External"/><Relationship Id="rId986" Type="http://schemas.openxmlformats.org/officeDocument/2006/relationships/hyperlink" Target="https://github.com/DaveSkender/Stock.Indicators/issues/1691" TargetMode="External"/><Relationship Id="rId985" Type="http://schemas.openxmlformats.org/officeDocument/2006/relationships/hyperlink" Target="https://drive.google.com/drive/folders/1Oz4y1yKEmB1celiBoMaiFFlNxPY3jsGE" TargetMode="External"/><Relationship Id="rId984" Type="http://schemas.openxmlformats.org/officeDocument/2006/relationships/hyperlink" Target="https://github.com/DaveSkender/Stock.Indicators/issues/1450" TargetMode="External"/><Relationship Id="rId989" Type="http://schemas.openxmlformats.org/officeDocument/2006/relationships/hyperlink" Target="https://github.com/DaveSkender/Stock.Indicators/issues/1651" TargetMode="External"/><Relationship Id="rId988" Type="http://schemas.openxmlformats.org/officeDocument/2006/relationships/hyperlink" Target="https://drive.google.com/drive/folders/1iCgF3QKgfqGAP8a3fJ9sc2Ns4VtS7iiU" TargetMode="External"/><Relationship Id="rId1570" Type="http://schemas.openxmlformats.org/officeDocument/2006/relationships/hyperlink" Target="https://github.com/google/site-kit-wp/issues/11543" TargetMode="External"/><Relationship Id="rId1571" Type="http://schemas.openxmlformats.org/officeDocument/2006/relationships/hyperlink" Target="https://drive.google.com/drive/folders/1vuFT4RLX5ZWs4LcCJKX1XOaWpUROBx8o" TargetMode="External"/><Relationship Id="rId983" Type="http://schemas.openxmlformats.org/officeDocument/2006/relationships/hyperlink" Target="https://drive.google.com/drive/folders/1Wiy9_mb3MupkBM5RSJ_Lb1shObJS6kvH" TargetMode="External"/><Relationship Id="rId1572" Type="http://schemas.openxmlformats.org/officeDocument/2006/relationships/hyperlink" Target="https://github.com/google/site-kit-wp/issues/11473" TargetMode="External"/><Relationship Id="rId982" Type="http://schemas.openxmlformats.org/officeDocument/2006/relationships/hyperlink" Target="https://github.com/daun/playwright-report-summary/issues/251" TargetMode="External"/><Relationship Id="rId1573" Type="http://schemas.openxmlformats.org/officeDocument/2006/relationships/hyperlink" Target="https://github.com/google/site-kit-wp/issues/10236" TargetMode="External"/><Relationship Id="rId981" Type="http://schemas.openxmlformats.org/officeDocument/2006/relationships/hyperlink" Target="https://drive.google.com/drive/folders/1IQELzhq_uk35BbBfbbxCzKKgBSDNGZnz" TargetMode="External"/><Relationship Id="rId1574" Type="http://schemas.openxmlformats.org/officeDocument/2006/relationships/hyperlink" Target="https://drive.google.com/drive/folders/1c4lyymrSWMw8YdQwa4nvIq6fZRHLk6g8" TargetMode="External"/><Relationship Id="rId4600" Type="http://schemas.openxmlformats.org/officeDocument/2006/relationships/hyperlink" Target="https://drive.google.com/drive/folders/1zZ76vAN2QpwHa5DrssKyUModCo2Gjelu" TargetMode="External"/><Relationship Id="rId980" Type="http://schemas.openxmlformats.org/officeDocument/2006/relationships/hyperlink" Target="https://github.com/datastax/kaap/issues/194" TargetMode="External"/><Relationship Id="rId1575" Type="http://schemas.openxmlformats.org/officeDocument/2006/relationships/hyperlink" Target="https://github.com/google/site-kit-wp/issues/9684" TargetMode="External"/><Relationship Id="rId1565" Type="http://schemas.openxmlformats.org/officeDocument/2006/relationships/hyperlink" Target="https://drive.google.com/drive/folders/1mxN7LtZACd65CCvY-kDmFALLquUNciVw" TargetMode="External"/><Relationship Id="rId2896" Type="http://schemas.openxmlformats.org/officeDocument/2006/relationships/hyperlink" Target="https://drive.google.com/drive/folders/1vQgRrVQHi5l6du2sCdbJZrCf0t_jk0B3" TargetMode="External"/><Relationship Id="rId1566" Type="http://schemas.openxmlformats.org/officeDocument/2006/relationships/hyperlink" Target="https://github.com/google/highway/issues/2531" TargetMode="External"/><Relationship Id="rId2897" Type="http://schemas.openxmlformats.org/officeDocument/2006/relationships/hyperlink" Target="https://drive.google.com/drive/folders/1SV9a2aCC72s_9wWQfQC5wl-_X-qYYnjG" TargetMode="External"/><Relationship Id="rId1567" Type="http://schemas.openxmlformats.org/officeDocument/2006/relationships/hyperlink" Target="https://drive.google.com/drive/folders/1HK-KimqTyk9lSiYveCobYDd-13qukCoz" TargetMode="External"/><Relationship Id="rId2898" Type="http://schemas.openxmlformats.org/officeDocument/2006/relationships/hyperlink" Target="https://github.com/ossrs/srs/issues/4598" TargetMode="External"/><Relationship Id="rId1568" Type="http://schemas.openxmlformats.org/officeDocument/2006/relationships/hyperlink" Target="https://github.com/google/oss-rebuild/issues/310" TargetMode="External"/><Relationship Id="rId2899" Type="http://schemas.openxmlformats.org/officeDocument/2006/relationships/hyperlink" Target="https://drive.google.com/drive/folders/1e7DfLar-kwmaTFGyoNBjxbqr5Kq85gzY" TargetMode="External"/><Relationship Id="rId1569" Type="http://schemas.openxmlformats.org/officeDocument/2006/relationships/hyperlink" Target="https://drive.google.com/drive/folders/1WIKcZwC9CQMxxb4n4AAtR-_2v59aAr_n" TargetMode="External"/><Relationship Id="rId976" Type="http://schemas.openxmlformats.org/officeDocument/2006/relationships/hyperlink" Target="https://github.com/datafusion-contrib/datafusion-postgres/issues/149" TargetMode="External"/><Relationship Id="rId975" Type="http://schemas.openxmlformats.org/officeDocument/2006/relationships/hyperlink" Target="https://drive.google.com/drive/folders/1GAuwBtxw04-w54uKURPktb_Iso16QBZE" TargetMode="External"/><Relationship Id="rId974" Type="http://schemas.openxmlformats.org/officeDocument/2006/relationships/hyperlink" Target="https://github.com/DataDog/dd-trace-go/issues/3964" TargetMode="External"/><Relationship Id="rId973" Type="http://schemas.openxmlformats.org/officeDocument/2006/relationships/hyperlink" Target="https://drive.google.com/drive/folders/1UbKniW_r0B5vVDFP0yqJE0PtFUktSd8r" TargetMode="External"/><Relationship Id="rId979" Type="http://schemas.openxmlformats.org/officeDocument/2006/relationships/hyperlink" Target="https://drive.google.com/drive/folders/1MlRdzvu00aiFIQtOQ-LIXzSaf9ga74Zi" TargetMode="External"/><Relationship Id="rId978" Type="http://schemas.openxmlformats.org/officeDocument/2006/relationships/hyperlink" Target="https://github.com/DataSQRL/sqrl/issues/1622" TargetMode="External"/><Relationship Id="rId977" Type="http://schemas.openxmlformats.org/officeDocument/2006/relationships/hyperlink" Target="https://drive.google.com/drive/folders/1spWqmo2CBfOvk9R7EtqkCHUZ5yFskDRf" TargetMode="External"/><Relationship Id="rId2890" Type="http://schemas.openxmlformats.org/officeDocument/2006/relationships/hyperlink" Target="https://drive.google.com/drive/folders/1_cVkJsR66ju2Iv8hDYtP9Nh0t0J8UiDu" TargetMode="External"/><Relationship Id="rId1560" Type="http://schemas.openxmlformats.org/officeDocument/2006/relationships/hyperlink" Target="https://github.com/google/fhir-gateway/issues/406" TargetMode="External"/><Relationship Id="rId2891" Type="http://schemas.openxmlformats.org/officeDocument/2006/relationships/hyperlink" Target="https://github.com/OSGeo/PROJ/issues/4144" TargetMode="External"/><Relationship Id="rId972" Type="http://schemas.openxmlformats.org/officeDocument/2006/relationships/hyperlink" Target="https://drive.google.com/drive/folders/1B5u0vW8y2-ErR4-uQsU2em3-RTTCMJ16" TargetMode="External"/><Relationship Id="rId1561" Type="http://schemas.openxmlformats.org/officeDocument/2006/relationships/hyperlink" Target="https://drive.google.com/drive/folders/13ks2o_N2MhTGAAQsZILBI_jI8337ndkR" TargetMode="External"/><Relationship Id="rId2892" Type="http://schemas.openxmlformats.org/officeDocument/2006/relationships/hyperlink" Target="https://drive.google.com/drive/folders/1h5rh9cERk7HgcwEcTOeb7JKw3nCr9IwM" TargetMode="External"/><Relationship Id="rId971" Type="http://schemas.openxmlformats.org/officeDocument/2006/relationships/hyperlink" Target="https://github.com/databrickslabs/lakebridge/issues/1409" TargetMode="External"/><Relationship Id="rId1562" Type="http://schemas.openxmlformats.org/officeDocument/2006/relationships/hyperlink" Target="https://github.com/google/flow-lens/issues/49" TargetMode="External"/><Relationship Id="rId2893" Type="http://schemas.openxmlformats.org/officeDocument/2006/relationships/hyperlink" Target="https://github.com/oslllo/svg-fixer/issues/122" TargetMode="External"/><Relationship Id="rId970" Type="http://schemas.openxmlformats.org/officeDocument/2006/relationships/hyperlink" Target="https://drive.google.com/drive/folders/1yihs0QoYqbwHs5xQgw7cshPZ3jD6q0vu" TargetMode="External"/><Relationship Id="rId1563" Type="http://schemas.openxmlformats.org/officeDocument/2006/relationships/hyperlink" Target="https://drive.google.com/drive/folders/146QQzVKUVs4_uXcXs-3h3nK8BvcEbmPi" TargetMode="External"/><Relationship Id="rId2894" Type="http://schemas.openxmlformats.org/officeDocument/2006/relationships/hyperlink" Target="https://drive.google.com/drive/folders/1O-DlcGT68TUulHYYpN8H3Xmcy_oKAN1P" TargetMode="External"/><Relationship Id="rId1564" Type="http://schemas.openxmlformats.org/officeDocument/2006/relationships/hyperlink" Target="https://github.com/google/google-java-format/issues/1297" TargetMode="External"/><Relationship Id="rId2895" Type="http://schemas.openxmlformats.org/officeDocument/2006/relationships/hyperlink" Target="https://github.com/ossf/scorecard/issues/4423" TargetMode="External"/><Relationship Id="rId1598" Type="http://schemas.openxmlformats.org/officeDocument/2006/relationships/hyperlink" Target="https://drive.google.com/drive/folders/1OgnKkXxUGi9hD5JbVGxq3iDbVJ852GeJ" TargetMode="External"/><Relationship Id="rId4624" Type="http://schemas.openxmlformats.org/officeDocument/2006/relationships/hyperlink" Target="https://github.com/gardener/gardener/issues/11655" TargetMode="External"/><Relationship Id="rId1599" Type="http://schemas.openxmlformats.org/officeDocument/2006/relationships/hyperlink" Target="https://github.com/gopherguides/hype/issues/42" TargetMode="External"/><Relationship Id="rId4623" Type="http://schemas.openxmlformats.org/officeDocument/2006/relationships/hyperlink" Target="https://drive.google.com/drive/folders/1Fjrcz2A8pE99GEO3jf6qL1QHQ_nRzQGn" TargetMode="External"/><Relationship Id="rId4626" Type="http://schemas.openxmlformats.org/officeDocument/2006/relationships/hyperlink" Target="https://github.com/gavlyukovskiy/spring-boot-data-source-decorator/issues/130" TargetMode="External"/><Relationship Id="rId4625" Type="http://schemas.openxmlformats.org/officeDocument/2006/relationships/hyperlink" Target="https://drive.google.com/drive/folders/1Xdh3eYn_o28CyxX-8_Gmm7s_IRdL8CoN" TargetMode="External"/><Relationship Id="rId4628" Type="http://schemas.openxmlformats.org/officeDocument/2006/relationships/hyperlink" Target="https://github.com/gchq/sleeper/issues/5261" TargetMode="External"/><Relationship Id="rId4627" Type="http://schemas.openxmlformats.org/officeDocument/2006/relationships/hyperlink" Target="https://drive.google.com/drive/folders/1flEBKsvVbnQ2h69n5GTMYFT_c8lDO8Ud" TargetMode="External"/><Relationship Id="rId4629" Type="http://schemas.openxmlformats.org/officeDocument/2006/relationships/hyperlink" Target="https://drive.google.com/drive/folders/1pqyClSVvdFvn5-jCnukjUv8_nYyMFAY5" TargetMode="External"/><Relationship Id="rId1590" Type="http://schemas.openxmlformats.org/officeDocument/2006/relationships/hyperlink" Target="https://drive.google.com/drive/folders/1PX1A_EsVYSZn2D6iPT5cHAjaFwkWxlso" TargetMode="External"/><Relationship Id="rId1591" Type="http://schemas.openxmlformats.org/officeDocument/2006/relationships/hyperlink" Target="https://github.com/googleapis/go-sql-spanner/issues/369" TargetMode="External"/><Relationship Id="rId1592" Type="http://schemas.openxmlformats.org/officeDocument/2006/relationships/hyperlink" Target="https://drive.google.com/drive/folders/1L-12b4osk7bUgSzmxx6fWyyIAB60rE0d" TargetMode="External"/><Relationship Id="rId1593" Type="http://schemas.openxmlformats.org/officeDocument/2006/relationships/hyperlink" Target="https://drive.google.com/drive/folders/17X83Zcj-R61KSiwGn6m5zk8WB13_d9we" TargetMode="External"/><Relationship Id="rId1594" Type="http://schemas.openxmlformats.org/officeDocument/2006/relationships/hyperlink" Target="https://github.com/googleapis/sdk-platform-java/issues/3852" TargetMode="External"/><Relationship Id="rId4620" Type="http://schemas.openxmlformats.org/officeDocument/2006/relationships/hyperlink" Target="https://github.com/FuelLabs/fuels-ts/issues/3618" TargetMode="External"/><Relationship Id="rId1595" Type="http://schemas.openxmlformats.org/officeDocument/2006/relationships/hyperlink" Target="https://drive.google.com/drive/folders/1xTbZ4JiwcHjG0fC_6FTpu60yDHkbCFCB" TargetMode="External"/><Relationship Id="rId1596" Type="http://schemas.openxmlformats.org/officeDocument/2006/relationships/hyperlink" Target="https://github.com/GoogleCloudPlatform/opentelemetry-operations-python/issues/407" TargetMode="External"/><Relationship Id="rId4622" Type="http://schemas.openxmlformats.org/officeDocument/2006/relationships/hyperlink" Target="https://github.com/gadomski/las-rs/issues/117" TargetMode="External"/><Relationship Id="rId1597" Type="http://schemas.openxmlformats.org/officeDocument/2006/relationships/hyperlink" Target="https://drive.google.com/drive/folders/15Uk8hsPLjumW9pzuHrD7lj6TIl_7vWyX" TargetMode="External"/><Relationship Id="rId4621" Type="http://schemas.openxmlformats.org/officeDocument/2006/relationships/hyperlink" Target="https://drive.google.com/drive/folders/1RQwVjDwZOh1GjTx41RgFXLF8xAkZyrkL" TargetMode="External"/><Relationship Id="rId1587" Type="http://schemas.openxmlformats.org/officeDocument/2006/relationships/hyperlink" Target="https://drive.google.com/drive/folders/1ZZtNUlC6qb-tdxocqxfhcL3LmKrgER8p" TargetMode="External"/><Relationship Id="rId4613" Type="http://schemas.openxmlformats.org/officeDocument/2006/relationships/hyperlink" Target="https://drive.google.com/drive/folders/1n65X5OBg76JUldi59h5ukwexg6MpzhTH" TargetMode="External"/><Relationship Id="rId1588" Type="http://schemas.openxmlformats.org/officeDocument/2006/relationships/hyperlink" Target="https://drive.google.com/drive/folders/1JvbY3lXvnIyYNTOCOM5tXn4wJNKJghg4" TargetMode="External"/><Relationship Id="rId4612" Type="http://schemas.openxmlformats.org/officeDocument/2006/relationships/hyperlink" Target="https://github.com/frankframework/frankframework/issues/9829" TargetMode="External"/><Relationship Id="rId1589" Type="http://schemas.openxmlformats.org/officeDocument/2006/relationships/hyperlink" Target="https://github.com/googleapis/genai-toolbox/issues/1410" TargetMode="External"/><Relationship Id="rId4615" Type="http://schemas.openxmlformats.org/officeDocument/2006/relationships/hyperlink" Target="https://github.com/fsspec/universal_pathlib/issues/395" TargetMode="External"/><Relationship Id="rId4614" Type="http://schemas.openxmlformats.org/officeDocument/2006/relationships/hyperlink" Target="https://github.com/freqtrade/freqtrade/issues/11974" TargetMode="External"/><Relationship Id="rId4617" Type="http://schemas.openxmlformats.org/officeDocument/2006/relationships/hyperlink" Target="https://drive.google.com/drive/folders/1b2EECW3x3vviA35PPv6m99AMMyJwbX7B" TargetMode="External"/><Relationship Id="rId4616" Type="http://schemas.openxmlformats.org/officeDocument/2006/relationships/hyperlink" Target="https://drive.google.com/drive/folders/1t2FaKA5l2dmaDjYqI_Wkv3PAWcZKIrYM" TargetMode="External"/><Relationship Id="rId4619" Type="http://schemas.openxmlformats.org/officeDocument/2006/relationships/hyperlink" Target="https://drive.google.com/drive/folders/1BCMCNmKXSs2sdsuZLyoVECbtPVT4OMJV" TargetMode="External"/><Relationship Id="rId4618" Type="http://schemas.openxmlformats.org/officeDocument/2006/relationships/hyperlink" Target="https://github.com/FuelLabs/fuels-ts/issues/3923" TargetMode="External"/><Relationship Id="rId998" Type="http://schemas.openxmlformats.org/officeDocument/2006/relationships/hyperlink" Target="https://drive.google.com/drive/folders/1w6Oep3OG7b5LiVkWeCyu1eY0buDgPY9d" TargetMode="External"/><Relationship Id="rId997" Type="http://schemas.openxmlformats.org/officeDocument/2006/relationships/hyperlink" Target="https://github.com/dedicatedcode/reitti/issues/134" TargetMode="External"/><Relationship Id="rId996" Type="http://schemas.openxmlformats.org/officeDocument/2006/relationships/hyperlink" Target="https://drive.google.com/drive/folders/1IPRhUekLFKlX-CSzkd66GPXc6oBv8lVI" TargetMode="External"/><Relationship Id="rId995" Type="http://schemas.openxmlformats.org/officeDocument/2006/relationships/hyperlink" Target="https://github.com/dblock/strava-ruby-client/issues/99" TargetMode="External"/><Relationship Id="rId999" Type="http://schemas.openxmlformats.org/officeDocument/2006/relationships/hyperlink" Target="https://github.com/deepsense-ai/ragbits/issues/386" TargetMode="External"/><Relationship Id="rId990" Type="http://schemas.openxmlformats.org/officeDocument/2006/relationships/hyperlink" Target="https://drive.google.com/drive/folders/1YfpgDBoWrRM1426Z2kTsoRuy5CbwANqz" TargetMode="External"/><Relationship Id="rId1580" Type="http://schemas.openxmlformats.org/officeDocument/2006/relationships/hyperlink" Target="https://github.com/googleapis/genai-toolbox/issues/1061" TargetMode="External"/><Relationship Id="rId1581" Type="http://schemas.openxmlformats.org/officeDocument/2006/relationships/hyperlink" Target="https://drive.google.com/drive/folders/1yJ8t6Y93F1sWgmJXD4ZbwUbPDrlMmBB6" TargetMode="External"/><Relationship Id="rId1582" Type="http://schemas.openxmlformats.org/officeDocument/2006/relationships/hyperlink" Target="https://drive.google.com/drive/folders/1teWn1Bp59iL0Cv6aO_dIj6mbb-CoZurs" TargetMode="External"/><Relationship Id="rId994" Type="http://schemas.openxmlformats.org/officeDocument/2006/relationships/hyperlink" Target="https://drive.google.com/drive/folders/1Mx2JypipeXK_j_xwb78LK9LAIGrM57Wd" TargetMode="External"/><Relationship Id="rId1583" Type="http://schemas.openxmlformats.org/officeDocument/2006/relationships/hyperlink" Target="https://github.com/googleapis/genai-toolbox/issues/895" TargetMode="External"/><Relationship Id="rId993" Type="http://schemas.openxmlformats.org/officeDocument/2006/relationships/hyperlink" Target="https://github.com/DavidHDev/haiku/issues/128" TargetMode="External"/><Relationship Id="rId1584" Type="http://schemas.openxmlformats.org/officeDocument/2006/relationships/hyperlink" Target="https://drive.google.com/drive/folders/16uE4e0SGT8X8trm-mR81Vqk-i_YvLKgl" TargetMode="External"/><Relationship Id="rId992" Type="http://schemas.openxmlformats.org/officeDocument/2006/relationships/hyperlink" Target="https://drive.google.com/drive/folders/1rj2BE_rrXqCJS9svoUKOb0BrTRcW7ddV" TargetMode="External"/><Relationship Id="rId1585" Type="http://schemas.openxmlformats.org/officeDocument/2006/relationships/hyperlink" Target="https://drive.google.com/drive/folders/1eRlfcN07OLbCIqMLHIG4ajkEXdE-cQ3b" TargetMode="External"/><Relationship Id="rId4611" Type="http://schemas.openxmlformats.org/officeDocument/2006/relationships/hyperlink" Target="https://drive.google.com/drive/folders/1BlptE0fRQ102HdoEroW1M2mKZFLS_hDG" TargetMode="External"/><Relationship Id="rId991" Type="http://schemas.openxmlformats.org/officeDocument/2006/relationships/hyperlink" Target="https://github.com/DavidAnson/markdownlint/issues/1617" TargetMode="External"/><Relationship Id="rId1586" Type="http://schemas.openxmlformats.org/officeDocument/2006/relationships/hyperlink" Target="https://github.com/googleapis/genai-toolbox/issues/879" TargetMode="External"/><Relationship Id="rId4610" Type="http://schemas.openxmlformats.org/officeDocument/2006/relationships/hyperlink" Target="https://github.com/frankframework/frankframework/issues/8962" TargetMode="External"/><Relationship Id="rId1532" Type="http://schemas.openxmlformats.org/officeDocument/2006/relationships/hyperlink" Target="https://github.com/go-resty/resty/issues/921" TargetMode="External"/><Relationship Id="rId2863" Type="http://schemas.openxmlformats.org/officeDocument/2006/relationships/hyperlink" Target="https://drive.google.com/drive/folders/1ENMzGoBRM04L6u2m16wkJkGkq16wKdHp" TargetMode="External"/><Relationship Id="rId1533" Type="http://schemas.openxmlformats.org/officeDocument/2006/relationships/hyperlink" Target="https://drive.google.com/drive/folders/1xg6fhhwW9ccsS9ML2biUOQQYlw9WP_pu" TargetMode="External"/><Relationship Id="rId2864" Type="http://schemas.openxmlformats.org/officeDocument/2006/relationships/hyperlink" Target="https://drive.google.com/drive/folders/1YmAVap-jGq49SCm9dojzXP3pWwdGonXz" TargetMode="External"/><Relationship Id="rId1534" Type="http://schemas.openxmlformats.org/officeDocument/2006/relationships/hyperlink" Target="https://drive.google.com/drive/folders/1DYiVxmJASJEuEfHOs-UiMqsame_c2O0t" TargetMode="External"/><Relationship Id="rId2865" Type="http://schemas.openxmlformats.org/officeDocument/2006/relationships/hyperlink" Target="https://github.com/openwisp/netjsonconfig/issues/319" TargetMode="External"/><Relationship Id="rId1535" Type="http://schemas.openxmlformats.org/officeDocument/2006/relationships/hyperlink" Target="https://github.com/go-resty/resty/issues/966" TargetMode="External"/><Relationship Id="rId2866" Type="http://schemas.openxmlformats.org/officeDocument/2006/relationships/hyperlink" Target="https://drive.google.com/drive/folders/1r9U3tGw27CK_G55VJDrSSEIsQbHCw2lZ" TargetMode="External"/><Relationship Id="rId1536" Type="http://schemas.openxmlformats.org/officeDocument/2006/relationships/hyperlink" Target="https://drive.google.com/drive/folders/1whElj35LiqYuxjEp0cIBlRkcm6HlB7Xh" TargetMode="External"/><Relationship Id="rId2867" Type="http://schemas.openxmlformats.org/officeDocument/2006/relationships/hyperlink" Target="https://github.com/openwisp/netjsonconfig/issues/261" TargetMode="External"/><Relationship Id="rId1537" Type="http://schemas.openxmlformats.org/officeDocument/2006/relationships/hyperlink" Target="https://drive.google.com/drive/folders/1dARjnCLKCOIsxW4gdsWa6tXn8RF9DFhT" TargetMode="External"/><Relationship Id="rId2868" Type="http://schemas.openxmlformats.org/officeDocument/2006/relationships/hyperlink" Target="https://drive.google.com/drive/folders/1Ct8JavYxu1v8cyojMUkS8YXtWOxmEWpg" TargetMode="External"/><Relationship Id="rId1538" Type="http://schemas.openxmlformats.org/officeDocument/2006/relationships/hyperlink" Target="https://github.com/godatadriven/dbt-bouncer/issues/390" TargetMode="External"/><Relationship Id="rId2869" Type="http://schemas.openxmlformats.org/officeDocument/2006/relationships/hyperlink" Target="https://drive.google.com/drive/folders/1ulHx43l8Y8W2dZgUdyuk9Yasxvjij_xO" TargetMode="External"/><Relationship Id="rId1539" Type="http://schemas.openxmlformats.org/officeDocument/2006/relationships/hyperlink" Target="https://drive.google.com/drive/folders/1KGxo5K2R2FLvxEZnOCV2vtfv8WOu-zP3" TargetMode="External"/><Relationship Id="rId949" Type="http://schemas.openxmlformats.org/officeDocument/2006/relationships/hyperlink" Target="https://drive.google.com/drive/folders/1TgCnqsqxEL8RzHzno5_5s7g9wAbZCXj9" TargetMode="External"/><Relationship Id="rId948" Type="http://schemas.openxmlformats.org/officeDocument/2006/relationships/hyperlink" Target="https://github.com/dapr/java-sdk/issues/1405" TargetMode="External"/><Relationship Id="rId943" Type="http://schemas.openxmlformats.org/officeDocument/2006/relationships/hyperlink" Target="https://drive.google.com/drive/folders/1vgk7ZPfCGiLMLxvjl9EBhzyNWx5_0Cyp" TargetMode="External"/><Relationship Id="rId942" Type="http://schemas.openxmlformats.org/officeDocument/2006/relationships/hyperlink" Target="https://github.com/dapr/java-sdk/issues/1560" TargetMode="External"/><Relationship Id="rId941" Type="http://schemas.openxmlformats.org/officeDocument/2006/relationships/hyperlink" Target="https://drive.google.com/drive/folders/1d_WloKa0WgfYYC6qAGLoEoOxifE-R5_y" TargetMode="External"/><Relationship Id="rId940" Type="http://schemas.openxmlformats.org/officeDocument/2006/relationships/hyperlink" Target="https://github.com/danielwestendorf/specwrk/issues/111" TargetMode="External"/><Relationship Id="rId947" Type="http://schemas.openxmlformats.org/officeDocument/2006/relationships/hyperlink" Target="https://drive.google.com/drive/folders/1x2EhF2DzcPigcdBe785Uo1e7g055fchb" TargetMode="External"/><Relationship Id="rId946" Type="http://schemas.openxmlformats.org/officeDocument/2006/relationships/hyperlink" Target="https://github.com/dapr/java-sdk/issues/1218" TargetMode="External"/><Relationship Id="rId945" Type="http://schemas.openxmlformats.org/officeDocument/2006/relationships/hyperlink" Target="https://drive.google.com/drive/folders/1dInlWU3PuJOqgIuMOKCuoxFOpn4PxJjn" TargetMode="External"/><Relationship Id="rId944" Type="http://schemas.openxmlformats.org/officeDocument/2006/relationships/hyperlink" Target="https://github.com/dapr/java-sdk/issues/1216" TargetMode="External"/><Relationship Id="rId2860" Type="http://schemas.openxmlformats.org/officeDocument/2006/relationships/hyperlink" Target="https://drive.google.com/drive/folders/1zxbPZavw0Er0eKEYW3fHbs-Vm4AxNMVj" TargetMode="External"/><Relationship Id="rId1530" Type="http://schemas.openxmlformats.org/officeDocument/2006/relationships/hyperlink" Target="https://github.com/go-co-op/gocron/issues/884" TargetMode="External"/><Relationship Id="rId2861" Type="http://schemas.openxmlformats.org/officeDocument/2006/relationships/hyperlink" Target="https://drive.google.com/drive/folders/1oSLjCZ-6I8W9swbvel5Jej7GdFWej3zs" TargetMode="External"/><Relationship Id="rId1531" Type="http://schemas.openxmlformats.org/officeDocument/2006/relationships/hyperlink" Target="https://drive.google.com/drive/folders/1f3soCK2TsG1atslGKBN53lUQrjJP_EQ3" TargetMode="External"/><Relationship Id="rId2862" Type="http://schemas.openxmlformats.org/officeDocument/2006/relationships/hyperlink" Target="https://github.com/openwallet-foundation/acapy-vc-authn-oidc/issues/675" TargetMode="External"/><Relationship Id="rId1521" Type="http://schemas.openxmlformats.org/officeDocument/2006/relationships/hyperlink" Target="https://drive.google.com/drive/folders/1rHQ3GNmRWWI7cKKfhBJWEwExyJAso-Fo" TargetMode="External"/><Relationship Id="rId2852" Type="http://schemas.openxmlformats.org/officeDocument/2006/relationships/hyperlink" Target="https://drive.google.com/drive/folders/15xwbhWKstB_BP1kkfFdoN6fCTA7BLg-K" TargetMode="External"/><Relationship Id="rId1522" Type="http://schemas.openxmlformats.org/officeDocument/2006/relationships/hyperlink" Target="https://github.com/glu-lang/glu/issues/580" TargetMode="External"/><Relationship Id="rId2853" Type="http://schemas.openxmlformats.org/officeDocument/2006/relationships/hyperlink" Target="https://github.com/opentofu/opentofu/issues/3038" TargetMode="External"/><Relationship Id="rId1523" Type="http://schemas.openxmlformats.org/officeDocument/2006/relationships/hyperlink" Target="https://drive.google.com/drive/folders/16nn9RCR-k0OoOQ6soo-JMvS2xO3WHSqK" TargetMode="External"/><Relationship Id="rId2854" Type="http://schemas.openxmlformats.org/officeDocument/2006/relationships/hyperlink" Target="https://drive.google.com/drive/folders/1hNVyyDZ36SaScDNkDu8ySfQuSZaQIWMf" TargetMode="External"/><Relationship Id="rId1524" Type="http://schemas.openxmlformats.org/officeDocument/2006/relationships/hyperlink" Target="https://github.com/glu-lang/glu/issues/510" TargetMode="External"/><Relationship Id="rId2855" Type="http://schemas.openxmlformats.org/officeDocument/2006/relationships/hyperlink" Target="https://github.com/opentripplanner/OpenTripPlanner/issues/7098" TargetMode="External"/><Relationship Id="rId1525" Type="http://schemas.openxmlformats.org/officeDocument/2006/relationships/hyperlink" Target="https://drive.google.com/drive/folders/1rcfPJuYSSSvfPqWId5CQw3ptExKL4nm0" TargetMode="External"/><Relationship Id="rId2856" Type="http://schemas.openxmlformats.org/officeDocument/2006/relationships/hyperlink" Target="https://drive.google.com/drive/folders/1KfLLxJ_eYpiFXDkBmqNgm8XUrjTn5NPE" TargetMode="External"/><Relationship Id="rId1526" Type="http://schemas.openxmlformats.org/officeDocument/2006/relationships/hyperlink" Target="https://github.com/glu-lang/glu/issues/456" TargetMode="External"/><Relationship Id="rId2857" Type="http://schemas.openxmlformats.org/officeDocument/2006/relationships/hyperlink" Target="https://github.com/opentripplanner/OpenTripPlanner/issues/7126" TargetMode="External"/><Relationship Id="rId1527" Type="http://schemas.openxmlformats.org/officeDocument/2006/relationships/hyperlink" Target="https://drive.google.com/drive/folders/1lJ4ruGGU4Z9cOJ4PMI2isYEmLtUflziD" TargetMode="External"/><Relationship Id="rId2858" Type="http://schemas.openxmlformats.org/officeDocument/2006/relationships/hyperlink" Target="https://drive.google.com/drive/folders/19jH8yPyh4K9P2ZTlSdnL5MXxVbcxbict" TargetMode="External"/><Relationship Id="rId1528" Type="http://schemas.openxmlformats.org/officeDocument/2006/relationships/hyperlink" Target="https://github.com/gmeghnag/omc/issues/195" TargetMode="External"/><Relationship Id="rId2859" Type="http://schemas.openxmlformats.org/officeDocument/2006/relationships/hyperlink" Target="https://github.com/openwallet-foundation/acapy/issues/3173" TargetMode="External"/><Relationship Id="rId1529" Type="http://schemas.openxmlformats.org/officeDocument/2006/relationships/hyperlink" Target="https://drive.google.com/drive/folders/1AU-t3FLVPBg11C-0bp1Fj02r2VpLI-2R" TargetMode="External"/><Relationship Id="rId939" Type="http://schemas.openxmlformats.org/officeDocument/2006/relationships/hyperlink" Target="https://drive.google.com/drive/folders/1KaqhoBopnOUW4kV2P2uoeYJnqyPX7EFy" TargetMode="External"/><Relationship Id="rId938" Type="http://schemas.openxmlformats.org/officeDocument/2006/relationships/hyperlink" Target="https://github.com/danielroe/beasties/issues/119" TargetMode="External"/><Relationship Id="rId937" Type="http://schemas.openxmlformats.org/officeDocument/2006/relationships/hyperlink" Target="https://drive.google.com/drive/folders/14N9DUGiId48Drd5-gcIXf5oN5x7O-GhP" TargetMode="External"/><Relationship Id="rId932" Type="http://schemas.openxmlformats.org/officeDocument/2006/relationships/hyperlink" Target="https://drive.google.com/drive/folders/1HiqX__Fm_H-ouRS-fTu_jIkwRO60Yo2i" TargetMode="External"/><Relationship Id="rId931" Type="http://schemas.openxmlformats.org/officeDocument/2006/relationships/hyperlink" Target="https://github.com/daniel-hauser/moneyman/issues/474" TargetMode="External"/><Relationship Id="rId930" Type="http://schemas.openxmlformats.org/officeDocument/2006/relationships/hyperlink" Target="https://drive.google.com/drive/folders/1ODQ5sf4k0KbnElWlE-Egz8H5SbNfxaOW" TargetMode="External"/><Relationship Id="rId936" Type="http://schemas.openxmlformats.org/officeDocument/2006/relationships/hyperlink" Target="https://github.com/DanielLiu1123/grpc-starter/issues/92" TargetMode="External"/><Relationship Id="rId935" Type="http://schemas.openxmlformats.org/officeDocument/2006/relationships/hyperlink" Target="https://drive.google.com/drive/folders/1nh2X5xVzsRsONZU1sgsdjyC7L_Qu-q8i" TargetMode="External"/><Relationship Id="rId934" Type="http://schemas.openxmlformats.org/officeDocument/2006/relationships/hyperlink" Target="https://drive.google.com/drive/folders/16FHBBjEelx8gS7ZUv0OQ874dg9gpCXpq" TargetMode="External"/><Relationship Id="rId933" Type="http://schemas.openxmlformats.org/officeDocument/2006/relationships/hyperlink" Target="https://github.com/danielgtaylor/huma/issues/728" TargetMode="External"/><Relationship Id="rId2850" Type="http://schemas.openxmlformats.org/officeDocument/2006/relationships/hyperlink" Target="https://github.com/opentofu/opentofu/issues/3009" TargetMode="External"/><Relationship Id="rId1520" Type="http://schemas.openxmlformats.org/officeDocument/2006/relationships/hyperlink" Target="https://github.com/glu-lang/glu/issues/574" TargetMode="External"/><Relationship Id="rId2851" Type="http://schemas.openxmlformats.org/officeDocument/2006/relationships/hyperlink" Target="https://drive.google.com/drive/folders/10vVBAhPvN15jN1pD2fdAID0CRBOSG6Zc" TargetMode="External"/><Relationship Id="rId1554" Type="http://schemas.openxmlformats.org/officeDocument/2006/relationships/hyperlink" Target="https://drive.google.com/drive/folders/1AaY3KyrdjbUF2iRD-0nyNK6pm4-3HLu5" TargetMode="External"/><Relationship Id="rId2885" Type="http://schemas.openxmlformats.org/officeDocument/2006/relationships/hyperlink" Target="https://drive.google.com/drive/folders/1ZyHBgIhT51z-HJv1wWKmAmCqfOmqZvJa" TargetMode="External"/><Relationship Id="rId1555" Type="http://schemas.openxmlformats.org/officeDocument/2006/relationships/hyperlink" Target="https://drive.google.com/drive/folders/1ZkV132a0b-MAN_Pjnyvy_a8rnNJyVpv4" TargetMode="External"/><Relationship Id="rId2886" Type="http://schemas.openxmlformats.org/officeDocument/2006/relationships/hyperlink" Target="https://github.com/OSGeo/gdal/issues/13009" TargetMode="External"/><Relationship Id="rId1556" Type="http://schemas.openxmlformats.org/officeDocument/2006/relationships/hyperlink" Target="https://github.com/google-gemini/gemini-cli/issues/11593" TargetMode="External"/><Relationship Id="rId2887" Type="http://schemas.openxmlformats.org/officeDocument/2006/relationships/hyperlink" Target="https://drive.google.com/drive/folders/1IkXmyb8cf7Su4l5jQhXguO87mCflu3xu" TargetMode="External"/><Relationship Id="rId1557" Type="http://schemas.openxmlformats.org/officeDocument/2006/relationships/hyperlink" Target="https://drive.google.com/drive/folders/1QHs6T5TZnSX3NEpHn_zo14u1kIj0LsLG" TargetMode="External"/><Relationship Id="rId2888" Type="http://schemas.openxmlformats.org/officeDocument/2006/relationships/hyperlink" Target="https://github.com/OSGeo/gdal/issues/11985" TargetMode="External"/><Relationship Id="rId1558" Type="http://schemas.openxmlformats.org/officeDocument/2006/relationships/hyperlink" Target="https://github.com/google/benchmark/issues/1948" TargetMode="External"/><Relationship Id="rId2889" Type="http://schemas.openxmlformats.org/officeDocument/2006/relationships/hyperlink" Target="https://drive.google.com/drive/folders/1J2r2fhSudh0uI4GyZdFWN9tk8FRVtGFW" TargetMode="External"/><Relationship Id="rId1559" Type="http://schemas.openxmlformats.org/officeDocument/2006/relationships/hyperlink" Target="https://drive.google.com/drive/folders/1migqq37XCUKnycl49e54lYqaY_qpKCOD" TargetMode="External"/><Relationship Id="rId965" Type="http://schemas.openxmlformats.org/officeDocument/2006/relationships/hyperlink" Target="https://github.com/databrickslabs/lakebridge/issues/1404" TargetMode="External"/><Relationship Id="rId964" Type="http://schemas.openxmlformats.org/officeDocument/2006/relationships/hyperlink" Target="https://drive.google.com/drive/folders/1zU51pbKIsxZ6nWL4j6GfoVPWL6crm-BI" TargetMode="External"/><Relationship Id="rId963" Type="http://schemas.openxmlformats.org/officeDocument/2006/relationships/hyperlink" Target="https://drive.google.com/drive/folders/1PrlC250pYNVTPVVmyqTdjt1DiH5fEAQh" TargetMode="External"/><Relationship Id="rId962" Type="http://schemas.openxmlformats.org/officeDocument/2006/relationships/hyperlink" Target="https://github.com/DataBiosphere/toil/issues/5358" TargetMode="External"/><Relationship Id="rId969" Type="http://schemas.openxmlformats.org/officeDocument/2006/relationships/hyperlink" Target="https://drive.google.com/drive/folders/1-kt-OzDJZkcsKiIbpD0cdmFdbh35wDX-" TargetMode="External"/><Relationship Id="rId968" Type="http://schemas.openxmlformats.org/officeDocument/2006/relationships/hyperlink" Target="https://github.com/databrickslabs/lakebridge/issues/1487" TargetMode="External"/><Relationship Id="rId967" Type="http://schemas.openxmlformats.org/officeDocument/2006/relationships/hyperlink" Target="https://drive.google.com/drive/folders/1X3oo2UUPSt2n4wdRT8zGvNmXMt4iNEZN" TargetMode="External"/><Relationship Id="rId966" Type="http://schemas.openxmlformats.org/officeDocument/2006/relationships/hyperlink" Target="https://drive.google.com/drive/folders/1eJ9eSuBroCbVBx4Kkp0ndxRYHs1Atpbv" TargetMode="External"/><Relationship Id="rId2880" Type="http://schemas.openxmlformats.org/officeDocument/2006/relationships/hyperlink" Target="https://github.com/openzim/libzim/issues/997" TargetMode="External"/><Relationship Id="rId961" Type="http://schemas.openxmlformats.org/officeDocument/2006/relationships/hyperlink" Target="https://drive.google.com/drive/folders/1lJf2xVb0NFDVOg_hYMInNcYQ2iPn4DNH" TargetMode="External"/><Relationship Id="rId1550" Type="http://schemas.openxmlformats.org/officeDocument/2006/relationships/hyperlink" Target="https://github.com/goodmami/wn/issues/259" TargetMode="External"/><Relationship Id="rId2881" Type="http://schemas.openxmlformats.org/officeDocument/2006/relationships/hyperlink" Target="https://drive.google.com/drive/folders/1XubQvjNCoTIJe4nrNQw9Uq0w-jw15jeg" TargetMode="External"/><Relationship Id="rId960" Type="http://schemas.openxmlformats.org/officeDocument/2006/relationships/hyperlink" Target="https://github.com/DataBiosphere/toil/issues/5233" TargetMode="External"/><Relationship Id="rId1551" Type="http://schemas.openxmlformats.org/officeDocument/2006/relationships/hyperlink" Target="https://drive.google.com/drive/folders/1oUf4U0CX-XueamZ0rD8gJKpoomlECmRI" TargetMode="External"/><Relationship Id="rId2882" Type="http://schemas.openxmlformats.org/officeDocument/2006/relationships/hyperlink" Target="https://github.com/oras-project/oras-go/issues/933" TargetMode="External"/><Relationship Id="rId1552" Type="http://schemas.openxmlformats.org/officeDocument/2006/relationships/hyperlink" Target="https://drive.google.com/drive/folders/1UQr2WFazUVhsugIstsa3a9ow3E7xIjG_" TargetMode="External"/><Relationship Id="rId2883" Type="http://schemas.openxmlformats.org/officeDocument/2006/relationships/hyperlink" Target="https://drive.google.com/drive/folders/1UEOSnYJjF_PNkxu0By-7vWsT1dRA4AAO" TargetMode="External"/><Relationship Id="rId1553" Type="http://schemas.openxmlformats.org/officeDocument/2006/relationships/hyperlink" Target="https://github.com/goodmami/wn/issues/258" TargetMode="External"/><Relationship Id="rId2884" Type="http://schemas.openxmlformats.org/officeDocument/2006/relationships/hyperlink" Target="https://github.com/ORNL/ReSolve/issues/350" TargetMode="External"/><Relationship Id="rId1543" Type="http://schemas.openxmlformats.org/officeDocument/2006/relationships/hyperlink" Target="https://drive.google.com/drive/folders/1girJ8tTVTh6_Ot652Kx309O-IXTb2GML" TargetMode="External"/><Relationship Id="rId2874" Type="http://schemas.openxmlformats.org/officeDocument/2006/relationships/hyperlink" Target="https://github.com/OpenZeppelin/stellar-contracts/issues/124" TargetMode="External"/><Relationship Id="rId1544" Type="http://schemas.openxmlformats.org/officeDocument/2006/relationships/hyperlink" Target="https://drive.google.com/drive/folders/1GXN2wpducMRHpigeVWcbvB5-Bo6M4Y_Z" TargetMode="External"/><Relationship Id="rId2875" Type="http://schemas.openxmlformats.org/officeDocument/2006/relationships/hyperlink" Target="https://drive.google.com/drive/folders/1QW0fKceJdWYarDyeF3hLMkU4mJiy-Dtl" TargetMode="External"/><Relationship Id="rId1545" Type="http://schemas.openxmlformats.org/officeDocument/2006/relationships/hyperlink" Target="https://github.com/Goldziher/html-to-markdown/issues/4" TargetMode="External"/><Relationship Id="rId2876" Type="http://schemas.openxmlformats.org/officeDocument/2006/relationships/hyperlink" Target="https://github.com/OpenZeppelin/stellar-contracts/issues/214" TargetMode="External"/><Relationship Id="rId1546" Type="http://schemas.openxmlformats.org/officeDocument/2006/relationships/hyperlink" Target="https://drive.google.com/drive/folders/1_Kt6BpJeFhqN7UxkjaRQQigK42t06gqM" TargetMode="External"/><Relationship Id="rId2877" Type="http://schemas.openxmlformats.org/officeDocument/2006/relationships/hyperlink" Target="https://drive.google.com/drive/folders/1IFY0Cdx9qskh51eJUpIkfX9YLUdNHr3B" TargetMode="External"/><Relationship Id="rId1547" Type="http://schemas.openxmlformats.org/officeDocument/2006/relationships/hyperlink" Target="https://github.com/Goldziher/html-to-markdown/issues/32" TargetMode="External"/><Relationship Id="rId2878" Type="http://schemas.openxmlformats.org/officeDocument/2006/relationships/hyperlink" Target="https://github.com/OpenZeppelin/stellar-contracts/issues/228" TargetMode="External"/><Relationship Id="rId1548" Type="http://schemas.openxmlformats.org/officeDocument/2006/relationships/hyperlink" Target="https://drive.google.com/drive/folders/1_V6rb8Twg4opSNNllMzfRFcPrO9E_int" TargetMode="External"/><Relationship Id="rId2879" Type="http://schemas.openxmlformats.org/officeDocument/2006/relationships/hyperlink" Target="https://drive.google.com/drive/folders/1h4jAK0Pro9SU4ckTJkidJ_t1M2vKCBnT" TargetMode="External"/><Relationship Id="rId1549" Type="http://schemas.openxmlformats.org/officeDocument/2006/relationships/hyperlink" Target="https://drive.google.com/drive/folders/1dGuCptrGuLldI7D4c12cVkzin-NFBdjT" TargetMode="External"/><Relationship Id="rId959" Type="http://schemas.openxmlformats.org/officeDocument/2006/relationships/hyperlink" Target="https://drive.google.com/drive/folders/1fOWmhSCKBQln_ogfHxjTMhAV8ZjBMaqt" TargetMode="External"/><Relationship Id="rId954" Type="http://schemas.openxmlformats.org/officeDocument/2006/relationships/hyperlink" Target="https://drive.google.com/drive/folders/1Roa4ctRdl4JUfv2lzuDTDofVGbpLxlhl" TargetMode="External"/><Relationship Id="rId953" Type="http://schemas.openxmlformats.org/officeDocument/2006/relationships/hyperlink" Target="https://drive.google.com/drive/folders/1C-9d5WOWmSh6kkXhNuiNC4ZGgBA_3HDl" TargetMode="External"/><Relationship Id="rId952" Type="http://schemas.openxmlformats.org/officeDocument/2006/relationships/hyperlink" Target="https://github.com/dapr/java-sdk/issues/1617" TargetMode="External"/><Relationship Id="rId951" Type="http://schemas.openxmlformats.org/officeDocument/2006/relationships/hyperlink" Target="https://drive.google.com/drive/folders/1xFa4zYGKHrbSvaZKnuSI2iATGljQQYNc" TargetMode="External"/><Relationship Id="rId958" Type="http://schemas.openxmlformats.org/officeDocument/2006/relationships/hyperlink" Target="https://drive.google.com/drive/folders/1F-3MPfe4po7CMJborafBSyw2FGD-Gfmh" TargetMode="External"/><Relationship Id="rId957" Type="http://schemas.openxmlformats.org/officeDocument/2006/relationships/hyperlink" Target="https://github.com/databendlabs/databend/issues/18848" TargetMode="External"/><Relationship Id="rId956" Type="http://schemas.openxmlformats.org/officeDocument/2006/relationships/hyperlink" Target="https://drive.google.com/drive/folders/1zIXKIDcEpY0OORXyKSVS8RSlTUcdeEfh" TargetMode="External"/><Relationship Id="rId955" Type="http://schemas.openxmlformats.org/officeDocument/2006/relationships/hyperlink" Target="https://github.com/Dash-Industry-Forum/dash.js/issues/4866" TargetMode="External"/><Relationship Id="rId950" Type="http://schemas.openxmlformats.org/officeDocument/2006/relationships/hyperlink" Target="https://github.com/dapr/java-sdk/issues/1343" TargetMode="External"/><Relationship Id="rId2870" Type="http://schemas.openxmlformats.org/officeDocument/2006/relationships/hyperlink" Target="https://github.com/openyurtio/openyurt/issues/2316" TargetMode="External"/><Relationship Id="rId1540" Type="http://schemas.openxmlformats.org/officeDocument/2006/relationships/hyperlink" Target="https://github.com/goharbor/harbor-cli/issues/259" TargetMode="External"/><Relationship Id="rId2871" Type="http://schemas.openxmlformats.org/officeDocument/2006/relationships/hyperlink" Target="https://drive.google.com/drive/folders/1a1uG9A2EaVb4_37RkLwh2ZqiubfeyON3" TargetMode="External"/><Relationship Id="rId1541" Type="http://schemas.openxmlformats.org/officeDocument/2006/relationships/hyperlink" Target="https://drive.google.com/drive/folders/1r5iwR_9cmD16UGj33ekB6g29b7oXyW0k" TargetMode="External"/><Relationship Id="rId2872" Type="http://schemas.openxmlformats.org/officeDocument/2006/relationships/hyperlink" Target="https://github.com/openyurtio/openyurt/issues/2307" TargetMode="External"/><Relationship Id="rId1542" Type="http://schemas.openxmlformats.org/officeDocument/2006/relationships/hyperlink" Target="https://github.com/golangci/golangci-lint/issues/5432" TargetMode="External"/><Relationship Id="rId2873" Type="http://schemas.openxmlformats.org/officeDocument/2006/relationships/hyperlink" Target="https://drive.google.com/drive/folders/1_ig-aWtWum2UmD3GUEOqta-HtIvCEJTT" TargetMode="External"/><Relationship Id="rId2027" Type="http://schemas.openxmlformats.org/officeDocument/2006/relationships/hyperlink" Target="https://drive.google.com/drive/folders/1XmhjKpc9hUbps0lJP1ZTLPaUlVn4_IxK" TargetMode="External"/><Relationship Id="rId3359" Type="http://schemas.openxmlformats.org/officeDocument/2006/relationships/hyperlink" Target="https://github.com/scionproto/scion/issues/4782" TargetMode="External"/><Relationship Id="rId2028" Type="http://schemas.openxmlformats.org/officeDocument/2006/relationships/hyperlink" Target="https://github.com/jverneaut/html-to-gutenberg/issues/37" TargetMode="External"/><Relationship Id="rId3358" Type="http://schemas.openxmlformats.org/officeDocument/2006/relationships/hyperlink" Target="https://drive.google.com/drive/folders/15IsxKy3iI7mBLTf8QWxGZoE5Nur_hu5e" TargetMode="External"/><Relationship Id="rId4689" Type="http://schemas.openxmlformats.org/officeDocument/2006/relationships/hyperlink" Target="https://drive.google.com/drive/folders/1nXHB8jH_GyQTBag8zcZ8C4TYou5xO859" TargetMode="External"/><Relationship Id="rId2029" Type="http://schemas.openxmlformats.org/officeDocument/2006/relationships/hyperlink" Target="https://drive.google.com/drive/folders/1H5VTynToRAv91PQedt23J9lv5h1Q3K3b" TargetMode="External"/><Relationship Id="rId107" Type="http://schemas.openxmlformats.org/officeDocument/2006/relationships/hyperlink" Target="https://github.com/ag2ai/ag2/issues/539" TargetMode="External"/><Relationship Id="rId106" Type="http://schemas.openxmlformats.org/officeDocument/2006/relationships/hyperlink" Target="https://drive.google.com/drive/folders/1_M1qIy7y7yHyBZMTkR3Wqsf6LoP5Uz-U" TargetMode="External"/><Relationship Id="rId105" Type="http://schemas.openxmlformats.org/officeDocument/2006/relationships/hyperlink" Target="https://drive.google.com/drive/folders/1DlujUkz8hkcXmZ1l-jgEJHklGhjEy0EO" TargetMode="External"/><Relationship Id="rId104" Type="http://schemas.openxmlformats.org/officeDocument/2006/relationships/hyperlink" Target="https://github.com/ag2ai/ag2/issues/336" TargetMode="External"/><Relationship Id="rId109" Type="http://schemas.openxmlformats.org/officeDocument/2006/relationships/hyperlink" Target="https://drive.google.com/drive/folders/1gtfvk79VCvYY2lXhXBSg78JX1WHv9DUw" TargetMode="External"/><Relationship Id="rId4680" Type="http://schemas.openxmlformats.org/officeDocument/2006/relationships/hyperlink" Target="https://github.com/golevelup/nestjs/issues/1056" TargetMode="External"/><Relationship Id="rId108" Type="http://schemas.openxmlformats.org/officeDocument/2006/relationships/hyperlink" Target="https://drive.google.com/drive/folders/1w2TGg5QR6U1IKs2wt7ufsBFen3cfnZRT" TargetMode="External"/><Relationship Id="rId3351" Type="http://schemas.openxmlformats.org/officeDocument/2006/relationships/hyperlink" Target="https://drive.google.com/drive/folders/1tQpK-3riLd9ZNBRsGdWg8vVlwpGnV01s" TargetMode="External"/><Relationship Id="rId4682" Type="http://schemas.openxmlformats.org/officeDocument/2006/relationships/hyperlink" Target="https://drive.google.com/drive/folders/1DY5zmSCGE5Lydln6UrQB5GTTHbg4Pnpa" TargetMode="External"/><Relationship Id="rId2020" Type="http://schemas.openxmlformats.org/officeDocument/2006/relationships/hyperlink" Target="https://github.com/jupyterlab/jupyterlab/issues/18388" TargetMode="External"/><Relationship Id="rId3350" Type="http://schemas.openxmlformats.org/officeDocument/2006/relationships/hyperlink" Target="https://github.com/SciCompMod/memilio/issues/954" TargetMode="External"/><Relationship Id="rId4681" Type="http://schemas.openxmlformats.org/officeDocument/2006/relationships/hyperlink" Target="https://drive.google.com/drive/folders/1qc5g3X8p-rIrnNgrIRAyG7dw9h8bcavr" TargetMode="External"/><Relationship Id="rId2021" Type="http://schemas.openxmlformats.org/officeDocument/2006/relationships/hyperlink" Target="https://drive.google.com/drive/folders/11afOquOlPSNm2tuBD9Vd0ySTxicbYjR9" TargetMode="External"/><Relationship Id="rId3353" Type="http://schemas.openxmlformats.org/officeDocument/2006/relationships/hyperlink" Target="https://drive.google.com/drive/folders/1AirGkj0yfcjZ-5JVwwqydbO_uFb53cni" TargetMode="External"/><Relationship Id="rId4684" Type="http://schemas.openxmlformats.org/officeDocument/2006/relationships/hyperlink" Target="https://drive.google.com/drive/folders/1ftCaJrIqidY3zLpeXJwmWWjau46J_Fst" TargetMode="External"/><Relationship Id="rId2022" Type="http://schemas.openxmlformats.org/officeDocument/2006/relationships/hyperlink" Target="https://github.com/justinribeiro/zotero-google-scholar-citation-count/issues/55" TargetMode="External"/><Relationship Id="rId3352" Type="http://schemas.openxmlformats.org/officeDocument/2006/relationships/hyperlink" Target="https://github.com/SciCompMod/memilio/issues/1179" TargetMode="External"/><Relationship Id="rId4683" Type="http://schemas.openxmlformats.org/officeDocument/2006/relationships/hyperlink" Target="https://github.com/google/benchmark/issues/1967" TargetMode="External"/><Relationship Id="rId103" Type="http://schemas.openxmlformats.org/officeDocument/2006/relationships/hyperlink" Target="https://drive.google.com/drive/folders/1bKu_FBVHN4ZU9R6LQtjTYx_dR7o4xtUq" TargetMode="External"/><Relationship Id="rId2023" Type="http://schemas.openxmlformats.org/officeDocument/2006/relationships/hyperlink" Target="https://drive.google.com/drive/folders/1NxedmQVFFA1R08-VxQOqlbEUpF87aJww" TargetMode="External"/><Relationship Id="rId3355" Type="http://schemas.openxmlformats.org/officeDocument/2006/relationships/hyperlink" Target="https://drive.google.com/drive/folders/16kjuEssO5Hx6lHTsvMYTle7iQ4C4_yaa" TargetMode="External"/><Relationship Id="rId4686" Type="http://schemas.openxmlformats.org/officeDocument/2006/relationships/hyperlink" Target="https://drive.google.com/drive/folders/1mMshfyalnKAlNLUjDP_yq9wgkaV5L4ai" TargetMode="External"/><Relationship Id="rId102" Type="http://schemas.openxmlformats.org/officeDocument/2006/relationships/hyperlink" Target="https://drive.google.com/drive/folders/1H2SeLb8LK2OgUU-xP5OzXNzKJGcbMW7r" TargetMode="External"/><Relationship Id="rId2024" Type="http://schemas.openxmlformats.org/officeDocument/2006/relationships/hyperlink" Target="https://github.com/justinribeiro/zotero-google-scholar-citation-count/issues/44" TargetMode="External"/><Relationship Id="rId3354" Type="http://schemas.openxmlformats.org/officeDocument/2006/relationships/hyperlink" Target="https://github.com/SciCompMod/memilio/issues/952" TargetMode="External"/><Relationship Id="rId4685" Type="http://schemas.openxmlformats.org/officeDocument/2006/relationships/hyperlink" Target="https://github.com/google/go-github/issues/3607" TargetMode="External"/><Relationship Id="rId101" Type="http://schemas.openxmlformats.org/officeDocument/2006/relationships/hyperlink" Target="https://github.com/ag2ai/ag2/issues/1562" TargetMode="External"/><Relationship Id="rId2025" Type="http://schemas.openxmlformats.org/officeDocument/2006/relationships/hyperlink" Target="https://drive.google.com/drive/folders/1gx5yJ6gTKPVOo-3c-btmz1xyi4f8YZdT" TargetMode="External"/><Relationship Id="rId3357" Type="http://schemas.openxmlformats.org/officeDocument/2006/relationships/hyperlink" Target="https://drive.google.com/drive/folders/15bmQ7pvgtPFtguHcp67XL25hfIeSz_va" TargetMode="External"/><Relationship Id="rId4688" Type="http://schemas.openxmlformats.org/officeDocument/2006/relationships/hyperlink" Target="https://github.com/google/site-kit-wp/issues/9689" TargetMode="External"/><Relationship Id="rId100" Type="http://schemas.openxmlformats.org/officeDocument/2006/relationships/hyperlink" Target="https://drive.google.com/drive/folders/1ANmN4BbHNeAYheiSvOYUVKuKQMEKv3vi" TargetMode="External"/><Relationship Id="rId2026" Type="http://schemas.openxmlformats.org/officeDocument/2006/relationships/hyperlink" Target="https://github.com/jverneaut/html-to-gutenberg/issues/123" TargetMode="External"/><Relationship Id="rId3356" Type="http://schemas.openxmlformats.org/officeDocument/2006/relationships/hyperlink" Target="https://github.com/scikit-learn/scikit-learn/issues/29319" TargetMode="External"/><Relationship Id="rId4687" Type="http://schemas.openxmlformats.org/officeDocument/2006/relationships/hyperlink" Target="https://drive.google.com/drive/folders/1LzS73KEQTfjNhHnhzc8hSP6ESjPBD93u" TargetMode="External"/><Relationship Id="rId2016" Type="http://schemas.openxmlformats.org/officeDocument/2006/relationships/hyperlink" Target="https://github.com/junit-team/junit5/issues/2770" TargetMode="External"/><Relationship Id="rId3348" Type="http://schemas.openxmlformats.org/officeDocument/2006/relationships/hyperlink" Target="https://github.com/SciCompMod/memilio/issues/1198" TargetMode="External"/><Relationship Id="rId4679" Type="http://schemas.openxmlformats.org/officeDocument/2006/relationships/hyperlink" Target="https://drive.google.com/drive/folders/1pHWVfF8KI-xHRpZ_NoC77tZfmXyIW1ZI" TargetMode="External"/><Relationship Id="rId2017" Type="http://schemas.openxmlformats.org/officeDocument/2006/relationships/hyperlink" Target="https://drive.google.com/drive/folders/1WkZq-Cx_4BwRWWDc4ic-2DAZ7xTtGBuI" TargetMode="External"/><Relationship Id="rId3347" Type="http://schemas.openxmlformats.org/officeDocument/2006/relationships/hyperlink" Target="https://github.com/scalecube/scalecube-services/issues/947" TargetMode="External"/><Relationship Id="rId4678" Type="http://schemas.openxmlformats.org/officeDocument/2006/relationships/hyperlink" Target="https://drive.google.com/drive/folders/1eV7WOxe5ouJy1fFB9vz2sYL0lxoSUX6L" TargetMode="External"/><Relationship Id="rId2018" Type="http://schemas.openxmlformats.org/officeDocument/2006/relationships/hyperlink" Target="https://github.com/junit-team/junit5/issues/4267" TargetMode="External"/><Relationship Id="rId2019" Type="http://schemas.openxmlformats.org/officeDocument/2006/relationships/hyperlink" Target="https://drive.google.com/drive/folders/10ugz4De0spkfPlYfNesxUaOrHVZdUkx_" TargetMode="External"/><Relationship Id="rId3349" Type="http://schemas.openxmlformats.org/officeDocument/2006/relationships/hyperlink" Target="https://drive.google.com/drive/folders/1qsqTvYomrRwh7Txz48fGK0pftuBwbGpU" TargetMode="External"/><Relationship Id="rId3340" Type="http://schemas.openxmlformats.org/officeDocument/2006/relationships/hyperlink" Target="https://drive.google.com/drive/folders/16YSbZtgy5oUaKsgxMstjwQo1AC8W74aG" TargetMode="External"/><Relationship Id="rId4671" Type="http://schemas.openxmlformats.org/officeDocument/2006/relationships/hyperlink" Target="https://github.com/gleam-lang/gleam/issues/4576" TargetMode="External"/><Relationship Id="rId4670" Type="http://schemas.openxmlformats.org/officeDocument/2006/relationships/hyperlink" Target="https://drive.google.com/drive/folders/19gkF_TA4mZTStfhqLKWj29JKkKS058Iz" TargetMode="External"/><Relationship Id="rId2010" Type="http://schemas.openxmlformats.org/officeDocument/2006/relationships/hyperlink" Target="https://drive.google.com/drive/folders/1vSslgcxWg9dpqzvczR13IUZ4tAhY93o5" TargetMode="External"/><Relationship Id="rId3342" Type="http://schemas.openxmlformats.org/officeDocument/2006/relationships/hyperlink" Target="https://drive.google.com/drive/folders/1V7lx5Enx61s5miExUewSzO_i_eZHeH7q" TargetMode="External"/><Relationship Id="rId4673" Type="http://schemas.openxmlformats.org/officeDocument/2006/relationships/hyperlink" Target="https://github.com/glu-lang/glu/issues/497" TargetMode="External"/><Relationship Id="rId2011" Type="http://schemas.openxmlformats.org/officeDocument/2006/relationships/hyperlink" Target="https://github.com/junit-team/junit5/issues/4405" TargetMode="External"/><Relationship Id="rId3341" Type="http://schemas.openxmlformats.org/officeDocument/2006/relationships/hyperlink" Target="https://github.com/saphyr-rs/saphyr/issues/47" TargetMode="External"/><Relationship Id="rId4672" Type="http://schemas.openxmlformats.org/officeDocument/2006/relationships/hyperlink" Target="https://drive.google.com/drive/folders/1Rf2kfiXCSOlpi0CW4HOTOkb83rzMT2NA" TargetMode="External"/><Relationship Id="rId2012" Type="http://schemas.openxmlformats.org/officeDocument/2006/relationships/hyperlink" Target="https://drive.google.com/drive/folders/1eWnjPqCAXhvtF5uiPGevBoa3gZdac1GS" TargetMode="External"/><Relationship Id="rId3344" Type="http://schemas.openxmlformats.org/officeDocument/2006/relationships/hyperlink" Target="https://drive.google.com/drive/folders/1kTMgHgu0DwoIk0WAHL-NjJsCYRFZxxKM" TargetMode="External"/><Relationship Id="rId4675" Type="http://schemas.openxmlformats.org/officeDocument/2006/relationships/hyperlink" Target="https://github.com/glu-lang/glu/issues/602" TargetMode="External"/><Relationship Id="rId2013" Type="http://schemas.openxmlformats.org/officeDocument/2006/relationships/hyperlink" Target="https://github.com/junit-team/junit5/issues/2478" TargetMode="External"/><Relationship Id="rId3343" Type="http://schemas.openxmlformats.org/officeDocument/2006/relationships/hyperlink" Target="https://github.com/sapientpants/sonarqube-mcp-server/issues/139" TargetMode="External"/><Relationship Id="rId4674" Type="http://schemas.openxmlformats.org/officeDocument/2006/relationships/hyperlink" Target="https://drive.google.com/drive/folders/15WSPzqY8Qe8HOzP2nviGfXk9bLf5i36g" TargetMode="External"/><Relationship Id="rId2014" Type="http://schemas.openxmlformats.org/officeDocument/2006/relationships/hyperlink" Target="https://drive.google.com/drive/folders/12NUNFL8DBsUUUUdRRCEGxNkFV15v1n4D" TargetMode="External"/><Relationship Id="rId3346" Type="http://schemas.openxmlformats.org/officeDocument/2006/relationships/hyperlink" Target="https://drive.google.com/drive/folders/1iiHktZCKESV22EJpRGeYnp1ZtcICAB5S" TargetMode="External"/><Relationship Id="rId4677" Type="http://schemas.openxmlformats.org/officeDocument/2006/relationships/hyperlink" Target="https://github.com/go-resty/resty/issues/943" TargetMode="External"/><Relationship Id="rId2015" Type="http://schemas.openxmlformats.org/officeDocument/2006/relationships/hyperlink" Target="https://drive.google.com/drive/folders/12RsEGfcTTRfa6o0IibudS_6tKSZqz7NY" TargetMode="External"/><Relationship Id="rId3345" Type="http://schemas.openxmlformats.org/officeDocument/2006/relationships/hyperlink" Target="https://github.com/sblibs/pySwitchbot/issues/397" TargetMode="External"/><Relationship Id="rId4676" Type="http://schemas.openxmlformats.org/officeDocument/2006/relationships/hyperlink" Target="https://drive.google.com/drive/folders/1Q5dY8KPiuuDizCj6ZI3m5y-nB0A0ZhIR" TargetMode="External"/><Relationship Id="rId2049" Type="http://schemas.openxmlformats.org/officeDocument/2006/relationships/hyperlink" Target="https://drive.google.com/drive/folders/1sqWwAUw75o6slOS3oRx7b03TUAnfztTw" TargetMode="External"/><Relationship Id="rId129" Type="http://schemas.openxmlformats.org/officeDocument/2006/relationships/hyperlink" Target="https://github.com/AIGNE-io/aigne-framework/issues/50" TargetMode="External"/><Relationship Id="rId128" Type="http://schemas.openxmlformats.org/officeDocument/2006/relationships/hyperlink" Target="https://drive.google.com/drive/folders/1gmIb-lsfsMznkJI7YtYS3du2s5s0OnxM" TargetMode="External"/><Relationship Id="rId127" Type="http://schemas.openxmlformats.org/officeDocument/2006/relationships/hyperlink" Target="https://github.com/ai/size-limit/issues/382" TargetMode="External"/><Relationship Id="rId126" Type="http://schemas.openxmlformats.org/officeDocument/2006/relationships/hyperlink" Target="https://drive.google.com/drive/folders/1mSuyVgQEqC6pvMWpGi78u7BUjS5L3V94" TargetMode="External"/><Relationship Id="rId3371" Type="http://schemas.openxmlformats.org/officeDocument/2006/relationships/hyperlink" Target="https://github.com/sdatkinson/neural-amp-modeler/issues/533" TargetMode="External"/><Relationship Id="rId2040" Type="http://schemas.openxmlformats.org/officeDocument/2006/relationships/hyperlink" Target="https://github.com/jxlsteam/jxls/issues/400" TargetMode="External"/><Relationship Id="rId3370" Type="http://schemas.openxmlformats.org/officeDocument/2006/relationships/hyperlink" Target="https://drive.google.com/drive/folders/1RnMvs2L_KvKl3J1qM8woTh8Y9asGlg4u" TargetMode="External"/><Relationship Id="rId121" Type="http://schemas.openxmlformats.org/officeDocument/2006/relationships/hyperlink" Target="https://drive.google.com/drive/folders/1Q8GLuSKjDV957B8JQLb1OPRjvk_88fIT" TargetMode="External"/><Relationship Id="rId2041" Type="http://schemas.openxmlformats.org/officeDocument/2006/relationships/hyperlink" Target="https://drive.google.com/drive/folders/1i3nwdjKENMvG-DfO68Ex-mEwvBPsQSgm" TargetMode="External"/><Relationship Id="rId3373" Type="http://schemas.openxmlformats.org/officeDocument/2006/relationships/hyperlink" Target="https://github.com/sdv-dev/RDT/issues/933" TargetMode="External"/><Relationship Id="rId120" Type="http://schemas.openxmlformats.org/officeDocument/2006/relationships/hyperlink" Target="https://github.com/agntcy/dir/issues/537" TargetMode="External"/><Relationship Id="rId2042" Type="http://schemas.openxmlformats.org/officeDocument/2006/relationships/hyperlink" Target="https://github.com/k0sproject/k0sctl/issues/864" TargetMode="External"/><Relationship Id="rId3372" Type="http://schemas.openxmlformats.org/officeDocument/2006/relationships/hyperlink" Target="https://drive.google.com/drive/folders/14mZRTdKKvB5TOTQ87BzWPczSVfhfmkmA" TargetMode="External"/><Relationship Id="rId2043" Type="http://schemas.openxmlformats.org/officeDocument/2006/relationships/hyperlink" Target="https://drive.google.com/drive/folders/1PcmwN7eCNtipF1dkdlHfoeI5zyF-neWr" TargetMode="External"/><Relationship Id="rId3375" Type="http://schemas.openxmlformats.org/officeDocument/2006/relationships/hyperlink" Target="https://drive.google.com/drive/folders/1DPRAjMQbm425JFa8l_FbMwiuEFFCs7Lw" TargetMode="External"/><Relationship Id="rId2044" Type="http://schemas.openxmlformats.org/officeDocument/2006/relationships/hyperlink" Target="https://github.com/k0sproject/k0smotron/issues/923" TargetMode="External"/><Relationship Id="rId3374" Type="http://schemas.openxmlformats.org/officeDocument/2006/relationships/hyperlink" Target="https://drive.google.com/drive/folders/1qgrHIaiDlg09H6kEesKiVvbSLXrj4nzP" TargetMode="External"/><Relationship Id="rId125" Type="http://schemas.openxmlformats.org/officeDocument/2006/relationships/hyperlink" Target="https://drive.google.com/drive/folders/1SnXUuQ9YhqZL0TLkXxFcxBwTYfKHn8Qv" TargetMode="External"/><Relationship Id="rId2045" Type="http://schemas.openxmlformats.org/officeDocument/2006/relationships/hyperlink" Target="https://drive.google.com/drive/folders/1jiENW56npo7o3gX046dDpYvNaJU2m8Ax" TargetMode="External"/><Relationship Id="rId3377" Type="http://schemas.openxmlformats.org/officeDocument/2006/relationships/hyperlink" Target="https://drive.google.com/drive/folders/1xqrAfk4GSKEXDLjopU4wlKIVg6zAQV4S" TargetMode="External"/><Relationship Id="rId124" Type="http://schemas.openxmlformats.org/officeDocument/2006/relationships/hyperlink" Target="https://github.com/ai-zerolab/mcp-email-server/issues/11" TargetMode="External"/><Relationship Id="rId2046" Type="http://schemas.openxmlformats.org/officeDocument/2006/relationships/hyperlink" Target="https://github.com/k1LoW/deck/issues/225" TargetMode="External"/><Relationship Id="rId3376" Type="http://schemas.openxmlformats.org/officeDocument/2006/relationships/hyperlink" Target="https://github.com/sdv-dev/SDGym/issues/360" TargetMode="External"/><Relationship Id="rId123" Type="http://schemas.openxmlformats.org/officeDocument/2006/relationships/hyperlink" Target="https://drive.google.com/drive/folders/1o_vm-McpDvSME74Js0ZhX0wQKRF5Im2a" TargetMode="External"/><Relationship Id="rId2047" Type="http://schemas.openxmlformats.org/officeDocument/2006/relationships/hyperlink" Target="https://drive.google.com/drive/folders/1bDtr05nKr-Mlv2hLVmDbB4E4X8jpVrGg" TargetMode="External"/><Relationship Id="rId3379" Type="http://schemas.openxmlformats.org/officeDocument/2006/relationships/hyperlink" Target="https://drive.google.com/drive/folders/1VbLV1rVoOQz0kkQQSTTXApDISYebfCE4" TargetMode="External"/><Relationship Id="rId122" Type="http://schemas.openxmlformats.org/officeDocument/2006/relationships/hyperlink" Target="https://github.com/agntcy/dir/issues/265" TargetMode="External"/><Relationship Id="rId2048" Type="http://schemas.openxmlformats.org/officeDocument/2006/relationships/hyperlink" Target="https://github.com/k8sgpt-ai/k8sgpt-operator/issues/662" TargetMode="External"/><Relationship Id="rId3378" Type="http://schemas.openxmlformats.org/officeDocument/2006/relationships/hyperlink" Target="https://github.com/sdv-dev/SDMetrics/issues/702" TargetMode="External"/><Relationship Id="rId2038" Type="http://schemas.openxmlformats.org/officeDocument/2006/relationships/hyperlink" Target="https://github.com/jwtowner/lug/issues/34" TargetMode="External"/><Relationship Id="rId2039" Type="http://schemas.openxmlformats.org/officeDocument/2006/relationships/hyperlink" Target="https://drive.google.com/drive/folders/1084_jX9msLvsCOiTqQXxtsWjfgvEW_e5" TargetMode="External"/><Relationship Id="rId3369" Type="http://schemas.openxmlformats.org/officeDocument/2006/relationships/hyperlink" Target="https://drive.google.com/drive/folders/1fQVBI12LfNJXTYMlE4SMjPQP1h_9F-nJ" TargetMode="External"/><Relationship Id="rId118" Type="http://schemas.openxmlformats.org/officeDocument/2006/relationships/hyperlink" Target="https://github.com/agentstack-ai/AgentStack/issues/77" TargetMode="External"/><Relationship Id="rId117" Type="http://schemas.openxmlformats.org/officeDocument/2006/relationships/hyperlink" Target="https://drive.google.com/drive/folders/1X7kOH6lyOQWgDrtxytdIWS6O8zyI3hqQ" TargetMode="External"/><Relationship Id="rId116" Type="http://schemas.openxmlformats.org/officeDocument/2006/relationships/hyperlink" Target="https://github.com/agentscope-ai/agentscope-java/issues/119" TargetMode="External"/><Relationship Id="rId115" Type="http://schemas.openxmlformats.org/officeDocument/2006/relationships/hyperlink" Target="https://drive.google.com/drive/folders/19VOoXGrYy24Iz9TwJ7ofSsHQ9CdmTBVx" TargetMode="External"/><Relationship Id="rId3360" Type="http://schemas.openxmlformats.org/officeDocument/2006/relationships/hyperlink" Target="https://drive.google.com/drive/folders/1EVzAsjc7fH4Oaq1iy4JhT80bLp4PXkRO" TargetMode="External"/><Relationship Id="rId4691" Type="http://schemas.openxmlformats.org/officeDocument/2006/relationships/hyperlink" Target="https://drive.google.com/drive/folders/1isq5YPd2gNgJJwl8b5UfnaYSP-XYTerm" TargetMode="External"/><Relationship Id="rId119" Type="http://schemas.openxmlformats.org/officeDocument/2006/relationships/hyperlink" Target="https://drive.google.com/drive/folders/1tfY2eNKuTwwvufMTz44x8r1K4GAWGq7U" TargetMode="External"/><Relationship Id="rId4690" Type="http://schemas.openxmlformats.org/officeDocument/2006/relationships/hyperlink" Target="https://github.com/google/site-kit-wp/issues/9750" TargetMode="External"/><Relationship Id="rId110" Type="http://schemas.openxmlformats.org/officeDocument/2006/relationships/hyperlink" Target="https://github.com/ag2ai/fastagency/issues/532" TargetMode="External"/><Relationship Id="rId2030" Type="http://schemas.openxmlformats.org/officeDocument/2006/relationships/hyperlink" Target="https://github.com/jverneaut/html-to-gutenberg/issues/78" TargetMode="External"/><Relationship Id="rId3362" Type="http://schemas.openxmlformats.org/officeDocument/2006/relationships/hyperlink" Target="https://drive.google.com/drive/folders/1B6Hje82HJYKJsurNXemOU5gH_6spikNt" TargetMode="External"/><Relationship Id="rId4693" Type="http://schemas.openxmlformats.org/officeDocument/2006/relationships/hyperlink" Target="https://drive.google.com/drive/folders/1ho7A2BQeQD8XZASQDfLteBALBj-NcG7x" TargetMode="External"/><Relationship Id="rId2031" Type="http://schemas.openxmlformats.org/officeDocument/2006/relationships/hyperlink" Target="https://drive.google.com/drive/folders/1ePvoPHiovo0bnp7EHrWezzhRjCldDtYq" TargetMode="External"/><Relationship Id="rId3361" Type="http://schemas.openxmlformats.org/officeDocument/2006/relationships/hyperlink" Target="https://github.com/SciTools/iris/issues/6195" TargetMode="External"/><Relationship Id="rId4692" Type="http://schemas.openxmlformats.org/officeDocument/2006/relationships/hyperlink" Target="https://github.com/googleads/google-ads-dotnet/issues/583" TargetMode="External"/><Relationship Id="rId2032" Type="http://schemas.openxmlformats.org/officeDocument/2006/relationships/hyperlink" Target="https://github.com/jverneaut/html-to-gutenberg/issues/75" TargetMode="External"/><Relationship Id="rId3364" Type="http://schemas.openxmlformats.org/officeDocument/2006/relationships/hyperlink" Target="https://github.com/Scony/godot-gdscript-toolkit/issues/388" TargetMode="External"/><Relationship Id="rId4695" Type="http://schemas.openxmlformats.org/officeDocument/2006/relationships/hyperlink" Target="https://drive.google.com/drive/folders/1VmelHwf-Irmj9C1r1Bwn-HUmSl6FvvEL" TargetMode="External"/><Relationship Id="rId2033" Type="http://schemas.openxmlformats.org/officeDocument/2006/relationships/hyperlink" Target="https://drive.google.com/drive/folders/1SZyp-tDZDYAy3gDQ67HBvJ2RTQOq1WjY" TargetMode="External"/><Relationship Id="rId3363" Type="http://schemas.openxmlformats.org/officeDocument/2006/relationships/hyperlink" Target="https://drive.google.com/drive/folders/1HBBQXJn7toe3d3V13UeGELtv22frrWFp" TargetMode="External"/><Relationship Id="rId4694" Type="http://schemas.openxmlformats.org/officeDocument/2006/relationships/hyperlink" Target="https://github.com/googleapis/gcp-metadata/issues/604" TargetMode="External"/><Relationship Id="rId114" Type="http://schemas.openxmlformats.org/officeDocument/2006/relationships/hyperlink" Target="https://drive.google.com/drive/folders/1cQXUhorI0icnWPTdpAuReMoZES5CjPfv" TargetMode="External"/><Relationship Id="rId2034" Type="http://schemas.openxmlformats.org/officeDocument/2006/relationships/hyperlink" Target="https://github.com/jverneaut/html-to-gutenberg/issues/22" TargetMode="External"/><Relationship Id="rId3366" Type="http://schemas.openxmlformats.org/officeDocument/2006/relationships/hyperlink" Target="https://github.com/scylladb/scylla-manager/issues/4213" TargetMode="External"/><Relationship Id="rId4697" Type="http://schemas.openxmlformats.org/officeDocument/2006/relationships/hyperlink" Target="https://drive.google.com/drive/folders/1Ncfxhn9Qua0Arx9uQ2KWQ4z-OHTkSZkQ" TargetMode="External"/><Relationship Id="rId113" Type="http://schemas.openxmlformats.org/officeDocument/2006/relationships/hyperlink" Target="https://github.com/ag2ai/fastagency/issues/512" TargetMode="External"/><Relationship Id="rId2035" Type="http://schemas.openxmlformats.org/officeDocument/2006/relationships/hyperlink" Target="https://drive.google.com/drive/folders/1WGfQwTsaWgdRJlC8yTE2fmAwUToc1tg3" TargetMode="External"/><Relationship Id="rId3365" Type="http://schemas.openxmlformats.org/officeDocument/2006/relationships/hyperlink" Target="https://drive.google.com/drive/folders/1WMAYZFv7gCPrRRMIQE8Z3F9GgBoMW5uh" TargetMode="External"/><Relationship Id="rId4696" Type="http://schemas.openxmlformats.org/officeDocument/2006/relationships/hyperlink" Target="https://github.com/googleapis/go-sql-spanner/issues/336" TargetMode="External"/><Relationship Id="rId112" Type="http://schemas.openxmlformats.org/officeDocument/2006/relationships/hyperlink" Target="https://drive.google.com/drive/folders/1r9-0KK8JPW2jbaTUsSA-gUoiLqaaB_Db" TargetMode="External"/><Relationship Id="rId2036" Type="http://schemas.openxmlformats.org/officeDocument/2006/relationships/hyperlink" Target="https://github.com/jwt/ruby-jwt/issues/669" TargetMode="External"/><Relationship Id="rId3368" Type="http://schemas.openxmlformats.org/officeDocument/2006/relationships/hyperlink" Target="https://github.com/sdatkinson/neural-amp-modeler/issues/547" TargetMode="External"/><Relationship Id="rId4699" Type="http://schemas.openxmlformats.org/officeDocument/2006/relationships/hyperlink" Target="https://github.com/GoogleContainerTools/skaffold/issues/9182" TargetMode="External"/><Relationship Id="rId111" Type="http://schemas.openxmlformats.org/officeDocument/2006/relationships/hyperlink" Target="https://drive.google.com/drive/folders/1ol6ysjg3gyQgZ-QK-39AY8E1saGK8MfA" TargetMode="External"/><Relationship Id="rId2037" Type="http://schemas.openxmlformats.org/officeDocument/2006/relationships/hyperlink" Target="https://drive.google.com/drive/folders/1wjimEglKstBxKHwvMw8p89Wd3GCK7_qd" TargetMode="External"/><Relationship Id="rId3367" Type="http://schemas.openxmlformats.org/officeDocument/2006/relationships/hyperlink" Target="https://drive.google.com/drive/folders/1Q-SXtbX2HySzFDe3oFtTdrhIofciGdon" TargetMode="External"/><Relationship Id="rId4698" Type="http://schemas.openxmlformats.org/officeDocument/2006/relationships/hyperlink" Target="https://github.com/googleapis/java-spanner/issues/3612" TargetMode="External"/><Relationship Id="rId3315" Type="http://schemas.openxmlformats.org/officeDocument/2006/relationships/hyperlink" Target="https://github.com/saiv43/task-queue-rs/issues/4" TargetMode="External"/><Relationship Id="rId4646" Type="http://schemas.openxmlformats.org/officeDocument/2006/relationships/hyperlink" Target="https://drive.google.com/drive/folders/17fqzgOGBCrkBRa5I6XmuTK5pGZ-U7Wic" TargetMode="External"/><Relationship Id="rId3314" Type="http://schemas.openxmlformats.org/officeDocument/2006/relationships/hyperlink" Target="https://github.com/sahat/hackathon-starter/issues/1461" TargetMode="External"/><Relationship Id="rId4645" Type="http://schemas.openxmlformats.org/officeDocument/2006/relationships/hyperlink" Target="https://github.com/getsentry/sentry-python/issues/4143" TargetMode="External"/><Relationship Id="rId3317" Type="http://schemas.openxmlformats.org/officeDocument/2006/relationships/hyperlink" Target="https://github.com/saiv43/task-queue-rs/issues/2" TargetMode="External"/><Relationship Id="rId4648" Type="http://schemas.openxmlformats.org/officeDocument/2006/relationships/hyperlink" Target="https://drive.google.com/drive/folders/1XX6Z9x-4CA2rHM8kNwgkuLvviLju2y1q" TargetMode="External"/><Relationship Id="rId3316" Type="http://schemas.openxmlformats.org/officeDocument/2006/relationships/hyperlink" Target="https://drive.google.com/drive/folders/1gjssI7IJaNe1Y1MsBWGytEFdRwCP7mV0" TargetMode="External"/><Relationship Id="rId4647" Type="http://schemas.openxmlformats.org/officeDocument/2006/relationships/hyperlink" Target="https://github.com/getsentry/sentry-rust/issues/869" TargetMode="External"/><Relationship Id="rId3319" Type="http://schemas.openxmlformats.org/officeDocument/2006/relationships/hyperlink" Target="https://github.com/saiv43/task-queue-rs/issues/8" TargetMode="External"/><Relationship Id="rId3318" Type="http://schemas.openxmlformats.org/officeDocument/2006/relationships/hyperlink" Target="https://drive.google.com/drive/folders/1SpSZjguiSCDqFQFlaZUE0sMKyYV9pDsQ" TargetMode="External"/><Relationship Id="rId4649" Type="http://schemas.openxmlformats.org/officeDocument/2006/relationships/hyperlink" Target="https://github.com/getsentry/sentry-rust/issues/811" TargetMode="External"/><Relationship Id="rId4640" Type="http://schemas.openxmlformats.org/officeDocument/2006/relationships/hyperlink" Target="https://github.com/getmoto/moto/issues/8913" TargetMode="External"/><Relationship Id="rId3311" Type="http://schemas.openxmlformats.org/officeDocument/2006/relationships/hyperlink" Target="https://drive.google.com/drive/folders/1dPpgYRb96bAG1SxlKoTNtj_gOwI7GKxL" TargetMode="External"/><Relationship Id="rId4642" Type="http://schemas.openxmlformats.org/officeDocument/2006/relationships/hyperlink" Target="https://drive.google.com/drive/folders/1uL7KvH8ZTfSQFJ_YdS3uhV11o_rU9iPW" TargetMode="External"/><Relationship Id="rId3310" Type="http://schemas.openxmlformats.org/officeDocument/2006/relationships/hyperlink" Target="https://github.com/sabjorn/BandcampEnhancementSuite/issues/220" TargetMode="External"/><Relationship Id="rId4641" Type="http://schemas.openxmlformats.org/officeDocument/2006/relationships/hyperlink" Target="https://github.com/getmoto/moto/issues/8436" TargetMode="External"/><Relationship Id="rId3313" Type="http://schemas.openxmlformats.org/officeDocument/2006/relationships/hyperlink" Target="https://drive.google.com/drive/folders/1diNj_9g6iMJoz9Kjo6sJGILoGBgJOtjk" TargetMode="External"/><Relationship Id="rId4644" Type="http://schemas.openxmlformats.org/officeDocument/2006/relationships/hyperlink" Target="https://drive.google.com/drive/folders/1-oj6jERByJZD6dOvX_dnvudDOo62_yX-" TargetMode="External"/><Relationship Id="rId3312" Type="http://schemas.openxmlformats.org/officeDocument/2006/relationships/hyperlink" Target="https://github.com/Sage/carbon/issues/7044" TargetMode="External"/><Relationship Id="rId4643" Type="http://schemas.openxmlformats.org/officeDocument/2006/relationships/hyperlink" Target="https://github.com/getsentry/sentry-go/issues/1033" TargetMode="External"/><Relationship Id="rId3304" Type="http://schemas.openxmlformats.org/officeDocument/2006/relationships/hyperlink" Target="https://github.com/rwth-i6/returnn/issues/1696" TargetMode="External"/><Relationship Id="rId4635" Type="http://schemas.openxmlformats.org/officeDocument/2006/relationships/hyperlink" Target="https://drive.google.com/drive/folders/1cK38I6IpsNmt8H-5fYmRBZNS2vsjSnA-" TargetMode="External"/><Relationship Id="rId3303" Type="http://schemas.openxmlformats.org/officeDocument/2006/relationships/hyperlink" Target="https://drive.google.com/drive/folders/1pMWz7hRum7XQz3DAOOAuvUehxrJ37ox7" TargetMode="External"/><Relationship Id="rId4634" Type="http://schemas.openxmlformats.org/officeDocument/2006/relationships/hyperlink" Target="https://github.com/geopandas/geopandas/issues/3600" TargetMode="External"/><Relationship Id="rId3306" Type="http://schemas.openxmlformats.org/officeDocument/2006/relationships/hyperlink" Target="https://github.com/sabjorn/BandcampEnhancementSuite/issues/221" TargetMode="External"/><Relationship Id="rId4637" Type="http://schemas.openxmlformats.org/officeDocument/2006/relationships/hyperlink" Target="https://drive.google.com/drive/folders/1YUmirf59OwGqYvod2g9RFZk1jXh6DM1A" TargetMode="External"/><Relationship Id="rId3305" Type="http://schemas.openxmlformats.org/officeDocument/2006/relationships/hyperlink" Target="https://drive.google.com/drive/folders/1MffD8Ko7OUWw-_v2s540C-LoTmcXJ8hw" TargetMode="External"/><Relationship Id="rId4636" Type="http://schemas.openxmlformats.org/officeDocument/2006/relationships/hyperlink" Target="https://github.com/gerlero/foamlib/issues/298" TargetMode="External"/><Relationship Id="rId3308" Type="http://schemas.openxmlformats.org/officeDocument/2006/relationships/hyperlink" Target="https://github.com/sabjorn/BandcampEnhancementSuite/issues/219" TargetMode="External"/><Relationship Id="rId4639" Type="http://schemas.openxmlformats.org/officeDocument/2006/relationships/hyperlink" Target="https://github.com/getmoto/moto/issues/8423" TargetMode="External"/><Relationship Id="rId3307" Type="http://schemas.openxmlformats.org/officeDocument/2006/relationships/hyperlink" Target="https://drive.google.com/drive/folders/1bg6_-W1W0mg6yUXKJjjBi8ZZmioHGOdo" TargetMode="External"/><Relationship Id="rId4638" Type="http://schemas.openxmlformats.org/officeDocument/2006/relationships/hyperlink" Target="https://drive.google.com/drive/folders/1vZCzPLVXJ8GvaohEJL9J8SDmw4uEHX7w" TargetMode="External"/><Relationship Id="rId3309" Type="http://schemas.openxmlformats.org/officeDocument/2006/relationships/hyperlink" Target="https://drive.google.com/drive/folders/1cxud9qAvWIDuihnO51LW620eKu97vkeG" TargetMode="External"/><Relationship Id="rId3300" Type="http://schemas.openxmlformats.org/officeDocument/2006/relationships/hyperlink" Target="https://drive.google.com/drive/folders/15HEnPIgZeNwpsxFhpJ5sZXNeOvjRnTLT" TargetMode="External"/><Relationship Id="rId4631" Type="http://schemas.openxmlformats.org/officeDocument/2006/relationships/hyperlink" Target="https://github.com/geopandas/dask-geopandas/issues/322" TargetMode="External"/><Relationship Id="rId4630" Type="http://schemas.openxmlformats.org/officeDocument/2006/relationships/hyperlink" Target="https://drive.google.com/drive/folders/1xA_LfNpc85plOmtQ8V_EkwVXT07u0h1p" TargetMode="External"/><Relationship Id="rId3302" Type="http://schemas.openxmlformats.org/officeDocument/2006/relationships/hyperlink" Target="https://github.com/rust-lang/rust-bindgen/issues/2880" TargetMode="External"/><Relationship Id="rId4633" Type="http://schemas.openxmlformats.org/officeDocument/2006/relationships/hyperlink" Target="https://drive.google.com/drive/folders/1fGHUf8wvnCijio_zQoMnrUylaUviH2Cw" TargetMode="External"/><Relationship Id="rId3301" Type="http://schemas.openxmlformats.org/officeDocument/2006/relationships/hyperlink" Target="https://drive.google.com/drive/folders/1Y0WrsIDZLj-ZOyM0SIWqzMrZz-wvMkhV" TargetMode="External"/><Relationship Id="rId4632" Type="http://schemas.openxmlformats.org/officeDocument/2006/relationships/hyperlink" Target="https://drive.google.com/drive/folders/1tN0LJ86ydkfgDZWaCDkOZvQ24FMTjAAI" TargetMode="External"/><Relationship Id="rId2005" Type="http://schemas.openxmlformats.org/officeDocument/2006/relationships/hyperlink" Target="https://drive.google.com/drive/folders/1xV9v1tYg6IPmZq4-Ap4tCdGYuVjEFlPQ" TargetMode="External"/><Relationship Id="rId3337" Type="http://schemas.openxmlformats.org/officeDocument/2006/relationships/hyperlink" Target="https://github.com/SAP/open-ux-tools/issues/2764" TargetMode="External"/><Relationship Id="rId4668" Type="http://schemas.openxmlformats.org/officeDocument/2006/relationships/hyperlink" Target="https://drive.google.com/drive/folders/1zft46I19FnaR1Tmxwjcylbb9rQdguuu2" TargetMode="External"/><Relationship Id="rId2006" Type="http://schemas.openxmlformats.org/officeDocument/2006/relationships/hyperlink" Target="https://github.com/junit-team/junit5/issues/2972" TargetMode="External"/><Relationship Id="rId3336" Type="http://schemas.openxmlformats.org/officeDocument/2006/relationships/hyperlink" Target="https://drive.google.com/drive/folders/1VpJrgcEEO9Ag7cB5YWJLu9W0juYDxu2q" TargetMode="External"/><Relationship Id="rId4667" Type="http://schemas.openxmlformats.org/officeDocument/2006/relationships/hyperlink" Target="https://github.com/gitlabform/gitlabform/issues/1016" TargetMode="External"/><Relationship Id="rId2007" Type="http://schemas.openxmlformats.org/officeDocument/2006/relationships/hyperlink" Target="https://drive.google.com/drive/folders/1CZ1JtaHMlvJfbIx5EIO6Zb2-iPqj-yWG" TargetMode="External"/><Relationship Id="rId3339" Type="http://schemas.openxmlformats.org/officeDocument/2006/relationships/hyperlink" Target="https://github.com/SAP/open-ux-tools/issues/3018" TargetMode="External"/><Relationship Id="rId2008" Type="http://schemas.openxmlformats.org/officeDocument/2006/relationships/hyperlink" Target="https://drive.google.com/drive/folders/1TM99vT5dlEc5-3JB7mN_IKcod0Ju4xkI" TargetMode="External"/><Relationship Id="rId3338" Type="http://schemas.openxmlformats.org/officeDocument/2006/relationships/hyperlink" Target="https://drive.google.com/drive/folders/1mPbnry5yddn9kE_TKPsKeNPaRsClXRiP" TargetMode="External"/><Relationship Id="rId4669" Type="http://schemas.openxmlformats.org/officeDocument/2006/relationships/hyperlink" Target="https://github.com/gittower/git-flow-next/issues/29" TargetMode="External"/><Relationship Id="rId2009" Type="http://schemas.openxmlformats.org/officeDocument/2006/relationships/hyperlink" Target="https://github.com/junit-team/junit5/issues/2743" TargetMode="External"/><Relationship Id="rId4660" Type="http://schemas.openxmlformats.org/officeDocument/2006/relationships/hyperlink" Target="https://github.com/github/github-mcp-server/issues/774" TargetMode="External"/><Relationship Id="rId3331" Type="http://schemas.openxmlformats.org/officeDocument/2006/relationships/hyperlink" Target="https://github.com/sandwichfarm/hyprlax/issues/7" TargetMode="External"/><Relationship Id="rId4662" Type="http://schemas.openxmlformats.org/officeDocument/2006/relationships/hyperlink" Target="https://drive.google.com/drive/folders/1aGlFU0N_ZdwOupBq_okEC0z3EsHTPxvt" TargetMode="External"/><Relationship Id="rId2000" Type="http://schemas.openxmlformats.org/officeDocument/2006/relationships/hyperlink" Target="https://github.com/junit-team/junit-framework/issues/4366" TargetMode="External"/><Relationship Id="rId3330" Type="http://schemas.openxmlformats.org/officeDocument/2006/relationships/hyperlink" Target="https://drive.google.com/drive/folders/1hKaXlF4p1mlhFInG8zNi9ItiOvBGYNCi" TargetMode="External"/><Relationship Id="rId4661" Type="http://schemas.openxmlformats.org/officeDocument/2006/relationships/hyperlink" Target="https://drive.google.com/drive/folders/1k7XeSIiVsTQ2pDoftRy1Mu9V4vp0vgWA" TargetMode="External"/><Relationship Id="rId2001" Type="http://schemas.openxmlformats.org/officeDocument/2006/relationships/hyperlink" Target="https://drive.google.com/drive/folders/1bq8TwZeunWdwcEZ1dSERTLWz4fWdnae3" TargetMode="External"/><Relationship Id="rId3333" Type="http://schemas.openxmlformats.org/officeDocument/2006/relationships/hyperlink" Target="https://github.com/sanger/sequencescape/issues/4676" TargetMode="External"/><Relationship Id="rId4664" Type="http://schemas.openxmlformats.org/officeDocument/2006/relationships/hyperlink" Target="https://drive.google.com/drive/folders/1VJwTzzT58giGL1Td-jP2ROD2ZfUsVKmi" TargetMode="External"/><Relationship Id="rId2002" Type="http://schemas.openxmlformats.org/officeDocument/2006/relationships/hyperlink" Target="https://github.com/junit-team/junit-framework/issues/4452" TargetMode="External"/><Relationship Id="rId3332" Type="http://schemas.openxmlformats.org/officeDocument/2006/relationships/hyperlink" Target="https://drive.google.com/drive/folders/1unrQmXEudiBl-A0hLvN3I7B-9-7B79g3" TargetMode="External"/><Relationship Id="rId4663" Type="http://schemas.openxmlformats.org/officeDocument/2006/relationships/hyperlink" Target="https://github.com/githubnext/gh-aw/issues/114" TargetMode="External"/><Relationship Id="rId2003" Type="http://schemas.openxmlformats.org/officeDocument/2006/relationships/hyperlink" Target="https://drive.google.com/drive/folders/1H40HJnnd5B5ht7MrV7lLqOvOh2jd_-Wc" TargetMode="External"/><Relationship Id="rId3335" Type="http://schemas.openxmlformats.org/officeDocument/2006/relationships/hyperlink" Target="https://github.com/sanity-io/visual-editing/issues/2479" TargetMode="External"/><Relationship Id="rId4666" Type="http://schemas.openxmlformats.org/officeDocument/2006/relationships/hyperlink" Target="https://drive.google.com/drive/folders/1SRFc_PvPxVjMJGMUogvtKfClEIEOgZHz" TargetMode="External"/><Relationship Id="rId2004" Type="http://schemas.openxmlformats.org/officeDocument/2006/relationships/hyperlink" Target="https://github.com/junit-team/junit-framework/issues/4289" TargetMode="External"/><Relationship Id="rId3334" Type="http://schemas.openxmlformats.org/officeDocument/2006/relationships/hyperlink" Target="https://drive.google.com/drive/folders/1urWGhd9_uQNoJP0LTLfbp_LaDP4HOoAA" TargetMode="External"/><Relationship Id="rId4665" Type="http://schemas.openxmlformats.org/officeDocument/2006/relationships/hyperlink" Target="https://github.com/githubnext/gh-aw/issues/827" TargetMode="External"/><Relationship Id="rId3326" Type="http://schemas.openxmlformats.org/officeDocument/2006/relationships/hyperlink" Target="https://github.com/salihcantekin/Space/issues/49" TargetMode="External"/><Relationship Id="rId4657" Type="http://schemas.openxmlformats.org/officeDocument/2006/relationships/hyperlink" Target="https://github.com/github/github-mcp-server/issues/869" TargetMode="External"/><Relationship Id="rId3325" Type="http://schemas.openxmlformats.org/officeDocument/2006/relationships/hyperlink" Target="https://drive.google.com/drive/folders/1gx409JRNyoz1-9vzNQnT1P8TZ7VhZP43" TargetMode="External"/><Relationship Id="rId4656" Type="http://schemas.openxmlformats.org/officeDocument/2006/relationships/hyperlink" Target="https://drive.google.com/drive/folders/1zL5M_OqUlJiWbLyg9Gpc2zsd-yR-szaK" TargetMode="External"/><Relationship Id="rId3328" Type="http://schemas.openxmlformats.org/officeDocument/2006/relationships/hyperlink" Target="https://github.com/samanhappy/mcphub/issues/295" TargetMode="External"/><Relationship Id="rId4659" Type="http://schemas.openxmlformats.org/officeDocument/2006/relationships/hyperlink" Target="https://drive.google.com/drive/folders/15bR9wKCPPkKXzNX568pg2xpt_E_8mrpS" TargetMode="External"/><Relationship Id="rId3327" Type="http://schemas.openxmlformats.org/officeDocument/2006/relationships/hyperlink" Target="https://drive.google.com/drive/folders/1tanN4DThzU4kyP82xRIzirtvv_DQyRzo" TargetMode="External"/><Relationship Id="rId4658" Type="http://schemas.openxmlformats.org/officeDocument/2006/relationships/hyperlink" Target="https://drive.google.com/drive/folders/1KEO_yRptk4k2XxEqhOaErPFVNwqXnmST" TargetMode="External"/><Relationship Id="rId3329" Type="http://schemas.openxmlformats.org/officeDocument/2006/relationships/hyperlink" Target="https://drive.google.com/drive/folders/1LefFPzvetBYF_HeCGIYeWlF0E60inGvT" TargetMode="External"/><Relationship Id="rId3320" Type="http://schemas.openxmlformats.org/officeDocument/2006/relationships/hyperlink" Target="https://drive.google.com/drive/folders/1wA7V6WYGctCpbdcqZb68hXeAC3KG93_9" TargetMode="External"/><Relationship Id="rId4651" Type="http://schemas.openxmlformats.org/officeDocument/2006/relationships/hyperlink" Target="https://github.com/ghostery/ghostery-extension/issues/2988" TargetMode="External"/><Relationship Id="rId4650" Type="http://schemas.openxmlformats.org/officeDocument/2006/relationships/hyperlink" Target="https://drive.google.com/drive/folders/1yfrOFVJJyyjwg2qH65yTHclRiScPgPFR" TargetMode="External"/><Relationship Id="rId3322" Type="http://schemas.openxmlformats.org/officeDocument/2006/relationships/hyperlink" Target="https://drive.google.com/drive/folders/1QwVJQ3FU0XPufX8RKZ1-IR8hps_iffoQ" TargetMode="External"/><Relationship Id="rId4653" Type="http://schemas.openxmlformats.org/officeDocument/2006/relationships/hyperlink" Target="https://drive.google.com/drive/folders/1CYTtqORF3_j_mA-KfZ1hAC1ObuQyZ8tj" TargetMode="External"/><Relationship Id="rId3321" Type="http://schemas.openxmlformats.org/officeDocument/2006/relationships/hyperlink" Target="https://github.com/sakhnevych/calendar-view/issues/39" TargetMode="External"/><Relationship Id="rId4652" Type="http://schemas.openxmlformats.org/officeDocument/2006/relationships/hyperlink" Target="https://github.com/gilzoide/lua-gdextension/issues/114" TargetMode="External"/><Relationship Id="rId3324" Type="http://schemas.openxmlformats.org/officeDocument/2006/relationships/hyperlink" Target="https://github.com/salihcantekin/Space/issues/31" TargetMode="External"/><Relationship Id="rId4655" Type="http://schemas.openxmlformats.org/officeDocument/2006/relationships/hyperlink" Target="https://drive.google.com/drive/folders/1Fo_QV73CRCCg8c8_IpozSmWZ0DzLJ0TY" TargetMode="External"/><Relationship Id="rId3323" Type="http://schemas.openxmlformats.org/officeDocument/2006/relationships/hyperlink" Target="https://drive.google.com/drive/folders/1ZICZuEm_GO4rvl3F2z8mYyfrSzsm5B3G" TargetMode="External"/><Relationship Id="rId4654" Type="http://schemas.openxmlformats.org/officeDocument/2006/relationships/hyperlink" Target="https://github.com/github/github-mcp-server/issues/63" TargetMode="External"/><Relationship Id="rId5130" Type="http://schemas.openxmlformats.org/officeDocument/2006/relationships/hyperlink" Target="https://drive.google.com/drive/folders/1oPDjN0gK20aXJBzhHzzMdmzo1sT9rRXh" TargetMode="External"/><Relationship Id="rId5131" Type="http://schemas.openxmlformats.org/officeDocument/2006/relationships/hyperlink" Target="https://github.com/oxc-project/oxc-resolver/issues/312" TargetMode="External"/><Relationship Id="rId5134" Type="http://schemas.openxmlformats.org/officeDocument/2006/relationships/hyperlink" Target="https://drive.google.com/drive/folders/1WhywKSL73-QkeZIe9ceciC9XNFCVBvuq" TargetMode="External"/><Relationship Id="rId5135" Type="http://schemas.openxmlformats.org/officeDocument/2006/relationships/hyperlink" Target="https://drive.google.com/drive/folders/131i66IUutTKkDTmEDc2xTqXQayOgpr7t" TargetMode="External"/><Relationship Id="rId5132" Type="http://schemas.openxmlformats.org/officeDocument/2006/relationships/hyperlink" Target="https://drive.google.com/drive/folders/1zNFWUgVtXiBt5oUfTMaku3e7J8T1vtj6" TargetMode="External"/><Relationship Id="rId5133" Type="http://schemas.openxmlformats.org/officeDocument/2006/relationships/hyperlink" Target="https://github.com/pallets/click/issues/2271" TargetMode="External"/><Relationship Id="rId5138" Type="http://schemas.openxmlformats.org/officeDocument/2006/relationships/hyperlink" Target="https://drive.google.com/drive/folders/1dyNUGQb7Mak204Rqkzt2qvsHISyrRPml" TargetMode="External"/><Relationship Id="rId5139" Type="http://schemas.openxmlformats.org/officeDocument/2006/relationships/hyperlink" Target="https://github.com/pallets/click/issues/2727" TargetMode="External"/><Relationship Id="rId5136" Type="http://schemas.openxmlformats.org/officeDocument/2006/relationships/hyperlink" Target="https://github.com/pallets/click/issues/2523" TargetMode="External"/><Relationship Id="rId5137" Type="http://schemas.openxmlformats.org/officeDocument/2006/relationships/hyperlink" Target="https://drive.google.com/drive/folders/17tS7iKC7kPpVneFZM3fpDotdshLKHh5M" TargetMode="External"/><Relationship Id="rId5129" Type="http://schemas.openxmlformats.org/officeDocument/2006/relationships/hyperlink" Target="https://github.com/owid/owid-grapher/issues/5790" TargetMode="External"/><Relationship Id="rId2090" Type="http://schemas.openxmlformats.org/officeDocument/2006/relationships/hyperlink" Target="https://github.com/keras-team/keras/issues/20452" TargetMode="External"/><Relationship Id="rId2091" Type="http://schemas.openxmlformats.org/officeDocument/2006/relationships/hyperlink" Target="https://drive.google.com/drive/folders/17j9jPVYZwFRLsRbz4zhYfmx0pp3_ruBr" TargetMode="External"/><Relationship Id="rId2092" Type="http://schemas.openxmlformats.org/officeDocument/2006/relationships/hyperlink" Target="https://drive.google.com/drive/folders/1LRUSLILZcGcxK0x51iQWyDcUd3VU5UM_" TargetMode="External"/><Relationship Id="rId2093" Type="http://schemas.openxmlformats.org/officeDocument/2006/relationships/hyperlink" Target="https://github.com/kestra-io/kestra/issues/7729" TargetMode="External"/><Relationship Id="rId5120" Type="http://schemas.openxmlformats.org/officeDocument/2006/relationships/hyperlink" Target="https://github.com/openwallet-foundation/sd-jwt-js/issues/285" TargetMode="External"/><Relationship Id="rId2094" Type="http://schemas.openxmlformats.org/officeDocument/2006/relationships/hyperlink" Target="https://drive.google.com/drive/folders/1uYRCGt-UqOdyDyxxNayHu7Dh3SIHUyEC" TargetMode="External"/><Relationship Id="rId2095" Type="http://schemas.openxmlformats.org/officeDocument/2006/relationships/hyperlink" Target="https://drive.google.com/drive/folders/1ouyV_EEvS80sFOkifZAqGfMZQ1C97F_g" TargetMode="External"/><Relationship Id="rId2096" Type="http://schemas.openxmlformats.org/officeDocument/2006/relationships/hyperlink" Target="https://github.com/kevinthedang/discord-ollama/issues/149" TargetMode="External"/><Relationship Id="rId5123" Type="http://schemas.openxmlformats.org/officeDocument/2006/relationships/hyperlink" Target="https://drive.google.com/drive/folders/1NpWhMXOkYLKqCFQONK1o26F9SDT1Z89t" TargetMode="External"/><Relationship Id="rId2097" Type="http://schemas.openxmlformats.org/officeDocument/2006/relationships/hyperlink" Target="https://drive.google.com/drive/folders/1mizBvOPP8JaylKOEehYwGaY2os6ZKlOw" TargetMode="External"/><Relationship Id="rId5124" Type="http://schemas.openxmlformats.org/officeDocument/2006/relationships/hyperlink" Target="https://github.com/OSGeo/gdal/issues/13027" TargetMode="External"/><Relationship Id="rId2098" Type="http://schemas.openxmlformats.org/officeDocument/2006/relationships/hyperlink" Target="https://github.com/keycloak/keycloak/issues/46127" TargetMode="External"/><Relationship Id="rId5121" Type="http://schemas.openxmlformats.org/officeDocument/2006/relationships/hyperlink" Target="https://drive.google.com/drive/folders/1DUwLwMj_-5aUDmozhBg1hWdudDe1unKf" TargetMode="External"/><Relationship Id="rId2099" Type="http://schemas.openxmlformats.org/officeDocument/2006/relationships/hyperlink" Target="https://github.com/keycloak/keycloak/issues/34551" TargetMode="External"/><Relationship Id="rId5122" Type="http://schemas.openxmlformats.org/officeDocument/2006/relationships/hyperlink" Target="https://github.com/OPM/ResInsight/issues/12000" TargetMode="External"/><Relationship Id="rId5127" Type="http://schemas.openxmlformats.org/officeDocument/2006/relationships/hyperlink" Target="https://github.com/Ouranosinc/xclim/issues/2067" TargetMode="External"/><Relationship Id="rId5128" Type="http://schemas.openxmlformats.org/officeDocument/2006/relationships/hyperlink" Target="https://drive.google.com/drive/folders/1X54ogSVuacYbzDGHL3VAIgR1dlFIkrSr" TargetMode="External"/><Relationship Id="rId5125" Type="http://schemas.openxmlformats.org/officeDocument/2006/relationships/hyperlink" Target="https://drive.google.com/drive/folders/1uCAyp-vXXXrdNHvr89jMYAm9Aaunz3sH" TargetMode="External"/><Relationship Id="rId5126" Type="http://schemas.openxmlformats.org/officeDocument/2006/relationships/hyperlink" Target="https://drive.google.com/drive/folders/1Kv9ouF3zBBVHNbIcANKdUKo-4FWx0lfA" TargetMode="External"/><Relationship Id="rId5152" Type="http://schemas.openxmlformats.org/officeDocument/2006/relationships/hyperlink" Target="https://drive.google.com/drive/folders/12D8--KEUcM7O4VeEV6R0EaLAnLnKiy_u" TargetMode="External"/><Relationship Id="rId5153" Type="http://schemas.openxmlformats.org/officeDocument/2006/relationships/hyperlink" Target="https://github.com/pdfme/pdfme/issues/1015" TargetMode="External"/><Relationship Id="rId5150" Type="http://schemas.openxmlformats.org/officeDocument/2006/relationships/hyperlink" Target="https://drive.google.com/drive/folders/1_WLA0edmtej-cLqjG4Of7156qoPE1wKC" TargetMode="External"/><Relationship Id="rId5151" Type="http://schemas.openxmlformats.org/officeDocument/2006/relationships/hyperlink" Target="https://github.com/patterns-ai-core/langchainrb/issues/884" TargetMode="External"/><Relationship Id="rId5156" Type="http://schemas.openxmlformats.org/officeDocument/2006/relationships/hyperlink" Target="https://github.com/periph/devices/issues/92" TargetMode="External"/><Relationship Id="rId5157" Type="http://schemas.openxmlformats.org/officeDocument/2006/relationships/hyperlink" Target="https://drive.google.com/drive/folders/1F9yNef_K_dF-Rk3w7T10v6jSoWP6wNZg" TargetMode="External"/><Relationship Id="rId5154" Type="http://schemas.openxmlformats.org/officeDocument/2006/relationships/hyperlink" Target="https://drive.google.com/drive/folders/1wxqSMyvY6pwDKm3qtugsmIR62yohurYd" TargetMode="External"/><Relationship Id="rId5155" Type="http://schemas.openxmlformats.org/officeDocument/2006/relationships/hyperlink" Target="https://drive.google.com/drive/folders/16MJsvBmWqfXP6A63_AWHORkgZ83GEQ7X" TargetMode="External"/><Relationship Id="rId5158" Type="http://schemas.openxmlformats.org/officeDocument/2006/relationships/hyperlink" Target="https://github.com/Peternator7/strum/issues/391" TargetMode="External"/><Relationship Id="rId5159" Type="http://schemas.openxmlformats.org/officeDocument/2006/relationships/hyperlink" Target="https://drive.google.com/drive/folders/1v_D5KhiY2MABxxaHPoSSgSh9wuEV8wlt" TargetMode="External"/><Relationship Id="rId5141" Type="http://schemas.openxmlformats.org/officeDocument/2006/relationships/hyperlink" Target="https://drive.google.com/drive/folders/1RoJ2stLQWRtD15c3EEg1uO5gVvJJJvis" TargetMode="External"/><Relationship Id="rId5142" Type="http://schemas.openxmlformats.org/officeDocument/2006/relationships/hyperlink" Target="https://github.com/parquet-go/parquet-go/issues/317" TargetMode="External"/><Relationship Id="rId5140" Type="http://schemas.openxmlformats.org/officeDocument/2006/relationships/hyperlink" Target="https://drive.google.com/drive/folders/1MropAaRV7XLPMZR52b30-vGm-ZaCr6ng" TargetMode="External"/><Relationship Id="rId5145" Type="http://schemas.openxmlformats.org/officeDocument/2006/relationships/hyperlink" Target="https://drive.google.com/drive/folders/1H2cTEXQp9_Tn8PWf6kvaspHxFHvZdfZm" TargetMode="External"/><Relationship Id="rId5146" Type="http://schemas.openxmlformats.org/officeDocument/2006/relationships/hyperlink" Target="https://github.com/pasqal-io/Pulser/issues/773" TargetMode="External"/><Relationship Id="rId5143" Type="http://schemas.openxmlformats.org/officeDocument/2006/relationships/hyperlink" Target="https://drive.google.com/drive/folders/1dtjPtvwc6ZzMzi49yDyhU-_JqQEJvzsA" TargetMode="External"/><Relationship Id="rId5144" Type="http://schemas.openxmlformats.org/officeDocument/2006/relationships/hyperlink" Target="https://github.com/parruda/claude-swarm/issues/20" TargetMode="External"/><Relationship Id="rId5149" Type="http://schemas.openxmlformats.org/officeDocument/2006/relationships/hyperlink" Target="https://drive.google.com/drive/folders/1p7Sedr-Ads3KqtGavDDWhbW3XT9KZJoa" TargetMode="External"/><Relationship Id="rId5147" Type="http://schemas.openxmlformats.org/officeDocument/2006/relationships/hyperlink" Target="https://drive.google.com/drive/folders/1XL0UpSdXw-wb0TExS2oqV6rYvIdIO9MM" TargetMode="External"/><Relationship Id="rId5148" Type="http://schemas.openxmlformats.org/officeDocument/2006/relationships/hyperlink" Target="https://github.com/pastas/pastas/issues/892" TargetMode="External"/><Relationship Id="rId3391" Type="http://schemas.openxmlformats.org/officeDocument/2006/relationships/hyperlink" Target="https://github.com/ServiceNow/Fast-LLM/issues/223" TargetMode="External"/><Relationship Id="rId2060" Type="http://schemas.openxmlformats.org/officeDocument/2006/relationships/hyperlink" Target="https://github.com/karmada-io/karmada/issues/6512" TargetMode="External"/><Relationship Id="rId3390" Type="http://schemas.openxmlformats.org/officeDocument/2006/relationships/hyperlink" Target="https://drive.google.com/drive/folders/1uPxEFNcohPOYtdmpCZVt3_IEVQNdElIh" TargetMode="External"/><Relationship Id="rId2061" Type="http://schemas.openxmlformats.org/officeDocument/2006/relationships/hyperlink" Target="https://drive.google.com/drive/folders/1CYnhtRaS3EvJfeaXe8if_Ffz7TXVTlBJ" TargetMode="External"/><Relationship Id="rId3393" Type="http://schemas.openxmlformats.org/officeDocument/2006/relationships/hyperlink" Target="https://drive.google.com/drive/folders/18T9gfdpDgcXTdfbrckzMvnDCMRKBZ6a0" TargetMode="External"/><Relationship Id="rId2062" Type="http://schemas.openxmlformats.org/officeDocument/2006/relationships/hyperlink" Target="https://drive.google.com/drive/folders/1DwJRGXU710aLqBOS-tLfNVdatN9Ou8dG" TargetMode="External"/><Relationship Id="rId3392" Type="http://schemas.openxmlformats.org/officeDocument/2006/relationships/hyperlink" Target="https://drive.google.com/drive/folders/1TxHe0pxyNY8Uqcc6NKG0ejtHkyNkp8X9" TargetMode="External"/><Relationship Id="rId2063" Type="http://schemas.openxmlformats.org/officeDocument/2006/relationships/hyperlink" Target="https://github.com/katanemo/archgw/issues/250" TargetMode="External"/><Relationship Id="rId3395" Type="http://schemas.openxmlformats.org/officeDocument/2006/relationships/hyperlink" Target="https://drive.google.com/drive/folders/1L6S4I3dN9z4BGIYiGFuk2sPx9TlyM7Fg" TargetMode="External"/><Relationship Id="rId2064" Type="http://schemas.openxmlformats.org/officeDocument/2006/relationships/hyperlink" Target="https://drive.google.com/drive/folders/14IJ56znD-R4IFlZqV7hInspQ9sD69oml" TargetMode="External"/><Relationship Id="rId3394" Type="http://schemas.openxmlformats.org/officeDocument/2006/relationships/hyperlink" Target="https://github.com/SFML/SFML/issues/2885" TargetMode="External"/><Relationship Id="rId2065" Type="http://schemas.openxmlformats.org/officeDocument/2006/relationships/hyperlink" Target="https://github.com/kbwo/ccmanager/issues/31" TargetMode="External"/><Relationship Id="rId3397" Type="http://schemas.openxmlformats.org/officeDocument/2006/relationships/hyperlink" Target="https://github.com/shaka-project/shaka-packager/issues/1384" TargetMode="External"/><Relationship Id="rId2066" Type="http://schemas.openxmlformats.org/officeDocument/2006/relationships/hyperlink" Target="https://drive.google.com/drive/folders/1eMtB231sjzRQ9Y5ux0g-WfRNxvigYfSv" TargetMode="External"/><Relationship Id="rId3396" Type="http://schemas.openxmlformats.org/officeDocument/2006/relationships/hyperlink" Target="https://drive.google.com/drive/folders/1z22i_lPdtCTHjFSqNr-hQ70eyWqS-g1E" TargetMode="External"/><Relationship Id="rId2067" Type="http://schemas.openxmlformats.org/officeDocument/2006/relationships/hyperlink" Target="https://github.com/kbwo/ccmanager/issues/60" TargetMode="External"/><Relationship Id="rId3399" Type="http://schemas.openxmlformats.org/officeDocument/2006/relationships/hyperlink" Target="https://drive.google.com/drive/folders/1KncTV0HIPkbR0ZgFfFU4M8YRN0J-FcSQ" TargetMode="External"/><Relationship Id="rId2068" Type="http://schemas.openxmlformats.org/officeDocument/2006/relationships/hyperlink" Target="https://drive.google.com/drive/folders/10eyTw1DigyKfL4OsHWcuYOF4ESnNu260" TargetMode="External"/><Relationship Id="rId3398" Type="http://schemas.openxmlformats.org/officeDocument/2006/relationships/hyperlink" Target="https://drive.google.com/drive/folders/1AfFTiqHkh8d_Q-_nyk-WdgJMwnaH7sP0" TargetMode="External"/><Relationship Id="rId2069" Type="http://schemas.openxmlformats.org/officeDocument/2006/relationships/hyperlink" Target="https://github.com/kedro-org/kedro/issues/4543" TargetMode="External"/><Relationship Id="rId3380" Type="http://schemas.openxmlformats.org/officeDocument/2006/relationships/hyperlink" Target="https://github.com/SeaQL/sea-query/issues/859" TargetMode="External"/><Relationship Id="rId2050" Type="http://schemas.openxmlformats.org/officeDocument/2006/relationships/hyperlink" Target="https://github.com/k8ssandra/cass-operator/issues/730" TargetMode="External"/><Relationship Id="rId3382" Type="http://schemas.openxmlformats.org/officeDocument/2006/relationships/hyperlink" Target="https://drive.google.com/drive/folders/1lGu0MRTCpGC8ZC0OoyEQgb3hnwbGtyj5" TargetMode="External"/><Relationship Id="rId2051" Type="http://schemas.openxmlformats.org/officeDocument/2006/relationships/hyperlink" Target="https://drive.google.com/drive/folders/1eBUPi-fV-mYKtWC1J0Y3vKNa9uPGG3kx" TargetMode="External"/><Relationship Id="rId3381" Type="http://schemas.openxmlformats.org/officeDocument/2006/relationships/hyperlink" Target="https://github.com/seladb/PcapPlusPlus/issues/1747" TargetMode="External"/><Relationship Id="rId2052" Type="http://schemas.openxmlformats.org/officeDocument/2006/relationships/hyperlink" Target="https://github.com/kafbat/kafka-ui/issues/663" TargetMode="External"/><Relationship Id="rId3384" Type="http://schemas.openxmlformats.org/officeDocument/2006/relationships/hyperlink" Target="https://drive.google.com/drive/folders/1v6VPFC6qjF1iKsQGScpj3uYH_8UZG1I9" TargetMode="External"/><Relationship Id="rId2053" Type="http://schemas.openxmlformats.org/officeDocument/2006/relationships/hyperlink" Target="https://drive.google.com/drive/folders/1F17Z5NYisqqt5UzdSAz-kDrUlfW3hlgT" TargetMode="External"/><Relationship Id="rId3383" Type="http://schemas.openxmlformats.org/officeDocument/2006/relationships/hyperlink" Target="https://github.com/semantic-release/semantic-release/issues/3980" TargetMode="External"/><Relationship Id="rId2054" Type="http://schemas.openxmlformats.org/officeDocument/2006/relationships/hyperlink" Target="https://github.com/kaitranntt/ccs/issues/130" TargetMode="External"/><Relationship Id="rId3386" Type="http://schemas.openxmlformats.org/officeDocument/2006/relationships/hyperlink" Target="https://drive.google.com/drive/folders/1JixQzc9BMJSOi23NXerKA8o8NnQdVJLL" TargetMode="External"/><Relationship Id="rId2055" Type="http://schemas.openxmlformats.org/officeDocument/2006/relationships/hyperlink" Target="https://drive.google.com/drive/folders/19nuSd9ptGAUj20cpS0lHMK05ltmwOQZx" TargetMode="External"/><Relationship Id="rId3385" Type="http://schemas.openxmlformats.org/officeDocument/2006/relationships/hyperlink" Target="https://github.com/sendou-ink/sendou.ink/issues/2527" TargetMode="External"/><Relationship Id="rId2056" Type="http://schemas.openxmlformats.org/officeDocument/2006/relationships/hyperlink" Target="https://github.com/Kaliumhexacyanoferrat/GenHTTP/issues/559" TargetMode="External"/><Relationship Id="rId3388" Type="http://schemas.openxmlformats.org/officeDocument/2006/relationships/hyperlink" Target="https://drive.google.com/drive/folders/15kd-ze-HOnqPb6_yyT5q5-VIll7iJayy" TargetMode="External"/><Relationship Id="rId2057" Type="http://schemas.openxmlformats.org/officeDocument/2006/relationships/hyperlink" Target="https://drive.google.com/drive/folders/1-8lQ5AHBOhhguZHWMnRpWPY_eApUK-i7" TargetMode="External"/><Relationship Id="rId3387" Type="http://schemas.openxmlformats.org/officeDocument/2006/relationships/hyperlink" Target="https://github.com/seqan/seqan3/issues/3254" TargetMode="External"/><Relationship Id="rId2058" Type="http://schemas.openxmlformats.org/officeDocument/2006/relationships/hyperlink" Target="https://github.com/karafka/karafka-web/issues/552" TargetMode="External"/><Relationship Id="rId2059" Type="http://schemas.openxmlformats.org/officeDocument/2006/relationships/hyperlink" Target="https://drive.google.com/drive/folders/1h_N1u8cCkRcDZFk9gElJgmI4C-IA4FU4" TargetMode="External"/><Relationship Id="rId3389" Type="http://schemas.openxmlformats.org/officeDocument/2006/relationships/hyperlink" Target="https://github.com/sergiobayona/easy_talk/issues/51" TargetMode="External"/><Relationship Id="rId5118" Type="http://schemas.openxmlformats.org/officeDocument/2006/relationships/hyperlink" Target="https://github.com/opentap/opentap/issues/2067" TargetMode="External"/><Relationship Id="rId5119" Type="http://schemas.openxmlformats.org/officeDocument/2006/relationships/hyperlink" Target="https://drive.google.com/drive/folders/12cN4i-wpgGLBGOpVNIjUNZfE9lhvvU9M" TargetMode="External"/><Relationship Id="rId2080" Type="http://schemas.openxmlformats.org/officeDocument/2006/relationships/hyperlink" Target="https://drive.google.com/drive/folders/1NInogXZAdHQZJLhktGZjvy6Qc5TXpaUD" TargetMode="External"/><Relationship Id="rId2081" Type="http://schemas.openxmlformats.org/officeDocument/2006/relationships/hyperlink" Target="https://github.com/keepassxreboot/keepassxc/issues/9835" TargetMode="External"/><Relationship Id="rId2082" Type="http://schemas.openxmlformats.org/officeDocument/2006/relationships/hyperlink" Target="https://drive.google.com/drive/folders/1RRmz1JFa7eJwn4xr2EWoCUIhYCW2zbW0" TargetMode="External"/><Relationship Id="rId2083" Type="http://schemas.openxmlformats.org/officeDocument/2006/relationships/hyperlink" Target="https://drive.google.com/drive/folders/1BF81IRuBmO38aU6CueObMyBvRedbuITE" TargetMode="External"/><Relationship Id="rId2084" Type="http://schemas.openxmlformats.org/officeDocument/2006/relationships/hyperlink" Target="https://github.com/keepassxreboot/keepassxc/issues/11401" TargetMode="External"/><Relationship Id="rId2085" Type="http://schemas.openxmlformats.org/officeDocument/2006/relationships/hyperlink" Target="https://drive.google.com/drive/folders/1L1RcdL7tsq7EPJ9HsaE1GVjb7_0ZU4cr" TargetMode="External"/><Relationship Id="rId5112" Type="http://schemas.openxmlformats.org/officeDocument/2006/relationships/hyperlink" Target="https://drive.google.com/drive/folders/1Rq5M67qvmQJ2iHlMeZavMqITKAr-ihTb" TargetMode="External"/><Relationship Id="rId2086" Type="http://schemas.openxmlformats.org/officeDocument/2006/relationships/hyperlink" Target="https://drive.google.com/drive/folders/11thaeZnfdlvAadDvb7UkbvD8BJrvnCab" TargetMode="External"/><Relationship Id="rId5113" Type="http://schemas.openxmlformats.org/officeDocument/2006/relationships/hyperlink" Target="https://github.com/opensafely-core/opencodelists/issues/2430" TargetMode="External"/><Relationship Id="rId2087" Type="http://schemas.openxmlformats.org/officeDocument/2006/relationships/hyperlink" Target="https://github.com/keploy/keploy/issues/2921" TargetMode="External"/><Relationship Id="rId5110" Type="http://schemas.openxmlformats.org/officeDocument/2006/relationships/hyperlink" Target="https://drive.google.com/drive/folders/1JruTC0-jD05zgagjZAqQTS7TUUIylmRW" TargetMode="External"/><Relationship Id="rId2088" Type="http://schemas.openxmlformats.org/officeDocument/2006/relationships/hyperlink" Target="https://drive.google.com/drive/folders/1ch06C4FZT6v2NEabyWGbqDoe-v4h-Hng" TargetMode="External"/><Relationship Id="rId5111" Type="http://schemas.openxmlformats.org/officeDocument/2006/relationships/hyperlink" Target="https://github.com/openpubkey/opkssh/issues/133" TargetMode="External"/><Relationship Id="rId2089" Type="http://schemas.openxmlformats.org/officeDocument/2006/relationships/hyperlink" Target="https://drive.google.com/drive/folders/1Af6RLwwF8sZD77pcqnL6hSGiZvIXYZy3" TargetMode="External"/><Relationship Id="rId5116" Type="http://schemas.openxmlformats.org/officeDocument/2006/relationships/hyperlink" Target="https://github.com/opensearch-project/security/issues/5775" TargetMode="External"/><Relationship Id="rId5117" Type="http://schemas.openxmlformats.org/officeDocument/2006/relationships/hyperlink" Target="https://drive.google.com/drive/folders/1wymtddGeLg4opX_aZDwoRVSB83EIL8yv" TargetMode="External"/><Relationship Id="rId5114" Type="http://schemas.openxmlformats.org/officeDocument/2006/relationships/hyperlink" Target="https://drive.google.com/drive/folders/1yMx-neai71jC0N9sKNbYgHPKfy3yhMqr" TargetMode="External"/><Relationship Id="rId5115" Type="http://schemas.openxmlformats.org/officeDocument/2006/relationships/hyperlink" Target="https://drive.google.com/drive/folders/11vpgXEac0eor6Y0dmlRgCOrdhYLAbTcv" TargetMode="External"/><Relationship Id="rId5109" Type="http://schemas.openxmlformats.org/officeDocument/2006/relationships/hyperlink" Target="https://drive.google.com/drive/folders/1ntr905J86UGKykvjhAzn4_cxk97C65Um" TargetMode="External"/><Relationship Id="rId5107" Type="http://schemas.openxmlformats.org/officeDocument/2006/relationships/hyperlink" Target="https://drive.google.com/drive/folders/1FxRSNVlZdbcjqaUMZmyz4SgNssx8PKCM" TargetMode="External"/><Relationship Id="rId5108" Type="http://schemas.openxmlformats.org/officeDocument/2006/relationships/hyperlink" Target="https://github.com/OpenMS/OpenMS/issues/7541" TargetMode="External"/><Relationship Id="rId2070" Type="http://schemas.openxmlformats.org/officeDocument/2006/relationships/hyperlink" Target="https://drive.google.com/drive/folders/1JrqTh_Avo2WSmsktnQD3dwbabC-lbIfl" TargetMode="External"/><Relationship Id="rId2071" Type="http://schemas.openxmlformats.org/officeDocument/2006/relationships/hyperlink" Target="https://drive.google.com/drive/folders/11TlMYVp_HkpcJ5rgCHV1O97rbBUpd6iX" TargetMode="External"/><Relationship Id="rId2072" Type="http://schemas.openxmlformats.org/officeDocument/2006/relationships/hyperlink" Target="https://github.com/kedro-org/kedro/issues/4653" TargetMode="External"/><Relationship Id="rId2073" Type="http://schemas.openxmlformats.org/officeDocument/2006/relationships/hyperlink" Target="https://drive.google.com/drive/folders/1mbnR9dr0JGZohlFD9nHqpTLTH1Ju-jP9" TargetMode="External"/><Relationship Id="rId2074" Type="http://schemas.openxmlformats.org/officeDocument/2006/relationships/hyperlink" Target="https://drive.google.com/drive/folders/19-MSfL30mu-blR59R-tRzf1maLVnaZG4" TargetMode="External"/><Relationship Id="rId5101" Type="http://schemas.openxmlformats.org/officeDocument/2006/relationships/hyperlink" Target="https://github.com/openebs/dynamic-localpv-provisioner/issues/264" TargetMode="External"/><Relationship Id="rId2075" Type="http://schemas.openxmlformats.org/officeDocument/2006/relationships/hyperlink" Target="https://github.com/keepassxreboot/keepassxc/issues/9852" TargetMode="External"/><Relationship Id="rId5102" Type="http://schemas.openxmlformats.org/officeDocument/2006/relationships/hyperlink" Target="https://drive.google.com/drive/folders/10nLX5-xJAe7uOyGj2em4UqueLYSy-d6O" TargetMode="External"/><Relationship Id="rId2076" Type="http://schemas.openxmlformats.org/officeDocument/2006/relationships/hyperlink" Target="https://drive.google.com/drive/folders/1nhxeYmxtDg9OgqchSIjWPsJeW9ZJS3_3" TargetMode="External"/><Relationship Id="rId2077" Type="http://schemas.openxmlformats.org/officeDocument/2006/relationships/hyperlink" Target="https://drive.google.com/drive/folders/1R2XeC1g9Zg7i6Vw6zFSaV51SdntB3fzc" TargetMode="External"/><Relationship Id="rId5100" Type="http://schemas.openxmlformats.org/officeDocument/2006/relationships/hyperlink" Target="https://drive.google.com/drive/folders/1miLepd_8WKuP5YG_88ZX4Kw054ODgJzq" TargetMode="External"/><Relationship Id="rId2078" Type="http://schemas.openxmlformats.org/officeDocument/2006/relationships/hyperlink" Target="https://github.com/keepassxreboot/keepassxc/issues/11197" TargetMode="External"/><Relationship Id="rId5105" Type="http://schemas.openxmlformats.org/officeDocument/2006/relationships/hyperlink" Target="https://github.com/openmdao/openmdao/issues/3519" TargetMode="External"/><Relationship Id="rId2079" Type="http://schemas.openxmlformats.org/officeDocument/2006/relationships/hyperlink" Target="https://drive.google.com/drive/folders/10-QYNrmZkWhl8VvFEqlQlUfA2J_OrBEz" TargetMode="External"/><Relationship Id="rId5106" Type="http://schemas.openxmlformats.org/officeDocument/2006/relationships/hyperlink" Target="https://drive.google.com/drive/folders/1SGc6Qvn1PQLFyxtR6kUv8pmdAWBlj7TQ" TargetMode="External"/><Relationship Id="rId5103" Type="http://schemas.openxmlformats.org/officeDocument/2006/relationships/hyperlink" Target="https://github.com/openfga/js-sdk/issues/267" TargetMode="External"/><Relationship Id="rId5104" Type="http://schemas.openxmlformats.org/officeDocument/2006/relationships/hyperlink" Target="https://drive.google.com/drive/folders/11lcimxD53lVv6ayMQHI7gXlHf27PQ_yC" TargetMode="External"/><Relationship Id="rId2940" Type="http://schemas.openxmlformats.org/officeDocument/2006/relationships/hyperlink" Target="https://github.com/paritytech/polkadot-sdk/issues/8504" TargetMode="External"/><Relationship Id="rId1610" Type="http://schemas.openxmlformats.org/officeDocument/2006/relationships/hyperlink" Target="https://github.com/grafana/alloy/issues/3618" TargetMode="External"/><Relationship Id="rId2941" Type="http://schemas.openxmlformats.org/officeDocument/2006/relationships/hyperlink" Target="https://drive.google.com/drive/folders/18q8AvtyYDOXYNVt8cNABWbrhfIRfj4ii" TargetMode="External"/><Relationship Id="rId1611" Type="http://schemas.openxmlformats.org/officeDocument/2006/relationships/hyperlink" Target="https://drive.google.com/drive/folders/1OkpzwQNpO9weu9Eo8Ri3zc9NAUQL1fYV" TargetMode="External"/><Relationship Id="rId2942" Type="http://schemas.openxmlformats.org/officeDocument/2006/relationships/hyperlink" Target="https://drive.google.com/drive/folders/1CUfCyeYbpD8ZtiYOn9GwzUU294WkkiSu" TargetMode="External"/><Relationship Id="rId1612" Type="http://schemas.openxmlformats.org/officeDocument/2006/relationships/hyperlink" Target="https://drive.google.com/drive/folders/19tMOF-5HnFRqwNnWNfiWdEIyO6FqH-jY" TargetMode="External"/><Relationship Id="rId2943" Type="http://schemas.openxmlformats.org/officeDocument/2006/relationships/hyperlink" Target="https://github.com/paritytech/polkadot-sdk/issues/10311" TargetMode="External"/><Relationship Id="rId1613" Type="http://schemas.openxmlformats.org/officeDocument/2006/relationships/hyperlink" Target="https://github.com/grafana/grafana-zabbix/issues/1931" TargetMode="External"/><Relationship Id="rId2944" Type="http://schemas.openxmlformats.org/officeDocument/2006/relationships/hyperlink" Target="https://drive.google.com/drive/folders/1KIUhuwm0C1oJPQQLn_wJhaYWhi3CaBk5" TargetMode="External"/><Relationship Id="rId1614" Type="http://schemas.openxmlformats.org/officeDocument/2006/relationships/hyperlink" Target="https://drive.google.com/drive/folders/1poGypm4iW1bJnEf8iFivJUcqtYdPLTRF" TargetMode="External"/><Relationship Id="rId2945" Type="http://schemas.openxmlformats.org/officeDocument/2006/relationships/hyperlink" Target="https://github.com/parruda/claude-swarm/issues/143" TargetMode="External"/><Relationship Id="rId1615" Type="http://schemas.openxmlformats.org/officeDocument/2006/relationships/hyperlink" Target="https://github.com/grafana/k6/issues/4811" TargetMode="External"/><Relationship Id="rId2946" Type="http://schemas.openxmlformats.org/officeDocument/2006/relationships/hyperlink" Target="https://drive.google.com/drive/folders/1Ix_8VwNN2yUQpg1JLd3BubupUIQARd4V" TargetMode="External"/><Relationship Id="rId1616" Type="http://schemas.openxmlformats.org/officeDocument/2006/relationships/hyperlink" Target="https://drive.google.com/drive/folders/1cD0fnIvzHGl61ya7ixlfiw4GpW9F8ckd" TargetMode="External"/><Relationship Id="rId2947" Type="http://schemas.openxmlformats.org/officeDocument/2006/relationships/hyperlink" Target="https://github.com/patman15/BMS_BLE-HA/issues/79" TargetMode="External"/><Relationship Id="rId907" Type="http://schemas.openxmlformats.org/officeDocument/2006/relationships/hyperlink" Target="https://drive.google.com/drive/folders/1JgXdueeUnruR0CRMLYBFb2zv3HEwJZwC" TargetMode="External"/><Relationship Id="rId1617" Type="http://schemas.openxmlformats.org/officeDocument/2006/relationships/hyperlink" Target="https://drive.google.com/drive/folders/1-GULteui_TGZY9E-8zTOmh7jijj_wmnM" TargetMode="External"/><Relationship Id="rId2948" Type="http://schemas.openxmlformats.org/officeDocument/2006/relationships/hyperlink" Target="https://drive.google.com/drive/folders/1lHjPd7vxJ4yth_V6txkJ7sj2YoJJn0UK" TargetMode="External"/><Relationship Id="rId906" Type="http://schemas.openxmlformats.org/officeDocument/2006/relationships/hyperlink" Target="https://drive.google.com/drive/folders/1Ro8n0xm5x-xvxT-Za0VXvmzp9sa1WQlM" TargetMode="External"/><Relationship Id="rId1618" Type="http://schemas.openxmlformats.org/officeDocument/2006/relationships/hyperlink" Target="https://github.com/grafana/k6/issues/4092" TargetMode="External"/><Relationship Id="rId2949" Type="http://schemas.openxmlformats.org/officeDocument/2006/relationships/hyperlink" Target="https://drive.google.com/drive/folders/1lzU7XtSGanIef3vFnURn4K2JqInFyzhK" TargetMode="External"/><Relationship Id="rId905" Type="http://schemas.openxmlformats.org/officeDocument/2006/relationships/hyperlink" Target="https://github.com/cucumber/cucumber-jvm/issues/3057" TargetMode="External"/><Relationship Id="rId1619" Type="http://schemas.openxmlformats.org/officeDocument/2006/relationships/hyperlink" Target="https://drive.google.com/drive/folders/1LTEdCRpo6Z7EPFVukzakO4eBpXhyrCex" TargetMode="External"/><Relationship Id="rId904" Type="http://schemas.openxmlformats.org/officeDocument/2006/relationships/hyperlink" Target="https://drive.google.com/drive/folders/1UhuKRsbFRtLN3O4h59_kEIvqpWRuw58-" TargetMode="External"/><Relationship Id="rId909" Type="http://schemas.openxmlformats.org/officeDocument/2006/relationships/hyperlink" Target="https://drive.google.com/drive/folders/10RGkTfxkspVQsxO2o1nZNQGdiQCjqmmj" TargetMode="External"/><Relationship Id="rId908" Type="http://schemas.openxmlformats.org/officeDocument/2006/relationships/hyperlink" Target="https://github.com/cucumber/cucumber-jvm/issues/3139" TargetMode="External"/><Relationship Id="rId903" Type="http://schemas.openxmlformats.org/officeDocument/2006/relationships/hyperlink" Target="https://drive.google.com/drive/folders/1ZjE3aPLxJEzapZRDNI7oaAMvcZ_aAITA" TargetMode="External"/><Relationship Id="rId902" Type="http://schemas.openxmlformats.org/officeDocument/2006/relationships/hyperlink" Target="https://github.com/csu-hmc/opty/issues/372" TargetMode="External"/><Relationship Id="rId901" Type="http://schemas.openxmlformats.org/officeDocument/2006/relationships/hyperlink" Target="https://drive.google.com/drive/folders/1rLBPoo91aV_gXZEK7RilS_mXVh8hzuUF" TargetMode="External"/><Relationship Id="rId900" Type="http://schemas.openxmlformats.org/officeDocument/2006/relationships/hyperlink" Target="https://github.com/cryptomator/cryptofs/issues/277" TargetMode="External"/><Relationship Id="rId2930" Type="http://schemas.openxmlformats.org/officeDocument/2006/relationships/hyperlink" Target="https://drive.google.com/drive/folders/1b30bbYDG9GIZvwYr82_jKOxISTeLscNX" TargetMode="External"/><Relationship Id="rId1600" Type="http://schemas.openxmlformats.org/officeDocument/2006/relationships/hyperlink" Target="https://drive.google.com/drive/folders/1IwgoTHJ3q4myhutDVaYQBy5PkQk7Yn4p" TargetMode="External"/><Relationship Id="rId2931" Type="http://schemas.openxmlformats.org/officeDocument/2006/relationships/hyperlink" Target="https://github.com/panorama-ed/memo_wise/issues/327" TargetMode="External"/><Relationship Id="rId1601" Type="http://schemas.openxmlformats.org/officeDocument/2006/relationships/hyperlink" Target="https://github.com/GothenburgBitFactory/taskwarrior/issues/3671" TargetMode="External"/><Relationship Id="rId2932" Type="http://schemas.openxmlformats.org/officeDocument/2006/relationships/hyperlink" Target="https://drive.google.com/drive/folders/1l_2GqvdsVdYj3Cre0IFJoN6lwlQ8w9HM" TargetMode="External"/><Relationship Id="rId1602" Type="http://schemas.openxmlformats.org/officeDocument/2006/relationships/hyperlink" Target="https://drive.google.com/drive/folders/15ubN0hBjJtAnI_RzLYSqC07XqjmGpeIQ" TargetMode="External"/><Relationship Id="rId2933" Type="http://schemas.openxmlformats.org/officeDocument/2006/relationships/hyperlink" Target="https://drive.google.com/drive/folders/1Zyftk6YTbfBVK8MsaMpFTi5Ca5HE52_e" TargetMode="External"/><Relationship Id="rId1603" Type="http://schemas.openxmlformats.org/officeDocument/2006/relationships/hyperlink" Target="https://github.com/GothenburgBitFactory/timewarrior/issues/696" TargetMode="External"/><Relationship Id="rId2934" Type="http://schemas.openxmlformats.org/officeDocument/2006/relationships/hyperlink" Target="https://github.com/PaperMC/adventure/issues/842" TargetMode="External"/><Relationship Id="rId1604" Type="http://schemas.openxmlformats.org/officeDocument/2006/relationships/hyperlink" Target="https://drive.google.com/drive/folders/1eQmhIMotXkaoSqhUX1Qk82d43SGmaQ7W" TargetMode="External"/><Relationship Id="rId2935" Type="http://schemas.openxmlformats.org/officeDocument/2006/relationships/hyperlink" Target="https://drive.google.com/drive/folders/1TBkj8kCR7Zhq5sze3U-JkfDDZNgjLX5x" TargetMode="External"/><Relationship Id="rId1605" Type="http://schemas.openxmlformats.org/officeDocument/2006/relationships/hyperlink" Target="https://github.com/grafana/alloy/issues/4173" TargetMode="External"/><Relationship Id="rId2936" Type="http://schemas.openxmlformats.org/officeDocument/2006/relationships/hyperlink" Target="https://github.com/papra-hq/papra/issues/540" TargetMode="External"/><Relationship Id="rId1606" Type="http://schemas.openxmlformats.org/officeDocument/2006/relationships/hyperlink" Target="https://drive.google.com/drive/folders/1b4h0-cAmW07Q3DI8KQH0ifRL2QGfMDBJ" TargetMode="External"/><Relationship Id="rId2937" Type="http://schemas.openxmlformats.org/officeDocument/2006/relationships/hyperlink" Target="https://drive.google.com/drive/folders/1OOnO284Uw7gaaZMrbf7WOI8UOEdChWbR" TargetMode="External"/><Relationship Id="rId1607" Type="http://schemas.openxmlformats.org/officeDocument/2006/relationships/hyperlink" Target="https://github.com/grafana/alloy/issues/3042" TargetMode="External"/><Relationship Id="rId2938" Type="http://schemas.openxmlformats.org/officeDocument/2006/relationships/hyperlink" Target="https://github.com/papra-hq/papra/issues/601" TargetMode="External"/><Relationship Id="rId1608" Type="http://schemas.openxmlformats.org/officeDocument/2006/relationships/hyperlink" Target="https://drive.google.com/drive/folders/1O4zyRcCzgs4AzQAz0Avajmzr5We7S9Z3" TargetMode="External"/><Relationship Id="rId2939" Type="http://schemas.openxmlformats.org/officeDocument/2006/relationships/hyperlink" Target="https://drive.google.com/drive/folders/1T2r5QOCK1_HaO8P935KsqX_bOuViNl7V" TargetMode="External"/><Relationship Id="rId1609" Type="http://schemas.openxmlformats.org/officeDocument/2006/relationships/hyperlink" Target="https://drive.google.com/drive/folders/1eBMSv6GDEdeKVV-bRRXMLxrNrBcV6J_p" TargetMode="External"/><Relationship Id="rId1631" Type="http://schemas.openxmlformats.org/officeDocument/2006/relationships/hyperlink" Target="https://github.com/grafana/xk6/issues/159" TargetMode="External"/><Relationship Id="rId2962" Type="http://schemas.openxmlformats.org/officeDocument/2006/relationships/hyperlink" Target="https://github.com/pingcap/tidb-operator/issues/6102" TargetMode="External"/><Relationship Id="rId1632" Type="http://schemas.openxmlformats.org/officeDocument/2006/relationships/hyperlink" Target="https://drive.google.com/drive/folders/1-avx2aYrpSC5OsIVpK0xG94Rx92KcxZR" TargetMode="External"/><Relationship Id="rId2963" Type="http://schemas.openxmlformats.org/officeDocument/2006/relationships/hyperlink" Target="https://drive.google.com/drive/folders/1Tib1nVNaVOS-uZ8-a8-sbs6tgh7dhPL4" TargetMode="External"/><Relationship Id="rId1633" Type="http://schemas.openxmlformats.org/officeDocument/2006/relationships/hyperlink" Target="https://github.com/grafana/xk6/issues/124" TargetMode="External"/><Relationship Id="rId2964" Type="http://schemas.openxmlformats.org/officeDocument/2006/relationships/hyperlink" Target="https://github.com/PlasmaFAIR/fortitude/issues/390" TargetMode="External"/><Relationship Id="rId1634" Type="http://schemas.openxmlformats.org/officeDocument/2006/relationships/hyperlink" Target="https://drive.google.com/drive/folders/1D5Fuy-gSrAlzjmwbcsb495s33K-TftCN" TargetMode="External"/><Relationship Id="rId2965" Type="http://schemas.openxmlformats.org/officeDocument/2006/relationships/hyperlink" Target="https://drive.google.com/drive/folders/1LzOkwzDMh8N-MF05I_ha3KsEDPmMzxJt" TargetMode="External"/><Relationship Id="rId1635" Type="http://schemas.openxmlformats.org/officeDocument/2006/relationships/hyperlink" Target="https://github.com/grafana/xk6-sql/issues/123" TargetMode="External"/><Relationship Id="rId2966" Type="http://schemas.openxmlformats.org/officeDocument/2006/relationships/hyperlink" Target="https://github.com/platformatic/platformatic/issues/4306" TargetMode="External"/><Relationship Id="rId1636" Type="http://schemas.openxmlformats.org/officeDocument/2006/relationships/hyperlink" Target="https://drive.google.com/drive/folders/1n0egjMsggCfYcejMZbDhD1BFF91nP1JB" TargetMode="External"/><Relationship Id="rId2967" Type="http://schemas.openxmlformats.org/officeDocument/2006/relationships/hyperlink" Target="https://drive.google.com/drive/folders/1a15z8YKjsKmZqr_iPQdcxbvr4bRESBWD" TargetMode="External"/><Relationship Id="rId1637" Type="http://schemas.openxmlformats.org/officeDocument/2006/relationships/hyperlink" Target="https://github.com/graphql-java/java-dataloader/issues/196" TargetMode="External"/><Relationship Id="rId2968" Type="http://schemas.openxmlformats.org/officeDocument/2006/relationships/hyperlink" Target="https://github.com/pmndrs/react-ogl/issues/81" TargetMode="External"/><Relationship Id="rId1638" Type="http://schemas.openxmlformats.org/officeDocument/2006/relationships/hyperlink" Target="https://drive.google.com/drive/folders/1frVT0R3ziAS2UPvlx4ie3SObqbf9_Orb" TargetMode="External"/><Relationship Id="rId2969" Type="http://schemas.openxmlformats.org/officeDocument/2006/relationships/hyperlink" Target="https://drive.google.com/drive/folders/19y7uiWOZUCP-1iK66I-jXfYRb2qndxjS" TargetMode="External"/><Relationship Id="rId929" Type="http://schemas.openxmlformats.org/officeDocument/2006/relationships/hyperlink" Target="https://drive.google.com/drive/folders/1EjZBGB1auIDtSzMCBI83NYCRDM8VKRKL" TargetMode="External"/><Relationship Id="rId1639" Type="http://schemas.openxmlformats.org/officeDocument/2006/relationships/hyperlink" Target="https://github.com/graphql-python/gql/issues/549" TargetMode="External"/><Relationship Id="rId928" Type="http://schemas.openxmlformats.org/officeDocument/2006/relationships/hyperlink" Target="https://github.com/dalinicus/homeassistant-acinfinity/issues/95" TargetMode="External"/><Relationship Id="rId927" Type="http://schemas.openxmlformats.org/officeDocument/2006/relationships/hyperlink" Target="https://drive.google.com/drive/folders/1pct0wOV3cVVodBObg_Xcg5EenmHEssyd" TargetMode="External"/><Relationship Id="rId926" Type="http://schemas.openxmlformats.org/officeDocument/2006/relationships/hyperlink" Target="https://drive.google.com/drive/folders/1DBbR_8GYNAth2RuoJJmBf3LcSDwtOVjQ" TargetMode="External"/><Relationship Id="rId921" Type="http://schemas.openxmlformats.org/officeDocument/2006/relationships/hyperlink" Target="https://github.com/czlonkowski/n8n-mcp/issues/364" TargetMode="External"/><Relationship Id="rId920" Type="http://schemas.openxmlformats.org/officeDocument/2006/relationships/hyperlink" Target="https://drive.google.com/drive/folders/14qCSlemunyFjOqgKHNnkAJFErr3NlcAd" TargetMode="External"/><Relationship Id="rId925" Type="http://schemas.openxmlformats.org/officeDocument/2006/relationships/hyperlink" Target="https://github.com/dagu-org/dagu/issues/1129" TargetMode="External"/><Relationship Id="rId924" Type="http://schemas.openxmlformats.org/officeDocument/2006/relationships/hyperlink" Target="https://drive.google.com/drive/folders/1fOGtj1B4QkoStI_F76yHpovBdmjwoe5x" TargetMode="External"/><Relationship Id="rId923" Type="http://schemas.openxmlformats.org/officeDocument/2006/relationships/hyperlink" Target="https://github.com/dagu-org/dagu/issues/1122" TargetMode="External"/><Relationship Id="rId922" Type="http://schemas.openxmlformats.org/officeDocument/2006/relationships/hyperlink" Target="https://drive.google.com/drive/folders/1dyEdkIb-1WoCoZhbVTHOYQlwUGaBRrEh" TargetMode="External"/><Relationship Id="rId2960" Type="http://schemas.openxmlformats.org/officeDocument/2006/relationships/hyperlink" Target="https://github.com/philterd/phileas/issues/194" TargetMode="External"/><Relationship Id="rId1630" Type="http://schemas.openxmlformats.org/officeDocument/2006/relationships/hyperlink" Target="https://drive.google.com/drive/folders/1hlsMHdlLzQYqf-MQX1UAk3-ayttCY-C6" TargetMode="External"/><Relationship Id="rId2961" Type="http://schemas.openxmlformats.org/officeDocument/2006/relationships/hyperlink" Target="https://drive.google.com/drive/folders/1FYp4a3zdUmaLOJULD_aD2tYQWlfbHd23" TargetMode="External"/><Relationship Id="rId1620" Type="http://schemas.openxmlformats.org/officeDocument/2006/relationships/hyperlink" Target="https://drive.google.com/drive/folders/1F2fHrAGjXghLtvIny6fQNGvxabgPKMSm" TargetMode="External"/><Relationship Id="rId2951" Type="http://schemas.openxmlformats.org/officeDocument/2006/relationships/hyperlink" Target="https://drive.google.com/drive/folders/1DuDvdKdw3cOfL1ZD9mWFrq6RSVVh8QcM" TargetMode="External"/><Relationship Id="rId1621" Type="http://schemas.openxmlformats.org/officeDocument/2006/relationships/hyperlink" Target="https://github.com/grafana/k6-studio/issues/371" TargetMode="External"/><Relationship Id="rId2952" Type="http://schemas.openxmlformats.org/officeDocument/2006/relationships/hyperlink" Target="https://github.com/pdfme/pdfme/issues/659" TargetMode="External"/><Relationship Id="rId1622" Type="http://schemas.openxmlformats.org/officeDocument/2006/relationships/hyperlink" Target="https://drive.google.com/drive/folders/1m3BRUcUYGl2LpugRmb5dOPtk557oTa60" TargetMode="External"/><Relationship Id="rId2953" Type="http://schemas.openxmlformats.org/officeDocument/2006/relationships/hyperlink" Target="https://drive.google.com/drive/folders/1Hs3sgji8f8wMRd6baOkgmHF478PFCaOm" TargetMode="External"/><Relationship Id="rId1623" Type="http://schemas.openxmlformats.org/officeDocument/2006/relationships/hyperlink" Target="https://github.com/grafana/logs-drilldown/issues/1459" TargetMode="External"/><Relationship Id="rId2954" Type="http://schemas.openxmlformats.org/officeDocument/2006/relationships/hyperlink" Target="https://drive.google.com/drive/folders/1f7xRaPHshytNbDJjIEhobT7wSediTXgu" TargetMode="External"/><Relationship Id="rId1624" Type="http://schemas.openxmlformats.org/officeDocument/2006/relationships/hyperlink" Target="https://drive.google.com/drive/folders/12b8MGITSvcOLy1DXCxHcQoi7L2-VxnYR" TargetMode="External"/><Relationship Id="rId2955" Type="http://schemas.openxmlformats.org/officeDocument/2006/relationships/hyperlink" Target="https://github.com/Peternator7/strum/issues/331" TargetMode="External"/><Relationship Id="rId1625" Type="http://schemas.openxmlformats.org/officeDocument/2006/relationships/hyperlink" Target="https://github.com/grafana/mimir/issues/11456" TargetMode="External"/><Relationship Id="rId2956" Type="http://schemas.openxmlformats.org/officeDocument/2006/relationships/hyperlink" Target="https://drive.google.com/drive/folders/11LSkIJZKoYwscXZTPI1NUYMLuXWOZTun" TargetMode="External"/><Relationship Id="rId1626" Type="http://schemas.openxmlformats.org/officeDocument/2006/relationships/hyperlink" Target="https://drive.google.com/drive/folders/1MGkO4yEw8wKeGtDQNKnTlkGsL07P9fIP" TargetMode="External"/><Relationship Id="rId2957" Type="http://schemas.openxmlformats.org/officeDocument/2006/relationships/hyperlink" Target="https://github.com/pgmpy/pgmpy/issues/1852" TargetMode="External"/><Relationship Id="rId1627" Type="http://schemas.openxmlformats.org/officeDocument/2006/relationships/hyperlink" Target="https://drive.google.com/drive/folders/1yUXdcCbJW3-4icZyekyz5fub3HxLcJhb" TargetMode="External"/><Relationship Id="rId2958" Type="http://schemas.openxmlformats.org/officeDocument/2006/relationships/hyperlink" Target="https://github.com/philippta/flyscrape/issues/81" TargetMode="External"/><Relationship Id="rId918" Type="http://schemas.openxmlformats.org/officeDocument/2006/relationships/hyperlink" Target="https://drive.google.com/drive/folders/1Vg1Es0tSa_TTz6v5_PBVdHltIYAmoRVo" TargetMode="External"/><Relationship Id="rId1628" Type="http://schemas.openxmlformats.org/officeDocument/2006/relationships/hyperlink" Target="https://github.com/grafana/mimir/issues/11774" TargetMode="External"/><Relationship Id="rId2959" Type="http://schemas.openxmlformats.org/officeDocument/2006/relationships/hyperlink" Target="https://drive.google.com/drive/folders/1ga-bFMUFgslWO3YjD9Wlwn9x-2arzfoZ" TargetMode="External"/><Relationship Id="rId917" Type="http://schemas.openxmlformats.org/officeDocument/2006/relationships/hyperlink" Target="https://drive.google.com/drive/folders/1QMLQF4RAHp5pM5UxlUvQNNGEIDjP7QsX" TargetMode="External"/><Relationship Id="rId1629" Type="http://schemas.openxmlformats.org/officeDocument/2006/relationships/hyperlink" Target="https://drive.google.com/drive/folders/1XMUXY32whvg4_A3Vv3-JwQMPQ_YiyQKH" TargetMode="External"/><Relationship Id="rId916" Type="http://schemas.openxmlformats.org/officeDocument/2006/relationships/hyperlink" Target="https://github.com/cypress-io/cypress/issues/32283" TargetMode="External"/><Relationship Id="rId915" Type="http://schemas.openxmlformats.org/officeDocument/2006/relationships/hyperlink" Target="https://drive.google.com/drive/folders/121r2BUqnTrPqnf8kyhRIr6QeJVPnJc8S" TargetMode="External"/><Relationship Id="rId919" Type="http://schemas.openxmlformats.org/officeDocument/2006/relationships/hyperlink" Target="https://github.com/Cysharp/YetAnotherHttpHandler/issues/106" TargetMode="External"/><Relationship Id="rId910" Type="http://schemas.openxmlformats.org/officeDocument/2006/relationships/hyperlink" Target="https://github.com/custom-cards/button-card/issues/959" TargetMode="External"/><Relationship Id="rId914" Type="http://schemas.openxmlformats.org/officeDocument/2006/relationships/hyperlink" Target="https://github.com/CycloneDX/cdxgen/issues/2158" TargetMode="External"/><Relationship Id="rId913" Type="http://schemas.openxmlformats.org/officeDocument/2006/relationships/hyperlink" Target="https://drive.google.com/drive/folders/1yfV5LM-xm6T16goISjCQiteDyGnuzfSr" TargetMode="External"/><Relationship Id="rId912" Type="http://schemas.openxmlformats.org/officeDocument/2006/relationships/hyperlink" Target="https://github.com/cvut/qtrvsim/issues/115" TargetMode="External"/><Relationship Id="rId911" Type="http://schemas.openxmlformats.org/officeDocument/2006/relationships/hyperlink" Target="https://drive.google.com/drive/folders/1C8DzNv3mUCuFnJlnDhRnrIYpOEbHzeFG" TargetMode="External"/><Relationship Id="rId2950" Type="http://schemas.openxmlformats.org/officeDocument/2006/relationships/hyperlink" Target="https://github.com/patternfly/patternfly-react/issues/11990" TargetMode="External"/><Relationship Id="rId2900" Type="http://schemas.openxmlformats.org/officeDocument/2006/relationships/hyperlink" Target="https://github.com/Oudwins/zog/issues/172" TargetMode="External"/><Relationship Id="rId2901" Type="http://schemas.openxmlformats.org/officeDocument/2006/relationships/hyperlink" Target="https://drive.google.com/drive/folders/1IbuhyoYBimfFdLq3maiyBQJFwkUyh9Is" TargetMode="External"/><Relationship Id="rId2902" Type="http://schemas.openxmlformats.org/officeDocument/2006/relationships/hyperlink" Target="https://github.com/oumi-ai/oumi/issues/1678" TargetMode="External"/><Relationship Id="rId2903" Type="http://schemas.openxmlformats.org/officeDocument/2006/relationships/hyperlink" Target="https://drive.google.com/drive/folders/1ffJYdsY8fd4P1rbVlj16h-UcuFjbz3iv" TargetMode="External"/><Relationship Id="rId2904" Type="http://schemas.openxmlformats.org/officeDocument/2006/relationships/hyperlink" Target="https://drive.google.com/drive/folders/1XUpBSBVMAmEo_kR-eS3Yw92WNA7-O1NK" TargetMode="External"/><Relationship Id="rId2905" Type="http://schemas.openxmlformats.org/officeDocument/2006/relationships/hyperlink" Target="https://github.com/Ouranosinc/xclim/issues/2190" TargetMode="External"/><Relationship Id="rId2906" Type="http://schemas.openxmlformats.org/officeDocument/2006/relationships/hyperlink" Target="https://drive.google.com/drive/folders/1fPgjY3vZFfn2T8-h64Tjq_PArASomheP" TargetMode="External"/><Relationship Id="rId2907" Type="http://schemas.openxmlformats.org/officeDocument/2006/relationships/hyperlink" Target="https://github.com/ovechkin-dm/mockio/issues/89" TargetMode="External"/><Relationship Id="rId2908" Type="http://schemas.openxmlformats.org/officeDocument/2006/relationships/hyperlink" Target="https://drive.google.com/drive/folders/15Vtr-JJG_I9JwqUBtJJRNn41_7Edh_oK" TargetMode="External"/><Relationship Id="rId2909" Type="http://schemas.openxmlformats.org/officeDocument/2006/relationships/hyperlink" Target="https://github.com/ovn-kubernetes/libovsdb/issues/399" TargetMode="External"/><Relationship Id="rId5170" Type="http://schemas.openxmlformats.org/officeDocument/2006/relationships/hyperlink" Target="https://drive.google.com/drive/folders/1cTbAXQ5hcGQ8RpNVxU71VAs6WwExvSk4" TargetMode="External"/><Relationship Id="rId5171" Type="http://schemas.openxmlformats.org/officeDocument/2006/relationships/hyperlink" Target="https://github.com/ppetzold/nestjs-paginate/issues/1093" TargetMode="External"/><Relationship Id="rId5174" Type="http://schemas.openxmlformats.org/officeDocument/2006/relationships/hyperlink" Target="https://drive.google.com/drive/folders/15k7gZwoyGYIcQ2BCAZuExuJ-GcLJq4J6" TargetMode="External"/><Relationship Id="rId5175" Type="http://schemas.openxmlformats.org/officeDocument/2006/relationships/hyperlink" Target="https://github.com/primefaces/primefaces/issues/13973" TargetMode="External"/><Relationship Id="rId5172" Type="http://schemas.openxmlformats.org/officeDocument/2006/relationships/hyperlink" Target="https://drive.google.com/drive/folders/1bgfVs6K7RVZxoLszvX1QgntKxwaQkBjh" TargetMode="External"/><Relationship Id="rId5173" Type="http://schemas.openxmlformats.org/officeDocument/2006/relationships/hyperlink" Target="https://github.com/prebid/prebid-server-java/issues/4113" TargetMode="External"/><Relationship Id="rId5178" Type="http://schemas.openxmlformats.org/officeDocument/2006/relationships/hyperlink" Target="https://drive.google.com/drive/folders/1t4WU0vBi02aRC72ktA8jNFnCfKtu9JkK" TargetMode="External"/><Relationship Id="rId5179" Type="http://schemas.openxmlformats.org/officeDocument/2006/relationships/hyperlink" Target="https://github.com/prometheus-community/postgres_exporter/issues/940" TargetMode="External"/><Relationship Id="rId5176" Type="http://schemas.openxmlformats.org/officeDocument/2006/relationships/hyperlink" Target="https://drive.google.com/drive/folders/1w4HVVFr62EslE09WIk96pdTUB_Hccj9Y" TargetMode="External"/><Relationship Id="rId5177" Type="http://schemas.openxmlformats.org/officeDocument/2006/relationships/hyperlink" Target="https://github.com/projectdiscovery/goflags/issues/224" TargetMode="External"/><Relationship Id="rId5160" Type="http://schemas.openxmlformats.org/officeDocument/2006/relationships/hyperlink" Target="https://github.com/pion/dtls/issues/741" TargetMode="External"/><Relationship Id="rId5163" Type="http://schemas.openxmlformats.org/officeDocument/2006/relationships/hyperlink" Target="https://drive.google.com/drive/folders/1LH2-sQSKGSAIAqtl3YuI-nOeSaJIjDqO" TargetMode="External"/><Relationship Id="rId5164" Type="http://schemas.openxmlformats.org/officeDocument/2006/relationships/hyperlink" Target="https://drive.google.com/drive/folders/13z0uD0lJpna3ed_O05O33gU7AxYn5gtS" TargetMode="External"/><Relationship Id="rId5161" Type="http://schemas.openxmlformats.org/officeDocument/2006/relationships/hyperlink" Target="https://drive.google.com/drive/folders/1wyPjyJvWNvdeuMLREux5aPRLzbUtrn6d" TargetMode="External"/><Relationship Id="rId5162" Type="http://schemas.openxmlformats.org/officeDocument/2006/relationships/hyperlink" Target="https://github.com/pixijs/pixi-react/issues/533" TargetMode="External"/><Relationship Id="rId5167" Type="http://schemas.openxmlformats.org/officeDocument/2006/relationships/hyperlink" Target="https://github.com/posit-dev/air/issues/228" TargetMode="External"/><Relationship Id="rId5168" Type="http://schemas.openxmlformats.org/officeDocument/2006/relationships/hyperlink" Target="https://drive.google.com/drive/folders/1Q5E9qN_V5RgYCoRLzHF1F8yQ2nbXLvUJ" TargetMode="External"/><Relationship Id="rId5165" Type="http://schemas.openxmlformats.org/officeDocument/2006/relationships/hyperlink" Target="https://github.com/posit-dev/air/issues/118" TargetMode="External"/><Relationship Id="rId5166" Type="http://schemas.openxmlformats.org/officeDocument/2006/relationships/hyperlink" Target="https://drive.google.com/drive/folders/19FNRBFj5mcuTqNvWJeGW9O0ZzdJRgOGv" TargetMode="External"/><Relationship Id="rId5169" Type="http://schemas.openxmlformats.org/officeDocument/2006/relationships/hyperlink" Target="https://github.com/posit-dev/air/issues/419" TargetMode="External"/><Relationship Id="rId2920" Type="http://schemas.openxmlformats.org/officeDocument/2006/relationships/hyperlink" Target="https://drive.google.com/drive/folders/1mL8vYIxxCECg4eb-DgiYYlQuy-pmwvaQ" TargetMode="External"/><Relationship Id="rId2921" Type="http://schemas.openxmlformats.org/officeDocument/2006/relationships/hyperlink" Target="https://github.com/Pabloo22/job_shop_lib/issues/67" TargetMode="External"/><Relationship Id="rId2922" Type="http://schemas.openxmlformats.org/officeDocument/2006/relationships/hyperlink" Target="https://drive.google.com/drive/folders/1sFbN_caNQpD_1liuwf2GMieDqs-PiFLM" TargetMode="External"/><Relationship Id="rId2923" Type="http://schemas.openxmlformats.org/officeDocument/2006/relationships/hyperlink" Target="https://drive.google.com/drive/folders/1XX3yxx901d9Iv-8QVVpcmXcHZhg8bpzH" TargetMode="External"/><Relationship Id="rId2924" Type="http://schemas.openxmlformats.org/officeDocument/2006/relationships/hyperlink" Target="https://github.com/packit/packit/issues/2589" TargetMode="External"/><Relationship Id="rId2925" Type="http://schemas.openxmlformats.org/officeDocument/2006/relationships/hyperlink" Target="https://drive.google.com/drive/folders/1FvMgsZ3MMcPDzPxNJBuwIBdgZikt9caO" TargetMode="External"/><Relationship Id="rId2926" Type="http://schemas.openxmlformats.org/officeDocument/2006/relationships/hyperlink" Target="https://drive.google.com/drive/folders/1QOuXRXroUswQ-G_vLjY6BB-ZIwYbbS0W" TargetMode="External"/><Relationship Id="rId2927" Type="http://schemas.openxmlformats.org/officeDocument/2006/relationships/hyperlink" Target="https://github.com/pajlads/DinkPlugin/issues/832" TargetMode="External"/><Relationship Id="rId2928" Type="http://schemas.openxmlformats.org/officeDocument/2006/relationships/hyperlink" Target="https://github.com/pallets/click/issues/2796" TargetMode="External"/><Relationship Id="rId2929" Type="http://schemas.openxmlformats.org/officeDocument/2006/relationships/hyperlink" Target="https://drive.google.com/drive/folders/19e7KQ0Jxic24D2XSMb_nTWAMLjloAMBW" TargetMode="External"/><Relationship Id="rId5192" Type="http://schemas.openxmlformats.org/officeDocument/2006/relationships/hyperlink" Target="https://github.com/punkpeye/mcp-proxy/issues/43" TargetMode="External"/><Relationship Id="rId5193" Type="http://schemas.openxmlformats.org/officeDocument/2006/relationships/hyperlink" Target="https://drive.google.com/drive/folders/16G8C9UMNgcEpydV6HceAPZoJNW10YMJ4" TargetMode="External"/><Relationship Id="rId5190" Type="http://schemas.openxmlformats.org/officeDocument/2006/relationships/hyperlink" Target="https://drive.google.com/drive/folders/1YzcmnU5ygZ2Gw3TIIGqlMLUBmTygqdXn" TargetMode="External"/><Relationship Id="rId5191" Type="http://schemas.openxmlformats.org/officeDocument/2006/relationships/hyperlink" Target="https://drive.google.com/drive/folders/1IsmH1OzY5EPR9FGJiUloJxIcpA95SIcQ" TargetMode="External"/><Relationship Id="rId5196" Type="http://schemas.openxmlformats.org/officeDocument/2006/relationships/hyperlink" Target="https://drive.google.com/drive/folders/1t_e_iKTv_AWFbIgjFDQQZyA_XFVJ1sUV" TargetMode="External"/><Relationship Id="rId5197" Type="http://schemas.openxmlformats.org/officeDocument/2006/relationships/hyperlink" Target="https://github.com/py-pdf/pypdf/issues/3410" TargetMode="External"/><Relationship Id="rId5194" Type="http://schemas.openxmlformats.org/officeDocument/2006/relationships/hyperlink" Target="https://github.com/pvlib/pvlib-python/issues/2341" TargetMode="External"/><Relationship Id="rId5195" Type="http://schemas.openxmlformats.org/officeDocument/2006/relationships/hyperlink" Target="https://drive.google.com/drive/folders/1b5F45ysLkpAKJNhsZL3VHpzBSCXHYqWW" TargetMode="External"/><Relationship Id="rId5198" Type="http://schemas.openxmlformats.org/officeDocument/2006/relationships/hyperlink" Target="https://drive.google.com/drive/folders/1D25cn5NkNvaPCqS1jLxVc7H6w6u-Eem4" TargetMode="External"/><Relationship Id="rId5199" Type="http://schemas.openxmlformats.org/officeDocument/2006/relationships/hyperlink" Target="https://drive.google.com/drive/folders/1hs8etT5gRUThtc3ovwiBWBMkAhORxH--" TargetMode="External"/><Relationship Id="rId2910" Type="http://schemas.openxmlformats.org/officeDocument/2006/relationships/hyperlink" Target="https://drive.google.com/drive/folders/1JHYDnoSKPv-ApJffm0epT0YaycTLZDpZ" TargetMode="External"/><Relationship Id="rId2911" Type="http://schemas.openxmlformats.org/officeDocument/2006/relationships/hyperlink" Target="https://github.com/OWASP/threat-dragon/issues/1325" TargetMode="External"/><Relationship Id="rId2912" Type="http://schemas.openxmlformats.org/officeDocument/2006/relationships/hyperlink" Target="https://drive.google.com/drive/folders/1QVE3xZgIMuQPtJibRi1W-nZfe2TGl4wb" TargetMode="External"/><Relationship Id="rId2913" Type="http://schemas.openxmlformats.org/officeDocument/2006/relationships/hyperlink" Target="https://github.com/owncloud/web/issues/12052" TargetMode="External"/><Relationship Id="rId2914" Type="http://schemas.openxmlformats.org/officeDocument/2006/relationships/hyperlink" Target="https://drive.google.com/drive/folders/1uoEepEUg5gmq3E7zvpxW-FDVXj87yXwK" TargetMode="External"/><Relationship Id="rId2915" Type="http://schemas.openxmlformats.org/officeDocument/2006/relationships/hyperlink" Target="https://github.com/oxidecomputer/iddqd/issues/18" TargetMode="External"/><Relationship Id="rId2916" Type="http://schemas.openxmlformats.org/officeDocument/2006/relationships/hyperlink" Target="https://drive.google.com/drive/folders/1Dl6fda4j-w3F1-PUx19xo6ZqnCEbQib8" TargetMode="External"/><Relationship Id="rId2917" Type="http://schemas.openxmlformats.org/officeDocument/2006/relationships/hyperlink" Target="https://github.com/ozontech/file.d/issues/776" TargetMode="External"/><Relationship Id="rId2918" Type="http://schemas.openxmlformats.org/officeDocument/2006/relationships/hyperlink" Target="https://drive.google.com/drive/folders/1jTThThSYJKWwRv3_O2h0FEQkdE0skKtc" TargetMode="External"/><Relationship Id="rId2919" Type="http://schemas.openxmlformats.org/officeDocument/2006/relationships/hyperlink" Target="https://github.com/ozontech/file.d/issues/689" TargetMode="External"/><Relationship Id="rId5181" Type="http://schemas.openxmlformats.org/officeDocument/2006/relationships/hyperlink" Target="https://drive.google.com/drive/folders/11C_HREbML82iMD_m6ECK9fy0f6sdi7Ud" TargetMode="External"/><Relationship Id="rId5182" Type="http://schemas.openxmlformats.org/officeDocument/2006/relationships/hyperlink" Target="https://github.com/prometheus/prometheus/issues/16443" TargetMode="External"/><Relationship Id="rId5180" Type="http://schemas.openxmlformats.org/officeDocument/2006/relationships/hyperlink" Target="https://drive.google.com/drive/folders/1lesRDK56V6HMcDJ3Tc_RROnpR_o8pZXK" TargetMode="External"/><Relationship Id="rId5185" Type="http://schemas.openxmlformats.org/officeDocument/2006/relationships/hyperlink" Target="https://github.com/protofire/solhint/issues/705" TargetMode="External"/><Relationship Id="rId5186" Type="http://schemas.openxmlformats.org/officeDocument/2006/relationships/hyperlink" Target="https://drive.google.com/drive/folders/1to4sgUAXO4H6MsqVnXSh-cP5hsSWO4-c" TargetMode="External"/><Relationship Id="rId5183" Type="http://schemas.openxmlformats.org/officeDocument/2006/relationships/hyperlink" Target="https://drive.google.com/drive/folders/1hfWMkMmBjFIg2vRCmTF5GH0mTiICnMKm" TargetMode="External"/><Relationship Id="rId5184" Type="http://schemas.openxmlformats.org/officeDocument/2006/relationships/hyperlink" Target="https://drive.google.com/drive/folders/1xw1CMePChT5CxokSTRSlp05n5Tyq2AB5" TargetMode="External"/><Relationship Id="rId5189" Type="http://schemas.openxmlformats.org/officeDocument/2006/relationships/hyperlink" Target="https://github.com/punkpeye/fastmcp/issues/86" TargetMode="External"/><Relationship Id="rId5187" Type="http://schemas.openxmlformats.org/officeDocument/2006/relationships/hyperlink" Target="https://github.com/ptarmiganlabs/butler/issues/1381" TargetMode="External"/><Relationship Id="rId5188" Type="http://schemas.openxmlformats.org/officeDocument/2006/relationships/hyperlink" Target="https://drive.google.com/drive/folders/17OBhI6_dfL3jDbWIAa_QP2awUnSqnRii" TargetMode="External"/><Relationship Id="rId1697" Type="http://schemas.openxmlformats.org/officeDocument/2006/relationships/hyperlink" Target="https://drive.google.com/drive/folders/1kXAN3gWS3H5QMjmF8cGiyPckSl40TmA9" TargetMode="External"/><Relationship Id="rId4723" Type="http://schemas.openxmlformats.org/officeDocument/2006/relationships/hyperlink" Target="https://github.com/holoviz/panel/issues/7774" TargetMode="External"/><Relationship Id="rId1698" Type="http://schemas.openxmlformats.org/officeDocument/2006/relationships/hyperlink" Target="https://github.com/helidon-io/helidon/issues/10760" TargetMode="External"/><Relationship Id="rId4722" Type="http://schemas.openxmlformats.org/officeDocument/2006/relationships/hyperlink" Target="https://drive.google.com/drive/folders/1rKZPOmm1UPEYusHRYFVaaHjT_7kCgkNa" TargetMode="External"/><Relationship Id="rId1699" Type="http://schemas.openxmlformats.org/officeDocument/2006/relationships/hyperlink" Target="https://drive.google.com/drive/folders/14u0gsf1LZZWmyG9IDMPnifM3PUhz5bV7" TargetMode="External"/><Relationship Id="rId4725" Type="http://schemas.openxmlformats.org/officeDocument/2006/relationships/hyperlink" Target="https://drive.google.com/drive/folders/1ZumfEdildJnkXa93Vvd8A5M9Kr6yVVBq" TargetMode="External"/><Relationship Id="rId4724" Type="http://schemas.openxmlformats.org/officeDocument/2006/relationships/hyperlink" Target="https://drive.google.com/drive/folders/1RQGARaRXGVNz1BDqWqMdLN320oClXBIS" TargetMode="External"/><Relationship Id="rId4727" Type="http://schemas.openxmlformats.org/officeDocument/2006/relationships/hyperlink" Target="https://drive.google.com/drive/folders/1BIZjCku0_ys179-hqKpJorKYYSwslDfO" TargetMode="External"/><Relationship Id="rId4726" Type="http://schemas.openxmlformats.org/officeDocument/2006/relationships/hyperlink" Target="https://github.com/holoviz/param/issues/1023" TargetMode="External"/><Relationship Id="rId4729" Type="http://schemas.openxmlformats.org/officeDocument/2006/relationships/hyperlink" Target="https://drive.google.com/drive/folders/1k83zeOsXrMrv-CikkF0iQI5w9Ku-Hszk" TargetMode="External"/><Relationship Id="rId4728" Type="http://schemas.openxmlformats.org/officeDocument/2006/relationships/hyperlink" Target="https://github.com/huggingface/smolagents/issues/281" TargetMode="External"/><Relationship Id="rId866" Type="http://schemas.openxmlformats.org/officeDocument/2006/relationships/hyperlink" Target="https://drive.google.com/drive/folders/1ZeXiun-2MARL8prTRetQbGtfjyeFwSsl" TargetMode="External"/><Relationship Id="rId865" Type="http://schemas.openxmlformats.org/officeDocument/2006/relationships/hyperlink" Target="https://github.com/cosullivan/SmtpServer/issues/254" TargetMode="External"/><Relationship Id="rId864" Type="http://schemas.openxmlformats.org/officeDocument/2006/relationships/hyperlink" Target="https://drive.google.com/drive/folders/1trYAIGm__OaUWZ9eEzYOcb-vVJV7blNC" TargetMode="External"/><Relationship Id="rId863" Type="http://schemas.openxmlformats.org/officeDocument/2006/relationships/hyperlink" Target="https://github.com/CosmWasm/cosmwasm/issues/2479" TargetMode="External"/><Relationship Id="rId869" Type="http://schemas.openxmlformats.org/officeDocument/2006/relationships/hyperlink" Target="https://drive.google.com/drive/folders/1OiHnaT7Rf1l6b1V8awUl7oXY2SLpLeL5" TargetMode="External"/><Relationship Id="rId868" Type="http://schemas.openxmlformats.org/officeDocument/2006/relationships/hyperlink" Target="https://drive.google.com/drive/folders/1khOZTBVh62jTy1rY7Gbft1uIYKe4kMe2" TargetMode="External"/><Relationship Id="rId867" Type="http://schemas.openxmlformats.org/officeDocument/2006/relationships/hyperlink" Target="https://github.com/COVESA/vss-tools/issues/425" TargetMode="External"/><Relationship Id="rId1690" Type="http://schemas.openxmlformats.org/officeDocument/2006/relationships/hyperlink" Target="https://github.com/haydenbleasel/ultracite/issues/198" TargetMode="External"/><Relationship Id="rId1691" Type="http://schemas.openxmlformats.org/officeDocument/2006/relationships/hyperlink" Target="https://drive.google.com/drive/folders/1mtimqzF6wT1icatgUcijHUt113nSl5ao" TargetMode="External"/><Relationship Id="rId1692" Type="http://schemas.openxmlformats.org/officeDocument/2006/relationships/hyperlink" Target="https://github.com/hedhyw/json-log-viewer/issues/134" TargetMode="External"/><Relationship Id="rId862" Type="http://schemas.openxmlformats.org/officeDocument/2006/relationships/hyperlink" Target="https://drive.google.com/drive/folders/1EGKhGEwNaf141q_6wHtbT_sdxVn-ohhm" TargetMode="External"/><Relationship Id="rId1693" Type="http://schemas.openxmlformats.org/officeDocument/2006/relationships/hyperlink" Target="https://drive.google.com/drive/folders/1E7nC6DeyCNgZbm4l86gUjwANOHO079vd" TargetMode="External"/><Relationship Id="rId861" Type="http://schemas.openxmlformats.org/officeDocument/2006/relationships/hyperlink" Target="https://github.com/cosmos/interchain-security/issues/2366" TargetMode="External"/><Relationship Id="rId1694" Type="http://schemas.openxmlformats.org/officeDocument/2006/relationships/hyperlink" Target="https://github.com/helidon-io/helidon/issues/10437" TargetMode="External"/><Relationship Id="rId860" Type="http://schemas.openxmlformats.org/officeDocument/2006/relationships/hyperlink" Target="https://drive.google.com/drive/folders/1LqzyaF7Mv-yVj40lfK6sa-s8UmQeUy7n" TargetMode="External"/><Relationship Id="rId1695" Type="http://schemas.openxmlformats.org/officeDocument/2006/relationships/hyperlink" Target="https://drive.google.com/drive/folders/1xST3otbNcayf5qSPBEjzH_s6J2QsVWFY" TargetMode="External"/><Relationship Id="rId4721" Type="http://schemas.openxmlformats.org/officeDocument/2006/relationships/hyperlink" Target="https://github.com/hiero-ledger/hiero-sdk-js/issues/3480" TargetMode="External"/><Relationship Id="rId1696" Type="http://schemas.openxmlformats.org/officeDocument/2006/relationships/hyperlink" Target="https://github.com/helidon-io/helidon/issues/9674" TargetMode="External"/><Relationship Id="rId4720" Type="http://schemas.openxmlformats.org/officeDocument/2006/relationships/hyperlink" Target="https://drive.google.com/drive/folders/1c06gduXOB_4y4Hyi22JL_3XS-SNX4vVm" TargetMode="External"/><Relationship Id="rId1686" Type="http://schemas.openxmlformats.org/officeDocument/2006/relationships/hyperlink" Target="https://drive.google.com/drive/folders/1cID_oSI632wS66un91PohWdExVeCQCy0" TargetMode="External"/><Relationship Id="rId4712" Type="http://schemas.openxmlformats.org/officeDocument/2006/relationships/hyperlink" Target="https://github.com/hamba/avro/issues/491" TargetMode="External"/><Relationship Id="rId1687" Type="http://schemas.openxmlformats.org/officeDocument/2006/relationships/hyperlink" Target="https://drive.google.com/drive/folders/1QKI33I4forBTeWSYZfMlPS7K0IwvbKUq" TargetMode="External"/><Relationship Id="rId4711" Type="http://schemas.openxmlformats.org/officeDocument/2006/relationships/hyperlink" Target="https://drive.google.com/drive/folders/17Jw_4susSocNo74FogQEqLqPrNwU2LHe" TargetMode="External"/><Relationship Id="rId1688" Type="http://schemas.openxmlformats.org/officeDocument/2006/relationships/hyperlink" Target="https://github.com/hashicorp/vagrant/issues/13666" TargetMode="External"/><Relationship Id="rId4714" Type="http://schemas.openxmlformats.org/officeDocument/2006/relationships/hyperlink" Target="https://github.com/hapifhir/hapi-fhir/issues/7403" TargetMode="External"/><Relationship Id="rId1689" Type="http://schemas.openxmlformats.org/officeDocument/2006/relationships/hyperlink" Target="https://drive.google.com/drive/folders/1w4Wi3atfVigT5PROOHnc0b7yUNrz0fwk" TargetMode="External"/><Relationship Id="rId4713" Type="http://schemas.openxmlformats.org/officeDocument/2006/relationships/hyperlink" Target="https://drive.google.com/drive/folders/1GfZUZM9g5qpBHo8EcM5RWv1_2WJF0Uiz" TargetMode="External"/><Relationship Id="rId4716" Type="http://schemas.openxmlformats.org/officeDocument/2006/relationships/hyperlink" Target="https://github.com/hashicorp/terraform/issues/36316" TargetMode="External"/><Relationship Id="rId4715" Type="http://schemas.openxmlformats.org/officeDocument/2006/relationships/hyperlink" Target="https://drive.google.com/drive/folders/1zONzPN_A39B7QnolSaHeijIlM6M5dLJe" TargetMode="External"/><Relationship Id="rId4718" Type="http://schemas.openxmlformats.org/officeDocument/2006/relationships/hyperlink" Target="https://drive.google.com/drive/folders/1ZRS7FjjUEVZ0k88pOzf6vf1xXkEbkH8x" TargetMode="External"/><Relationship Id="rId4717" Type="http://schemas.openxmlformats.org/officeDocument/2006/relationships/hyperlink" Target="https://drive.google.com/drive/folders/15JQ45TQHSaIzaFBOtXLJWrOYxqWBFQcP" TargetMode="External"/><Relationship Id="rId4719" Type="http://schemas.openxmlformats.org/officeDocument/2006/relationships/hyperlink" Target="https://github.com/Hexastack/Hexabot/issues/844" TargetMode="External"/><Relationship Id="rId855" Type="http://schemas.openxmlformats.org/officeDocument/2006/relationships/hyperlink" Target="https://github.com/cosmos/evm/issues/90" TargetMode="External"/><Relationship Id="rId854" Type="http://schemas.openxmlformats.org/officeDocument/2006/relationships/hyperlink" Target="https://drive.google.com/drive/folders/1mvYx4vFYsnvWtMYJKlV-KgGL3xrZY9Ll" TargetMode="External"/><Relationship Id="rId853" Type="http://schemas.openxmlformats.org/officeDocument/2006/relationships/hyperlink" Target="https://github.com/containers/kubernetes-mcp-server/issues/152" TargetMode="External"/><Relationship Id="rId852" Type="http://schemas.openxmlformats.org/officeDocument/2006/relationships/hyperlink" Target="https://drive.google.com/drive/folders/1CeBCk5tZpsHz6MZF9fZmUdvlZB1nDSDl" TargetMode="External"/><Relationship Id="rId859" Type="http://schemas.openxmlformats.org/officeDocument/2006/relationships/hyperlink" Target="https://github.com/cosmos/interchain-security/issues/2378" TargetMode="External"/><Relationship Id="rId858" Type="http://schemas.openxmlformats.org/officeDocument/2006/relationships/hyperlink" Target="https://drive.google.com/drive/folders/1-c-D4blBEbXePeuYhMTNCEj-kmiofyJ_" TargetMode="External"/><Relationship Id="rId857" Type="http://schemas.openxmlformats.org/officeDocument/2006/relationships/hyperlink" Target="https://github.com/cosmos/evm/issues/145" TargetMode="External"/><Relationship Id="rId856" Type="http://schemas.openxmlformats.org/officeDocument/2006/relationships/hyperlink" Target="https://drive.google.com/drive/folders/1D3Qpiiky1GeDlHdtuEfYZRrk9ISGie6G" TargetMode="External"/><Relationship Id="rId1680" Type="http://schemas.openxmlformats.org/officeDocument/2006/relationships/hyperlink" Target="https://github.com/Hargne/jest-html-reporter/issues/197" TargetMode="External"/><Relationship Id="rId1681" Type="http://schemas.openxmlformats.org/officeDocument/2006/relationships/hyperlink" Target="https://drive.google.com/drive/folders/1-_Vk3-TofQzQZcrBSIyt9FNXh3Y-rJgF" TargetMode="External"/><Relationship Id="rId851" Type="http://schemas.openxmlformats.org/officeDocument/2006/relationships/hyperlink" Target="https://github.com/constellation-app/constellation/issues/2266" TargetMode="External"/><Relationship Id="rId1682" Type="http://schemas.openxmlformats.org/officeDocument/2006/relationships/hyperlink" Target="https://github.com/hashicorp/nomad/issues/25922" TargetMode="External"/><Relationship Id="rId850" Type="http://schemas.openxmlformats.org/officeDocument/2006/relationships/hyperlink" Target="https://drive.google.com/drive/folders/1k7MM-uEP4gDVlcrUimeSm55gNdv9uFSC" TargetMode="External"/><Relationship Id="rId1683" Type="http://schemas.openxmlformats.org/officeDocument/2006/relationships/hyperlink" Target="https://drive.google.com/drive/folders/1FrQEFXB-F3Hre5sMli7VoGvEtnKGHRrR" TargetMode="External"/><Relationship Id="rId1684" Type="http://schemas.openxmlformats.org/officeDocument/2006/relationships/hyperlink" Target="https://drive.google.com/drive/folders/1yvkDElCt3TwFDFfv42fRytXKhYDfjMfK" TargetMode="External"/><Relationship Id="rId4710" Type="http://schemas.openxmlformats.org/officeDocument/2006/relationships/hyperlink" Target="https://github.com/grpc/grpc-java/issues/10550" TargetMode="External"/><Relationship Id="rId1685" Type="http://schemas.openxmlformats.org/officeDocument/2006/relationships/hyperlink" Target="https://github.com/hashicorp/terraform-provider-aws/issues/42559" TargetMode="External"/><Relationship Id="rId3414" Type="http://schemas.openxmlformats.org/officeDocument/2006/relationships/hyperlink" Target="https://drive.google.com/drive/folders/1zWkN8btNtxDXD2BdIJMRux9tAVbrDoVR" TargetMode="External"/><Relationship Id="rId4745" Type="http://schemas.openxmlformats.org/officeDocument/2006/relationships/hyperlink" Target="https://drive.google.com/drive/folders/1Bug-1uZC2QtgZYUHdCTbmY6JAAudBRz_" TargetMode="External"/><Relationship Id="rId3413" Type="http://schemas.openxmlformats.org/officeDocument/2006/relationships/hyperlink" Target="https://github.com/shepmaster/snafu/issues/489" TargetMode="External"/><Relationship Id="rId4744" Type="http://schemas.openxmlformats.org/officeDocument/2006/relationships/hyperlink" Target="https://drive.google.com/drive/folders/1DMpXSfO23pAr-ia16yV4BAo3Lxxq1sYE" TargetMode="External"/><Relationship Id="rId3416" Type="http://schemas.openxmlformats.org/officeDocument/2006/relationships/hyperlink" Target="https://drive.google.com/drive/folders/1zHbSTWkrmgcu4gS18NI2aMqAONsWDV_Q" TargetMode="External"/><Relationship Id="rId4747" Type="http://schemas.openxmlformats.org/officeDocument/2006/relationships/hyperlink" Target="https://drive.google.com/drive/folders/1h24m0ljD3lubnSXpy-GpRSerRL72HLTt" TargetMode="External"/><Relationship Id="rId3415" Type="http://schemas.openxmlformats.org/officeDocument/2006/relationships/hyperlink" Target="https://github.com/Shopify/roast/issues/322" TargetMode="External"/><Relationship Id="rId4746" Type="http://schemas.openxmlformats.org/officeDocument/2006/relationships/hyperlink" Target="https://github.com/influxdata/influxdb/issues/25762" TargetMode="External"/><Relationship Id="rId3418" Type="http://schemas.openxmlformats.org/officeDocument/2006/relationships/hyperlink" Target="https://drive.google.com/drive/folders/1uA4PmwVJlDEsNnLRPJS1BamSezLf9zZ4" TargetMode="External"/><Relationship Id="rId4749" Type="http://schemas.openxmlformats.org/officeDocument/2006/relationships/hyperlink" Target="https://github.com/influxdata/telegraf/issues/16030" TargetMode="External"/><Relationship Id="rId3417" Type="http://schemas.openxmlformats.org/officeDocument/2006/relationships/hyperlink" Target="https://github.com/Shopify/rubocop-sorbet/issues/312" TargetMode="External"/><Relationship Id="rId4748" Type="http://schemas.openxmlformats.org/officeDocument/2006/relationships/hyperlink" Target="https://drive.google.com/drive/folders/127pAHkkHdNSlse8z8zR3nNGO58vrVRv4" TargetMode="External"/><Relationship Id="rId3419" Type="http://schemas.openxmlformats.org/officeDocument/2006/relationships/hyperlink" Target="https://github.com/siderolabs/image-factory/issues/210" TargetMode="External"/><Relationship Id="rId888" Type="http://schemas.openxmlformats.org/officeDocument/2006/relationships/hyperlink" Target="https://github.com/crate/crate/issues/17887" TargetMode="External"/><Relationship Id="rId887" Type="http://schemas.openxmlformats.org/officeDocument/2006/relationships/hyperlink" Target="https://drive.google.com/drive/folders/1leZgpv1E1gKwmJjGE4oID9a3n4GDCQg4" TargetMode="External"/><Relationship Id="rId886" Type="http://schemas.openxmlformats.org/officeDocument/2006/relationships/hyperlink" Target="https://drive.google.com/drive/folders/12Z7jZ_45pd4n3tzFYt6K3NkO5dTAIdWX" TargetMode="External"/><Relationship Id="rId885" Type="http://schemas.openxmlformats.org/officeDocument/2006/relationships/hyperlink" Target="https://github.com/crate/crate/issues/17689" TargetMode="External"/><Relationship Id="rId889" Type="http://schemas.openxmlformats.org/officeDocument/2006/relationships/hyperlink" Target="https://drive.google.com/drive/folders/1UfogDxk9a0O4V0ORZkN61CiIVPJBD6JC" TargetMode="External"/><Relationship Id="rId880" Type="http://schemas.openxmlformats.org/officeDocument/2006/relationships/hyperlink" Target="https://drive.google.com/drive/folders/1sqWNwut2jR7UWPUJfvm477trEKFWsK-C" TargetMode="External"/><Relationship Id="rId884" Type="http://schemas.openxmlformats.org/officeDocument/2006/relationships/hyperlink" Target="https://drive.google.com/drive/folders/1o1PBZbPqUucCSOOyOnMTqITQOMCiSRki" TargetMode="External"/><Relationship Id="rId3410" Type="http://schemas.openxmlformats.org/officeDocument/2006/relationships/hyperlink" Target="https://drive.google.com/drive/folders/19fLGVdmcb_PJVsp8t6GvCdgmzs-SMZwt" TargetMode="External"/><Relationship Id="rId4741" Type="http://schemas.openxmlformats.org/officeDocument/2006/relationships/hyperlink" Target="https://drive.google.com/drive/folders/13PDYlpgw7l4hLCoQfWIanI6Uxh7sZ-mu" TargetMode="External"/><Relationship Id="rId883" Type="http://schemas.openxmlformats.org/officeDocument/2006/relationships/hyperlink" Target="https://drive.google.com/drive/folders/162IGOSzuRMsBuwHmMxlAyuvt7LklMTvU" TargetMode="External"/><Relationship Id="rId4740" Type="http://schemas.openxmlformats.org/officeDocument/2006/relationships/hyperlink" Target="https://github.com/Infleqtion/client-superstaq/issues/1017" TargetMode="External"/><Relationship Id="rId882" Type="http://schemas.openxmlformats.org/officeDocument/2006/relationships/hyperlink" Target="https://github.com/crate/crate/issues/17422" TargetMode="External"/><Relationship Id="rId3412" Type="http://schemas.openxmlformats.org/officeDocument/2006/relationships/hyperlink" Target="https://drive.google.com/drive/folders/1mFlnk9bTDwgem5RR5i28lEtiTC1W8gJF" TargetMode="External"/><Relationship Id="rId4743" Type="http://schemas.openxmlformats.org/officeDocument/2006/relationships/hyperlink" Target="https://github.com/influxdata/influxdb/issues/26088" TargetMode="External"/><Relationship Id="rId881" Type="http://schemas.openxmlformats.org/officeDocument/2006/relationships/hyperlink" Target="https://drive.google.com/drive/folders/1VKeziwCFV_nIBaA_swpBO7A6XQS_FfK-" TargetMode="External"/><Relationship Id="rId3411" Type="http://schemas.openxmlformats.org/officeDocument/2006/relationships/hyperlink" Target="https://github.com/Shelf-nu/shelf.nu/issues/1961" TargetMode="External"/><Relationship Id="rId4742" Type="http://schemas.openxmlformats.org/officeDocument/2006/relationships/hyperlink" Target="https://drive.google.com/drive/folders/1HGmz51CGha51jdP6JdDutfCs1BPomP67" TargetMode="External"/><Relationship Id="rId3403" Type="http://schemas.openxmlformats.org/officeDocument/2006/relationships/hyperlink" Target="https://drive.google.com/drive/folders/1CTEPYVN9Ki0Y0hSBpivs9K0FBDdHeBj0" TargetMode="External"/><Relationship Id="rId4734" Type="http://schemas.openxmlformats.org/officeDocument/2006/relationships/hyperlink" Target="https://github.com/huggingface/trl/issues/2650" TargetMode="External"/><Relationship Id="rId3402" Type="http://schemas.openxmlformats.org/officeDocument/2006/relationships/hyperlink" Target="https://github.com/shapely/shapely/issues/1690" TargetMode="External"/><Relationship Id="rId4733" Type="http://schemas.openxmlformats.org/officeDocument/2006/relationships/hyperlink" Target="https://drive.google.com/drive/folders/1VXcohcJpvNUIwALe_qKAYP-hRyHR1yqv" TargetMode="External"/><Relationship Id="rId3405" Type="http://schemas.openxmlformats.org/officeDocument/2006/relationships/hyperlink" Target="https://github.com/SharedType/sharedtype/issues/96" TargetMode="External"/><Relationship Id="rId4736" Type="http://schemas.openxmlformats.org/officeDocument/2006/relationships/hyperlink" Target="https://github.com/iansinnott/react-string-replace/issues/91" TargetMode="External"/><Relationship Id="rId3404" Type="http://schemas.openxmlformats.org/officeDocument/2006/relationships/hyperlink" Target="https://drive.google.com/drive/folders/1UTIfwcpLhTZZHa56FQbOXf6ZR7Vx6Fdc" TargetMode="External"/><Relationship Id="rId4735" Type="http://schemas.openxmlformats.org/officeDocument/2006/relationships/hyperlink" Target="https://drive.google.com/drive/folders/177H3snhVJeCu9DumybJD2ceuffs2r9eD" TargetMode="External"/><Relationship Id="rId3407" Type="http://schemas.openxmlformats.org/officeDocument/2006/relationships/hyperlink" Target="https://github.com/SharedType/sharedtype/issues/101" TargetMode="External"/><Relationship Id="rId4738" Type="http://schemas.openxmlformats.org/officeDocument/2006/relationships/hyperlink" Target="https://github.com/idanarye/rust-typed-builder/issues/160" TargetMode="External"/><Relationship Id="rId3406" Type="http://schemas.openxmlformats.org/officeDocument/2006/relationships/hyperlink" Target="https://drive.google.com/drive/folders/1ZqdApH0VzBtzfRfulAl5uYhvdgKRadRJ" TargetMode="External"/><Relationship Id="rId4737" Type="http://schemas.openxmlformats.org/officeDocument/2006/relationships/hyperlink" Target="https://drive.google.com/drive/folders/1G7dNKTFL-ZFVtxt1xhEugz4_3Y8lBFhA" TargetMode="External"/><Relationship Id="rId3409" Type="http://schemas.openxmlformats.org/officeDocument/2006/relationships/hyperlink" Target="https://github.com/SharedType/sharedtype/issues/79" TargetMode="External"/><Relationship Id="rId3408" Type="http://schemas.openxmlformats.org/officeDocument/2006/relationships/hyperlink" Target="https://drive.google.com/drive/folders/1TvShMTv6hal7dBGgbl8pBqg2BjEi-Au0" TargetMode="External"/><Relationship Id="rId4739" Type="http://schemas.openxmlformats.org/officeDocument/2006/relationships/hyperlink" Target="https://drive.google.com/drive/folders/16ktWRxwl2n4mSrwMQ1TR3R8GdCNSJUNp" TargetMode="External"/><Relationship Id="rId877" Type="http://schemas.openxmlformats.org/officeDocument/2006/relationships/hyperlink" Target="https://drive.google.com/drive/folders/19jeVdhonMIEsw7KfdoD4WhUgDRYaR9yf" TargetMode="External"/><Relationship Id="rId876" Type="http://schemas.openxmlformats.org/officeDocument/2006/relationships/hyperlink" Target="https://github.com/crate/crate/issues/17407" TargetMode="External"/><Relationship Id="rId875" Type="http://schemas.openxmlformats.org/officeDocument/2006/relationships/hyperlink" Target="https://drive.google.com/drive/folders/1uw6WaTYxapBSP8PpCg8BZrPrUfjGnfH8" TargetMode="External"/><Relationship Id="rId874" Type="http://schemas.openxmlformats.org/officeDocument/2006/relationships/hyperlink" Target="https://drive.google.com/drive/folders/1aPY9Rc5ZbJGj4KcwDKHZtVTiJZCD2kQq" TargetMode="External"/><Relationship Id="rId879" Type="http://schemas.openxmlformats.org/officeDocument/2006/relationships/hyperlink" Target="https://github.com/crate/crate/issues/17131" TargetMode="External"/><Relationship Id="rId878" Type="http://schemas.openxmlformats.org/officeDocument/2006/relationships/hyperlink" Target="https://drive.google.com/drive/folders/1e5RSZOcr5ZFE-dQwieAo7HXMCJdxg5ZY" TargetMode="External"/><Relationship Id="rId873" Type="http://schemas.openxmlformats.org/officeDocument/2006/relationships/hyperlink" Target="https://github.com/covibes/zeroshot/issues/245" TargetMode="External"/><Relationship Id="rId4730" Type="http://schemas.openxmlformats.org/officeDocument/2006/relationships/hyperlink" Target="https://drive.google.com/drive/folders/1uomv--j8ex_-BXmTvV36gsEdAtGPyd3u" TargetMode="External"/><Relationship Id="rId872" Type="http://schemas.openxmlformats.org/officeDocument/2006/relationships/hyperlink" Target="https://drive.google.com/drive/folders/1OdEKLVRwRQdsP3cjRLG7rzpZWEYx5B3R" TargetMode="External"/><Relationship Id="rId871" Type="http://schemas.openxmlformats.org/officeDocument/2006/relationships/hyperlink" Target="https://drive.google.com/drive/folders/1Yer5skqnT9oId825hEiPRBLsVf_plS8-" TargetMode="External"/><Relationship Id="rId3401" Type="http://schemas.openxmlformats.org/officeDocument/2006/relationships/hyperlink" Target="https://github.com/shaka-project/shaka-player/issues/8945" TargetMode="External"/><Relationship Id="rId4732" Type="http://schemas.openxmlformats.org/officeDocument/2006/relationships/hyperlink" Target="https://drive.google.com/drive/folders/1WlNkzY9G9otekh7uYLqN_3EvJw2b3eG_" TargetMode="External"/><Relationship Id="rId870" Type="http://schemas.openxmlformats.org/officeDocument/2006/relationships/hyperlink" Target="https://github.com/covibes/zeroshot/issues/301" TargetMode="External"/><Relationship Id="rId3400" Type="http://schemas.openxmlformats.org/officeDocument/2006/relationships/hyperlink" Target="https://github.com/shaka-project/shaka-player/issues/9198" TargetMode="External"/><Relationship Id="rId4731" Type="http://schemas.openxmlformats.org/officeDocument/2006/relationships/hyperlink" Target="https://github.com/huggingface/transformers/issues/40562" TargetMode="External"/><Relationship Id="rId1653" Type="http://schemas.openxmlformats.org/officeDocument/2006/relationships/hyperlink" Target="https://github.com/GUDHI/gudhi-devel/issues/1052" TargetMode="External"/><Relationship Id="rId2984" Type="http://schemas.openxmlformats.org/officeDocument/2006/relationships/hyperlink" Target="https://github.com/prestodb/presto/issues/26374" TargetMode="External"/><Relationship Id="rId1654" Type="http://schemas.openxmlformats.org/officeDocument/2006/relationships/hyperlink" Target="https://drive.google.com/drive/folders/1CrwnNrq28uzvW8FFBz9v4jg5WAl5p18c" TargetMode="External"/><Relationship Id="rId2985" Type="http://schemas.openxmlformats.org/officeDocument/2006/relationships/hyperlink" Target="https://github.com/prisma/prisma/issues/26378" TargetMode="External"/><Relationship Id="rId1655" Type="http://schemas.openxmlformats.org/officeDocument/2006/relationships/hyperlink" Target="https://github.com/gui-cs/Terminal.Gui/issues/4251" TargetMode="External"/><Relationship Id="rId2986" Type="http://schemas.openxmlformats.org/officeDocument/2006/relationships/hyperlink" Target="https://drive.google.com/drive/folders/1wupBj0Ye1HpLlwyK9bUp7sgyEEAhx8Fj" TargetMode="External"/><Relationship Id="rId1656" Type="http://schemas.openxmlformats.org/officeDocument/2006/relationships/hyperlink" Target="https://drive.google.com/drive/folders/12BJgTAvbGmTo8kXJFpWweGdF-0RzObKc" TargetMode="External"/><Relationship Id="rId2987" Type="http://schemas.openxmlformats.org/officeDocument/2006/relationships/hyperlink" Target="https://drive.google.com/drive/folders/1spsugQ3b7fbmPnFaR06E2_uIla0WrPm1" TargetMode="External"/><Relationship Id="rId1657" Type="http://schemas.openxmlformats.org/officeDocument/2006/relationships/hyperlink" Target="https://drive.google.com/drive/folders/1tfLJgKpXEjpu7Y0KD4YG4YbeIeCo1Bcj" TargetMode="External"/><Relationship Id="rId2988" Type="http://schemas.openxmlformats.org/officeDocument/2006/relationships/hyperlink" Target="https://github.com/privacy-tech-lab/gpc-optmeowt/issues/514" TargetMode="External"/><Relationship Id="rId1658" Type="http://schemas.openxmlformats.org/officeDocument/2006/relationships/hyperlink" Target="https://github.com/guoshiqiufeng/dify-spring-boot-starter/issues/240" TargetMode="External"/><Relationship Id="rId2989" Type="http://schemas.openxmlformats.org/officeDocument/2006/relationships/hyperlink" Target="https://drive.google.com/drive/folders/13qijLo7H5YpMUUVxCosK26mMhoUNYRjJ" TargetMode="External"/><Relationship Id="rId1659" Type="http://schemas.openxmlformats.org/officeDocument/2006/relationships/hyperlink" Target="https://drive.google.com/drive/folders/1h7OhKgM32T1oHWQA08gR4J3-5yb4pcW0" TargetMode="External"/><Relationship Id="rId829" Type="http://schemas.openxmlformats.org/officeDocument/2006/relationships/hyperlink" Target="https://drive.google.com/drive/folders/1Ov8K4OzYFDdFVdqNZyWwkIWGhhE0OrSw" TargetMode="External"/><Relationship Id="rId828" Type="http://schemas.openxmlformats.org/officeDocument/2006/relationships/hyperlink" Target="https://github.com/cometd/cometd/issues/2118" TargetMode="External"/><Relationship Id="rId827" Type="http://schemas.openxmlformats.org/officeDocument/2006/relationships/hyperlink" Target="https://drive.google.com/drive/folders/1HgpOjLvMlrIPOYrTcnOoxp_7AaQoQWvd" TargetMode="External"/><Relationship Id="rId822" Type="http://schemas.openxmlformats.org/officeDocument/2006/relationships/hyperlink" Target="https://github.com/collective/icalendar/issues/806" TargetMode="External"/><Relationship Id="rId821" Type="http://schemas.openxmlformats.org/officeDocument/2006/relationships/hyperlink" Target="https://drive.google.com/drive/folders/1ZavCtMq0MkQXXpM8bBkvmE2zczv63RUc" TargetMode="External"/><Relationship Id="rId820" Type="http://schemas.openxmlformats.org/officeDocument/2006/relationships/hyperlink" Target="https://github.com/collective/icalendar/issues/803" TargetMode="External"/><Relationship Id="rId826" Type="http://schemas.openxmlformats.org/officeDocument/2006/relationships/hyperlink" Target="https://drive.google.com/drive/folders/1vfIyK4rWzAwqcHIza9bQPNt_8J888Cn4" TargetMode="External"/><Relationship Id="rId825" Type="http://schemas.openxmlformats.org/officeDocument/2006/relationships/hyperlink" Target="https://github.com/comet-ml/opik/issues/677" TargetMode="External"/><Relationship Id="rId824" Type="http://schemas.openxmlformats.org/officeDocument/2006/relationships/hyperlink" Target="https://drive.google.com/drive/folders/1-nAouHoST06GEeUbupviYZib7qkUL_Ry" TargetMode="External"/><Relationship Id="rId823" Type="http://schemas.openxmlformats.org/officeDocument/2006/relationships/hyperlink" Target="https://drive.google.com/drive/folders/1Y3Aee6ppjtKtoJafJcSNEySxDwzZnR1_" TargetMode="External"/><Relationship Id="rId2980" Type="http://schemas.openxmlformats.org/officeDocument/2006/relationships/hyperlink" Target="https://drive.google.com/drive/folders/1woqAEhBCF421V_mL29-N1p7eo05RqGWN" TargetMode="External"/><Relationship Id="rId1650" Type="http://schemas.openxmlformats.org/officeDocument/2006/relationships/hyperlink" Target="https://drive.google.com/drive/folders/1GgjmhxxH8EBRc5tffFI6c0CXZVoxvm4-" TargetMode="External"/><Relationship Id="rId2981" Type="http://schemas.openxmlformats.org/officeDocument/2006/relationships/hyperlink" Target="https://github.com/PrefectHQ/prefect/issues/18452" TargetMode="External"/><Relationship Id="rId1651" Type="http://schemas.openxmlformats.org/officeDocument/2006/relationships/hyperlink" Target="https://github.com/guardian/dotcom-rendering/issues/13537" TargetMode="External"/><Relationship Id="rId2982" Type="http://schemas.openxmlformats.org/officeDocument/2006/relationships/hyperlink" Target="https://github.com/prestodb/presto/issues/26764" TargetMode="External"/><Relationship Id="rId1652" Type="http://schemas.openxmlformats.org/officeDocument/2006/relationships/hyperlink" Target="https://drive.google.com/drive/folders/1CQqVy-KNG2QD-l5ik0QJgLdhxCTP-YNS" TargetMode="External"/><Relationship Id="rId2983" Type="http://schemas.openxmlformats.org/officeDocument/2006/relationships/hyperlink" Target="https://drive.google.com/drive/folders/1Xp3Nn9zkQVUymIy-d9PRkaaLwQvwDBFi" TargetMode="External"/><Relationship Id="rId1642" Type="http://schemas.openxmlformats.org/officeDocument/2006/relationships/hyperlink" Target="https://github.com/Graylog2/graylog2-server/issues/21337" TargetMode="External"/><Relationship Id="rId2973" Type="http://schemas.openxmlformats.org/officeDocument/2006/relationships/hyperlink" Target="https://github.com/powsybl/powsybl-core/issues/3476" TargetMode="External"/><Relationship Id="rId1643" Type="http://schemas.openxmlformats.org/officeDocument/2006/relationships/hyperlink" Target="https://drive.google.com/drive/folders/1i-zvVrKCgf2g52Riy5dKv3DZPTibeyiN" TargetMode="External"/><Relationship Id="rId2974" Type="http://schemas.openxmlformats.org/officeDocument/2006/relationships/hyperlink" Target="https://drive.google.com/drive/folders/1k4kvQTuPS-tjk--0DoA84gLAdYc9cAaz" TargetMode="External"/><Relationship Id="rId1644" Type="http://schemas.openxmlformats.org/officeDocument/2006/relationships/hyperlink" Target="https://github.com/GREsau/schemars/issues/401" TargetMode="External"/><Relationship Id="rId2975" Type="http://schemas.openxmlformats.org/officeDocument/2006/relationships/hyperlink" Target="https://github.com/powsybl/powsybl-core/issues/3401" TargetMode="External"/><Relationship Id="rId1645" Type="http://schemas.openxmlformats.org/officeDocument/2006/relationships/hyperlink" Target="https://drive.google.com/drive/folders/1VOa_vcPGr93AWKFNRfH50rAvnGeVpVIN" TargetMode="External"/><Relationship Id="rId2976" Type="http://schemas.openxmlformats.org/officeDocument/2006/relationships/hyperlink" Target="https://drive.google.com/drive/folders/1avvPqhYnl9wcqfYqiOt_2QSygFWmKYpI" TargetMode="External"/><Relationship Id="rId1646" Type="http://schemas.openxmlformats.org/officeDocument/2006/relationships/hyperlink" Target="https://github.com/grpc/grpc-go/issues/7837" TargetMode="External"/><Relationship Id="rId2977" Type="http://schemas.openxmlformats.org/officeDocument/2006/relationships/hyperlink" Target="https://github.com/ppetzold/nestjs-paginate/issues/1097" TargetMode="External"/><Relationship Id="rId1647" Type="http://schemas.openxmlformats.org/officeDocument/2006/relationships/hyperlink" Target="https://drive.google.com/drive/folders/1x8nW1ap5jEUrDwx3-xJIGM_eV8a-25R_" TargetMode="External"/><Relationship Id="rId2978" Type="http://schemas.openxmlformats.org/officeDocument/2006/relationships/hyperlink" Target="https://drive.google.com/drive/folders/17LUwE-u3kbC0qkRY68OcSPKdSpmjOqS8" TargetMode="External"/><Relationship Id="rId1648" Type="http://schemas.openxmlformats.org/officeDocument/2006/relationships/hyperlink" Target="https://github.com/grpc/grpc-java/issues/12398" TargetMode="External"/><Relationship Id="rId2979" Type="http://schemas.openxmlformats.org/officeDocument/2006/relationships/hyperlink" Target="https://github.com/preactjs/preact/issues/4851" TargetMode="External"/><Relationship Id="rId1649" Type="http://schemas.openxmlformats.org/officeDocument/2006/relationships/hyperlink" Target="https://github.com/gtalarico/pyairtable/issues/405" TargetMode="External"/><Relationship Id="rId819" Type="http://schemas.openxmlformats.org/officeDocument/2006/relationships/hyperlink" Target="https://drive.google.com/drive/folders/1ACji_3ZjOiymgJZcs4gIOtmBULPy6xDA" TargetMode="External"/><Relationship Id="rId818" Type="http://schemas.openxmlformats.org/officeDocument/2006/relationships/hyperlink" Target="https://github.com/CoderLine/alphaTab/issues/1853" TargetMode="External"/><Relationship Id="rId817" Type="http://schemas.openxmlformats.org/officeDocument/2006/relationships/hyperlink" Target="https://drive.google.com/drive/folders/1Vxm4Zixo__MKbRawerkPCbOLp-T4qolI" TargetMode="External"/><Relationship Id="rId816" Type="http://schemas.openxmlformats.org/officeDocument/2006/relationships/hyperlink" Target="https://github.com/coder/terraform-provider-coder/issues/321" TargetMode="External"/><Relationship Id="rId811" Type="http://schemas.openxmlformats.org/officeDocument/2006/relationships/hyperlink" Target="https://drive.google.com/drive/folders/1a9jJpStkAHKj0jVHp6gN7uPt2OUchAxv" TargetMode="External"/><Relationship Id="rId810" Type="http://schemas.openxmlformats.org/officeDocument/2006/relationships/hyperlink" Target="https://github.com/codefori/vscode-db2i/issues/391" TargetMode="External"/><Relationship Id="rId815" Type="http://schemas.openxmlformats.org/officeDocument/2006/relationships/hyperlink" Target="https://drive.google.com/drive/folders/10b9PXRZTh_PyH4B_mXqrRWdwwoTXcmlF" TargetMode="External"/><Relationship Id="rId814" Type="http://schemas.openxmlformats.org/officeDocument/2006/relationships/hyperlink" Target="https://drive.google.com/drive/folders/1MKs__VFwGn0lSq_vL1MWZXbuLs1u2U8e" TargetMode="External"/><Relationship Id="rId813" Type="http://schemas.openxmlformats.org/officeDocument/2006/relationships/hyperlink" Target="https://github.com/codefori/vscode-rpgle/issues/395" TargetMode="External"/><Relationship Id="rId812" Type="http://schemas.openxmlformats.org/officeDocument/2006/relationships/hyperlink" Target="https://drive.google.com/drive/folders/1V6ne529jEz11T1s6Vp1jkn2xOh4VSXop" TargetMode="External"/><Relationship Id="rId2970" Type="http://schemas.openxmlformats.org/officeDocument/2006/relationships/hyperlink" Target="https://github.com/policeman-tools/forbidden-apis/issues/274" TargetMode="External"/><Relationship Id="rId1640" Type="http://schemas.openxmlformats.org/officeDocument/2006/relationships/hyperlink" Target="https://drive.google.com/drive/folders/1uUWgA3p5RLFAyYpxBtiXbRM7dHiYS39w" TargetMode="External"/><Relationship Id="rId2971" Type="http://schemas.openxmlformats.org/officeDocument/2006/relationships/hyperlink" Target="https://drive.google.com/drive/folders/1klLj92SD0aEQdCz5vAgKYHQM_V2RfUsp" TargetMode="External"/><Relationship Id="rId1641" Type="http://schemas.openxmlformats.org/officeDocument/2006/relationships/hyperlink" Target="https://drive.google.com/drive/folders/1r4IM9JimDTqSQjf_Ik23gIT_2Ur0sWC5" TargetMode="External"/><Relationship Id="rId2972" Type="http://schemas.openxmlformats.org/officeDocument/2006/relationships/hyperlink" Target="https://drive.google.com/drive/folders/1cIqTEp--aCED1xyXFqYyiJvcmewVUk2V" TargetMode="External"/><Relationship Id="rId1675" Type="http://schemas.openxmlformats.org/officeDocument/2006/relationships/hyperlink" Target="https://github.com/Hakky54/sslcontext-kickstart/issues/655" TargetMode="External"/><Relationship Id="rId4701" Type="http://schemas.openxmlformats.org/officeDocument/2006/relationships/hyperlink" Target="https://drive.google.com/drive/folders/1xiQMYXbC5MJUzdRQs02isPpjQUAxMbgf" TargetMode="External"/><Relationship Id="rId1676" Type="http://schemas.openxmlformats.org/officeDocument/2006/relationships/hyperlink" Target="https://drive.google.com/drive/folders/18o4nDNXwzn6J1oK--LUX2N7zyajiPAks" TargetMode="External"/><Relationship Id="rId4700" Type="http://schemas.openxmlformats.org/officeDocument/2006/relationships/hyperlink" Target="https://drive.google.com/drive/folders/1zeONPX2YKu3Z3TfAqzO817icBk8ePmMD" TargetMode="External"/><Relationship Id="rId1677" Type="http://schemas.openxmlformats.org/officeDocument/2006/relationships/hyperlink" Target="https://github.com/harfbuzz/harfbuzz/issues/4825" TargetMode="External"/><Relationship Id="rId4703" Type="http://schemas.openxmlformats.org/officeDocument/2006/relationships/hyperlink" Target="https://drive.google.com/drive/folders/1gxD7DkqJA8k0r18g-fzcO0VCe75q49w5" TargetMode="External"/><Relationship Id="rId1678" Type="http://schemas.openxmlformats.org/officeDocument/2006/relationships/hyperlink" Target="https://drive.google.com/drive/folders/1Uv8DXsxYtZf9RnOJodabMxc6k6yrG8ow" TargetMode="External"/><Relationship Id="rId4702" Type="http://schemas.openxmlformats.org/officeDocument/2006/relationships/hyperlink" Target="https://github.com/goravel/framework/issues/1105" TargetMode="External"/><Relationship Id="rId1679" Type="http://schemas.openxmlformats.org/officeDocument/2006/relationships/hyperlink" Target="https://drive.google.com/drive/folders/1cJ-XMiP-j_nwL48mMXLiCQo7jLPpOwU0" TargetMode="External"/><Relationship Id="rId4705" Type="http://schemas.openxmlformats.org/officeDocument/2006/relationships/hyperlink" Target="https://drive.google.com/drive/folders/13fIHLZl6hdaLUw7p6Z64jFyk2MazT_qq" TargetMode="External"/><Relationship Id="rId4704" Type="http://schemas.openxmlformats.org/officeDocument/2006/relationships/hyperlink" Target="https://github.com/grafana/alloy/issues/3458" TargetMode="External"/><Relationship Id="rId4707" Type="http://schemas.openxmlformats.org/officeDocument/2006/relationships/hyperlink" Target="https://github.com/gravitational/teleport/issues/56110" TargetMode="External"/><Relationship Id="rId4706" Type="http://schemas.openxmlformats.org/officeDocument/2006/relationships/hyperlink" Target="https://drive.google.com/drive/folders/1slLRJTB-gEkXvQ7Plc-6WYN276p3cnjH" TargetMode="External"/><Relationship Id="rId4709" Type="http://schemas.openxmlformats.org/officeDocument/2006/relationships/hyperlink" Target="https://drive.google.com/drive/folders/139JDQ4CIIHyVG2bsUerFmg0F-wgrhi60" TargetMode="External"/><Relationship Id="rId4708" Type="http://schemas.openxmlformats.org/officeDocument/2006/relationships/hyperlink" Target="https://drive.google.com/drive/folders/1u2qFvILFhERbdbcUyp8KVS9pvgUJVEXR" TargetMode="External"/><Relationship Id="rId849" Type="http://schemas.openxmlformats.org/officeDocument/2006/relationships/hyperlink" Target="https://github.com/constellation-app/constellation/issues/2321" TargetMode="External"/><Relationship Id="rId844" Type="http://schemas.openxmlformats.org/officeDocument/2006/relationships/hyperlink" Target="https://github.com/conan-io/conan/issues/18520" TargetMode="External"/><Relationship Id="rId843" Type="http://schemas.openxmlformats.org/officeDocument/2006/relationships/hyperlink" Target="https://drive.google.com/drive/folders/1x9tWh2zmy6ZBbVHDZcqpVD8567EQP5Rp" TargetMode="External"/><Relationship Id="rId842" Type="http://schemas.openxmlformats.org/officeDocument/2006/relationships/hyperlink" Target="https://drive.google.com/drive/folders/1GmcmCSncFTpXGgCTUATM2hqBEjGbNoGr" TargetMode="External"/><Relationship Id="rId841" Type="http://schemas.openxmlformats.org/officeDocument/2006/relationships/hyperlink" Target="https://github.com/conan-io/conan/issues/18390" TargetMode="External"/><Relationship Id="rId848" Type="http://schemas.openxmlformats.org/officeDocument/2006/relationships/hyperlink" Target="https://drive.google.com/drive/folders/1dWVrf7Hx4ssOgWRjNmPnkoXXxfpuuN55" TargetMode="External"/><Relationship Id="rId847" Type="http://schemas.openxmlformats.org/officeDocument/2006/relationships/hyperlink" Target="https://github.com/connamara/quickfixn/issues/924" TargetMode="External"/><Relationship Id="rId846" Type="http://schemas.openxmlformats.org/officeDocument/2006/relationships/hyperlink" Target="https://drive.google.com/drive/folders/1LjyPRLmFtMklXYsLGqTQV9iGocSl5dLJ" TargetMode="External"/><Relationship Id="rId845" Type="http://schemas.openxmlformats.org/officeDocument/2006/relationships/hyperlink" Target="https://drive.google.com/drive/folders/1z3LDLw86UVhUowM-Wlpv2_D1pr6kNRs0" TargetMode="External"/><Relationship Id="rId1670" Type="http://schemas.openxmlformats.org/officeDocument/2006/relationships/hyperlink" Target="https://github.com/hahwul/dalfox/issues/798" TargetMode="External"/><Relationship Id="rId840" Type="http://schemas.openxmlformats.org/officeDocument/2006/relationships/hyperlink" Target="https://drive.google.com/drive/folders/1oghwzxlzEEI-rFKACfs3NYFfNoFPlLfo" TargetMode="External"/><Relationship Id="rId1671" Type="http://schemas.openxmlformats.org/officeDocument/2006/relationships/hyperlink" Target="https://drive.google.com/drive/folders/1ZbqQKzZoldhQ1RSDH4nwKfXQKyGRJ1Tv" TargetMode="External"/><Relationship Id="rId1672" Type="http://schemas.openxmlformats.org/officeDocument/2006/relationships/hyperlink" Target="https://drive.google.com/drive/folders/1G2AZd6d3dFuGiacYQocdAiio4A0Dgdn7" TargetMode="External"/><Relationship Id="rId1673" Type="http://schemas.openxmlformats.org/officeDocument/2006/relationships/hyperlink" Target="https://github.com/hahwul/deadfinder/issues/92" TargetMode="External"/><Relationship Id="rId1674" Type="http://schemas.openxmlformats.org/officeDocument/2006/relationships/hyperlink" Target="https://drive.google.com/drive/folders/1f76taiG1-Df2mNtmodJhpgSxqCOdLOyk" TargetMode="External"/><Relationship Id="rId1664" Type="http://schemas.openxmlformats.org/officeDocument/2006/relationships/hyperlink" Target="https://github.com/h5py/h5py/issues/2611" TargetMode="External"/><Relationship Id="rId2995" Type="http://schemas.openxmlformats.org/officeDocument/2006/relationships/hyperlink" Target="https://drive.google.com/drive/folders/18lX_lDtTJNXo627dp62GnqY0hqgBmwAV" TargetMode="External"/><Relationship Id="rId1665" Type="http://schemas.openxmlformats.org/officeDocument/2006/relationships/hyperlink" Target="https://drive.google.com/drive/folders/1GnM_AIwAwJL4RONU5pb7AqAXdkZF1nzM" TargetMode="External"/><Relationship Id="rId2996" Type="http://schemas.openxmlformats.org/officeDocument/2006/relationships/hyperlink" Target="https://drive.google.com/drive/folders/1Ev3Q8ChEmlJG_jzqf_w7rlTS6NpkMrgL" TargetMode="External"/><Relationship Id="rId1666" Type="http://schemas.openxmlformats.org/officeDocument/2006/relationships/hyperlink" Target="https://drive.google.com/drive/folders/14jDpd-7c2VoxZaXcTYTeKdVWhvgpBLrQ" TargetMode="External"/><Relationship Id="rId2997" Type="http://schemas.openxmlformats.org/officeDocument/2006/relationships/hyperlink" Target="https://github.com/Project-MONAI/MONAI/issues/8138" TargetMode="External"/><Relationship Id="rId1667" Type="http://schemas.openxmlformats.org/officeDocument/2006/relationships/hyperlink" Target="https://github.com/haddocking/prodigy/issues/51" TargetMode="External"/><Relationship Id="rId2998" Type="http://schemas.openxmlformats.org/officeDocument/2006/relationships/hyperlink" Target="https://drive.google.com/drive/folders/171YC0B8BZdpX5mElhxpEBt3soQ_mWoyp" TargetMode="External"/><Relationship Id="rId1668" Type="http://schemas.openxmlformats.org/officeDocument/2006/relationships/hyperlink" Target="https://drive.google.com/drive/folders/1-2IZAjn3_afofnU1vDLg3AYS3GUrO_Xv" TargetMode="External"/><Relationship Id="rId2999" Type="http://schemas.openxmlformats.org/officeDocument/2006/relationships/hyperlink" Target="https://github.com/ProjectEvergreen/wcc/issues/171" TargetMode="External"/><Relationship Id="rId1669" Type="http://schemas.openxmlformats.org/officeDocument/2006/relationships/hyperlink" Target="https://drive.google.com/drive/folders/1fsquxrXocwTMQgKrESsAxvKWaFMxFCir" TargetMode="External"/><Relationship Id="rId839" Type="http://schemas.openxmlformats.org/officeDocument/2006/relationships/hyperlink" Target="https://github.com/comunica/comunica/issues/1622" TargetMode="External"/><Relationship Id="rId838" Type="http://schemas.openxmlformats.org/officeDocument/2006/relationships/hyperlink" Target="https://drive.google.com/drive/folders/13GPinTDkjBB2os_QxzesH5copB0rCV0-" TargetMode="External"/><Relationship Id="rId833" Type="http://schemas.openxmlformats.org/officeDocument/2006/relationships/hyperlink" Target="https://drive.google.com/drive/folders/11mLH1eKeI8aICmX1A1Ca_vUPW0hDPFHY" TargetMode="External"/><Relationship Id="rId832" Type="http://schemas.openxmlformats.org/officeDocument/2006/relationships/hyperlink" Target="https://github.com/commonmark/commonmark-java/issues/205" TargetMode="External"/><Relationship Id="rId831" Type="http://schemas.openxmlformats.org/officeDocument/2006/relationships/hyperlink" Target="https://drive.google.com/drive/folders/1_B6H-pQg6_f7xRokqEDDqy2fl-zvW2QW" TargetMode="External"/><Relationship Id="rId830" Type="http://schemas.openxmlformats.org/officeDocument/2006/relationships/hyperlink" Target="https://github.com/Comfy-Org/ComfyUI_frontend/issues/5653" TargetMode="External"/><Relationship Id="rId837" Type="http://schemas.openxmlformats.org/officeDocument/2006/relationships/hyperlink" Target="https://github.com/CommunityToolkit/Aspire/issues/386" TargetMode="External"/><Relationship Id="rId836" Type="http://schemas.openxmlformats.org/officeDocument/2006/relationships/hyperlink" Target="https://drive.google.com/drive/folders/1sHKGRXtwRPPi4mKcRTG7J4MOl5w_Yaos" TargetMode="External"/><Relationship Id="rId835" Type="http://schemas.openxmlformats.org/officeDocument/2006/relationships/hyperlink" Target="https://github.com/CommunityToolkit/Aspire/issues/460" TargetMode="External"/><Relationship Id="rId834" Type="http://schemas.openxmlformats.org/officeDocument/2006/relationships/hyperlink" Target="https://drive.google.com/drive/folders/1eHzi8PEsB5FdY6xLO-E6-l2k8XfMix9o" TargetMode="External"/><Relationship Id="rId2990" Type="http://schemas.openxmlformats.org/officeDocument/2006/relationships/hyperlink" Target="https://github.com/privacyidea/privacyidea/issues/4481" TargetMode="External"/><Relationship Id="rId1660" Type="http://schemas.openxmlformats.org/officeDocument/2006/relationships/hyperlink" Target="https://github.com/gwtproject/gwt/issues/10081" TargetMode="External"/><Relationship Id="rId2991" Type="http://schemas.openxmlformats.org/officeDocument/2006/relationships/hyperlink" Target="https://drive.google.com/drive/folders/1U4oU0scxa7BOL4VItCFN-v1p8KQmqlZE" TargetMode="External"/><Relationship Id="rId1661" Type="http://schemas.openxmlformats.org/officeDocument/2006/relationships/hyperlink" Target="https://drive.google.com/drive/folders/19NuxJO3eiTovaBUdXK94swM1YngrDYNx" TargetMode="External"/><Relationship Id="rId2992" Type="http://schemas.openxmlformats.org/officeDocument/2006/relationships/hyperlink" Target="https://github.com/privacyidea/privacyidea/issues/4514" TargetMode="External"/><Relationship Id="rId1662" Type="http://schemas.openxmlformats.org/officeDocument/2006/relationships/hyperlink" Target="https://github.com/h3js/rou3/issues/155" TargetMode="External"/><Relationship Id="rId2993" Type="http://schemas.openxmlformats.org/officeDocument/2006/relationships/hyperlink" Target="https://drive.google.com/drive/folders/1uEHvolO8IBFMgc7RsH7shZEZeVy41zaW" TargetMode="External"/><Relationship Id="rId1663" Type="http://schemas.openxmlformats.org/officeDocument/2006/relationships/hyperlink" Target="https://drive.google.com/drive/folders/1doQ1njydKPVKZ-9x7kctUuabFF9EQjQ6" TargetMode="External"/><Relationship Id="rId2994" Type="http://schemas.openxmlformats.org/officeDocument/2006/relationships/hyperlink" Target="https://github.com/probabl-ai/skore/issues/744" TargetMode="External"/><Relationship Id="rId2148" Type="http://schemas.openxmlformats.org/officeDocument/2006/relationships/hyperlink" Target="https://drive.google.com/drive/folders/1lfLL8WmeC7B42wIgS7TtwfeqQGwTQMyF" TargetMode="External"/><Relationship Id="rId2149" Type="http://schemas.openxmlformats.org/officeDocument/2006/relationships/hyperlink" Target="https://github.com/koralium/flowtide/issues/646" TargetMode="External"/><Relationship Id="rId3479" Type="http://schemas.openxmlformats.org/officeDocument/2006/relationships/hyperlink" Target="https://drive.google.com/drive/folders/1atRv0NfwsMNq5KBvSqUH1_mGt0Sbs63i" TargetMode="External"/><Relationship Id="rId3470" Type="http://schemas.openxmlformats.org/officeDocument/2006/relationships/hyperlink" Target="https://github.com/smalaca/training-center-microservices/issues/39" TargetMode="External"/><Relationship Id="rId2140" Type="http://schemas.openxmlformats.org/officeDocument/2006/relationships/hyperlink" Target="https://drive.google.com/drive/folders/1A6Xs9f_Dfjyw5GaQXDtinwl8tqI04EQA" TargetMode="External"/><Relationship Id="rId3472" Type="http://schemas.openxmlformats.org/officeDocument/2006/relationships/hyperlink" Target="https://github.com/smalaca/training-center-microservices/issues/140" TargetMode="External"/><Relationship Id="rId2141" Type="http://schemas.openxmlformats.org/officeDocument/2006/relationships/hyperlink" Target="https://github.com/koralium/flowtide/issues/787" TargetMode="External"/><Relationship Id="rId3471" Type="http://schemas.openxmlformats.org/officeDocument/2006/relationships/hyperlink" Target="https://drive.google.com/drive/folders/1V5YVDsRm9bD9eCdzNNwvOjl6Ep6mSJwK" TargetMode="External"/><Relationship Id="rId2142" Type="http://schemas.openxmlformats.org/officeDocument/2006/relationships/hyperlink" Target="https://drive.google.com/drive/folders/1024uf_4pxm-eOGCWFWqVI-_e1blMqXr0" TargetMode="External"/><Relationship Id="rId3474" Type="http://schemas.openxmlformats.org/officeDocument/2006/relationships/hyperlink" Target="https://github.com/smalaca/training-center-microservices/issues/172" TargetMode="External"/><Relationship Id="rId2143" Type="http://schemas.openxmlformats.org/officeDocument/2006/relationships/hyperlink" Target="https://github.com/koralium/flowtide/issues/780" TargetMode="External"/><Relationship Id="rId3473" Type="http://schemas.openxmlformats.org/officeDocument/2006/relationships/hyperlink" Target="https://drive.google.com/drive/folders/1z6T3L810NjK5y1Y6cse0H4DYG9Ki01Kw" TargetMode="External"/><Relationship Id="rId2144" Type="http://schemas.openxmlformats.org/officeDocument/2006/relationships/hyperlink" Target="https://drive.google.com/drive/folders/1ks06c4wgv9hPU-y5roGCpwCwawdw4EpW" TargetMode="External"/><Relationship Id="rId3476" Type="http://schemas.openxmlformats.org/officeDocument/2006/relationships/hyperlink" Target="https://github.com/sofastack/sofa-jraft/issues/198" TargetMode="External"/><Relationship Id="rId2145" Type="http://schemas.openxmlformats.org/officeDocument/2006/relationships/hyperlink" Target="https://github.com/koralium/flowtide/issues/795" TargetMode="External"/><Relationship Id="rId3475" Type="http://schemas.openxmlformats.org/officeDocument/2006/relationships/hyperlink" Target="https://drive.google.com/drive/folders/1c44AiVf9NRbA7IZvZQIf4WK_JmoNnHHa" TargetMode="External"/><Relationship Id="rId2146" Type="http://schemas.openxmlformats.org/officeDocument/2006/relationships/hyperlink" Target="https://drive.google.com/drive/folders/1gj7aMnNoWpxXHRuKYLlC0DP5OJ58z6Vf" TargetMode="External"/><Relationship Id="rId3478" Type="http://schemas.openxmlformats.org/officeDocument/2006/relationships/hyperlink" Target="https://github.com/software-mansion/smelter/issues/1163" TargetMode="External"/><Relationship Id="rId2147" Type="http://schemas.openxmlformats.org/officeDocument/2006/relationships/hyperlink" Target="https://github.com/koralium/flowtide/issues/754" TargetMode="External"/><Relationship Id="rId3477" Type="http://schemas.openxmlformats.org/officeDocument/2006/relationships/hyperlink" Target="https://drive.google.com/drive/folders/1HqG9qvnM4j8dy1A6YXaS0z6FuvTEtrQB" TargetMode="External"/><Relationship Id="rId2137" Type="http://schemas.openxmlformats.org/officeDocument/2006/relationships/hyperlink" Target="https://drive.google.com/drive/folders/15wpKWNwBYUHogFCeZsFaSWe-R5wDc25F" TargetMode="External"/><Relationship Id="rId3469" Type="http://schemas.openxmlformats.org/officeDocument/2006/relationships/hyperlink" Target="https://drive.google.com/drive/folders/16TcbPRKyaF9S2e9h0FcyvjdWpCdIisnB" TargetMode="External"/><Relationship Id="rId2138" Type="http://schemas.openxmlformats.org/officeDocument/2006/relationships/hyperlink" Target="https://github.com/Kong/kubernetes-ingress-controller/issues/6766" TargetMode="External"/><Relationship Id="rId3468" Type="http://schemas.openxmlformats.org/officeDocument/2006/relationships/hyperlink" Target="https://drive.google.com/drive/folders/1gqxI1ofO3YJfPw-0P5Nj7-xISkD6XoQ8" TargetMode="External"/><Relationship Id="rId4799" Type="http://schemas.openxmlformats.org/officeDocument/2006/relationships/hyperlink" Target="https://github.com/JohannesKlauss/react-hotkeys-hook/issues/1247" TargetMode="External"/><Relationship Id="rId2139" Type="http://schemas.openxmlformats.org/officeDocument/2006/relationships/hyperlink" Target="https://drive.google.com/drive/folders/16k144OK3uaM_3XifXlU4yqlYzm1odvQT" TargetMode="External"/><Relationship Id="rId4790" Type="http://schemas.openxmlformats.org/officeDocument/2006/relationships/hyperlink" Target="https://github.com/jlblancoc/nanoflann/issues/217" TargetMode="External"/><Relationship Id="rId3461" Type="http://schemas.openxmlformats.org/officeDocument/2006/relationships/hyperlink" Target="https://drive.google.com/drive/folders/1skPzxbKp6FO_Ai4za37uFqfSK17PnFjA" TargetMode="External"/><Relationship Id="rId4792" Type="http://schemas.openxmlformats.org/officeDocument/2006/relationships/hyperlink" Target="https://github.com/jlowin/fastmcp/issues/509" TargetMode="External"/><Relationship Id="rId2130" Type="http://schemas.openxmlformats.org/officeDocument/2006/relationships/hyperlink" Target="https://github.com/kodustech/kodus-ai/issues/547" TargetMode="External"/><Relationship Id="rId3460" Type="http://schemas.openxmlformats.org/officeDocument/2006/relationships/hyperlink" Target="https://drive.google.com/drive/folders/1TL2OuCgZWxv78UV37kHzfrR5ekVqubhN" TargetMode="External"/><Relationship Id="rId4791" Type="http://schemas.openxmlformats.org/officeDocument/2006/relationships/hyperlink" Target="https://drive.google.com/drive/folders/1Senr1Tyh0wFoM3gRiwSZ-we39lvmY4Uw" TargetMode="External"/><Relationship Id="rId2131" Type="http://schemas.openxmlformats.org/officeDocument/2006/relationships/hyperlink" Target="https://drive.google.com/drive/folders/1cxZBXZYgcypbLwZKzCqcI5IEXQ4_hzFx" TargetMode="External"/><Relationship Id="rId3463" Type="http://schemas.openxmlformats.org/officeDocument/2006/relationships/hyperlink" Target="https://drive.google.com/drive/folders/1jkHU9i-85k71Flf_63lsW28MVijA1jLo" TargetMode="External"/><Relationship Id="rId4794" Type="http://schemas.openxmlformats.org/officeDocument/2006/relationships/hyperlink" Target="https://drive.google.com/drive/folders/1pgpD_he6dRdWWjsBFv-6UFWLROcP2HuR" TargetMode="External"/><Relationship Id="rId2132" Type="http://schemas.openxmlformats.org/officeDocument/2006/relationships/hyperlink" Target="https://github.com/kolide/launcher/issues/2188" TargetMode="External"/><Relationship Id="rId3462" Type="http://schemas.openxmlformats.org/officeDocument/2006/relationships/hyperlink" Target="https://github.com/skrub-data/skrub/issues/1334" TargetMode="External"/><Relationship Id="rId4793" Type="http://schemas.openxmlformats.org/officeDocument/2006/relationships/hyperlink" Target="https://drive.google.com/drive/folders/1IgPjJZpGclmz3Mdk7WqreKQiwXEpLqrl" TargetMode="External"/><Relationship Id="rId2133" Type="http://schemas.openxmlformats.org/officeDocument/2006/relationships/hyperlink" Target="https://drive.google.com/drive/folders/1zRE7ciKPNaWbPHKSfu1tcPD8J3iiB3_5" TargetMode="External"/><Relationship Id="rId3465" Type="http://schemas.openxmlformats.org/officeDocument/2006/relationships/hyperlink" Target="https://github.com/skypilot-org/skypilot/issues/5375" TargetMode="External"/><Relationship Id="rId4796" Type="http://schemas.openxmlformats.org/officeDocument/2006/relationships/hyperlink" Target="https://drive.google.com/drive/folders/1OGpvSyUg4FMsfO24g_OkVgVyp-P4i1xc" TargetMode="External"/><Relationship Id="rId2134" Type="http://schemas.openxmlformats.org/officeDocument/2006/relationships/hyperlink" Target="https://github.com/Kong/kong-operator/issues/2440" TargetMode="External"/><Relationship Id="rId3464" Type="http://schemas.openxmlformats.org/officeDocument/2006/relationships/hyperlink" Target="https://drive.google.com/drive/folders/1eVHhOU5pF29se2m9W5xw2WFI8gsWK9B3" TargetMode="External"/><Relationship Id="rId4795" Type="http://schemas.openxmlformats.org/officeDocument/2006/relationships/hyperlink" Target="https://github.com/joelittlejohn/jsonschema2pojo/issues/1771" TargetMode="External"/><Relationship Id="rId2135" Type="http://schemas.openxmlformats.org/officeDocument/2006/relationships/hyperlink" Target="https://drive.google.com/drive/folders/1Onef2lJdYAUsl3m2__hiJPENnU9j4GIa" TargetMode="External"/><Relationship Id="rId3467" Type="http://schemas.openxmlformats.org/officeDocument/2006/relationships/hyperlink" Target="https://github.com/slint-ui/slint/issues/8940" TargetMode="External"/><Relationship Id="rId4798" Type="http://schemas.openxmlformats.org/officeDocument/2006/relationships/hyperlink" Target="https://drive.google.com/drive/folders/1qZfoq34HxFhM6Y0wHSAmMwiRyreA71u3" TargetMode="External"/><Relationship Id="rId2136" Type="http://schemas.openxmlformats.org/officeDocument/2006/relationships/hyperlink" Target="https://github.com/Kong/kong-operator/issues/2400" TargetMode="External"/><Relationship Id="rId3466" Type="http://schemas.openxmlformats.org/officeDocument/2006/relationships/hyperlink" Target="https://drive.google.com/drive/folders/1P15sVEZdIPxzppJHXaSvbik9eIxOw5ao" TargetMode="External"/><Relationship Id="rId4797" Type="http://schemas.openxmlformats.org/officeDocument/2006/relationships/hyperlink" Target="https://github.com/joerdav/xc/issues/140" TargetMode="External"/><Relationship Id="rId3490" Type="http://schemas.openxmlformats.org/officeDocument/2006/relationships/hyperlink" Target="https://github.com/soot-oss/soot/issues/2255" TargetMode="External"/><Relationship Id="rId2160" Type="http://schemas.openxmlformats.org/officeDocument/2006/relationships/hyperlink" Target="https://drive.google.com/drive/folders/11746mjTXBE68J7TNh1TN0Hjru7DekD0T" TargetMode="External"/><Relationship Id="rId3492" Type="http://schemas.openxmlformats.org/officeDocument/2006/relationships/hyperlink" Target="https://github.com/sourcefrog/cargo-mutants/issues/425" TargetMode="External"/><Relationship Id="rId2161" Type="http://schemas.openxmlformats.org/officeDocument/2006/relationships/hyperlink" Target="https://drive.google.com/drive/folders/1IK3ue3cgR5ikZ_G47hsh9rjnLGt5q9nG" TargetMode="External"/><Relationship Id="rId3491" Type="http://schemas.openxmlformats.org/officeDocument/2006/relationships/hyperlink" Target="https://drive.google.com/drive/folders/1msrSDNQyfGYoDiOf68niYvl30YNHrKEU" TargetMode="External"/><Relationship Id="rId2162" Type="http://schemas.openxmlformats.org/officeDocument/2006/relationships/hyperlink" Target="https://github.com/Kozea/Radicale/issues/1860" TargetMode="External"/><Relationship Id="rId3494" Type="http://schemas.openxmlformats.org/officeDocument/2006/relationships/hyperlink" Target="https://github.com/sourcenetwork/defradb/issues/3254" TargetMode="External"/><Relationship Id="rId2163" Type="http://schemas.openxmlformats.org/officeDocument/2006/relationships/hyperlink" Target="https://drive.google.com/drive/folders/1DL7rQMKjQaaVL4tsJ3xdg-Y4AWyF-SSV" TargetMode="External"/><Relationship Id="rId3493" Type="http://schemas.openxmlformats.org/officeDocument/2006/relationships/hyperlink" Target="https://drive.google.com/drive/folders/1innJ8Ei8CCbIuD_GlPBI86nHAX6YO3Qm" TargetMode="External"/><Relationship Id="rId2164" Type="http://schemas.openxmlformats.org/officeDocument/2006/relationships/hyperlink" Target="https://drive.google.com/drive/folders/13FA0Ojkz8h1NrDfzsyCbOxRgTi4_w82O" TargetMode="External"/><Relationship Id="rId3496" Type="http://schemas.openxmlformats.org/officeDocument/2006/relationships/hyperlink" Target="https://github.com/sourcenetwork/defradb/issues/3217" TargetMode="External"/><Relationship Id="rId2165" Type="http://schemas.openxmlformats.org/officeDocument/2006/relationships/hyperlink" Target="https://github.com/krisk/Fuse/issues/773" TargetMode="External"/><Relationship Id="rId3495" Type="http://schemas.openxmlformats.org/officeDocument/2006/relationships/hyperlink" Target="https://drive.google.com/drive/folders/194Hq2clm5t3ci4ihqlh6o-ajl7KUPNSF" TargetMode="External"/><Relationship Id="rId2166" Type="http://schemas.openxmlformats.org/officeDocument/2006/relationships/hyperlink" Target="https://drive.google.com/drive/folders/1DIUIuj9JmCCpGwq6SB5Wo29Eir9KSMgY" TargetMode="External"/><Relationship Id="rId3498" Type="http://schemas.openxmlformats.org/officeDocument/2006/relationships/hyperlink" Target="https://github.com/Sovereign-Labs/sovereign-sdk/issues/1830" TargetMode="External"/><Relationship Id="rId2167" Type="http://schemas.openxmlformats.org/officeDocument/2006/relationships/hyperlink" Target="https://github.com/kserve/kserve/issues/3652" TargetMode="External"/><Relationship Id="rId3497" Type="http://schemas.openxmlformats.org/officeDocument/2006/relationships/hyperlink" Target="https://drive.google.com/drive/folders/1E0QoHRPkqpNfva9BIByCRCtZqr0NSCJx" TargetMode="External"/><Relationship Id="rId2168" Type="http://schemas.openxmlformats.org/officeDocument/2006/relationships/hyperlink" Target="https://drive.google.com/drive/folders/1nvnCfJUKrtyjq9v_nsN47Q5K4IwpnvpD" TargetMode="External"/><Relationship Id="rId2169" Type="http://schemas.openxmlformats.org/officeDocument/2006/relationships/hyperlink" Target="https://github.com/Kuadrant/kuadrant-operator/issues/1508" TargetMode="External"/><Relationship Id="rId3499" Type="http://schemas.openxmlformats.org/officeDocument/2006/relationships/hyperlink" Target="https://drive.google.com/drive/folders/1xa3RdUIa_VrViq7KzZCQK_5YkXeJL146" TargetMode="External"/><Relationship Id="rId2159" Type="http://schemas.openxmlformats.org/officeDocument/2006/relationships/hyperlink" Target="https://github.com/koxudaxi/datamodel-code-generator/issues/2340" TargetMode="External"/><Relationship Id="rId3481" Type="http://schemas.openxmlformats.org/officeDocument/2006/relationships/hyperlink" Target="https://drive.google.com/drive/folders/1-VyXpe4Ycv2rZO3XVPzbZz4PDPoToaQT" TargetMode="External"/><Relationship Id="rId2150" Type="http://schemas.openxmlformats.org/officeDocument/2006/relationships/hyperlink" Target="https://drive.google.com/drive/folders/1smqR3IIGhVPZNvIwUtSvTAp7zH1yjWDT" TargetMode="External"/><Relationship Id="rId3480" Type="http://schemas.openxmlformats.org/officeDocument/2006/relationships/hyperlink" Target="https://github.com/software-mansion/TypeGPU/issues/781" TargetMode="External"/><Relationship Id="rId2151" Type="http://schemas.openxmlformats.org/officeDocument/2006/relationships/hyperlink" Target="https://github.com/koralium/flowtide/issues/593" TargetMode="External"/><Relationship Id="rId3483" Type="http://schemas.openxmlformats.org/officeDocument/2006/relationships/hyperlink" Target="https://drive.google.com/drive/folders/1kxfwpCBDHzvmgomi4TQTINrJhKaPMXM-" TargetMode="External"/><Relationship Id="rId2152" Type="http://schemas.openxmlformats.org/officeDocument/2006/relationships/hyperlink" Target="https://drive.google.com/drive/folders/1WaF9a1KTSius83nBV095OeLodPa2-jj0" TargetMode="External"/><Relationship Id="rId3482" Type="http://schemas.openxmlformats.org/officeDocument/2006/relationships/hyperlink" Target="https://github.com/software-mansion/TypeGPU/issues/1311" TargetMode="External"/><Relationship Id="rId2153" Type="http://schemas.openxmlformats.org/officeDocument/2006/relationships/hyperlink" Target="https://github.com/koto-lang/koto/issues/520" TargetMode="External"/><Relationship Id="rId3485" Type="http://schemas.openxmlformats.org/officeDocument/2006/relationships/hyperlink" Target="https://drive.google.com/drive/folders/1eU2n-EpwCPADlB7Nc0QqZbVnneeKKjEO" TargetMode="External"/><Relationship Id="rId2154" Type="http://schemas.openxmlformats.org/officeDocument/2006/relationships/hyperlink" Target="https://drive.google.com/drive/folders/1nmkPRHv67VEpcUDHI9lKpIbADDzZLtey" TargetMode="External"/><Relationship Id="rId3484" Type="http://schemas.openxmlformats.org/officeDocument/2006/relationships/hyperlink" Target="https://github.com/software-mansion/TypeGPU/issues/1628" TargetMode="External"/><Relationship Id="rId2155" Type="http://schemas.openxmlformats.org/officeDocument/2006/relationships/hyperlink" Target="https://github.com/koto-lang/koto/issues/419" TargetMode="External"/><Relationship Id="rId3487" Type="http://schemas.openxmlformats.org/officeDocument/2006/relationships/hyperlink" Target="https://drive.google.com/drive/folders/1Pxvw0ZQRVa_Cgcubgt0umplzadeBwnAC" TargetMode="External"/><Relationship Id="rId2156" Type="http://schemas.openxmlformats.org/officeDocument/2006/relationships/hyperlink" Target="https://drive.google.com/drive/folders/1NmMieMcIGgowsSFe9uh1MI6aiK2RJWv4" TargetMode="External"/><Relationship Id="rId3486" Type="http://schemas.openxmlformats.org/officeDocument/2006/relationships/hyperlink" Target="https://github.com/software-mansion/TypeGPU/issues/931" TargetMode="External"/><Relationship Id="rId2157" Type="http://schemas.openxmlformats.org/officeDocument/2006/relationships/hyperlink" Target="https://github.com/koto-lang/koto/issues/531" TargetMode="External"/><Relationship Id="rId3489" Type="http://schemas.openxmlformats.org/officeDocument/2006/relationships/hyperlink" Target="https://drive.google.com/drive/folders/1Ys2mQNJQxC-WsQTc3eIYunFnxsA8z1JY" TargetMode="External"/><Relationship Id="rId2158" Type="http://schemas.openxmlformats.org/officeDocument/2006/relationships/hyperlink" Target="https://drive.google.com/drive/folders/1O37orotHVAb3fhiQ-Fj8NXf1w7WZk8By" TargetMode="External"/><Relationship Id="rId3488" Type="http://schemas.openxmlformats.org/officeDocument/2006/relationships/hyperlink" Target="https://github.com/Songmu/ecschedule/issues/117" TargetMode="External"/><Relationship Id="rId2104" Type="http://schemas.openxmlformats.org/officeDocument/2006/relationships/hyperlink" Target="https://github.com/keycloak/keycloak/issues/43963" TargetMode="External"/><Relationship Id="rId3436" Type="http://schemas.openxmlformats.org/officeDocument/2006/relationships/hyperlink" Target="https://drive.google.com/drive/folders/1xuq_nwyvmXiu1O8YKte3E4uY0jcHDHNO" TargetMode="External"/><Relationship Id="rId4767" Type="http://schemas.openxmlformats.org/officeDocument/2006/relationships/hyperlink" Target="https://drive.google.com/drive/folders/1DJv0DnXtdutZcf2WJ_seZ14-zJpKw8FW" TargetMode="External"/><Relationship Id="rId2105" Type="http://schemas.openxmlformats.org/officeDocument/2006/relationships/hyperlink" Target="https://github.com/kgateway-dev/kgateway/issues/12274" TargetMode="External"/><Relationship Id="rId3435" Type="http://schemas.openxmlformats.org/officeDocument/2006/relationships/hyperlink" Target="https://github.com/SigNoz/signoz-otel-collector/issues/662" TargetMode="External"/><Relationship Id="rId4766" Type="http://schemas.openxmlformats.org/officeDocument/2006/relationships/hyperlink" Target="https://github.com/itzg/mc-image-helper/issues/571" TargetMode="External"/><Relationship Id="rId2106" Type="http://schemas.openxmlformats.org/officeDocument/2006/relationships/hyperlink" Target="https://drive.google.com/drive/folders/1g8h2bQ87UbE59MO7qbfcqlRKTu0GfSJS" TargetMode="External"/><Relationship Id="rId3438" Type="http://schemas.openxmlformats.org/officeDocument/2006/relationships/hyperlink" Target="https://drive.google.com/drive/folders/17ld719w3IEPe158sQLLTq-q1gF0mvmje" TargetMode="External"/><Relationship Id="rId4769" Type="http://schemas.openxmlformats.org/officeDocument/2006/relationships/hyperlink" Target="https://drive.google.com/drive/folders/1fD0yYRU7uwMJ96wf9it-m-UKtMupFP-9" TargetMode="External"/><Relationship Id="rId2107" Type="http://schemas.openxmlformats.org/officeDocument/2006/relationships/hyperlink" Target="https://drive.google.com/drive/folders/1n6zqKvImEtQhQ03ORQdAgfh0dW-oSljO" TargetMode="External"/><Relationship Id="rId3437" Type="http://schemas.openxmlformats.org/officeDocument/2006/relationships/hyperlink" Target="https://github.com/sigstore/cosign/issues/3953" TargetMode="External"/><Relationship Id="rId4768" Type="http://schemas.openxmlformats.org/officeDocument/2006/relationships/hyperlink" Target="https://github.com/iver56/audiomentations/issues/385" TargetMode="External"/><Relationship Id="rId2108" Type="http://schemas.openxmlformats.org/officeDocument/2006/relationships/hyperlink" Target="https://github.com/kgateway-dev/kgateway/issues/11861" TargetMode="External"/><Relationship Id="rId2109" Type="http://schemas.openxmlformats.org/officeDocument/2006/relationships/hyperlink" Target="https://drive.google.com/drive/folders/1axUlDCqLf16mum47tJ8cLd923MWTCsqA" TargetMode="External"/><Relationship Id="rId3439" Type="http://schemas.openxmlformats.org/officeDocument/2006/relationships/hyperlink" Target="https://drive.google.com/drive/folders/1edjhiT0rbMEp3tmnuoRNS5yAmk9_WotJ" TargetMode="External"/><Relationship Id="rId3430" Type="http://schemas.openxmlformats.org/officeDocument/2006/relationships/hyperlink" Target="https://drive.google.com/drive/folders/1QRF-BoayfrPSm67-ClVq-i4tUXboBK0r" TargetMode="External"/><Relationship Id="rId4761" Type="http://schemas.openxmlformats.org/officeDocument/2006/relationships/hyperlink" Target="https://drive.google.com/drive/folders/1fAWMkctTfE68DejtI_6wPXp7f7DZmj_1" TargetMode="External"/><Relationship Id="rId4760" Type="http://schemas.openxmlformats.org/officeDocument/2006/relationships/hyperlink" Target="https://github.com/ipfs/kubo/issues/10699" TargetMode="External"/><Relationship Id="rId2100" Type="http://schemas.openxmlformats.org/officeDocument/2006/relationships/hyperlink" Target="https://drive.google.com/drive/folders/1_QVG6_lI4QZuvxtM6CFfacZGXQq5awX_" TargetMode="External"/><Relationship Id="rId3432" Type="http://schemas.openxmlformats.org/officeDocument/2006/relationships/hyperlink" Target="https://github.com/siderolabs/talos/issues/11656" TargetMode="External"/><Relationship Id="rId4763" Type="http://schemas.openxmlformats.org/officeDocument/2006/relationships/hyperlink" Target="https://github.com/ipfs/kubo/issues/10896" TargetMode="External"/><Relationship Id="rId2101" Type="http://schemas.openxmlformats.org/officeDocument/2006/relationships/hyperlink" Target="https://github.com/keycloak/keycloak/issues/36881" TargetMode="External"/><Relationship Id="rId3431" Type="http://schemas.openxmlformats.org/officeDocument/2006/relationships/hyperlink" Target="https://drive.google.com/drive/folders/1S1j6sKGbHeOPjwu20QUU7oUIu2xL5Nuk" TargetMode="External"/><Relationship Id="rId4762" Type="http://schemas.openxmlformats.org/officeDocument/2006/relationships/hyperlink" Target="https://drive.google.com/drive/folders/13sUCe9byXx7140fm4RN1mZlPQFwjgHtI" TargetMode="External"/><Relationship Id="rId2102" Type="http://schemas.openxmlformats.org/officeDocument/2006/relationships/hyperlink" Target="https://github.com/keycloak/keycloak/issues/45400" TargetMode="External"/><Relationship Id="rId3434" Type="http://schemas.openxmlformats.org/officeDocument/2006/relationships/hyperlink" Target="https://drive.google.com/drive/folders/16N_XvQ_f_KJi8rhNRZpHsTNRpYP7fDPR" TargetMode="External"/><Relationship Id="rId4765" Type="http://schemas.openxmlformats.org/officeDocument/2006/relationships/hyperlink" Target="https://drive.google.com/drive/folders/1XiqeesLo-63tVkli7ygSm07X42uKd95z" TargetMode="External"/><Relationship Id="rId2103" Type="http://schemas.openxmlformats.org/officeDocument/2006/relationships/hyperlink" Target="https://drive.google.com/drive/folders/14QxOgLbVJxwsyiQTW6CdTlVQ96qw_fVb" TargetMode="External"/><Relationship Id="rId3433" Type="http://schemas.openxmlformats.org/officeDocument/2006/relationships/hyperlink" Target="https://drive.google.com/drive/folders/1wD7aiDeWn-ep8FvMNJl8Fuu98_AMuUXG" TargetMode="External"/><Relationship Id="rId4764" Type="http://schemas.openxmlformats.org/officeDocument/2006/relationships/hyperlink" Target="https://drive.google.com/drive/folders/1WG8oGGEXuL_JNLIFLmE_NtPQZzjTG0AC" TargetMode="External"/><Relationship Id="rId3425" Type="http://schemas.openxmlformats.org/officeDocument/2006/relationships/hyperlink" Target="https://drive.google.com/drive/folders/16V8p5Zh6FcSw683_R5hUl-ZikqizJg6f" TargetMode="External"/><Relationship Id="rId4756" Type="http://schemas.openxmlformats.org/officeDocument/2006/relationships/hyperlink" Target="https://github.com/intellectronica/ruler/issues/188" TargetMode="External"/><Relationship Id="rId3424" Type="http://schemas.openxmlformats.org/officeDocument/2006/relationships/hyperlink" Target="https://github.com/siderolabs/talos/issues/11965" TargetMode="External"/><Relationship Id="rId4755" Type="http://schemas.openxmlformats.org/officeDocument/2006/relationships/hyperlink" Target="https://drive.google.com/drive/folders/1gKRIsTKM02iHpArQggQisU9XxEXq4ycC" TargetMode="External"/><Relationship Id="rId3427" Type="http://schemas.openxmlformats.org/officeDocument/2006/relationships/hyperlink" Target="https://drive.google.com/drive/folders/11EgqqO_okA5XKJaXHidDsSV0w2dEM_cS" TargetMode="External"/><Relationship Id="rId4758" Type="http://schemas.openxmlformats.org/officeDocument/2006/relationships/hyperlink" Target="https://github.com/internetarchive/heritrix3/issues/656" TargetMode="External"/><Relationship Id="rId3426" Type="http://schemas.openxmlformats.org/officeDocument/2006/relationships/hyperlink" Target="https://github.com/siderolabs/talos/issues/11485" TargetMode="External"/><Relationship Id="rId4757" Type="http://schemas.openxmlformats.org/officeDocument/2006/relationships/hyperlink" Target="https://drive.google.com/drive/folders/1xqYRIjkxcuqYmw4yBdGxY23UKE2W89-W" TargetMode="External"/><Relationship Id="rId3429" Type="http://schemas.openxmlformats.org/officeDocument/2006/relationships/hyperlink" Target="https://github.com/siderolabs/talos/issues/11382" TargetMode="External"/><Relationship Id="rId3428" Type="http://schemas.openxmlformats.org/officeDocument/2006/relationships/hyperlink" Target="https://drive.google.com/drive/folders/1dWGdvZua9VV3cNceUEyNPeIkhBgsSsZR" TargetMode="External"/><Relationship Id="rId4759" Type="http://schemas.openxmlformats.org/officeDocument/2006/relationships/hyperlink" Target="https://drive.google.com/drive/folders/1zWmIQQhyvB_yg_bCMzWH0N-RoF0HM2Qb" TargetMode="External"/><Relationship Id="rId899" Type="http://schemas.openxmlformats.org/officeDocument/2006/relationships/hyperlink" Target="https://drive.google.com/drive/folders/12NIkca5S31gARsMJa9mAqWv-xpVuYQEp" TargetMode="External"/><Relationship Id="rId898" Type="http://schemas.openxmlformats.org/officeDocument/2006/relationships/hyperlink" Target="https://drive.google.com/drive/folders/1QqcrDrNwCGlUIR6r4xv3M897T8AwvarF" TargetMode="External"/><Relationship Id="rId897" Type="http://schemas.openxmlformats.org/officeDocument/2006/relationships/hyperlink" Target="https://github.com/crowdsecurity/crowdsec/issues/3288" TargetMode="External"/><Relationship Id="rId896" Type="http://schemas.openxmlformats.org/officeDocument/2006/relationships/hyperlink" Target="https://drive.google.com/drive/folders/1ZpszkQccMkZtjJsDmIEDDxLlyCK-Mfal" TargetMode="External"/><Relationship Id="rId891" Type="http://schemas.openxmlformats.org/officeDocument/2006/relationships/hyperlink" Target="https://github.com/crate/crate/issues/18827" TargetMode="External"/><Relationship Id="rId890" Type="http://schemas.openxmlformats.org/officeDocument/2006/relationships/hyperlink" Target="https://drive.google.com/drive/folders/1s7NpNjEcWhScSAEn3OaEw1npIgMqrCjK" TargetMode="External"/><Relationship Id="rId4750" Type="http://schemas.openxmlformats.org/officeDocument/2006/relationships/hyperlink" Target="https://drive.google.com/drive/folders/1A_TcF8wrK8q8GH-eoYskjOPRIYzkhQE-" TargetMode="External"/><Relationship Id="rId895" Type="http://schemas.openxmlformats.org/officeDocument/2006/relationships/hyperlink" Target="https://github.com/crowdin/crowdin-api-client-dotnet/issues/285" TargetMode="External"/><Relationship Id="rId3421" Type="http://schemas.openxmlformats.org/officeDocument/2006/relationships/hyperlink" Target="https://github.com/siderolabs/talos/issues/11137" TargetMode="External"/><Relationship Id="rId4752" Type="http://schemas.openxmlformats.org/officeDocument/2006/relationships/hyperlink" Target="https://drive.google.com/drive/folders/1H4JrS8E89NxtEuCdPaSZuy4Eg5PTv902" TargetMode="External"/><Relationship Id="rId894" Type="http://schemas.openxmlformats.org/officeDocument/2006/relationships/hyperlink" Target="https://drive.google.com/drive/folders/16DFzSr_OooyIYsdo3bD_9yvOjZne7nQJ" TargetMode="External"/><Relationship Id="rId3420" Type="http://schemas.openxmlformats.org/officeDocument/2006/relationships/hyperlink" Target="https://drive.google.com/drive/folders/1avdco3TuPqv6bCI4SmXtQdORIXQm5HlR" TargetMode="External"/><Relationship Id="rId4751" Type="http://schemas.openxmlformats.org/officeDocument/2006/relationships/hyperlink" Target="https://github.com/influxdata/telegraf/issues/16066" TargetMode="External"/><Relationship Id="rId893" Type="http://schemas.openxmlformats.org/officeDocument/2006/relationships/hyperlink" Target="https://github.com/crc-org/vfkit/issues/212" TargetMode="External"/><Relationship Id="rId3423" Type="http://schemas.openxmlformats.org/officeDocument/2006/relationships/hyperlink" Target="https://drive.google.com/drive/folders/1rd2ldSZY-3HN-gDNRovGnK3XYLl8RWcC" TargetMode="External"/><Relationship Id="rId4754" Type="http://schemas.openxmlformats.org/officeDocument/2006/relationships/hyperlink" Target="https://github.com/inspectIT/inspectit-ocelot/issues/1730" TargetMode="External"/><Relationship Id="rId892" Type="http://schemas.openxmlformats.org/officeDocument/2006/relationships/hyperlink" Target="https://drive.google.com/drive/folders/142PIl6naF8zdn-b_-LClnWG5yE5LRBA-" TargetMode="External"/><Relationship Id="rId3422" Type="http://schemas.openxmlformats.org/officeDocument/2006/relationships/hyperlink" Target="https://drive.google.com/drive/folders/1_HoxhiODA0bM03ISAnslagR2PwA9eWdF" TargetMode="External"/><Relationship Id="rId4753" Type="http://schemas.openxmlformats.org/officeDocument/2006/relationships/hyperlink" Target="https://drive.google.com/drive/folders/1-JYKrvmz9chWXMNfPCHRRzlQGLMl7NOI" TargetMode="External"/><Relationship Id="rId2126" Type="http://schemas.openxmlformats.org/officeDocument/2006/relationships/hyperlink" Target="https://drive.google.com/drive/folders/1mWezRYlPsYxLuSYzBSZUnCBy0VlS63Nv" TargetMode="External"/><Relationship Id="rId3458" Type="http://schemas.openxmlformats.org/officeDocument/2006/relationships/hyperlink" Target="https://drive.google.com/drive/folders/1VYapU_YXbTmUUDuIHfVgejVuPM-uEdi0" TargetMode="External"/><Relationship Id="rId4789" Type="http://schemas.openxmlformats.org/officeDocument/2006/relationships/hyperlink" Target="https://drive.google.com/drive/folders/1ucPoaFuhaXJLmdkiQr01EGaGFAlKkzHS" TargetMode="External"/><Relationship Id="rId2127" Type="http://schemas.openxmlformats.org/officeDocument/2006/relationships/hyperlink" Target="https://drive.google.com/drive/folders/1ZHwvdO0cX26BvycOYuEEDqydKZwEi-kH" TargetMode="External"/><Relationship Id="rId3457" Type="http://schemas.openxmlformats.org/officeDocument/2006/relationships/hyperlink" Target="https://github.com/skrub-data/skrub/issues/1325" TargetMode="External"/><Relationship Id="rId4788" Type="http://schemas.openxmlformats.org/officeDocument/2006/relationships/hyperlink" Target="https://github.com/jeremy-rifkin/cpptrace/issues/265" TargetMode="External"/><Relationship Id="rId2128" Type="http://schemas.openxmlformats.org/officeDocument/2006/relationships/hyperlink" Target="https://github.com/kodustech/kodus-ai/issues/616" TargetMode="External"/><Relationship Id="rId2129" Type="http://schemas.openxmlformats.org/officeDocument/2006/relationships/hyperlink" Target="https://drive.google.com/drive/folders/1HkzASOK8jDeY0IJRKYNM7EVPqqxrG1GG" TargetMode="External"/><Relationship Id="rId3459" Type="http://schemas.openxmlformats.org/officeDocument/2006/relationships/hyperlink" Target="https://github.com/skrub-data/skrub/issues/1266" TargetMode="External"/><Relationship Id="rId3450" Type="http://schemas.openxmlformats.org/officeDocument/2006/relationships/hyperlink" Target="https://drive.google.com/drive/folders/1U17UBXHmF10DQvW7BzShaXPLL6gE57zo" TargetMode="External"/><Relationship Id="rId4781" Type="http://schemas.openxmlformats.org/officeDocument/2006/relationships/hyperlink" Target="https://github.com/jbloomAus/SAELens/issues/541" TargetMode="External"/><Relationship Id="rId4780" Type="http://schemas.openxmlformats.org/officeDocument/2006/relationships/hyperlink" Target="https://drive.google.com/drive/folders/14ljwjKo3AZ86rixCk-qyBzvTtMYFg3Rv" TargetMode="External"/><Relationship Id="rId2120" Type="http://schemas.openxmlformats.org/officeDocument/2006/relationships/hyperlink" Target="https://github.com/kmbhm1/supabase-pydantic/issues/63" TargetMode="External"/><Relationship Id="rId3452" Type="http://schemas.openxmlformats.org/officeDocument/2006/relationships/hyperlink" Target="https://drive.google.com/drive/folders/1PsRHH17cdbaVoETAFXK92e5GGK1Xq35I" TargetMode="External"/><Relationship Id="rId4783" Type="http://schemas.openxmlformats.org/officeDocument/2006/relationships/hyperlink" Target="https://github.com/jborgers/sonar-pmd/issues/499" TargetMode="External"/><Relationship Id="rId2121" Type="http://schemas.openxmlformats.org/officeDocument/2006/relationships/hyperlink" Target="https://drive.google.com/drive/folders/1BdK6TOX_fdRTpl7lKYdBjRxvGZ5-uTen" TargetMode="External"/><Relationship Id="rId3451" Type="http://schemas.openxmlformats.org/officeDocument/2006/relationships/hyperlink" Target="https://github.com/SinTan1729/chhoto-url/issues/59" TargetMode="External"/><Relationship Id="rId4782" Type="http://schemas.openxmlformats.org/officeDocument/2006/relationships/hyperlink" Target="https://drive.google.com/drive/folders/1avC47zybXLnqCY1xFZ_SZQYx4iZOKKhN" TargetMode="External"/><Relationship Id="rId2122" Type="http://schemas.openxmlformats.org/officeDocument/2006/relationships/hyperlink" Target="https://drive.google.com/drive/folders/1GCqCj6Eo7az-74HC8E3FPFJBLi2G30Yp" TargetMode="External"/><Relationship Id="rId3454" Type="http://schemas.openxmlformats.org/officeDocument/2006/relationships/hyperlink" Target="https://github.com/sissbruecker/linkding/issues/999" TargetMode="External"/><Relationship Id="rId4785" Type="http://schemas.openxmlformats.org/officeDocument/2006/relationships/hyperlink" Target="https://github.com/jelmer/dulwich/issues/1558" TargetMode="External"/><Relationship Id="rId2123" Type="http://schemas.openxmlformats.org/officeDocument/2006/relationships/hyperlink" Target="https://github.com/knative/func/issues/2677" TargetMode="External"/><Relationship Id="rId3453" Type="http://schemas.openxmlformats.org/officeDocument/2006/relationships/hyperlink" Target="https://drive.google.com/drive/folders/1glqGvTAwU4tavRwbqCt_1AgV0NtcuFuy" TargetMode="External"/><Relationship Id="rId4784" Type="http://schemas.openxmlformats.org/officeDocument/2006/relationships/hyperlink" Target="https://drive.google.com/drive/folders/1vmzPdZmmA-M47QV9Pj1H18Nw4ToGkNUH" TargetMode="External"/><Relationship Id="rId2124" Type="http://schemas.openxmlformats.org/officeDocument/2006/relationships/hyperlink" Target="https://drive.google.com/drive/folders/1xg01A_Adzl9XW_Z_Kibetw5zPgsdMnos" TargetMode="External"/><Relationship Id="rId3456" Type="http://schemas.openxmlformats.org/officeDocument/2006/relationships/hyperlink" Target="https://drive.google.com/drive/folders/1u38wMrhqsY6cgNo7KNI5-mnRJtbHeMIQ" TargetMode="External"/><Relationship Id="rId4787" Type="http://schemas.openxmlformats.org/officeDocument/2006/relationships/hyperlink" Target="https://drive.google.com/drive/folders/1wMS8gq3MLIoQWd15XqP0riGYZKrCOXQR" TargetMode="External"/><Relationship Id="rId2125" Type="http://schemas.openxmlformats.org/officeDocument/2006/relationships/hyperlink" Target="https://github.com/knatten/cppquiz/issues/372" TargetMode="External"/><Relationship Id="rId3455" Type="http://schemas.openxmlformats.org/officeDocument/2006/relationships/hyperlink" Target="https://drive.google.com/drive/folders/1LB6V9z7GhRaInmXbb-9PhwDeC16lU0qT" TargetMode="External"/><Relationship Id="rId4786" Type="http://schemas.openxmlformats.org/officeDocument/2006/relationships/hyperlink" Target="https://drive.google.com/drive/folders/1I1s2BjpU4kAi9kNnzMxexa0nJhRTy-xd" TargetMode="External"/><Relationship Id="rId2115" Type="http://schemas.openxmlformats.org/officeDocument/2006/relationships/hyperlink" Target="https://github.com/kiwix/libkiwix/issues/1112" TargetMode="External"/><Relationship Id="rId3447" Type="http://schemas.openxmlformats.org/officeDocument/2006/relationships/hyperlink" Target="https://drive.google.com/drive/folders/1uS5R6fEPn4FACVmnY0AtrGcq_B-6PEJr" TargetMode="External"/><Relationship Id="rId4778" Type="http://schemas.openxmlformats.org/officeDocument/2006/relationships/hyperlink" Target="https://github.com/javaparser/javaparser/issues/4874" TargetMode="External"/><Relationship Id="rId2116" Type="http://schemas.openxmlformats.org/officeDocument/2006/relationships/hyperlink" Target="https://drive.google.com/drive/folders/1S018HFoUfUNikWaAwjylTlhW43Y22UsK" TargetMode="External"/><Relationship Id="rId3446" Type="http://schemas.openxmlformats.org/officeDocument/2006/relationships/hyperlink" Target="https://drive.google.com/drive/folders/12XT1rtcBAc8Sz4BtukKm83xM-Xid_bpA" TargetMode="External"/><Relationship Id="rId4777" Type="http://schemas.openxmlformats.org/officeDocument/2006/relationships/hyperlink" Target="https://drive.google.com/drive/folders/1Ew5WPIr5xl045tAmfsKhDJ1U_ohXd1GF" TargetMode="External"/><Relationship Id="rId2117" Type="http://schemas.openxmlformats.org/officeDocument/2006/relationships/hyperlink" Target="https://github.com/kmbhm1/supabase-pydantic/issues/90" TargetMode="External"/><Relationship Id="rId3449" Type="http://schemas.openxmlformats.org/officeDocument/2006/relationships/hyperlink" Target="https://drive.google.com/drive/folders/1NRPT2dfd-z2o7ryS5P0OhHSlwT_e4qwR" TargetMode="External"/><Relationship Id="rId2118" Type="http://schemas.openxmlformats.org/officeDocument/2006/relationships/hyperlink" Target="https://drive.google.com/drive/folders/1R1To0ovG2A59oFqGOlzx52p0x522Co9V" TargetMode="External"/><Relationship Id="rId3448" Type="http://schemas.openxmlformats.org/officeDocument/2006/relationships/hyperlink" Target="https://github.com/simstudioai/sim/issues/178" TargetMode="External"/><Relationship Id="rId4779" Type="http://schemas.openxmlformats.org/officeDocument/2006/relationships/hyperlink" Target="https://drive.google.com/drive/folders/1X_Hvt7A22QPGuqFZCCul8ZULA9kWb8fG" TargetMode="External"/><Relationship Id="rId2119" Type="http://schemas.openxmlformats.org/officeDocument/2006/relationships/hyperlink" Target="https://drive.google.com/drive/folders/1FlxCFGukSt_n62F8Am49ssGq7tqWwkWk" TargetMode="External"/><Relationship Id="rId4770" Type="http://schemas.openxmlformats.org/officeDocument/2006/relationships/hyperlink" Target="https://drive.google.com/drive/folders/1ryH0tLn8HWsWAJa8rLOtIG9iLKWR0Dt1" TargetMode="External"/><Relationship Id="rId3441" Type="http://schemas.openxmlformats.org/officeDocument/2006/relationships/hyperlink" Target="https://drive.google.com/drive/folders/1h4SufPHWQ2WS558bn_FOJmLm5zexokMI" TargetMode="External"/><Relationship Id="rId4772" Type="http://schemas.openxmlformats.org/officeDocument/2006/relationships/hyperlink" Target="https://drive.google.com/drive/folders/1h7MQSWZSxAD2C9wBOsY00v1ct5ReM_Ie" TargetMode="External"/><Relationship Id="rId2110" Type="http://schemas.openxmlformats.org/officeDocument/2006/relationships/hyperlink" Target="https://drive.google.com/drive/folders/1U4Syv43mXEsVAkqK4xn2fSbw72-gVmjs" TargetMode="External"/><Relationship Id="rId3440" Type="http://schemas.openxmlformats.org/officeDocument/2006/relationships/hyperlink" Target="https://github.com/silx-kit/silx/issues/4414" TargetMode="External"/><Relationship Id="rId4771" Type="http://schemas.openxmlformats.org/officeDocument/2006/relationships/hyperlink" Target="https://github.com/ivo-toby/mcp-openapi-server/issues/65" TargetMode="External"/><Relationship Id="rId2111" Type="http://schemas.openxmlformats.org/officeDocument/2006/relationships/hyperlink" Target="https://github.com/KhronosGroup/Vulkan-ValidationLayers/issues/11102" TargetMode="External"/><Relationship Id="rId3443" Type="http://schemas.openxmlformats.org/officeDocument/2006/relationships/hyperlink" Target="https://github.com/simdutf/simdutf/issues/802" TargetMode="External"/><Relationship Id="rId4774" Type="http://schemas.openxmlformats.org/officeDocument/2006/relationships/hyperlink" Target="https://drive.google.com/drive/folders/1MMrjY-eOP7QEvB_YNJ27PpyEZdzWq_W5" TargetMode="External"/><Relationship Id="rId2112" Type="http://schemas.openxmlformats.org/officeDocument/2006/relationships/hyperlink" Target="https://drive.google.com/drive/folders/1rWgBEqk56bbp5-yVbPRv8_QaLweDFuwN" TargetMode="External"/><Relationship Id="rId3442" Type="http://schemas.openxmlformats.org/officeDocument/2006/relationships/hyperlink" Target="https://drive.google.com/drive/folders/1XPZ4TIz8N4Ba0nCnCDZmxykZWV4IbyS3" TargetMode="External"/><Relationship Id="rId4773" Type="http://schemas.openxmlformats.org/officeDocument/2006/relationships/hyperlink" Target="https://github.com/Ivy-Interactive/Ivy-Framework/issues/221" TargetMode="External"/><Relationship Id="rId2113" Type="http://schemas.openxmlformats.org/officeDocument/2006/relationships/hyperlink" Target="https://github.com/kiwix/libkiwix/issues/1043" TargetMode="External"/><Relationship Id="rId3445" Type="http://schemas.openxmlformats.org/officeDocument/2006/relationships/hyperlink" Target="https://github.com/SimeonGriggs/tints.dev/issues/113" TargetMode="External"/><Relationship Id="rId4776" Type="http://schemas.openxmlformats.org/officeDocument/2006/relationships/hyperlink" Target="https://drive.google.com/drive/folders/1B2VsDKeoWw_sNRoK2W6bLcQZr8kNamn9" TargetMode="External"/><Relationship Id="rId2114" Type="http://schemas.openxmlformats.org/officeDocument/2006/relationships/hyperlink" Target="https://drive.google.com/drive/folders/17X8mL38q6--TidyLQ7ZHigbcPykOx4SU" TargetMode="External"/><Relationship Id="rId3444" Type="http://schemas.openxmlformats.org/officeDocument/2006/relationships/hyperlink" Target="https://drive.google.com/drive/folders/1-GAWA7_jFVn6RtBE_cRTojoaN359EaRB" TargetMode="External"/><Relationship Id="rId4775" Type="http://schemas.openxmlformats.org/officeDocument/2006/relationships/hyperlink" Target="https://github.com/j4k0xb/webcrack/issues/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88"/>
    <col customWidth="1" min="2" max="2" width="30.75"/>
    <col customWidth="1" min="3" max="3" width="10.5"/>
    <col customWidth="1" min="4" max="4" width="13.25"/>
    <col customWidth="1" min="5" max="5" width="15.0"/>
    <col customWidth="1" min="6" max="7" width="14.13"/>
    <col customWidth="1" min="8" max="8" width="23.25"/>
    <col customWidth="1" min="9" max="10" width="10.5"/>
    <col customWidth="1" min="11" max="11" width="15.75"/>
    <col customWidth="1" min="12" max="12" width="22.38"/>
    <col customWidth="1" min="13" max="13" width="15.75"/>
    <col customWidth="1" min="14" max="14" width="10.5"/>
    <col customWidth="1" min="15" max="19" width="7.63"/>
    <col customWidth="1" min="20" max="20" width="15.75"/>
    <col customWidth="1" min="21" max="22" width="8.75"/>
    <col customWidth="1" min="23" max="23" width="7.63"/>
    <col customWidth="1" min="24" max="24" width="15.75"/>
    <col customWidth="1" min="25" max="26" width="8.75"/>
    <col customWidth="1" min="27" max="27" width="7.63"/>
    <col customWidth="1" min="28" max="43" width="10.5"/>
    <col customWidth="1" min="44" max="46" width="7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T1" s="4" t="s">
        <v>14</v>
      </c>
      <c r="U1" s="5"/>
      <c r="V1" s="5"/>
      <c r="W1" s="5"/>
      <c r="X1" s="5"/>
      <c r="Y1" s="5"/>
      <c r="Z1" s="6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ht="14.25" customHeight="1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 t="s">
        <v>22</v>
      </c>
      <c r="I2" s="8">
        <v>23283.0</v>
      </c>
      <c r="J2" s="8">
        <v>496546.0</v>
      </c>
      <c r="K2" s="10">
        <v>45875.60802083334</v>
      </c>
      <c r="L2" s="11" t="s">
        <v>23</v>
      </c>
      <c r="M2" s="11" t="s">
        <v>24</v>
      </c>
      <c r="N2" s="11" t="s">
        <v>25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ht="14.25" customHeight="1">
      <c r="A3" s="8" t="s">
        <v>26</v>
      </c>
      <c r="B3" s="8" t="s">
        <v>27</v>
      </c>
      <c r="C3" s="8" t="s">
        <v>28</v>
      </c>
      <c r="D3" s="8" t="s">
        <v>18</v>
      </c>
      <c r="E3" s="8" t="s">
        <v>19</v>
      </c>
      <c r="F3" s="8" t="s">
        <v>29</v>
      </c>
      <c r="G3" s="8" t="s">
        <v>21</v>
      </c>
      <c r="H3" s="9" t="s">
        <v>22</v>
      </c>
      <c r="I3" s="8">
        <v>4976.0</v>
      </c>
      <c r="J3" s="8">
        <v>413595.0</v>
      </c>
      <c r="K3" s="10">
        <v>45665.9366087963</v>
      </c>
      <c r="L3" s="11" t="s">
        <v>30</v>
      </c>
      <c r="M3" s="11" t="s">
        <v>31</v>
      </c>
      <c r="N3" s="11" t="s">
        <v>32</v>
      </c>
      <c r="T3" s="12" t="s">
        <v>33</v>
      </c>
      <c r="U3" s="12" t="s">
        <v>34</v>
      </c>
      <c r="V3" s="7"/>
      <c r="W3" s="7"/>
      <c r="X3" s="13" t="s">
        <v>35</v>
      </c>
      <c r="Y3" s="5"/>
      <c r="Z3" s="6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ht="14.25" customHeight="1">
      <c r="A4" s="8" t="s">
        <v>36</v>
      </c>
      <c r="B4" s="8" t="s">
        <v>37</v>
      </c>
      <c r="C4" s="8" t="s">
        <v>38</v>
      </c>
      <c r="D4" s="8" t="s">
        <v>18</v>
      </c>
      <c r="E4" s="8" t="s">
        <v>19</v>
      </c>
      <c r="F4" s="8" t="s">
        <v>39</v>
      </c>
      <c r="G4" s="8" t="s">
        <v>21</v>
      </c>
      <c r="H4" s="9" t="s">
        <v>22</v>
      </c>
      <c r="I4" s="8">
        <v>1186.0</v>
      </c>
      <c r="J4" s="8">
        <v>12701.0</v>
      </c>
      <c r="K4" s="10">
        <v>45870.79949074074</v>
      </c>
      <c r="L4" s="11" t="s">
        <v>40</v>
      </c>
      <c r="M4" s="14" t="s">
        <v>41</v>
      </c>
      <c r="N4" s="11" t="s">
        <v>42</v>
      </c>
      <c r="T4" s="15" t="s">
        <v>43</v>
      </c>
      <c r="U4" s="16">
        <f>COUNTA(#REF!)</f>
        <v>1</v>
      </c>
      <c r="V4" s="7"/>
      <c r="W4" s="7"/>
      <c r="X4" s="17" t="s">
        <v>44</v>
      </c>
      <c r="Y4" s="17" t="s">
        <v>45</v>
      </c>
      <c r="Z4" s="17" t="s">
        <v>46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ht="14.25" customHeight="1">
      <c r="A5" s="8" t="s">
        <v>47</v>
      </c>
      <c r="B5" s="8" t="s">
        <v>48</v>
      </c>
      <c r="C5" s="8" t="s">
        <v>38</v>
      </c>
      <c r="D5" s="8" t="s">
        <v>18</v>
      </c>
      <c r="E5" s="8" t="s">
        <v>19</v>
      </c>
      <c r="F5" s="8" t="s">
        <v>49</v>
      </c>
      <c r="G5" s="8" t="s">
        <v>21</v>
      </c>
      <c r="H5" s="9" t="s">
        <v>22</v>
      </c>
      <c r="I5" s="8">
        <v>697.0</v>
      </c>
      <c r="J5" s="8">
        <v>102459.0</v>
      </c>
      <c r="K5" s="10">
        <v>45849.80325231481</v>
      </c>
      <c r="L5" s="11" t="s">
        <v>50</v>
      </c>
      <c r="M5" s="11" t="s">
        <v>51</v>
      </c>
      <c r="N5" s="11" t="s">
        <v>52</v>
      </c>
      <c r="T5" s="18" t="s">
        <v>53</v>
      </c>
      <c r="U5" s="19">
        <v>8.0</v>
      </c>
      <c r="V5" s="7"/>
      <c r="W5" s="7"/>
      <c r="X5" s="20" t="s">
        <v>54</v>
      </c>
      <c r="Y5" s="19">
        <f t="shared" ref="Y5:Y12" si="1">COUNTIF($C$2:$C$38,X5)</f>
        <v>7</v>
      </c>
      <c r="Z5" s="21">
        <f t="shared" ref="Z5:Z12" si="2">Y5/COUNTA($C$2:$C$38)</f>
        <v>0.28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ht="14.25" customHeight="1">
      <c r="A6" s="8" t="s">
        <v>55</v>
      </c>
      <c r="B6" s="8" t="s">
        <v>56</v>
      </c>
      <c r="C6" s="8" t="s">
        <v>54</v>
      </c>
      <c r="D6" s="8" t="s">
        <v>57</v>
      </c>
      <c r="E6" s="8" t="s">
        <v>58</v>
      </c>
      <c r="F6" s="8" t="s">
        <v>59</v>
      </c>
      <c r="G6" s="8" t="s">
        <v>60</v>
      </c>
      <c r="H6" s="9" t="s">
        <v>22</v>
      </c>
      <c r="I6" s="8">
        <v>1105.0</v>
      </c>
      <c r="J6" s="8">
        <v>51202.0</v>
      </c>
      <c r="K6" s="10">
        <v>45786.58421296296</v>
      </c>
      <c r="L6" s="11" t="s">
        <v>61</v>
      </c>
      <c r="M6" s="14" t="s">
        <v>62</v>
      </c>
      <c r="N6" s="11" t="s">
        <v>63</v>
      </c>
      <c r="T6" s="15" t="s">
        <v>64</v>
      </c>
      <c r="U6" s="16">
        <v>3.0</v>
      </c>
      <c r="V6" s="7"/>
      <c r="W6" s="7"/>
      <c r="X6" s="22" t="s">
        <v>17</v>
      </c>
      <c r="Y6" s="23">
        <f t="shared" si="1"/>
        <v>4</v>
      </c>
      <c r="Z6" s="24">
        <f t="shared" si="2"/>
        <v>0.16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ht="14.25" customHeight="1">
      <c r="A7" s="8" t="s">
        <v>65</v>
      </c>
      <c r="B7" s="8" t="s">
        <v>66</v>
      </c>
      <c r="C7" s="8" t="s">
        <v>67</v>
      </c>
      <c r="D7" s="8" t="s">
        <v>57</v>
      </c>
      <c r="E7" s="8" t="s">
        <v>58</v>
      </c>
      <c r="F7" s="8" t="s">
        <v>68</v>
      </c>
      <c r="G7" s="8" t="s">
        <v>60</v>
      </c>
      <c r="H7" s="9" t="s">
        <v>69</v>
      </c>
      <c r="I7" s="8">
        <v>732.0</v>
      </c>
      <c r="J7" s="8">
        <v>8630.0</v>
      </c>
      <c r="K7" s="10">
        <v>45800.76934027778</v>
      </c>
      <c r="L7" s="11" t="s">
        <v>70</v>
      </c>
      <c r="M7" s="14" t="s">
        <v>71</v>
      </c>
      <c r="N7" s="11" t="s">
        <v>72</v>
      </c>
      <c r="T7" s="18" t="s">
        <v>73</v>
      </c>
      <c r="U7" s="19">
        <v>9.0</v>
      </c>
      <c r="V7" s="7"/>
      <c r="W7" s="7"/>
      <c r="X7" s="20" t="s">
        <v>74</v>
      </c>
      <c r="Y7" s="19">
        <f t="shared" si="1"/>
        <v>4</v>
      </c>
      <c r="Z7" s="21">
        <f t="shared" si="2"/>
        <v>0.16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ht="14.25" customHeight="1">
      <c r="A8" s="8" t="s">
        <v>75</v>
      </c>
      <c r="B8" s="8" t="s">
        <v>76</v>
      </c>
      <c r="C8" s="8" t="s">
        <v>74</v>
      </c>
      <c r="D8" s="8" t="s">
        <v>57</v>
      </c>
      <c r="E8" s="8" t="s">
        <v>58</v>
      </c>
      <c r="F8" s="8" t="s">
        <v>29</v>
      </c>
      <c r="G8" s="8" t="s">
        <v>77</v>
      </c>
      <c r="H8" s="9" t="s">
        <v>69</v>
      </c>
      <c r="I8" s="8">
        <v>362.0</v>
      </c>
      <c r="J8" s="8">
        <v>8363.0</v>
      </c>
      <c r="K8" s="10">
        <v>45939.05493055555</v>
      </c>
      <c r="L8" s="11" t="s">
        <v>78</v>
      </c>
      <c r="M8" s="14" t="s">
        <v>79</v>
      </c>
      <c r="N8" s="11" t="s">
        <v>80</v>
      </c>
      <c r="T8" s="7"/>
      <c r="U8" s="7"/>
      <c r="V8" s="7"/>
      <c r="W8" s="7"/>
      <c r="X8" s="22" t="s">
        <v>28</v>
      </c>
      <c r="Y8" s="23">
        <f t="shared" si="1"/>
        <v>3</v>
      </c>
      <c r="Z8" s="24">
        <f t="shared" si="2"/>
        <v>0.12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ht="14.25" customHeight="1">
      <c r="A9" s="8" t="s">
        <v>81</v>
      </c>
      <c r="B9" s="8" t="s">
        <v>82</v>
      </c>
      <c r="C9" s="8" t="s">
        <v>54</v>
      </c>
      <c r="D9" s="8" t="s">
        <v>57</v>
      </c>
      <c r="E9" s="8" t="s">
        <v>19</v>
      </c>
      <c r="F9" s="8" t="s">
        <v>39</v>
      </c>
      <c r="G9" s="8" t="s">
        <v>60</v>
      </c>
      <c r="H9" s="9" t="s">
        <v>69</v>
      </c>
      <c r="I9" s="8">
        <v>189.0</v>
      </c>
      <c r="J9" s="8">
        <v>4776.0</v>
      </c>
      <c r="K9" s="10">
        <v>45759.49052083334</v>
      </c>
      <c r="L9" s="11" t="s">
        <v>83</v>
      </c>
      <c r="M9" s="14" t="s">
        <v>84</v>
      </c>
      <c r="N9" s="11" t="s">
        <v>85</v>
      </c>
      <c r="T9" s="7"/>
      <c r="U9" s="7"/>
      <c r="V9" s="7"/>
      <c r="W9" s="7"/>
      <c r="X9" s="20" t="s">
        <v>38</v>
      </c>
      <c r="Y9" s="19">
        <f t="shared" si="1"/>
        <v>3</v>
      </c>
      <c r="Z9" s="21">
        <f t="shared" si="2"/>
        <v>0.12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ht="14.25" customHeight="1">
      <c r="A10" s="8" t="s">
        <v>86</v>
      </c>
      <c r="B10" s="8" t="s">
        <v>87</v>
      </c>
      <c r="C10" s="8" t="s">
        <v>28</v>
      </c>
      <c r="D10" s="8" t="s">
        <v>57</v>
      </c>
      <c r="E10" s="8" t="s">
        <v>88</v>
      </c>
      <c r="F10" s="8" t="s">
        <v>68</v>
      </c>
      <c r="G10" s="8" t="s">
        <v>89</v>
      </c>
      <c r="H10" s="9" t="s">
        <v>69</v>
      </c>
      <c r="I10" s="8">
        <v>137.0</v>
      </c>
      <c r="J10" s="8">
        <v>25741.0</v>
      </c>
      <c r="K10" s="10">
        <v>45882.74670138889</v>
      </c>
      <c r="L10" s="11" t="s">
        <v>90</v>
      </c>
      <c r="M10" s="14" t="s">
        <v>91</v>
      </c>
      <c r="N10" s="11" t="s">
        <v>92</v>
      </c>
      <c r="T10" s="13" t="s">
        <v>64</v>
      </c>
      <c r="U10" s="5"/>
      <c r="V10" s="6"/>
      <c r="W10" s="7"/>
      <c r="X10" s="22" t="s">
        <v>93</v>
      </c>
      <c r="Y10" s="23">
        <f t="shared" si="1"/>
        <v>2</v>
      </c>
      <c r="Z10" s="24">
        <f t="shared" si="2"/>
        <v>0.08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ht="14.25" customHeight="1">
      <c r="A11" s="8" t="s">
        <v>94</v>
      </c>
      <c r="B11" s="8" t="s">
        <v>95</v>
      </c>
      <c r="C11" s="8" t="s">
        <v>54</v>
      </c>
      <c r="D11" s="8" t="s">
        <v>57</v>
      </c>
      <c r="E11" s="8" t="s">
        <v>58</v>
      </c>
      <c r="F11" s="8" t="s">
        <v>59</v>
      </c>
      <c r="G11" s="8" t="s">
        <v>77</v>
      </c>
      <c r="H11" s="9" t="s">
        <v>69</v>
      </c>
      <c r="I11" s="8">
        <v>2597.0</v>
      </c>
      <c r="J11" s="8">
        <v>365703.0</v>
      </c>
      <c r="K11" s="10">
        <v>45796.40203703703</v>
      </c>
      <c r="L11" s="11" t="s">
        <v>96</v>
      </c>
      <c r="M11" s="11" t="s">
        <v>97</v>
      </c>
      <c r="N11" s="11" t="s">
        <v>98</v>
      </c>
      <c r="T11" s="17" t="s">
        <v>44</v>
      </c>
      <c r="U11" s="17" t="s">
        <v>45</v>
      </c>
      <c r="V11" s="17" t="s">
        <v>46</v>
      </c>
      <c r="W11" s="7"/>
      <c r="X11" s="20" t="s">
        <v>67</v>
      </c>
      <c r="Y11" s="19">
        <f t="shared" si="1"/>
        <v>1</v>
      </c>
      <c r="Z11" s="21">
        <f t="shared" si="2"/>
        <v>0.04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ht="14.25" customHeight="1">
      <c r="A12" s="8" t="s">
        <v>99</v>
      </c>
      <c r="B12" s="8" t="s">
        <v>100</v>
      </c>
      <c r="C12" s="8" t="s">
        <v>54</v>
      </c>
      <c r="D12" s="8" t="s">
        <v>57</v>
      </c>
      <c r="E12" s="8" t="s">
        <v>19</v>
      </c>
      <c r="F12" s="8" t="s">
        <v>39</v>
      </c>
      <c r="G12" s="8" t="s">
        <v>21</v>
      </c>
      <c r="H12" s="9" t="s">
        <v>101</v>
      </c>
      <c r="I12" s="8">
        <v>52.0</v>
      </c>
      <c r="J12" s="8">
        <v>18325.0</v>
      </c>
      <c r="K12" s="10">
        <v>45783.0528125</v>
      </c>
      <c r="L12" s="11" t="s">
        <v>102</v>
      </c>
      <c r="M12" s="14" t="s">
        <v>103</v>
      </c>
      <c r="N12" s="11" t="s">
        <v>104</v>
      </c>
      <c r="T12" s="20" t="s">
        <v>19</v>
      </c>
      <c r="U12" s="19">
        <f t="shared" ref="U12:U14" si="3">COUNTIF($E$2:$E$38,T12)</f>
        <v>14</v>
      </c>
      <c r="V12" s="21">
        <f t="shared" ref="V12:V14" si="4">U12/COUNTA($E$2:$E$38)</f>
        <v>0.56</v>
      </c>
      <c r="W12" s="7"/>
      <c r="X12" s="22" t="s">
        <v>105</v>
      </c>
      <c r="Y12" s="23">
        <f t="shared" si="1"/>
        <v>1</v>
      </c>
      <c r="Z12" s="24">
        <f t="shared" si="2"/>
        <v>0.04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ht="14.25" customHeight="1">
      <c r="A13" s="8" t="s">
        <v>106</v>
      </c>
      <c r="B13" s="8" t="s">
        <v>107</v>
      </c>
      <c r="C13" s="8" t="s">
        <v>105</v>
      </c>
      <c r="D13" s="8" t="s">
        <v>57</v>
      </c>
      <c r="E13" s="8" t="s">
        <v>19</v>
      </c>
      <c r="F13" s="8" t="s">
        <v>39</v>
      </c>
      <c r="G13" s="8" t="s">
        <v>21</v>
      </c>
      <c r="H13" s="9" t="s">
        <v>101</v>
      </c>
      <c r="I13" s="8">
        <v>3357.0</v>
      </c>
      <c r="J13" s="8">
        <v>139910.0</v>
      </c>
      <c r="K13" s="10">
        <v>45235.75480324074</v>
      </c>
      <c r="L13" s="11" t="s">
        <v>108</v>
      </c>
      <c r="M13" s="11" t="s">
        <v>109</v>
      </c>
      <c r="N13" s="11" t="s">
        <v>110</v>
      </c>
      <c r="T13" s="22" t="s">
        <v>88</v>
      </c>
      <c r="U13" s="23">
        <f t="shared" si="3"/>
        <v>6</v>
      </c>
      <c r="V13" s="24">
        <f t="shared" si="4"/>
        <v>0.24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ht="14.25" customHeight="1">
      <c r="A14" s="8" t="s">
        <v>111</v>
      </c>
      <c r="B14" s="8" t="s">
        <v>112</v>
      </c>
      <c r="C14" s="8" t="s">
        <v>54</v>
      </c>
      <c r="D14" s="8" t="s">
        <v>57</v>
      </c>
      <c r="E14" s="8" t="s">
        <v>19</v>
      </c>
      <c r="F14" s="8" t="s">
        <v>68</v>
      </c>
      <c r="G14" s="8" t="s">
        <v>21</v>
      </c>
      <c r="H14" s="9" t="s">
        <v>101</v>
      </c>
      <c r="I14" s="8">
        <v>64.0</v>
      </c>
      <c r="J14" s="8">
        <v>73635.0</v>
      </c>
      <c r="K14" s="10">
        <v>45629.75920138889</v>
      </c>
      <c r="L14" s="11" t="s">
        <v>113</v>
      </c>
      <c r="M14" s="14" t="s">
        <v>114</v>
      </c>
      <c r="N14" s="11" t="s">
        <v>115</v>
      </c>
      <c r="T14" s="20" t="s">
        <v>58</v>
      </c>
      <c r="U14" s="19">
        <f t="shared" si="3"/>
        <v>5</v>
      </c>
      <c r="V14" s="21">
        <f t="shared" si="4"/>
        <v>0.2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4.25" customHeight="1">
      <c r="A15" s="8" t="s">
        <v>116</v>
      </c>
      <c r="B15" s="8" t="s">
        <v>117</v>
      </c>
      <c r="C15" s="8" t="s">
        <v>74</v>
      </c>
      <c r="D15" s="8" t="s">
        <v>57</v>
      </c>
      <c r="E15" s="8" t="s">
        <v>19</v>
      </c>
      <c r="F15" s="8" t="s">
        <v>20</v>
      </c>
      <c r="G15" s="8" t="s">
        <v>21</v>
      </c>
      <c r="H15" s="9" t="s">
        <v>101</v>
      </c>
      <c r="I15" s="8">
        <v>740.0</v>
      </c>
      <c r="J15" s="8">
        <v>56112.0</v>
      </c>
      <c r="K15" s="10">
        <v>45758.59256944444</v>
      </c>
      <c r="L15" s="11" t="s">
        <v>118</v>
      </c>
      <c r="M15" s="14" t="s">
        <v>119</v>
      </c>
      <c r="N15" s="11" t="s">
        <v>120</v>
      </c>
      <c r="T15" s="7"/>
      <c r="U15" s="7"/>
      <c r="V15" s="7"/>
      <c r="W15" s="7"/>
      <c r="X15" s="13" t="s">
        <v>121</v>
      </c>
      <c r="Y15" s="5"/>
      <c r="Z15" s="6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ht="14.25" customHeight="1">
      <c r="A16" s="8" t="s">
        <v>122</v>
      </c>
      <c r="B16" s="8" t="s">
        <v>123</v>
      </c>
      <c r="C16" s="8" t="s">
        <v>93</v>
      </c>
      <c r="D16" s="8" t="s">
        <v>18</v>
      </c>
      <c r="E16" s="8" t="s">
        <v>19</v>
      </c>
      <c r="F16" s="8" t="s">
        <v>124</v>
      </c>
      <c r="G16" s="8" t="s">
        <v>21</v>
      </c>
      <c r="H16" s="9" t="s">
        <v>101</v>
      </c>
      <c r="I16" s="8">
        <v>1651.0</v>
      </c>
      <c r="J16" s="8">
        <v>70269.0</v>
      </c>
      <c r="K16" s="10">
        <v>45972.23232638889</v>
      </c>
      <c r="L16" s="11" t="s">
        <v>125</v>
      </c>
      <c r="M16" s="14" t="s">
        <v>126</v>
      </c>
      <c r="N16" s="11" t="s">
        <v>127</v>
      </c>
      <c r="T16" s="13" t="s">
        <v>73</v>
      </c>
      <c r="U16" s="5"/>
      <c r="V16" s="6"/>
      <c r="W16" s="7"/>
      <c r="X16" s="17" t="s">
        <v>44</v>
      </c>
      <c r="Y16" s="17" t="s">
        <v>45</v>
      </c>
      <c r="Z16" s="17" t="s">
        <v>46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ht="14.25" customHeight="1">
      <c r="A17" s="8" t="s">
        <v>128</v>
      </c>
      <c r="B17" s="8" t="s">
        <v>129</v>
      </c>
      <c r="C17" s="8" t="s">
        <v>17</v>
      </c>
      <c r="D17" s="8" t="s">
        <v>18</v>
      </c>
      <c r="E17" s="8" t="s">
        <v>88</v>
      </c>
      <c r="F17" s="8" t="s">
        <v>130</v>
      </c>
      <c r="G17" s="8" t="s">
        <v>60</v>
      </c>
      <c r="H17" s="9" t="s">
        <v>131</v>
      </c>
      <c r="I17" s="8">
        <v>815.0</v>
      </c>
      <c r="J17" s="8">
        <v>118744.0</v>
      </c>
      <c r="K17" s="10">
        <v>45884.65077546296</v>
      </c>
      <c r="L17" s="11" t="s">
        <v>132</v>
      </c>
      <c r="M17" s="11" t="s">
        <v>133</v>
      </c>
      <c r="N17" s="11" t="s">
        <v>134</v>
      </c>
      <c r="T17" s="17" t="s">
        <v>44</v>
      </c>
      <c r="U17" s="17" t="s">
        <v>45</v>
      </c>
      <c r="V17" s="17" t="s">
        <v>46</v>
      </c>
      <c r="W17" s="7"/>
      <c r="X17" s="20" t="s">
        <v>57</v>
      </c>
      <c r="Y17" s="19">
        <f t="shared" ref="Y17:Y18" si="5">COUNTIF($D$2:$D$38,X17)</f>
        <v>15</v>
      </c>
      <c r="Z17" s="21">
        <f t="shared" ref="Z17:Z18" si="6">Y17/COUNTA($D$2:$D$38)</f>
        <v>0.6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ht="14.25" customHeight="1">
      <c r="A18" s="8" t="s">
        <v>135</v>
      </c>
      <c r="B18" s="8" t="s">
        <v>16</v>
      </c>
      <c r="C18" s="8" t="s">
        <v>17</v>
      </c>
      <c r="D18" s="8" t="s">
        <v>18</v>
      </c>
      <c r="E18" s="8" t="s">
        <v>58</v>
      </c>
      <c r="F18" s="8" t="s">
        <v>20</v>
      </c>
      <c r="G18" s="8" t="s">
        <v>136</v>
      </c>
      <c r="H18" s="9" t="s">
        <v>131</v>
      </c>
      <c r="I18" s="8">
        <v>23283.0</v>
      </c>
      <c r="J18" s="8">
        <v>496546.0</v>
      </c>
      <c r="K18" s="10">
        <v>45672.7467824074</v>
      </c>
      <c r="L18" s="11" t="s">
        <v>137</v>
      </c>
      <c r="M18" s="11" t="s">
        <v>138</v>
      </c>
      <c r="N18" s="11" t="s">
        <v>139</v>
      </c>
      <c r="T18" s="20" t="s">
        <v>39</v>
      </c>
      <c r="U18" s="19">
        <f t="shared" ref="U18:U26" si="7">COUNTIF($F$2:$F$38,T18)</f>
        <v>6</v>
      </c>
      <c r="V18" s="21">
        <f t="shared" ref="V18:V26" si="8">U18/COUNTA($F$2:$F$38)</f>
        <v>0.24</v>
      </c>
      <c r="W18" s="7"/>
      <c r="X18" s="22" t="s">
        <v>18</v>
      </c>
      <c r="Y18" s="23">
        <f t="shared" si="5"/>
        <v>10</v>
      </c>
      <c r="Z18" s="24">
        <f t="shared" si="6"/>
        <v>0.4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ht="14.25" customHeight="1">
      <c r="A19" s="8" t="s">
        <v>140</v>
      </c>
      <c r="B19" s="8" t="s">
        <v>141</v>
      </c>
      <c r="C19" s="8" t="s">
        <v>54</v>
      </c>
      <c r="D19" s="8" t="s">
        <v>57</v>
      </c>
      <c r="E19" s="8" t="s">
        <v>19</v>
      </c>
      <c r="F19" s="8" t="s">
        <v>59</v>
      </c>
      <c r="G19" s="8" t="s">
        <v>60</v>
      </c>
      <c r="H19" s="9" t="s">
        <v>131</v>
      </c>
      <c r="I19" s="8">
        <v>1910.0</v>
      </c>
      <c r="J19" s="8">
        <v>158574.0</v>
      </c>
      <c r="K19" s="10">
        <v>45702.0324537037</v>
      </c>
      <c r="L19" s="11" t="s">
        <v>142</v>
      </c>
      <c r="M19" s="14" t="s">
        <v>143</v>
      </c>
      <c r="N19" s="11" t="s">
        <v>144</v>
      </c>
      <c r="T19" s="22" t="s">
        <v>59</v>
      </c>
      <c r="U19" s="23">
        <f t="shared" si="7"/>
        <v>4</v>
      </c>
      <c r="V19" s="24">
        <f t="shared" si="8"/>
        <v>0.16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ht="14.25" customHeight="1">
      <c r="A20" s="8" t="s">
        <v>145</v>
      </c>
      <c r="B20" s="8" t="s">
        <v>146</v>
      </c>
      <c r="C20" s="8" t="s">
        <v>74</v>
      </c>
      <c r="D20" s="8" t="s">
        <v>57</v>
      </c>
      <c r="E20" s="8" t="s">
        <v>19</v>
      </c>
      <c r="F20" s="8" t="s">
        <v>29</v>
      </c>
      <c r="G20" s="8" t="s">
        <v>21</v>
      </c>
      <c r="H20" s="9" t="s">
        <v>131</v>
      </c>
      <c r="I20" s="8">
        <v>396.0</v>
      </c>
      <c r="J20" s="8">
        <v>30342.0</v>
      </c>
      <c r="K20" s="10">
        <v>45619.13960648148</v>
      </c>
      <c r="L20" s="11" t="s">
        <v>147</v>
      </c>
      <c r="M20" s="14" t="s">
        <v>148</v>
      </c>
      <c r="N20" s="11" t="s">
        <v>149</v>
      </c>
      <c r="T20" s="20" t="s">
        <v>20</v>
      </c>
      <c r="U20" s="19">
        <f t="shared" si="7"/>
        <v>3</v>
      </c>
      <c r="V20" s="21">
        <f t="shared" si="8"/>
        <v>0.12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ht="14.25" customHeight="1">
      <c r="A21" s="25" t="s">
        <v>150</v>
      </c>
      <c r="B21" s="8" t="s">
        <v>151</v>
      </c>
      <c r="C21" s="8" t="s">
        <v>54</v>
      </c>
      <c r="D21" s="8" t="s">
        <v>57</v>
      </c>
      <c r="E21" s="8" t="s">
        <v>19</v>
      </c>
      <c r="F21" s="8" t="s">
        <v>49</v>
      </c>
      <c r="G21" s="8" t="s">
        <v>21</v>
      </c>
      <c r="H21" s="9" t="s">
        <v>131</v>
      </c>
      <c r="I21" s="8">
        <v>204.0</v>
      </c>
      <c r="J21" s="8">
        <v>18961.0</v>
      </c>
      <c r="K21" s="10">
        <v>45757.64092592592</v>
      </c>
      <c r="L21" s="11" t="s">
        <v>152</v>
      </c>
      <c r="M21" s="14" t="s">
        <v>153</v>
      </c>
      <c r="N21" s="11" t="s">
        <v>154</v>
      </c>
      <c r="T21" s="22" t="s">
        <v>29</v>
      </c>
      <c r="U21" s="23">
        <f t="shared" si="7"/>
        <v>3</v>
      </c>
      <c r="V21" s="24">
        <f t="shared" si="8"/>
        <v>0.12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ht="14.25" customHeight="1">
      <c r="A22" s="8" t="s">
        <v>155</v>
      </c>
      <c r="B22" s="8" t="s">
        <v>156</v>
      </c>
      <c r="C22" s="8" t="s">
        <v>38</v>
      </c>
      <c r="D22" s="8" t="s">
        <v>18</v>
      </c>
      <c r="E22" s="8" t="s">
        <v>88</v>
      </c>
      <c r="F22" s="8" t="s">
        <v>39</v>
      </c>
      <c r="G22" s="8" t="s">
        <v>21</v>
      </c>
      <c r="H22" s="9" t="s">
        <v>157</v>
      </c>
      <c r="I22" s="8">
        <v>2190.0</v>
      </c>
      <c r="J22" s="8">
        <v>5619.0</v>
      </c>
      <c r="K22" s="10">
        <v>45641.97614583333</v>
      </c>
      <c r="L22" s="11" t="s">
        <v>158</v>
      </c>
      <c r="M22" s="14" t="s">
        <v>159</v>
      </c>
      <c r="N22" s="11" t="s">
        <v>160</v>
      </c>
      <c r="T22" s="20" t="s">
        <v>68</v>
      </c>
      <c r="U22" s="19">
        <f t="shared" si="7"/>
        <v>3</v>
      </c>
      <c r="V22" s="21">
        <f t="shared" si="8"/>
        <v>0.12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ht="14.25" customHeight="1">
      <c r="A23" s="8" t="s">
        <v>161</v>
      </c>
      <c r="B23" s="8" t="s">
        <v>162</v>
      </c>
      <c r="C23" s="8" t="s">
        <v>93</v>
      </c>
      <c r="D23" s="8" t="s">
        <v>18</v>
      </c>
      <c r="E23" s="8" t="s">
        <v>88</v>
      </c>
      <c r="F23" s="8" t="s">
        <v>130</v>
      </c>
      <c r="G23" s="8" t="s">
        <v>89</v>
      </c>
      <c r="H23" s="9" t="s">
        <v>157</v>
      </c>
      <c r="I23" s="8">
        <v>2313.0</v>
      </c>
      <c r="J23" s="8">
        <v>497894.0</v>
      </c>
      <c r="K23" s="10">
        <v>46056.10069444445</v>
      </c>
      <c r="L23" s="11" t="s">
        <v>163</v>
      </c>
      <c r="M23" s="14" t="s">
        <v>164</v>
      </c>
      <c r="N23" s="11" t="s">
        <v>165</v>
      </c>
      <c r="T23" s="22" t="s">
        <v>49</v>
      </c>
      <c r="U23" s="23">
        <f t="shared" si="7"/>
        <v>2</v>
      </c>
      <c r="V23" s="24">
        <f t="shared" si="8"/>
        <v>0.08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ht="14.25" customHeight="1">
      <c r="A24" s="8" t="s">
        <v>166</v>
      </c>
      <c r="B24" s="8" t="s">
        <v>167</v>
      </c>
      <c r="C24" s="8" t="s">
        <v>17</v>
      </c>
      <c r="D24" s="8" t="s">
        <v>18</v>
      </c>
      <c r="E24" s="8" t="s">
        <v>88</v>
      </c>
      <c r="F24" s="8" t="s">
        <v>168</v>
      </c>
      <c r="G24" s="8" t="s">
        <v>89</v>
      </c>
      <c r="H24" s="9" t="s">
        <v>157</v>
      </c>
      <c r="I24" s="8">
        <v>580.0</v>
      </c>
      <c r="J24" s="8">
        <v>9354.0</v>
      </c>
      <c r="K24" s="10">
        <v>45676.88133101852</v>
      </c>
      <c r="L24" s="11" t="s">
        <v>169</v>
      </c>
      <c r="M24" s="11" t="s">
        <v>170</v>
      </c>
      <c r="N24" s="11" t="s">
        <v>171</v>
      </c>
      <c r="T24" s="20" t="s">
        <v>130</v>
      </c>
      <c r="U24" s="19">
        <f t="shared" si="7"/>
        <v>2</v>
      </c>
      <c r="V24" s="21">
        <f t="shared" si="8"/>
        <v>0.08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ht="14.25" customHeight="1">
      <c r="A25" s="8" t="s">
        <v>172</v>
      </c>
      <c r="B25" s="8" t="s">
        <v>173</v>
      </c>
      <c r="C25" s="8" t="s">
        <v>74</v>
      </c>
      <c r="D25" s="8" t="s">
        <v>57</v>
      </c>
      <c r="E25" s="8" t="s">
        <v>19</v>
      </c>
      <c r="F25" s="8" t="s">
        <v>39</v>
      </c>
      <c r="G25" s="8" t="s">
        <v>89</v>
      </c>
      <c r="H25" s="9" t="s">
        <v>157</v>
      </c>
      <c r="I25" s="8">
        <v>68.0</v>
      </c>
      <c r="J25" s="8">
        <v>26458.0</v>
      </c>
      <c r="K25" s="10">
        <v>45785.81775462963</v>
      </c>
      <c r="L25" s="11" t="s">
        <v>174</v>
      </c>
      <c r="M25" s="11" t="s">
        <v>175</v>
      </c>
      <c r="N25" s="11" t="s">
        <v>176</v>
      </c>
      <c r="T25" s="22" t="s">
        <v>124</v>
      </c>
      <c r="U25" s="23">
        <f t="shared" si="7"/>
        <v>1</v>
      </c>
      <c r="V25" s="24">
        <f t="shared" si="8"/>
        <v>0.04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ht="14.25" customHeight="1">
      <c r="A26" s="8" t="s">
        <v>177</v>
      </c>
      <c r="B26" s="8" t="s">
        <v>27</v>
      </c>
      <c r="C26" s="8" t="s">
        <v>28</v>
      </c>
      <c r="D26" s="8" t="s">
        <v>57</v>
      </c>
      <c r="E26" s="8" t="s">
        <v>88</v>
      </c>
      <c r="F26" s="8" t="s">
        <v>59</v>
      </c>
      <c r="G26" s="8" t="s">
        <v>89</v>
      </c>
      <c r="H26" s="9" t="s">
        <v>157</v>
      </c>
      <c r="I26" s="8">
        <v>4976.0</v>
      </c>
      <c r="J26" s="8">
        <v>413595.0</v>
      </c>
      <c r="K26" s="10">
        <v>45845.7187962963</v>
      </c>
      <c r="L26" s="11" t="s">
        <v>178</v>
      </c>
      <c r="M26" s="14" t="s">
        <v>179</v>
      </c>
      <c r="N26" s="11" t="s">
        <v>180</v>
      </c>
      <c r="T26" s="20" t="s">
        <v>168</v>
      </c>
      <c r="U26" s="19">
        <f t="shared" si="7"/>
        <v>1</v>
      </c>
      <c r="V26" s="21">
        <f t="shared" si="8"/>
        <v>0.04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ht="14.25" customHeight="1">
      <c r="K27" s="26"/>
      <c r="L27" s="27"/>
      <c r="M27" s="27"/>
      <c r="N27" s="2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ht="14.25" customHeight="1">
      <c r="K28" s="26"/>
      <c r="L28" s="27"/>
      <c r="M28" s="27"/>
      <c r="N28" s="2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ht="14.25" customHeight="1">
      <c r="K29" s="26"/>
      <c r="L29" s="27"/>
      <c r="M29" s="27"/>
      <c r="N29" s="2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ht="14.25" customHeight="1">
      <c r="K30" s="26"/>
      <c r="L30" s="27"/>
      <c r="M30" s="27"/>
      <c r="N30" s="2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ht="14.25" customHeight="1">
      <c r="K31" s="26"/>
      <c r="L31" s="27"/>
      <c r="M31" s="27"/>
      <c r="N31" s="2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ht="14.25" customHeight="1">
      <c r="K32" s="26"/>
      <c r="L32" s="27"/>
      <c r="M32" s="27"/>
      <c r="N32" s="2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ht="14.25" customHeight="1">
      <c r="K33" s="26"/>
      <c r="L33" s="27"/>
      <c r="M33" s="27"/>
      <c r="N33" s="2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ht="14.25" customHeight="1">
      <c r="K34" s="26"/>
      <c r="L34" s="27"/>
      <c r="M34" s="27"/>
      <c r="N34" s="2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ht="14.25" customHeight="1">
      <c r="K35" s="26"/>
      <c r="L35" s="27"/>
      <c r="M35" s="27"/>
      <c r="N35" s="2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ht="14.25" customHeight="1">
      <c r="K36" s="26"/>
      <c r="L36" s="27"/>
      <c r="M36" s="27"/>
      <c r="N36" s="2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ht="14.25" customHeight="1">
      <c r="K37" s="26"/>
      <c r="L37" s="27"/>
      <c r="M37" s="27"/>
      <c r="N37" s="2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ht="14.25" customHeight="1">
      <c r="K38" s="26"/>
      <c r="L38" s="27"/>
      <c r="M38" s="27"/>
      <c r="N38" s="2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ht="14.25" customHeight="1">
      <c r="K39" s="26"/>
      <c r="L39" s="27"/>
      <c r="M39" s="27"/>
      <c r="N39" s="27"/>
    </row>
    <row r="40" ht="14.25" customHeight="1">
      <c r="K40" s="26"/>
      <c r="L40" s="27"/>
      <c r="M40" s="27"/>
      <c r="N40" s="27"/>
    </row>
    <row r="41" ht="14.25" customHeight="1">
      <c r="K41" s="26"/>
      <c r="L41" s="27"/>
      <c r="M41" s="27"/>
      <c r="N41" s="27"/>
    </row>
    <row r="42" ht="14.25" customHeight="1">
      <c r="K42" s="26"/>
      <c r="L42" s="27"/>
      <c r="M42" s="27"/>
      <c r="N42" s="27"/>
    </row>
    <row r="43" ht="14.25" customHeight="1">
      <c r="K43" s="26"/>
      <c r="L43" s="27"/>
      <c r="M43" s="27"/>
      <c r="N43" s="27"/>
    </row>
    <row r="44" ht="14.25" customHeight="1">
      <c r="K44" s="26"/>
      <c r="L44" s="27"/>
      <c r="M44" s="27"/>
      <c r="N44" s="27"/>
    </row>
    <row r="45" ht="14.25" customHeight="1">
      <c r="K45" s="26"/>
      <c r="L45" s="27"/>
      <c r="M45" s="27"/>
      <c r="N45" s="27"/>
    </row>
    <row r="46" ht="14.25" customHeight="1">
      <c r="K46" s="26"/>
      <c r="L46" s="27"/>
      <c r="M46" s="27"/>
      <c r="N46" s="27"/>
    </row>
    <row r="47" ht="14.25" customHeight="1">
      <c r="K47" s="26"/>
      <c r="L47" s="27"/>
      <c r="M47" s="27"/>
      <c r="N47" s="27"/>
    </row>
    <row r="48" ht="14.25" customHeight="1">
      <c r="K48" s="26"/>
      <c r="L48" s="27"/>
      <c r="M48" s="27"/>
      <c r="N48" s="27"/>
    </row>
    <row r="49" ht="14.25" customHeight="1">
      <c r="K49" s="26"/>
      <c r="L49" s="27"/>
      <c r="M49" s="27"/>
      <c r="N49" s="27"/>
    </row>
    <row r="50" ht="14.25" customHeight="1">
      <c r="K50" s="26"/>
      <c r="L50" s="27"/>
      <c r="M50" s="27"/>
      <c r="N50" s="27"/>
    </row>
    <row r="51" ht="14.25" customHeight="1">
      <c r="K51" s="26"/>
      <c r="L51" s="27"/>
      <c r="M51" s="27"/>
      <c r="N51" s="27"/>
    </row>
    <row r="52" ht="14.25" customHeight="1">
      <c r="K52" s="26"/>
      <c r="L52" s="27"/>
      <c r="M52" s="27"/>
      <c r="N52" s="27"/>
    </row>
    <row r="53" ht="14.25" customHeight="1">
      <c r="K53" s="26"/>
      <c r="L53" s="27"/>
      <c r="M53" s="27"/>
      <c r="N53" s="27"/>
    </row>
    <row r="54" ht="14.25" customHeight="1">
      <c r="K54" s="26"/>
      <c r="L54" s="27"/>
      <c r="M54" s="27"/>
      <c r="N54" s="27"/>
    </row>
    <row r="55" ht="14.25" customHeight="1">
      <c r="K55" s="26"/>
      <c r="L55" s="27"/>
      <c r="M55" s="27"/>
      <c r="N55" s="27"/>
    </row>
    <row r="56" ht="14.25" customHeight="1">
      <c r="K56" s="26"/>
      <c r="L56" s="27"/>
      <c r="M56" s="27"/>
      <c r="N56" s="27"/>
    </row>
    <row r="57" ht="14.25" customHeight="1">
      <c r="K57" s="26"/>
      <c r="L57" s="27"/>
      <c r="M57" s="27"/>
      <c r="N57" s="27"/>
    </row>
    <row r="58" ht="14.25" customHeight="1">
      <c r="K58" s="26"/>
      <c r="L58" s="27"/>
      <c r="M58" s="27"/>
      <c r="N58" s="27"/>
    </row>
    <row r="59" ht="14.25" customHeight="1">
      <c r="K59" s="26"/>
      <c r="L59" s="27"/>
      <c r="M59" s="27"/>
      <c r="N59" s="27"/>
    </row>
    <row r="60" ht="14.25" customHeight="1">
      <c r="K60" s="26"/>
      <c r="L60" s="27"/>
      <c r="M60" s="27"/>
      <c r="N60" s="27"/>
    </row>
    <row r="61" ht="14.25" customHeight="1">
      <c r="K61" s="26"/>
      <c r="L61" s="27"/>
      <c r="M61" s="27"/>
      <c r="N61" s="27"/>
    </row>
    <row r="62" ht="14.25" customHeight="1">
      <c r="K62" s="26"/>
      <c r="L62" s="27"/>
      <c r="M62" s="27"/>
      <c r="N62" s="27"/>
    </row>
    <row r="63" ht="14.25" customHeight="1">
      <c r="K63" s="26"/>
      <c r="L63" s="27"/>
      <c r="M63" s="27"/>
      <c r="N63" s="27"/>
    </row>
    <row r="64" ht="14.25" customHeight="1">
      <c r="K64" s="26"/>
      <c r="L64" s="27"/>
      <c r="M64" s="27"/>
      <c r="N64" s="27"/>
    </row>
    <row r="65" ht="14.25" customHeight="1">
      <c r="K65" s="26"/>
      <c r="L65" s="27"/>
      <c r="M65" s="27"/>
      <c r="N65" s="27"/>
    </row>
    <row r="66" ht="14.25" customHeight="1">
      <c r="K66" s="26"/>
      <c r="L66" s="27"/>
      <c r="M66" s="27"/>
      <c r="N66" s="27"/>
    </row>
    <row r="67" ht="14.25" customHeight="1">
      <c r="K67" s="26"/>
      <c r="L67" s="27"/>
      <c r="M67" s="27"/>
      <c r="N67" s="27"/>
    </row>
    <row r="68" ht="14.25" customHeight="1">
      <c r="K68" s="26"/>
      <c r="L68" s="27"/>
      <c r="M68" s="27"/>
      <c r="N68" s="27"/>
    </row>
    <row r="69" ht="14.25" customHeight="1">
      <c r="K69" s="26"/>
      <c r="L69" s="27"/>
      <c r="M69" s="27"/>
      <c r="N69" s="27"/>
    </row>
    <row r="70" ht="14.25" customHeight="1">
      <c r="K70" s="26"/>
      <c r="L70" s="27"/>
      <c r="M70" s="27"/>
      <c r="N70" s="27"/>
    </row>
    <row r="71" ht="14.25" customHeight="1">
      <c r="K71" s="26"/>
      <c r="L71" s="27"/>
      <c r="M71" s="27"/>
      <c r="N71" s="27"/>
    </row>
    <row r="72" ht="14.25" customHeight="1">
      <c r="K72" s="26"/>
      <c r="L72" s="27"/>
      <c r="M72" s="27"/>
      <c r="N72" s="27"/>
    </row>
    <row r="73" ht="14.25" customHeight="1">
      <c r="K73" s="26"/>
      <c r="L73" s="27"/>
      <c r="M73" s="27"/>
      <c r="N73" s="27"/>
    </row>
    <row r="74" ht="14.25" customHeight="1">
      <c r="K74" s="26"/>
      <c r="L74" s="27"/>
      <c r="M74" s="27"/>
      <c r="N74" s="27"/>
    </row>
    <row r="75" ht="14.25" customHeight="1">
      <c r="K75" s="26"/>
      <c r="L75" s="27"/>
      <c r="M75" s="27"/>
      <c r="N75" s="27"/>
    </row>
    <row r="76" ht="14.25" customHeight="1">
      <c r="K76" s="26"/>
      <c r="L76" s="27"/>
      <c r="M76" s="27"/>
      <c r="N76" s="27"/>
    </row>
    <row r="77" ht="14.25" customHeight="1">
      <c r="K77" s="26"/>
      <c r="L77" s="27"/>
      <c r="M77" s="27"/>
      <c r="N77" s="27"/>
    </row>
    <row r="78" ht="14.25" customHeight="1">
      <c r="K78" s="26"/>
      <c r="L78" s="27"/>
      <c r="M78" s="27"/>
      <c r="N78" s="27"/>
    </row>
    <row r="79" ht="14.25" customHeight="1">
      <c r="K79" s="26"/>
      <c r="L79" s="27"/>
      <c r="M79" s="27"/>
      <c r="N79" s="27"/>
    </row>
    <row r="80" ht="14.25" customHeight="1">
      <c r="K80" s="26"/>
      <c r="L80" s="27"/>
      <c r="M80" s="27"/>
      <c r="N80" s="27"/>
    </row>
    <row r="81" ht="14.25" customHeight="1">
      <c r="K81" s="26"/>
      <c r="L81" s="27"/>
      <c r="M81" s="27"/>
      <c r="N81" s="27"/>
    </row>
    <row r="82" ht="14.25" customHeight="1">
      <c r="K82" s="26"/>
      <c r="L82" s="27"/>
      <c r="M82" s="27"/>
      <c r="N82" s="27"/>
    </row>
    <row r="83" ht="14.25" customHeight="1">
      <c r="K83" s="26"/>
      <c r="L83" s="27"/>
      <c r="M83" s="27"/>
      <c r="N83" s="27"/>
    </row>
    <row r="84" ht="14.25" customHeight="1">
      <c r="K84" s="26"/>
      <c r="L84" s="27"/>
      <c r="M84" s="27"/>
      <c r="N84" s="27"/>
    </row>
    <row r="85" ht="14.25" customHeight="1">
      <c r="K85" s="26"/>
      <c r="L85" s="27"/>
      <c r="M85" s="27"/>
      <c r="N85" s="27"/>
    </row>
    <row r="86" ht="14.25" customHeight="1">
      <c r="K86" s="26"/>
      <c r="L86" s="27"/>
      <c r="M86" s="27"/>
      <c r="N86" s="27"/>
    </row>
    <row r="87" ht="14.25" customHeight="1">
      <c r="K87" s="26"/>
      <c r="L87" s="27"/>
      <c r="M87" s="27"/>
      <c r="N87" s="27"/>
    </row>
    <row r="88" ht="14.25" customHeight="1">
      <c r="K88" s="26"/>
      <c r="L88" s="27"/>
      <c r="M88" s="27"/>
      <c r="N88" s="27"/>
    </row>
    <row r="89" ht="14.25" customHeight="1">
      <c r="K89" s="26"/>
      <c r="L89" s="27"/>
      <c r="M89" s="27"/>
      <c r="N89" s="27"/>
    </row>
    <row r="90" ht="14.25" customHeight="1">
      <c r="K90" s="26"/>
      <c r="L90" s="27"/>
      <c r="M90" s="27"/>
      <c r="N90" s="27"/>
    </row>
    <row r="91" ht="14.25" customHeight="1">
      <c r="K91" s="26"/>
      <c r="L91" s="27"/>
      <c r="M91" s="27"/>
      <c r="N91" s="27"/>
    </row>
    <row r="92" ht="14.25" customHeight="1">
      <c r="K92" s="26"/>
      <c r="L92" s="27"/>
      <c r="M92" s="27"/>
      <c r="N92" s="27"/>
    </row>
    <row r="93" ht="14.25" customHeight="1">
      <c r="K93" s="26"/>
      <c r="L93" s="27"/>
      <c r="M93" s="27"/>
      <c r="N93" s="27"/>
    </row>
    <row r="94" ht="14.25" customHeight="1">
      <c r="K94" s="26"/>
      <c r="L94" s="27"/>
      <c r="M94" s="27"/>
      <c r="N94" s="27"/>
    </row>
    <row r="95" ht="14.25" customHeight="1">
      <c r="K95" s="26"/>
      <c r="L95" s="27"/>
      <c r="M95" s="27"/>
      <c r="N95" s="27"/>
    </row>
    <row r="96" ht="14.25" customHeight="1">
      <c r="K96" s="26"/>
      <c r="L96" s="27"/>
      <c r="M96" s="27"/>
      <c r="N96" s="27"/>
    </row>
    <row r="97" ht="14.25" customHeight="1">
      <c r="K97" s="26"/>
      <c r="L97" s="27"/>
      <c r="M97" s="27"/>
      <c r="N97" s="27"/>
    </row>
    <row r="98" ht="14.25" customHeight="1">
      <c r="K98" s="26"/>
      <c r="L98" s="27"/>
      <c r="M98" s="27"/>
      <c r="N98" s="27"/>
    </row>
    <row r="99" ht="14.25" customHeight="1">
      <c r="K99" s="26"/>
      <c r="L99" s="27"/>
      <c r="M99" s="27"/>
      <c r="N99" s="27"/>
    </row>
    <row r="100" ht="14.25" customHeight="1">
      <c r="K100" s="26"/>
      <c r="L100" s="27"/>
      <c r="M100" s="27"/>
      <c r="N100" s="27"/>
    </row>
    <row r="101" ht="14.25" customHeight="1">
      <c r="K101" s="26"/>
      <c r="L101" s="27"/>
      <c r="M101" s="27"/>
      <c r="N101" s="27"/>
    </row>
    <row r="102" ht="14.25" customHeight="1">
      <c r="K102" s="26"/>
      <c r="L102" s="27"/>
      <c r="M102" s="27"/>
      <c r="N102" s="27"/>
    </row>
    <row r="103" ht="14.25" customHeight="1">
      <c r="K103" s="26"/>
      <c r="L103" s="27"/>
      <c r="M103" s="27"/>
      <c r="N103" s="27"/>
    </row>
    <row r="104" ht="14.25" customHeight="1">
      <c r="K104" s="26"/>
      <c r="L104" s="27"/>
      <c r="M104" s="27"/>
      <c r="N104" s="27"/>
    </row>
    <row r="105" ht="14.25" customHeight="1">
      <c r="K105" s="26"/>
      <c r="L105" s="27"/>
      <c r="M105" s="27"/>
      <c r="N105" s="27"/>
    </row>
    <row r="106" ht="14.25" customHeight="1">
      <c r="K106" s="26"/>
      <c r="L106" s="27"/>
      <c r="M106" s="27"/>
      <c r="N106" s="27"/>
    </row>
    <row r="107" ht="14.25" customHeight="1">
      <c r="K107" s="26"/>
      <c r="L107" s="27"/>
      <c r="M107" s="27"/>
      <c r="N107" s="27"/>
    </row>
    <row r="108" ht="14.25" customHeight="1">
      <c r="K108" s="26"/>
      <c r="L108" s="27"/>
      <c r="M108" s="27"/>
      <c r="N108" s="27"/>
    </row>
    <row r="109" ht="14.25" customHeight="1">
      <c r="K109" s="26"/>
      <c r="L109" s="27"/>
      <c r="M109" s="27"/>
      <c r="N109" s="27"/>
    </row>
    <row r="110" ht="14.25" customHeight="1">
      <c r="K110" s="26"/>
      <c r="L110" s="27"/>
      <c r="M110" s="27"/>
      <c r="N110" s="27"/>
    </row>
    <row r="111" ht="14.25" customHeight="1">
      <c r="K111" s="26"/>
      <c r="L111" s="27"/>
      <c r="M111" s="27"/>
      <c r="N111" s="27"/>
    </row>
    <row r="112" ht="14.25" customHeight="1">
      <c r="K112" s="26"/>
      <c r="L112" s="27"/>
      <c r="M112" s="27"/>
      <c r="N112" s="27"/>
    </row>
    <row r="113" ht="14.25" customHeight="1">
      <c r="K113" s="26"/>
      <c r="L113" s="27"/>
      <c r="M113" s="27"/>
      <c r="N113" s="27"/>
    </row>
    <row r="114" ht="14.25" customHeight="1">
      <c r="K114" s="26"/>
      <c r="L114" s="27"/>
      <c r="M114" s="27"/>
      <c r="N114" s="27"/>
    </row>
    <row r="115" ht="14.25" customHeight="1">
      <c r="K115" s="26"/>
      <c r="L115" s="27"/>
      <c r="M115" s="27"/>
      <c r="N115" s="27"/>
    </row>
    <row r="116" ht="14.25" customHeight="1">
      <c r="K116" s="26"/>
      <c r="L116" s="27"/>
      <c r="M116" s="27"/>
      <c r="N116" s="27"/>
    </row>
    <row r="117" ht="14.25" customHeight="1">
      <c r="K117" s="26"/>
      <c r="L117" s="27"/>
      <c r="M117" s="27"/>
      <c r="N117" s="27"/>
    </row>
    <row r="118" ht="14.25" customHeight="1">
      <c r="K118" s="26"/>
      <c r="L118" s="27"/>
      <c r="M118" s="27"/>
      <c r="N118" s="27"/>
    </row>
    <row r="119" ht="14.25" customHeight="1">
      <c r="K119" s="26"/>
      <c r="L119" s="27"/>
      <c r="M119" s="27"/>
      <c r="N119" s="27"/>
    </row>
    <row r="120" ht="14.25" customHeight="1">
      <c r="K120" s="26"/>
      <c r="L120" s="27"/>
      <c r="M120" s="27"/>
      <c r="N120" s="27"/>
    </row>
    <row r="121" ht="14.25" customHeight="1">
      <c r="K121" s="26"/>
      <c r="L121" s="27"/>
      <c r="M121" s="27"/>
      <c r="N121" s="27"/>
    </row>
    <row r="122" ht="14.25" customHeight="1">
      <c r="K122" s="26"/>
      <c r="L122" s="27"/>
      <c r="M122" s="27"/>
      <c r="N122" s="27"/>
    </row>
    <row r="123" ht="14.25" customHeight="1">
      <c r="K123" s="26"/>
      <c r="L123" s="27"/>
      <c r="M123" s="27"/>
      <c r="N123" s="27"/>
    </row>
    <row r="124" ht="14.25" customHeight="1">
      <c r="K124" s="26"/>
      <c r="L124" s="27"/>
      <c r="M124" s="27"/>
      <c r="N124" s="27"/>
    </row>
    <row r="125" ht="14.25" customHeight="1">
      <c r="K125" s="26"/>
      <c r="L125" s="27"/>
      <c r="M125" s="27"/>
      <c r="N125" s="27"/>
    </row>
    <row r="126" ht="14.25" customHeight="1">
      <c r="K126" s="26"/>
      <c r="L126" s="27"/>
      <c r="M126" s="27"/>
      <c r="N126" s="27"/>
    </row>
    <row r="127" ht="14.25" customHeight="1">
      <c r="K127" s="26"/>
      <c r="L127" s="27"/>
      <c r="M127" s="27"/>
      <c r="N127" s="27"/>
    </row>
    <row r="128" ht="14.25" customHeight="1">
      <c r="K128" s="26"/>
      <c r="L128" s="27"/>
      <c r="M128" s="27"/>
      <c r="N128" s="27"/>
    </row>
    <row r="129" ht="14.25" customHeight="1">
      <c r="K129" s="26"/>
      <c r="L129" s="27"/>
      <c r="M129" s="27"/>
      <c r="N129" s="27"/>
    </row>
    <row r="130" ht="14.25" customHeight="1">
      <c r="K130" s="26"/>
      <c r="L130" s="27"/>
      <c r="M130" s="27"/>
      <c r="N130" s="27"/>
    </row>
    <row r="131" ht="14.25" customHeight="1">
      <c r="K131" s="26"/>
      <c r="L131" s="27"/>
      <c r="M131" s="27"/>
      <c r="N131" s="27"/>
    </row>
    <row r="132" ht="14.25" customHeight="1">
      <c r="K132" s="26"/>
      <c r="L132" s="27"/>
      <c r="M132" s="27"/>
      <c r="N132" s="27"/>
    </row>
    <row r="133" ht="14.25" customHeight="1">
      <c r="K133" s="26"/>
      <c r="L133" s="27"/>
      <c r="M133" s="27"/>
      <c r="N133" s="27"/>
    </row>
    <row r="134" ht="14.25" customHeight="1">
      <c r="K134" s="26"/>
      <c r="L134" s="27"/>
      <c r="M134" s="27"/>
      <c r="N134" s="27"/>
    </row>
    <row r="135" ht="14.25" customHeight="1">
      <c r="K135" s="26"/>
      <c r="L135" s="27"/>
      <c r="M135" s="27"/>
      <c r="N135" s="27"/>
    </row>
    <row r="136" ht="14.25" customHeight="1">
      <c r="K136" s="26"/>
      <c r="L136" s="27"/>
      <c r="M136" s="27"/>
      <c r="N136" s="27"/>
    </row>
    <row r="137" ht="14.25" customHeight="1">
      <c r="K137" s="26"/>
      <c r="L137" s="27"/>
      <c r="M137" s="27"/>
      <c r="N137" s="27"/>
    </row>
    <row r="138" ht="14.25" customHeight="1">
      <c r="K138" s="26"/>
      <c r="L138" s="27"/>
      <c r="M138" s="27"/>
      <c r="N138" s="27"/>
    </row>
    <row r="139" ht="14.25" customHeight="1">
      <c r="K139" s="26"/>
      <c r="L139" s="27"/>
      <c r="M139" s="27"/>
      <c r="N139" s="27"/>
    </row>
    <row r="140" ht="14.25" customHeight="1">
      <c r="K140" s="26"/>
      <c r="L140" s="27"/>
      <c r="M140" s="27"/>
      <c r="N140" s="27"/>
    </row>
    <row r="141" ht="14.25" customHeight="1">
      <c r="K141" s="26"/>
      <c r="L141" s="27"/>
      <c r="M141" s="27"/>
      <c r="N141" s="27"/>
    </row>
    <row r="142" ht="14.25" customHeight="1">
      <c r="K142" s="26"/>
      <c r="L142" s="27"/>
      <c r="M142" s="27"/>
      <c r="N142" s="27"/>
    </row>
    <row r="143" ht="14.25" customHeight="1">
      <c r="K143" s="26"/>
      <c r="L143" s="27"/>
      <c r="M143" s="27"/>
      <c r="N143" s="27"/>
    </row>
    <row r="144" ht="14.25" customHeight="1">
      <c r="K144" s="26"/>
      <c r="L144" s="27"/>
      <c r="M144" s="27"/>
      <c r="N144" s="27"/>
    </row>
    <row r="145" ht="14.25" customHeight="1">
      <c r="K145" s="26"/>
      <c r="L145" s="27"/>
      <c r="M145" s="27"/>
      <c r="N145" s="27"/>
    </row>
    <row r="146" ht="14.25" customHeight="1">
      <c r="K146" s="26"/>
      <c r="L146" s="27"/>
      <c r="M146" s="27"/>
      <c r="N146" s="27"/>
    </row>
    <row r="147" ht="14.25" customHeight="1">
      <c r="K147" s="26"/>
      <c r="L147" s="27"/>
      <c r="M147" s="27"/>
      <c r="N147" s="27"/>
    </row>
    <row r="148" ht="14.25" customHeight="1">
      <c r="K148" s="26"/>
      <c r="L148" s="27"/>
      <c r="M148" s="27"/>
      <c r="N148" s="27"/>
    </row>
    <row r="149" ht="14.25" customHeight="1">
      <c r="K149" s="26"/>
      <c r="L149" s="27"/>
      <c r="M149" s="27"/>
      <c r="N149" s="27"/>
    </row>
    <row r="150" ht="14.25" customHeight="1">
      <c r="K150" s="26"/>
      <c r="L150" s="27"/>
      <c r="M150" s="27"/>
      <c r="N150" s="27"/>
    </row>
    <row r="151" ht="14.25" customHeight="1">
      <c r="K151" s="26"/>
      <c r="L151" s="27"/>
      <c r="M151" s="27"/>
      <c r="N151" s="27"/>
    </row>
    <row r="152" ht="14.25" customHeight="1">
      <c r="K152" s="26"/>
      <c r="L152" s="27"/>
      <c r="M152" s="27"/>
      <c r="N152" s="27"/>
    </row>
    <row r="153" ht="14.25" customHeight="1">
      <c r="K153" s="26"/>
      <c r="L153" s="27"/>
      <c r="M153" s="27"/>
      <c r="N153" s="27"/>
    </row>
    <row r="154" ht="14.25" customHeight="1">
      <c r="K154" s="26"/>
      <c r="L154" s="27"/>
      <c r="M154" s="27"/>
      <c r="N154" s="27"/>
    </row>
    <row r="155" ht="14.25" customHeight="1">
      <c r="K155" s="26"/>
      <c r="L155" s="27"/>
      <c r="M155" s="27"/>
      <c r="N155" s="27"/>
    </row>
    <row r="156" ht="14.25" customHeight="1">
      <c r="K156" s="26"/>
      <c r="L156" s="27"/>
      <c r="M156" s="27"/>
      <c r="N156" s="27"/>
    </row>
    <row r="157" ht="14.25" customHeight="1">
      <c r="K157" s="26"/>
      <c r="L157" s="27"/>
      <c r="M157" s="27"/>
      <c r="N157" s="27"/>
    </row>
    <row r="158" ht="14.25" customHeight="1">
      <c r="K158" s="26"/>
      <c r="L158" s="27"/>
      <c r="M158" s="27"/>
      <c r="N158" s="27"/>
    </row>
    <row r="159" ht="14.25" customHeight="1">
      <c r="K159" s="26"/>
      <c r="L159" s="27"/>
      <c r="M159" s="27"/>
      <c r="N159" s="27"/>
    </row>
    <row r="160" ht="14.25" customHeight="1">
      <c r="K160" s="26"/>
      <c r="L160" s="27"/>
      <c r="M160" s="27"/>
      <c r="N160" s="27"/>
    </row>
    <row r="161" ht="14.25" customHeight="1">
      <c r="K161" s="26"/>
      <c r="L161" s="27"/>
      <c r="M161" s="27"/>
      <c r="N161" s="27"/>
    </row>
    <row r="162" ht="14.25" customHeight="1">
      <c r="K162" s="26"/>
      <c r="L162" s="27"/>
      <c r="M162" s="27"/>
      <c r="N162" s="27"/>
    </row>
    <row r="163" ht="14.25" customHeight="1">
      <c r="K163" s="26"/>
      <c r="L163" s="27"/>
      <c r="M163" s="27"/>
      <c r="N163" s="27"/>
    </row>
    <row r="164" ht="14.25" customHeight="1">
      <c r="K164" s="26"/>
      <c r="L164" s="27"/>
      <c r="M164" s="27"/>
      <c r="N164" s="27"/>
    </row>
    <row r="165" ht="14.25" customHeight="1">
      <c r="K165" s="26"/>
      <c r="L165" s="27"/>
      <c r="M165" s="27"/>
      <c r="N165" s="27"/>
    </row>
    <row r="166" ht="14.25" customHeight="1">
      <c r="K166" s="26"/>
      <c r="L166" s="27"/>
      <c r="M166" s="27"/>
      <c r="N166" s="27"/>
    </row>
    <row r="167" ht="14.25" customHeight="1">
      <c r="K167" s="26"/>
      <c r="L167" s="27"/>
      <c r="M167" s="27"/>
      <c r="N167" s="27"/>
    </row>
    <row r="168" ht="14.25" customHeight="1">
      <c r="K168" s="26"/>
      <c r="L168" s="27"/>
      <c r="M168" s="27"/>
      <c r="N168" s="27"/>
    </row>
    <row r="169" ht="14.25" customHeight="1">
      <c r="K169" s="26"/>
      <c r="L169" s="27"/>
      <c r="M169" s="27"/>
      <c r="N169" s="27"/>
    </row>
    <row r="170" ht="14.25" customHeight="1">
      <c r="K170" s="26"/>
      <c r="L170" s="27"/>
      <c r="M170" s="27"/>
      <c r="N170" s="27"/>
    </row>
    <row r="171" ht="14.25" customHeight="1">
      <c r="K171" s="26"/>
      <c r="L171" s="27"/>
      <c r="M171" s="27"/>
      <c r="N171" s="27"/>
    </row>
    <row r="172" ht="14.25" customHeight="1">
      <c r="K172" s="26"/>
      <c r="L172" s="27"/>
      <c r="M172" s="27"/>
      <c r="N172" s="27"/>
    </row>
    <row r="173" ht="14.25" customHeight="1">
      <c r="K173" s="26"/>
      <c r="L173" s="27"/>
      <c r="M173" s="27"/>
      <c r="N173" s="27"/>
    </row>
    <row r="174" ht="14.25" customHeight="1">
      <c r="K174" s="26"/>
      <c r="L174" s="27"/>
      <c r="M174" s="27"/>
      <c r="N174" s="27"/>
    </row>
    <row r="175" ht="14.25" customHeight="1">
      <c r="K175" s="26"/>
      <c r="L175" s="27"/>
      <c r="M175" s="27"/>
      <c r="N175" s="27"/>
    </row>
    <row r="176" ht="14.25" customHeight="1">
      <c r="K176" s="26"/>
      <c r="L176" s="27"/>
      <c r="M176" s="27"/>
      <c r="N176" s="27"/>
    </row>
    <row r="177" ht="14.25" customHeight="1">
      <c r="K177" s="26"/>
      <c r="L177" s="27"/>
      <c r="M177" s="27"/>
      <c r="N177" s="27"/>
    </row>
    <row r="178" ht="14.25" customHeight="1">
      <c r="K178" s="26"/>
      <c r="L178" s="27"/>
      <c r="M178" s="27"/>
      <c r="N178" s="27"/>
    </row>
    <row r="179" ht="14.25" customHeight="1">
      <c r="K179" s="26"/>
      <c r="L179" s="27"/>
      <c r="M179" s="27"/>
      <c r="N179" s="27"/>
    </row>
    <row r="180" ht="14.25" customHeight="1">
      <c r="K180" s="26"/>
      <c r="L180" s="27"/>
      <c r="M180" s="27"/>
      <c r="N180" s="27"/>
    </row>
    <row r="181" ht="14.25" customHeight="1">
      <c r="K181" s="26"/>
      <c r="L181" s="27"/>
      <c r="M181" s="27"/>
      <c r="N181" s="27"/>
    </row>
    <row r="182" ht="14.25" customHeight="1">
      <c r="K182" s="26"/>
      <c r="L182" s="27"/>
      <c r="M182" s="27"/>
      <c r="N182" s="27"/>
    </row>
    <row r="183" ht="14.25" customHeight="1">
      <c r="K183" s="26"/>
      <c r="L183" s="27"/>
      <c r="M183" s="27"/>
      <c r="N183" s="27"/>
    </row>
    <row r="184" ht="14.25" customHeight="1">
      <c r="K184" s="26"/>
      <c r="L184" s="27"/>
      <c r="M184" s="27"/>
      <c r="N184" s="27"/>
    </row>
    <row r="185" ht="14.25" customHeight="1">
      <c r="K185" s="26"/>
      <c r="L185" s="27"/>
      <c r="M185" s="27"/>
      <c r="N185" s="27"/>
    </row>
    <row r="186" ht="14.25" customHeight="1">
      <c r="K186" s="26"/>
      <c r="L186" s="27"/>
      <c r="M186" s="27"/>
      <c r="N186" s="27"/>
    </row>
    <row r="187" ht="14.25" customHeight="1">
      <c r="K187" s="26"/>
      <c r="L187" s="27"/>
      <c r="M187" s="27"/>
      <c r="N187" s="27"/>
    </row>
    <row r="188" ht="14.25" customHeight="1">
      <c r="K188" s="26"/>
      <c r="L188" s="27"/>
      <c r="M188" s="27"/>
      <c r="N188" s="27"/>
    </row>
    <row r="189" ht="14.25" customHeight="1">
      <c r="K189" s="26"/>
      <c r="L189" s="27"/>
      <c r="M189" s="27"/>
      <c r="N189" s="27"/>
    </row>
    <row r="190" ht="14.25" customHeight="1">
      <c r="K190" s="26"/>
      <c r="L190" s="27"/>
      <c r="M190" s="27"/>
      <c r="N190" s="27"/>
    </row>
    <row r="191" ht="14.25" customHeight="1">
      <c r="K191" s="26"/>
      <c r="L191" s="27"/>
      <c r="M191" s="27"/>
      <c r="N191" s="27"/>
    </row>
    <row r="192" ht="14.25" customHeight="1">
      <c r="K192" s="26"/>
      <c r="L192" s="27"/>
      <c r="M192" s="27"/>
      <c r="N192" s="27"/>
    </row>
    <row r="193" ht="14.25" customHeight="1">
      <c r="K193" s="26"/>
      <c r="L193" s="27"/>
      <c r="M193" s="27"/>
      <c r="N193" s="27"/>
    </row>
    <row r="194" ht="14.25" customHeight="1">
      <c r="K194" s="26"/>
      <c r="L194" s="27"/>
      <c r="M194" s="27"/>
      <c r="N194" s="27"/>
    </row>
    <row r="195" ht="14.25" customHeight="1">
      <c r="K195" s="26"/>
      <c r="L195" s="27"/>
      <c r="M195" s="27"/>
      <c r="N195" s="27"/>
    </row>
    <row r="196" ht="14.25" customHeight="1">
      <c r="K196" s="26"/>
      <c r="L196" s="27"/>
      <c r="M196" s="27"/>
      <c r="N196" s="27"/>
    </row>
    <row r="197" ht="14.25" customHeight="1">
      <c r="K197" s="26"/>
      <c r="L197" s="27"/>
      <c r="M197" s="27"/>
      <c r="N197" s="27"/>
    </row>
    <row r="198" ht="14.25" customHeight="1">
      <c r="K198" s="26"/>
      <c r="L198" s="27"/>
      <c r="M198" s="27"/>
      <c r="N198" s="27"/>
    </row>
    <row r="199" ht="14.25" customHeight="1">
      <c r="K199" s="26"/>
      <c r="L199" s="27"/>
      <c r="M199" s="27"/>
      <c r="N199" s="27"/>
    </row>
    <row r="200" ht="14.25" customHeight="1">
      <c r="K200" s="26"/>
      <c r="L200" s="27"/>
      <c r="M200" s="27"/>
      <c r="N200" s="27"/>
    </row>
    <row r="201" ht="14.25" customHeight="1">
      <c r="K201" s="26"/>
      <c r="L201" s="27"/>
      <c r="M201" s="27"/>
      <c r="N201" s="27"/>
    </row>
    <row r="202" ht="14.25" customHeight="1">
      <c r="K202" s="26"/>
      <c r="L202" s="27"/>
      <c r="M202" s="27"/>
      <c r="N202" s="27"/>
    </row>
    <row r="203" ht="14.25" customHeight="1">
      <c r="K203" s="26"/>
      <c r="L203" s="27"/>
      <c r="M203" s="27"/>
      <c r="N203" s="27"/>
    </row>
    <row r="204" ht="14.25" customHeight="1">
      <c r="K204" s="26"/>
      <c r="L204" s="27"/>
      <c r="M204" s="27"/>
      <c r="N204" s="27"/>
    </row>
    <row r="205" ht="14.25" customHeight="1">
      <c r="K205" s="26"/>
      <c r="L205" s="27"/>
      <c r="M205" s="27"/>
      <c r="N205" s="27"/>
    </row>
    <row r="206" ht="14.25" customHeight="1">
      <c r="K206" s="26"/>
      <c r="L206" s="27"/>
      <c r="M206" s="27"/>
      <c r="N206" s="27"/>
    </row>
    <row r="207" ht="14.25" customHeight="1">
      <c r="K207" s="26"/>
      <c r="L207" s="27"/>
      <c r="M207" s="27"/>
      <c r="N207" s="27"/>
    </row>
    <row r="208" ht="14.25" customHeight="1">
      <c r="K208" s="26"/>
      <c r="L208" s="27"/>
      <c r="M208" s="27"/>
      <c r="N208" s="27"/>
    </row>
    <row r="209" ht="14.25" customHeight="1">
      <c r="K209" s="26"/>
      <c r="L209" s="27"/>
      <c r="M209" s="27"/>
      <c r="N209" s="27"/>
    </row>
    <row r="210" ht="14.25" customHeight="1">
      <c r="K210" s="26"/>
      <c r="L210" s="27"/>
      <c r="M210" s="27"/>
      <c r="N210" s="27"/>
    </row>
    <row r="211" ht="14.25" customHeight="1">
      <c r="K211" s="26"/>
      <c r="L211" s="27"/>
      <c r="M211" s="27"/>
      <c r="N211" s="27"/>
    </row>
    <row r="212" ht="14.25" customHeight="1">
      <c r="K212" s="26"/>
      <c r="L212" s="27"/>
      <c r="M212" s="27"/>
      <c r="N212" s="27"/>
    </row>
    <row r="213" ht="14.25" customHeight="1">
      <c r="K213" s="26"/>
      <c r="L213" s="27"/>
      <c r="M213" s="27"/>
      <c r="N213" s="27"/>
    </row>
    <row r="214" ht="14.25" customHeight="1">
      <c r="K214" s="26"/>
      <c r="L214" s="27"/>
      <c r="M214" s="27"/>
      <c r="N214" s="27"/>
    </row>
    <row r="215" ht="14.25" customHeight="1">
      <c r="K215" s="26"/>
      <c r="L215" s="27"/>
      <c r="M215" s="27"/>
      <c r="N215" s="27"/>
    </row>
    <row r="216" ht="14.25" customHeight="1">
      <c r="K216" s="26"/>
      <c r="L216" s="27"/>
      <c r="M216" s="27"/>
      <c r="N216" s="27"/>
    </row>
    <row r="217" ht="14.25" customHeight="1">
      <c r="K217" s="26"/>
      <c r="L217" s="27"/>
      <c r="M217" s="27"/>
      <c r="N217" s="27"/>
    </row>
    <row r="218" ht="14.25" customHeight="1">
      <c r="K218" s="26"/>
      <c r="L218" s="27"/>
      <c r="M218" s="27"/>
      <c r="N218" s="27"/>
    </row>
    <row r="219" ht="14.25" customHeight="1">
      <c r="K219" s="26"/>
      <c r="L219" s="27"/>
      <c r="M219" s="27"/>
      <c r="N219" s="27"/>
    </row>
    <row r="220" ht="14.25" customHeight="1">
      <c r="K220" s="26"/>
      <c r="L220" s="27"/>
      <c r="M220" s="27"/>
      <c r="N220" s="27"/>
    </row>
    <row r="221" ht="14.25" customHeight="1">
      <c r="K221" s="26"/>
      <c r="L221" s="27"/>
      <c r="M221" s="27"/>
      <c r="N221" s="27"/>
    </row>
    <row r="222" ht="14.25" customHeight="1">
      <c r="K222" s="26"/>
      <c r="L222" s="27"/>
      <c r="M222" s="27"/>
      <c r="N222" s="27"/>
    </row>
    <row r="223" ht="14.25" customHeight="1">
      <c r="K223" s="26"/>
      <c r="L223" s="27"/>
      <c r="M223" s="27"/>
      <c r="N223" s="27"/>
    </row>
    <row r="224" ht="14.25" customHeight="1">
      <c r="K224" s="26"/>
      <c r="L224" s="27"/>
      <c r="M224" s="27"/>
      <c r="N224" s="27"/>
    </row>
    <row r="225" ht="14.25" customHeight="1">
      <c r="K225" s="26"/>
      <c r="L225" s="27"/>
      <c r="M225" s="27"/>
      <c r="N225" s="27"/>
    </row>
    <row r="226" ht="14.25" customHeight="1">
      <c r="K226" s="26"/>
      <c r="L226" s="27"/>
      <c r="M226" s="27"/>
      <c r="N226" s="27"/>
    </row>
    <row r="227" ht="14.25" customHeight="1">
      <c r="K227" s="26"/>
      <c r="L227" s="27"/>
      <c r="M227" s="27"/>
      <c r="N227" s="27"/>
    </row>
    <row r="228" ht="14.25" customHeight="1">
      <c r="K228" s="26"/>
      <c r="L228" s="27"/>
      <c r="M228" s="27"/>
      <c r="N228" s="27"/>
    </row>
    <row r="229" ht="14.25" customHeight="1">
      <c r="K229" s="26"/>
      <c r="L229" s="27"/>
      <c r="M229" s="27"/>
      <c r="N229" s="27"/>
    </row>
    <row r="230" ht="14.25" customHeight="1">
      <c r="K230" s="26"/>
      <c r="L230" s="27"/>
      <c r="M230" s="27"/>
      <c r="N230" s="27"/>
    </row>
    <row r="231" ht="14.25" customHeight="1">
      <c r="K231" s="26"/>
      <c r="L231" s="27"/>
      <c r="M231" s="27"/>
      <c r="N231" s="27"/>
    </row>
    <row r="232" ht="14.25" customHeight="1">
      <c r="K232" s="26"/>
      <c r="L232" s="27"/>
      <c r="M232" s="27"/>
      <c r="N232" s="27"/>
    </row>
    <row r="233" ht="14.25" customHeight="1">
      <c r="K233" s="26"/>
      <c r="L233" s="27"/>
      <c r="M233" s="27"/>
      <c r="N233" s="27"/>
    </row>
    <row r="234" ht="14.25" customHeight="1">
      <c r="K234" s="26"/>
      <c r="L234" s="27"/>
      <c r="M234" s="27"/>
      <c r="N234" s="27"/>
    </row>
    <row r="235" ht="14.25" customHeight="1">
      <c r="K235" s="26"/>
      <c r="L235" s="27"/>
      <c r="M235" s="27"/>
      <c r="N235" s="27"/>
    </row>
    <row r="236" ht="14.25" customHeight="1">
      <c r="K236" s="26"/>
      <c r="L236" s="27"/>
      <c r="M236" s="27"/>
      <c r="N236" s="27"/>
    </row>
    <row r="237" ht="14.25" customHeight="1">
      <c r="K237" s="26"/>
      <c r="L237" s="27"/>
      <c r="M237" s="27"/>
      <c r="N237" s="27"/>
    </row>
    <row r="238" ht="14.25" customHeight="1">
      <c r="K238" s="26"/>
      <c r="L238" s="27"/>
      <c r="M238" s="27"/>
      <c r="N238" s="27"/>
    </row>
    <row r="239" ht="14.25" customHeight="1">
      <c r="K239" s="26"/>
      <c r="L239" s="27"/>
      <c r="M239" s="27"/>
      <c r="N239" s="27"/>
    </row>
    <row r="240" ht="14.25" customHeight="1">
      <c r="K240" s="26"/>
      <c r="L240" s="27"/>
      <c r="M240" s="27"/>
      <c r="N240" s="27"/>
    </row>
    <row r="241" ht="14.25" customHeight="1">
      <c r="K241" s="26"/>
      <c r="L241" s="27"/>
      <c r="M241" s="27"/>
      <c r="N241" s="27"/>
    </row>
    <row r="242" ht="14.25" customHeight="1">
      <c r="K242" s="26"/>
      <c r="L242" s="27"/>
      <c r="M242" s="27"/>
      <c r="N242" s="27"/>
    </row>
    <row r="243" ht="14.25" customHeight="1">
      <c r="K243" s="26"/>
      <c r="L243" s="27"/>
      <c r="M243" s="27"/>
      <c r="N243" s="27"/>
    </row>
    <row r="244" ht="14.25" customHeight="1">
      <c r="K244" s="26"/>
      <c r="L244" s="27"/>
      <c r="M244" s="27"/>
      <c r="N244" s="27"/>
    </row>
    <row r="245" ht="14.25" customHeight="1">
      <c r="K245" s="26"/>
      <c r="L245" s="27"/>
      <c r="M245" s="27"/>
      <c r="N245" s="27"/>
    </row>
    <row r="246" ht="14.25" customHeight="1">
      <c r="K246" s="26"/>
      <c r="L246" s="27"/>
      <c r="M246" s="27"/>
      <c r="N246" s="27"/>
    </row>
    <row r="247" ht="14.25" customHeight="1">
      <c r="K247" s="26"/>
      <c r="L247" s="27"/>
      <c r="M247" s="27"/>
      <c r="N247" s="27"/>
    </row>
    <row r="248" ht="14.25" customHeight="1">
      <c r="K248" s="26"/>
      <c r="L248" s="27"/>
      <c r="M248" s="27"/>
      <c r="N248" s="27"/>
    </row>
    <row r="249" ht="14.25" customHeight="1">
      <c r="K249" s="26"/>
      <c r="L249" s="27"/>
      <c r="M249" s="27"/>
      <c r="N249" s="27"/>
    </row>
    <row r="250" ht="14.25" customHeight="1">
      <c r="K250" s="26"/>
      <c r="L250" s="27"/>
      <c r="M250" s="27"/>
      <c r="N250" s="27"/>
    </row>
    <row r="251" ht="14.25" customHeight="1">
      <c r="K251" s="26"/>
      <c r="L251" s="27"/>
      <c r="M251" s="27"/>
      <c r="N251" s="27"/>
    </row>
    <row r="252" ht="14.25" customHeight="1">
      <c r="K252" s="26"/>
      <c r="L252" s="27"/>
      <c r="M252" s="27"/>
      <c r="N252" s="27"/>
    </row>
    <row r="253" ht="14.25" customHeight="1">
      <c r="K253" s="26"/>
      <c r="L253" s="27"/>
      <c r="M253" s="27"/>
      <c r="N253" s="27"/>
    </row>
    <row r="254" ht="14.25" customHeight="1">
      <c r="K254" s="26"/>
      <c r="L254" s="27"/>
      <c r="M254" s="27"/>
      <c r="N254" s="27"/>
    </row>
    <row r="255" ht="14.25" customHeight="1">
      <c r="K255" s="26"/>
      <c r="L255" s="27"/>
      <c r="M255" s="27"/>
      <c r="N255" s="27"/>
    </row>
    <row r="256" ht="14.25" customHeight="1">
      <c r="K256" s="26"/>
      <c r="L256" s="27"/>
      <c r="M256" s="27"/>
      <c r="N256" s="27"/>
    </row>
    <row r="257" ht="14.25" customHeight="1">
      <c r="K257" s="26"/>
      <c r="L257" s="27"/>
      <c r="M257" s="27"/>
      <c r="N257" s="27"/>
    </row>
    <row r="258" ht="14.25" customHeight="1">
      <c r="K258" s="26"/>
      <c r="L258" s="27"/>
      <c r="M258" s="27"/>
      <c r="N258" s="27"/>
    </row>
    <row r="259" ht="14.25" customHeight="1">
      <c r="K259" s="26"/>
      <c r="L259" s="27"/>
      <c r="M259" s="27"/>
      <c r="N259" s="27"/>
    </row>
    <row r="260" ht="14.25" customHeight="1">
      <c r="K260" s="26"/>
      <c r="L260" s="27"/>
      <c r="M260" s="27"/>
      <c r="N260" s="27"/>
    </row>
    <row r="261" ht="14.25" customHeight="1">
      <c r="K261" s="26"/>
      <c r="L261" s="27"/>
      <c r="M261" s="27"/>
      <c r="N261" s="27"/>
    </row>
    <row r="262" ht="14.25" customHeight="1">
      <c r="K262" s="26"/>
      <c r="L262" s="27"/>
      <c r="M262" s="27"/>
      <c r="N262" s="27"/>
    </row>
    <row r="263" ht="14.25" customHeight="1">
      <c r="K263" s="26"/>
      <c r="L263" s="27"/>
      <c r="M263" s="27"/>
      <c r="N263" s="27"/>
    </row>
    <row r="264" ht="14.25" customHeight="1">
      <c r="K264" s="26"/>
      <c r="L264" s="27"/>
      <c r="M264" s="27"/>
      <c r="N264" s="27"/>
    </row>
    <row r="265" ht="14.25" customHeight="1">
      <c r="K265" s="26"/>
      <c r="L265" s="27"/>
      <c r="M265" s="27"/>
      <c r="N265" s="27"/>
    </row>
    <row r="266" ht="14.25" customHeight="1">
      <c r="K266" s="26"/>
      <c r="L266" s="27"/>
      <c r="M266" s="27"/>
      <c r="N266" s="27"/>
    </row>
    <row r="267" ht="14.25" customHeight="1">
      <c r="K267" s="26"/>
      <c r="L267" s="27"/>
      <c r="M267" s="27"/>
      <c r="N267" s="27"/>
    </row>
    <row r="268" ht="14.25" customHeight="1">
      <c r="K268" s="26"/>
      <c r="L268" s="27"/>
      <c r="M268" s="27"/>
      <c r="N268" s="27"/>
    </row>
    <row r="269" ht="14.25" customHeight="1">
      <c r="K269" s="26"/>
      <c r="L269" s="27"/>
      <c r="M269" s="27"/>
      <c r="N269" s="27"/>
    </row>
    <row r="270" ht="14.25" customHeight="1">
      <c r="K270" s="26"/>
      <c r="L270" s="27"/>
      <c r="M270" s="27"/>
      <c r="N270" s="27"/>
    </row>
    <row r="271" ht="14.25" customHeight="1">
      <c r="K271" s="26"/>
      <c r="L271" s="27"/>
      <c r="M271" s="27"/>
      <c r="N271" s="27"/>
    </row>
    <row r="272" ht="14.25" customHeight="1">
      <c r="K272" s="26"/>
      <c r="L272" s="27"/>
      <c r="M272" s="27"/>
      <c r="N272" s="27"/>
    </row>
    <row r="273" ht="14.25" customHeight="1">
      <c r="K273" s="26"/>
      <c r="L273" s="27"/>
      <c r="M273" s="27"/>
      <c r="N273" s="27"/>
    </row>
    <row r="274" ht="14.25" customHeight="1">
      <c r="K274" s="26"/>
      <c r="L274" s="27"/>
      <c r="M274" s="27"/>
      <c r="N274" s="27"/>
    </row>
    <row r="275" ht="14.25" customHeight="1">
      <c r="K275" s="26"/>
      <c r="L275" s="27"/>
      <c r="M275" s="27"/>
      <c r="N275" s="27"/>
    </row>
    <row r="276" ht="14.25" customHeight="1">
      <c r="K276" s="26"/>
      <c r="L276" s="27"/>
      <c r="M276" s="27"/>
      <c r="N276" s="27"/>
    </row>
    <row r="277" ht="14.25" customHeight="1">
      <c r="K277" s="26"/>
      <c r="L277" s="27"/>
      <c r="M277" s="27"/>
      <c r="N277" s="27"/>
    </row>
    <row r="278" ht="14.25" customHeight="1">
      <c r="K278" s="26"/>
      <c r="L278" s="27"/>
      <c r="M278" s="27"/>
      <c r="N278" s="27"/>
    </row>
    <row r="279" ht="14.25" customHeight="1">
      <c r="K279" s="26"/>
      <c r="L279" s="27"/>
      <c r="M279" s="27"/>
      <c r="N279" s="27"/>
    </row>
    <row r="280" ht="14.25" customHeight="1">
      <c r="K280" s="26"/>
      <c r="L280" s="27"/>
      <c r="M280" s="27"/>
      <c r="N280" s="27"/>
    </row>
    <row r="281" ht="14.25" customHeight="1">
      <c r="K281" s="26"/>
      <c r="L281" s="27"/>
      <c r="M281" s="27"/>
      <c r="N281" s="27"/>
    </row>
    <row r="282" ht="14.25" customHeight="1">
      <c r="K282" s="26"/>
      <c r="L282" s="27"/>
      <c r="M282" s="27"/>
      <c r="N282" s="27"/>
    </row>
    <row r="283" ht="14.25" customHeight="1">
      <c r="K283" s="26"/>
      <c r="L283" s="27"/>
      <c r="M283" s="27"/>
      <c r="N283" s="27"/>
    </row>
    <row r="284" ht="14.25" customHeight="1">
      <c r="K284" s="26"/>
      <c r="L284" s="27"/>
      <c r="M284" s="27"/>
      <c r="N284" s="27"/>
    </row>
    <row r="285" ht="14.25" customHeight="1">
      <c r="K285" s="26"/>
      <c r="L285" s="27"/>
      <c r="M285" s="27"/>
      <c r="N285" s="27"/>
    </row>
    <row r="286" ht="14.25" customHeight="1">
      <c r="K286" s="26"/>
      <c r="L286" s="27"/>
      <c r="M286" s="27"/>
      <c r="N286" s="27"/>
    </row>
    <row r="287" ht="14.25" customHeight="1">
      <c r="K287" s="26"/>
      <c r="L287" s="27"/>
      <c r="M287" s="27"/>
      <c r="N287" s="27"/>
    </row>
    <row r="288" ht="14.25" customHeight="1">
      <c r="K288" s="26"/>
      <c r="L288" s="27"/>
      <c r="M288" s="27"/>
      <c r="N288" s="27"/>
    </row>
    <row r="289" ht="14.25" customHeight="1">
      <c r="K289" s="26"/>
      <c r="L289" s="27"/>
      <c r="M289" s="27"/>
      <c r="N289" s="27"/>
    </row>
    <row r="290" ht="14.25" customHeight="1">
      <c r="K290" s="26"/>
      <c r="L290" s="27"/>
      <c r="M290" s="27"/>
      <c r="N290" s="27"/>
    </row>
    <row r="291" ht="14.25" customHeight="1">
      <c r="K291" s="26"/>
      <c r="L291" s="27"/>
      <c r="M291" s="27"/>
      <c r="N291" s="27"/>
    </row>
    <row r="292" ht="14.25" customHeight="1">
      <c r="K292" s="26"/>
      <c r="L292" s="27"/>
      <c r="M292" s="27"/>
      <c r="N292" s="27"/>
    </row>
    <row r="293" ht="14.25" customHeight="1">
      <c r="K293" s="26"/>
      <c r="L293" s="27"/>
      <c r="M293" s="27"/>
      <c r="N293" s="27"/>
    </row>
    <row r="294" ht="14.25" customHeight="1">
      <c r="K294" s="26"/>
      <c r="L294" s="27"/>
      <c r="M294" s="27"/>
      <c r="N294" s="27"/>
    </row>
    <row r="295" ht="14.25" customHeight="1">
      <c r="K295" s="26"/>
      <c r="L295" s="27"/>
      <c r="M295" s="27"/>
      <c r="N295" s="27"/>
    </row>
    <row r="296" ht="14.25" customHeight="1">
      <c r="K296" s="26"/>
      <c r="L296" s="27"/>
      <c r="M296" s="27"/>
      <c r="N296" s="27"/>
    </row>
    <row r="297" ht="14.25" customHeight="1">
      <c r="K297" s="26"/>
      <c r="L297" s="27"/>
      <c r="M297" s="27"/>
      <c r="N297" s="27"/>
    </row>
    <row r="298" ht="14.25" customHeight="1">
      <c r="K298" s="26"/>
      <c r="L298" s="27"/>
      <c r="M298" s="27"/>
      <c r="N298" s="27"/>
    </row>
    <row r="299" ht="14.25" customHeight="1">
      <c r="K299" s="26"/>
      <c r="L299" s="27"/>
      <c r="M299" s="27"/>
      <c r="N299" s="27"/>
    </row>
    <row r="300" ht="14.25" customHeight="1">
      <c r="K300" s="26"/>
      <c r="L300" s="27"/>
      <c r="M300" s="27"/>
      <c r="N300" s="27"/>
    </row>
    <row r="301" ht="14.25" customHeight="1">
      <c r="K301" s="26"/>
      <c r="L301" s="27"/>
      <c r="M301" s="27"/>
      <c r="N301" s="27"/>
    </row>
    <row r="302" ht="14.25" customHeight="1">
      <c r="K302" s="26"/>
      <c r="L302" s="27"/>
      <c r="M302" s="27"/>
      <c r="N302" s="27"/>
    </row>
    <row r="303" ht="14.25" customHeight="1">
      <c r="K303" s="26"/>
      <c r="L303" s="27"/>
      <c r="M303" s="27"/>
      <c r="N303" s="27"/>
    </row>
    <row r="304" ht="14.25" customHeight="1">
      <c r="K304" s="26"/>
      <c r="L304" s="27"/>
      <c r="M304" s="27"/>
      <c r="N304" s="27"/>
    </row>
    <row r="305" ht="14.25" customHeight="1">
      <c r="K305" s="26"/>
      <c r="L305" s="27"/>
      <c r="M305" s="27"/>
      <c r="N305" s="27"/>
    </row>
    <row r="306" ht="14.25" customHeight="1">
      <c r="K306" s="26"/>
      <c r="L306" s="27"/>
      <c r="M306" s="27"/>
      <c r="N306" s="27"/>
    </row>
    <row r="307" ht="14.25" customHeight="1">
      <c r="K307" s="26"/>
      <c r="L307" s="27"/>
      <c r="M307" s="27"/>
      <c r="N307" s="27"/>
    </row>
    <row r="308" ht="14.25" customHeight="1">
      <c r="K308" s="26"/>
      <c r="L308" s="27"/>
      <c r="M308" s="27"/>
      <c r="N308" s="27"/>
    </row>
    <row r="309" ht="14.25" customHeight="1">
      <c r="K309" s="26"/>
      <c r="L309" s="27"/>
      <c r="M309" s="27"/>
      <c r="N309" s="27"/>
    </row>
    <row r="310" ht="14.25" customHeight="1">
      <c r="K310" s="26"/>
      <c r="L310" s="27"/>
      <c r="M310" s="27"/>
      <c r="N310" s="27"/>
    </row>
    <row r="311" ht="14.25" customHeight="1">
      <c r="K311" s="26"/>
      <c r="L311" s="27"/>
      <c r="M311" s="27"/>
      <c r="N311" s="27"/>
    </row>
    <row r="312" ht="14.25" customHeight="1">
      <c r="K312" s="26"/>
      <c r="L312" s="27"/>
      <c r="M312" s="27"/>
      <c r="N312" s="27"/>
    </row>
    <row r="313" ht="14.25" customHeight="1">
      <c r="K313" s="26"/>
      <c r="L313" s="27"/>
      <c r="M313" s="27"/>
      <c r="N313" s="27"/>
    </row>
    <row r="314" ht="14.25" customHeight="1">
      <c r="K314" s="26"/>
      <c r="L314" s="27"/>
      <c r="M314" s="27"/>
      <c r="N314" s="27"/>
    </row>
    <row r="315" ht="14.25" customHeight="1">
      <c r="K315" s="26"/>
      <c r="L315" s="27"/>
      <c r="M315" s="27"/>
      <c r="N315" s="27"/>
    </row>
    <row r="316" ht="14.25" customHeight="1">
      <c r="K316" s="26"/>
      <c r="L316" s="27"/>
      <c r="M316" s="27"/>
      <c r="N316" s="27"/>
    </row>
    <row r="317" ht="14.25" customHeight="1">
      <c r="K317" s="26"/>
      <c r="L317" s="27"/>
      <c r="M317" s="27"/>
      <c r="N317" s="27"/>
    </row>
    <row r="318" ht="14.25" customHeight="1">
      <c r="K318" s="26"/>
      <c r="L318" s="27"/>
      <c r="M318" s="27"/>
      <c r="N318" s="27"/>
    </row>
    <row r="319" ht="14.25" customHeight="1">
      <c r="K319" s="26"/>
      <c r="L319" s="27"/>
      <c r="M319" s="27"/>
      <c r="N319" s="27"/>
    </row>
    <row r="320" ht="14.25" customHeight="1">
      <c r="K320" s="26"/>
      <c r="L320" s="27"/>
      <c r="M320" s="27"/>
      <c r="N320" s="27"/>
    </row>
    <row r="321" ht="14.25" customHeight="1">
      <c r="K321" s="26"/>
      <c r="L321" s="27"/>
      <c r="M321" s="27"/>
      <c r="N321" s="27"/>
    </row>
    <row r="322" ht="14.25" customHeight="1">
      <c r="K322" s="26"/>
      <c r="L322" s="27"/>
      <c r="M322" s="27"/>
      <c r="N322" s="27"/>
    </row>
    <row r="323" ht="14.25" customHeight="1">
      <c r="K323" s="26"/>
      <c r="L323" s="27"/>
      <c r="M323" s="27"/>
      <c r="N323" s="27"/>
    </row>
    <row r="324" ht="14.25" customHeight="1">
      <c r="K324" s="26"/>
      <c r="L324" s="27"/>
      <c r="M324" s="27"/>
      <c r="N324" s="27"/>
    </row>
    <row r="325" ht="14.25" customHeight="1">
      <c r="K325" s="26"/>
      <c r="L325" s="27"/>
      <c r="M325" s="27"/>
      <c r="N325" s="27"/>
    </row>
    <row r="326" ht="14.25" customHeight="1">
      <c r="K326" s="26"/>
      <c r="L326" s="27"/>
      <c r="M326" s="27"/>
      <c r="N326" s="27"/>
    </row>
    <row r="327" ht="14.25" customHeight="1">
      <c r="K327" s="26"/>
      <c r="L327" s="27"/>
      <c r="M327" s="27"/>
      <c r="N327" s="27"/>
    </row>
    <row r="328" ht="14.25" customHeight="1">
      <c r="K328" s="26"/>
      <c r="L328" s="27"/>
      <c r="M328" s="27"/>
      <c r="N328" s="27"/>
    </row>
    <row r="329" ht="14.25" customHeight="1">
      <c r="K329" s="26"/>
      <c r="L329" s="27"/>
      <c r="M329" s="27"/>
      <c r="N329" s="27"/>
    </row>
    <row r="330" ht="14.25" customHeight="1">
      <c r="K330" s="26"/>
      <c r="L330" s="27"/>
      <c r="M330" s="27"/>
      <c r="N330" s="27"/>
    </row>
    <row r="331" ht="14.25" customHeight="1">
      <c r="K331" s="26"/>
      <c r="L331" s="27"/>
      <c r="M331" s="27"/>
      <c r="N331" s="27"/>
    </row>
    <row r="332" ht="14.25" customHeight="1">
      <c r="K332" s="26"/>
      <c r="L332" s="27"/>
      <c r="M332" s="27"/>
      <c r="N332" s="27"/>
    </row>
    <row r="333" ht="14.25" customHeight="1">
      <c r="K333" s="26"/>
      <c r="L333" s="27"/>
      <c r="M333" s="27"/>
      <c r="N333" s="27"/>
    </row>
    <row r="334" ht="14.25" customHeight="1">
      <c r="K334" s="26"/>
      <c r="L334" s="27"/>
      <c r="M334" s="27"/>
      <c r="N334" s="27"/>
    </row>
    <row r="335" ht="14.25" customHeight="1">
      <c r="K335" s="26"/>
      <c r="L335" s="27"/>
      <c r="M335" s="27"/>
      <c r="N335" s="27"/>
    </row>
    <row r="336" ht="14.25" customHeight="1">
      <c r="K336" s="26"/>
      <c r="L336" s="27"/>
      <c r="M336" s="27"/>
      <c r="N336" s="27"/>
    </row>
    <row r="337" ht="14.25" customHeight="1">
      <c r="K337" s="26"/>
      <c r="L337" s="27"/>
      <c r="M337" s="27"/>
      <c r="N337" s="27"/>
    </row>
    <row r="338" ht="14.25" customHeight="1">
      <c r="K338" s="26"/>
      <c r="L338" s="27"/>
      <c r="M338" s="27"/>
      <c r="N338" s="27"/>
    </row>
    <row r="339" ht="14.25" customHeight="1">
      <c r="K339" s="26"/>
      <c r="L339" s="27"/>
      <c r="M339" s="27"/>
      <c r="N339" s="27"/>
    </row>
    <row r="340" ht="14.25" customHeight="1">
      <c r="K340" s="26"/>
      <c r="L340" s="27"/>
      <c r="M340" s="27"/>
      <c r="N340" s="27"/>
    </row>
    <row r="341" ht="14.25" customHeight="1">
      <c r="K341" s="26"/>
      <c r="L341" s="27"/>
      <c r="M341" s="27"/>
      <c r="N341" s="27"/>
    </row>
    <row r="342" ht="14.25" customHeight="1">
      <c r="K342" s="26"/>
      <c r="L342" s="27"/>
      <c r="M342" s="27"/>
      <c r="N342" s="27"/>
    </row>
    <row r="343" ht="14.25" customHeight="1">
      <c r="K343" s="26"/>
      <c r="L343" s="27"/>
      <c r="M343" s="27"/>
      <c r="N343" s="27"/>
    </row>
    <row r="344" ht="14.25" customHeight="1">
      <c r="K344" s="26"/>
      <c r="L344" s="27"/>
      <c r="M344" s="27"/>
      <c r="N344" s="27"/>
    </row>
    <row r="345" ht="14.25" customHeight="1">
      <c r="K345" s="26"/>
      <c r="L345" s="27"/>
      <c r="M345" s="27"/>
      <c r="N345" s="27"/>
    </row>
    <row r="346" ht="14.25" customHeight="1">
      <c r="K346" s="26"/>
      <c r="L346" s="27"/>
      <c r="M346" s="27"/>
      <c r="N346" s="27"/>
    </row>
    <row r="347" ht="14.25" customHeight="1">
      <c r="K347" s="26"/>
      <c r="L347" s="27"/>
      <c r="M347" s="27"/>
      <c r="N347" s="27"/>
    </row>
    <row r="348" ht="14.25" customHeight="1">
      <c r="K348" s="26"/>
      <c r="L348" s="27"/>
      <c r="M348" s="27"/>
      <c r="N348" s="27"/>
    </row>
    <row r="349" ht="14.25" customHeight="1">
      <c r="K349" s="26"/>
      <c r="L349" s="27"/>
      <c r="M349" s="27"/>
      <c r="N349" s="27"/>
    </row>
    <row r="350" ht="14.25" customHeight="1">
      <c r="K350" s="26"/>
      <c r="L350" s="27"/>
      <c r="M350" s="27"/>
      <c r="N350" s="27"/>
    </row>
    <row r="351" ht="14.25" customHeight="1">
      <c r="K351" s="26"/>
      <c r="L351" s="27"/>
      <c r="M351" s="27"/>
      <c r="N351" s="27"/>
    </row>
    <row r="352" ht="14.25" customHeight="1">
      <c r="K352" s="26"/>
      <c r="L352" s="27"/>
      <c r="M352" s="27"/>
      <c r="N352" s="27"/>
    </row>
    <row r="353" ht="14.25" customHeight="1">
      <c r="K353" s="26"/>
      <c r="L353" s="27"/>
      <c r="M353" s="27"/>
      <c r="N353" s="27"/>
    </row>
    <row r="354" ht="14.25" customHeight="1">
      <c r="K354" s="26"/>
      <c r="L354" s="27"/>
      <c r="M354" s="27"/>
      <c r="N354" s="27"/>
    </row>
    <row r="355" ht="14.25" customHeight="1">
      <c r="K355" s="26"/>
      <c r="L355" s="27"/>
      <c r="M355" s="27"/>
      <c r="N355" s="27"/>
    </row>
    <row r="356" ht="14.25" customHeight="1">
      <c r="K356" s="26"/>
      <c r="L356" s="27"/>
      <c r="M356" s="27"/>
      <c r="N356" s="27"/>
    </row>
    <row r="357" ht="14.25" customHeight="1">
      <c r="K357" s="26"/>
      <c r="L357" s="27"/>
      <c r="M357" s="27"/>
      <c r="N357" s="27"/>
    </row>
    <row r="358" ht="14.25" customHeight="1">
      <c r="K358" s="26"/>
      <c r="L358" s="27"/>
      <c r="M358" s="27"/>
      <c r="N358" s="27"/>
    </row>
    <row r="359" ht="14.25" customHeight="1">
      <c r="K359" s="26"/>
      <c r="L359" s="27"/>
      <c r="M359" s="27"/>
      <c r="N359" s="27"/>
    </row>
    <row r="360" ht="14.25" customHeight="1">
      <c r="K360" s="26"/>
      <c r="L360" s="27"/>
      <c r="M360" s="27"/>
      <c r="N360" s="27"/>
    </row>
    <row r="361" ht="14.25" customHeight="1">
      <c r="K361" s="26"/>
      <c r="L361" s="27"/>
      <c r="M361" s="27"/>
      <c r="N361" s="27"/>
    </row>
    <row r="362" ht="14.25" customHeight="1">
      <c r="K362" s="26"/>
      <c r="L362" s="27"/>
      <c r="M362" s="27"/>
      <c r="N362" s="27"/>
    </row>
    <row r="363" ht="14.25" customHeight="1">
      <c r="K363" s="26"/>
      <c r="L363" s="27"/>
      <c r="M363" s="27"/>
      <c r="N363" s="27"/>
    </row>
    <row r="364" ht="14.25" customHeight="1">
      <c r="K364" s="26"/>
      <c r="L364" s="27"/>
      <c r="M364" s="27"/>
      <c r="N364" s="27"/>
    </row>
    <row r="365" ht="14.25" customHeight="1">
      <c r="K365" s="26"/>
      <c r="L365" s="27"/>
      <c r="M365" s="27"/>
      <c r="N365" s="27"/>
    </row>
    <row r="366" ht="14.25" customHeight="1">
      <c r="K366" s="26"/>
      <c r="L366" s="27"/>
      <c r="M366" s="27"/>
      <c r="N366" s="27"/>
    </row>
    <row r="367" ht="14.25" customHeight="1">
      <c r="K367" s="26"/>
      <c r="L367" s="27"/>
      <c r="M367" s="27"/>
      <c r="N367" s="27"/>
    </row>
    <row r="368" ht="14.25" customHeight="1">
      <c r="K368" s="26"/>
      <c r="L368" s="27"/>
      <c r="M368" s="27"/>
      <c r="N368" s="27"/>
    </row>
    <row r="369" ht="14.25" customHeight="1">
      <c r="K369" s="26"/>
      <c r="L369" s="27"/>
      <c r="M369" s="27"/>
      <c r="N369" s="27"/>
    </row>
    <row r="370" ht="14.25" customHeight="1">
      <c r="K370" s="26"/>
      <c r="L370" s="27"/>
      <c r="M370" s="27"/>
      <c r="N370" s="27"/>
    </row>
    <row r="371" ht="14.25" customHeight="1">
      <c r="K371" s="26"/>
      <c r="L371" s="27"/>
      <c r="M371" s="27"/>
      <c r="N371" s="27"/>
    </row>
    <row r="372" ht="14.25" customHeight="1">
      <c r="K372" s="26"/>
      <c r="L372" s="27"/>
      <c r="M372" s="27"/>
      <c r="N372" s="27"/>
    </row>
    <row r="373" ht="14.25" customHeight="1">
      <c r="K373" s="26"/>
      <c r="L373" s="27"/>
      <c r="M373" s="27"/>
      <c r="N373" s="27"/>
    </row>
    <row r="374" ht="14.25" customHeight="1">
      <c r="K374" s="26"/>
      <c r="L374" s="27"/>
      <c r="M374" s="27"/>
      <c r="N374" s="27"/>
    </row>
    <row r="375" ht="14.25" customHeight="1">
      <c r="K375" s="26"/>
      <c r="L375" s="27"/>
      <c r="M375" s="27"/>
      <c r="N375" s="27"/>
    </row>
    <row r="376" ht="14.25" customHeight="1">
      <c r="K376" s="26"/>
      <c r="L376" s="27"/>
      <c r="M376" s="27"/>
      <c r="N376" s="27"/>
    </row>
    <row r="377" ht="14.25" customHeight="1">
      <c r="K377" s="26"/>
      <c r="L377" s="27"/>
      <c r="M377" s="27"/>
      <c r="N377" s="27"/>
    </row>
    <row r="378" ht="14.25" customHeight="1">
      <c r="K378" s="26"/>
      <c r="L378" s="27"/>
      <c r="M378" s="27"/>
      <c r="N378" s="27"/>
    </row>
    <row r="379" ht="14.25" customHeight="1">
      <c r="K379" s="26"/>
      <c r="L379" s="27"/>
      <c r="M379" s="27"/>
      <c r="N379" s="27"/>
    </row>
    <row r="380" ht="14.25" customHeight="1">
      <c r="K380" s="26"/>
      <c r="L380" s="27"/>
      <c r="M380" s="27"/>
      <c r="N380" s="27"/>
    </row>
    <row r="381" ht="14.25" customHeight="1">
      <c r="K381" s="26"/>
      <c r="L381" s="27"/>
      <c r="M381" s="27"/>
      <c r="N381" s="27"/>
    </row>
    <row r="382" ht="14.25" customHeight="1">
      <c r="K382" s="26"/>
      <c r="L382" s="27"/>
      <c r="M382" s="27"/>
      <c r="N382" s="27"/>
    </row>
    <row r="383" ht="14.25" customHeight="1">
      <c r="K383" s="26"/>
      <c r="L383" s="27"/>
      <c r="M383" s="27"/>
      <c r="N383" s="27"/>
    </row>
    <row r="384" ht="14.25" customHeight="1">
      <c r="K384" s="26"/>
      <c r="L384" s="27"/>
      <c r="M384" s="27"/>
      <c r="N384" s="27"/>
    </row>
    <row r="385" ht="14.25" customHeight="1">
      <c r="K385" s="26"/>
      <c r="L385" s="27"/>
      <c r="M385" s="27"/>
      <c r="N385" s="27"/>
    </row>
    <row r="386" ht="14.25" customHeight="1">
      <c r="K386" s="26"/>
      <c r="L386" s="27"/>
      <c r="M386" s="27"/>
      <c r="N386" s="27"/>
    </row>
    <row r="387" ht="14.25" customHeight="1">
      <c r="K387" s="26"/>
      <c r="L387" s="27"/>
      <c r="M387" s="27"/>
      <c r="N387" s="27"/>
    </row>
    <row r="388" ht="14.25" customHeight="1">
      <c r="K388" s="26"/>
      <c r="L388" s="27"/>
      <c r="M388" s="27"/>
      <c r="N388" s="27"/>
    </row>
    <row r="389" ht="14.25" customHeight="1">
      <c r="K389" s="26"/>
      <c r="L389" s="27"/>
      <c r="M389" s="27"/>
      <c r="N389" s="27"/>
    </row>
    <row r="390" ht="14.25" customHeight="1">
      <c r="K390" s="26"/>
      <c r="L390" s="27"/>
      <c r="M390" s="27"/>
      <c r="N390" s="27"/>
    </row>
    <row r="391" ht="14.25" customHeight="1">
      <c r="K391" s="26"/>
      <c r="L391" s="27"/>
      <c r="M391" s="27"/>
      <c r="N391" s="27"/>
    </row>
    <row r="392" ht="14.25" customHeight="1">
      <c r="K392" s="26"/>
      <c r="L392" s="27"/>
      <c r="M392" s="27"/>
      <c r="N392" s="27"/>
    </row>
    <row r="393" ht="14.25" customHeight="1">
      <c r="K393" s="26"/>
      <c r="L393" s="27"/>
      <c r="M393" s="27"/>
      <c r="N393" s="27"/>
    </row>
    <row r="394" ht="14.25" customHeight="1">
      <c r="K394" s="26"/>
      <c r="L394" s="27"/>
      <c r="M394" s="27"/>
      <c r="N394" s="27"/>
    </row>
    <row r="395" ht="14.25" customHeight="1">
      <c r="K395" s="26"/>
      <c r="L395" s="27"/>
      <c r="M395" s="27"/>
      <c r="N395" s="27"/>
    </row>
    <row r="396" ht="14.25" customHeight="1">
      <c r="K396" s="26"/>
      <c r="L396" s="27"/>
      <c r="M396" s="27"/>
      <c r="N396" s="27"/>
    </row>
    <row r="397" ht="14.25" customHeight="1">
      <c r="K397" s="26"/>
      <c r="L397" s="27"/>
      <c r="M397" s="27"/>
      <c r="N397" s="27"/>
    </row>
    <row r="398" ht="14.25" customHeight="1">
      <c r="K398" s="26"/>
      <c r="L398" s="27"/>
      <c r="M398" s="27"/>
      <c r="N398" s="27"/>
    </row>
    <row r="399" ht="14.25" customHeight="1">
      <c r="K399" s="26"/>
      <c r="L399" s="27"/>
      <c r="M399" s="27"/>
      <c r="N399" s="27"/>
    </row>
    <row r="400" ht="14.25" customHeight="1">
      <c r="K400" s="26"/>
      <c r="L400" s="27"/>
      <c r="M400" s="27"/>
      <c r="N400" s="27"/>
    </row>
    <row r="401" ht="14.25" customHeight="1">
      <c r="K401" s="26"/>
      <c r="L401" s="27"/>
      <c r="M401" s="27"/>
      <c r="N401" s="27"/>
    </row>
    <row r="402" ht="14.25" customHeight="1">
      <c r="K402" s="26"/>
      <c r="L402" s="27"/>
      <c r="M402" s="27"/>
      <c r="N402" s="27"/>
    </row>
    <row r="403" ht="14.25" customHeight="1">
      <c r="K403" s="26"/>
      <c r="L403" s="27"/>
      <c r="M403" s="27"/>
      <c r="N403" s="27"/>
    </row>
    <row r="404" ht="14.25" customHeight="1">
      <c r="K404" s="26"/>
      <c r="L404" s="27"/>
      <c r="M404" s="27"/>
      <c r="N404" s="27"/>
    </row>
    <row r="405" ht="14.25" customHeight="1">
      <c r="K405" s="26"/>
      <c r="L405" s="27"/>
      <c r="M405" s="27"/>
      <c r="N405" s="27"/>
    </row>
    <row r="406" ht="14.25" customHeight="1">
      <c r="K406" s="26"/>
      <c r="L406" s="27"/>
      <c r="M406" s="27"/>
      <c r="N406" s="27"/>
    </row>
    <row r="407" ht="14.25" customHeight="1">
      <c r="K407" s="26"/>
      <c r="L407" s="27"/>
      <c r="M407" s="27"/>
      <c r="N407" s="27"/>
    </row>
    <row r="408" ht="14.25" customHeight="1">
      <c r="K408" s="26"/>
      <c r="L408" s="27"/>
      <c r="M408" s="27"/>
      <c r="N408" s="27"/>
    </row>
    <row r="409" ht="14.25" customHeight="1">
      <c r="K409" s="26"/>
      <c r="L409" s="27"/>
      <c r="M409" s="27"/>
      <c r="N409" s="27"/>
    </row>
    <row r="410" ht="14.25" customHeight="1">
      <c r="K410" s="26"/>
      <c r="L410" s="27"/>
      <c r="M410" s="27"/>
      <c r="N410" s="27"/>
    </row>
    <row r="411" ht="14.25" customHeight="1">
      <c r="K411" s="26"/>
      <c r="L411" s="27"/>
      <c r="M411" s="27"/>
      <c r="N411" s="27"/>
    </row>
    <row r="412" ht="14.25" customHeight="1">
      <c r="K412" s="26"/>
      <c r="L412" s="27"/>
      <c r="M412" s="27"/>
      <c r="N412" s="27"/>
    </row>
    <row r="413" ht="14.25" customHeight="1">
      <c r="K413" s="26"/>
      <c r="L413" s="27"/>
      <c r="M413" s="27"/>
      <c r="N413" s="27"/>
    </row>
    <row r="414" ht="14.25" customHeight="1">
      <c r="K414" s="26"/>
      <c r="L414" s="27"/>
      <c r="M414" s="27"/>
      <c r="N414" s="27"/>
    </row>
    <row r="415" ht="14.25" customHeight="1">
      <c r="K415" s="26"/>
      <c r="L415" s="27"/>
      <c r="M415" s="27"/>
      <c r="N415" s="27"/>
    </row>
    <row r="416" ht="14.25" customHeight="1">
      <c r="K416" s="26"/>
      <c r="L416" s="27"/>
      <c r="M416" s="27"/>
      <c r="N416" s="27"/>
    </row>
    <row r="417" ht="14.25" customHeight="1">
      <c r="K417" s="26"/>
      <c r="L417" s="27"/>
      <c r="M417" s="27"/>
      <c r="N417" s="27"/>
    </row>
    <row r="418" ht="14.25" customHeight="1">
      <c r="K418" s="26"/>
      <c r="L418" s="27"/>
      <c r="M418" s="27"/>
      <c r="N418" s="27"/>
    </row>
    <row r="419" ht="14.25" customHeight="1">
      <c r="K419" s="26"/>
      <c r="L419" s="27"/>
      <c r="M419" s="27"/>
      <c r="N419" s="27"/>
    </row>
    <row r="420" ht="14.25" customHeight="1">
      <c r="K420" s="26"/>
      <c r="L420" s="27"/>
      <c r="M420" s="27"/>
      <c r="N420" s="27"/>
    </row>
    <row r="421" ht="14.25" customHeight="1">
      <c r="K421" s="26"/>
      <c r="L421" s="27"/>
      <c r="M421" s="27"/>
      <c r="N421" s="27"/>
    </row>
    <row r="422" ht="14.25" customHeight="1">
      <c r="K422" s="26"/>
      <c r="L422" s="27"/>
      <c r="M422" s="27"/>
      <c r="N422" s="27"/>
    </row>
    <row r="423" ht="14.25" customHeight="1">
      <c r="K423" s="26"/>
      <c r="L423" s="27"/>
      <c r="M423" s="27"/>
      <c r="N423" s="27"/>
    </row>
    <row r="424" ht="14.25" customHeight="1">
      <c r="K424" s="26"/>
      <c r="L424" s="27"/>
      <c r="M424" s="27"/>
      <c r="N424" s="27"/>
    </row>
    <row r="425" ht="14.25" customHeight="1">
      <c r="K425" s="26"/>
      <c r="L425" s="27"/>
      <c r="M425" s="27"/>
      <c r="N425" s="27"/>
    </row>
    <row r="426" ht="14.25" customHeight="1">
      <c r="K426" s="26"/>
      <c r="L426" s="27"/>
      <c r="M426" s="27"/>
      <c r="N426" s="27"/>
    </row>
    <row r="427" ht="14.25" customHeight="1">
      <c r="K427" s="26"/>
      <c r="L427" s="27"/>
      <c r="M427" s="27"/>
      <c r="N427" s="27"/>
    </row>
    <row r="428" ht="14.25" customHeight="1">
      <c r="K428" s="26"/>
      <c r="L428" s="27"/>
      <c r="M428" s="27"/>
      <c r="N428" s="27"/>
    </row>
    <row r="429" ht="14.25" customHeight="1">
      <c r="K429" s="26"/>
      <c r="L429" s="27"/>
      <c r="M429" s="27"/>
      <c r="N429" s="27"/>
    </row>
    <row r="430" ht="14.25" customHeight="1">
      <c r="K430" s="26"/>
      <c r="L430" s="27"/>
      <c r="M430" s="27"/>
      <c r="N430" s="27"/>
    </row>
    <row r="431" ht="14.25" customHeight="1">
      <c r="K431" s="26"/>
      <c r="L431" s="27"/>
      <c r="M431" s="27"/>
      <c r="N431" s="27"/>
    </row>
    <row r="432" ht="14.25" customHeight="1">
      <c r="K432" s="26"/>
      <c r="L432" s="27"/>
      <c r="M432" s="27"/>
      <c r="N432" s="27"/>
    </row>
    <row r="433" ht="14.25" customHeight="1">
      <c r="K433" s="26"/>
      <c r="L433" s="27"/>
      <c r="M433" s="27"/>
      <c r="N433" s="27"/>
    </row>
    <row r="434" ht="14.25" customHeight="1">
      <c r="K434" s="26"/>
      <c r="L434" s="27"/>
      <c r="M434" s="27"/>
      <c r="N434" s="27"/>
    </row>
    <row r="435" ht="14.25" customHeight="1">
      <c r="K435" s="26"/>
      <c r="L435" s="27"/>
      <c r="M435" s="27"/>
      <c r="N435" s="27"/>
    </row>
    <row r="436" ht="14.25" customHeight="1">
      <c r="K436" s="26"/>
      <c r="L436" s="27"/>
      <c r="M436" s="27"/>
      <c r="N436" s="27"/>
    </row>
    <row r="437" ht="14.25" customHeight="1">
      <c r="K437" s="26"/>
      <c r="L437" s="27"/>
      <c r="M437" s="27"/>
      <c r="N437" s="27"/>
    </row>
    <row r="438" ht="14.25" customHeight="1">
      <c r="K438" s="26"/>
      <c r="L438" s="27"/>
      <c r="M438" s="27"/>
      <c r="N438" s="27"/>
    </row>
    <row r="439" ht="14.25" customHeight="1">
      <c r="K439" s="26"/>
      <c r="L439" s="27"/>
      <c r="M439" s="27"/>
      <c r="N439" s="27"/>
    </row>
    <row r="440" ht="14.25" customHeight="1">
      <c r="K440" s="26"/>
      <c r="L440" s="27"/>
      <c r="M440" s="27"/>
      <c r="N440" s="27"/>
    </row>
    <row r="441" ht="14.25" customHeight="1">
      <c r="K441" s="26"/>
      <c r="L441" s="27"/>
      <c r="M441" s="27"/>
      <c r="N441" s="27"/>
    </row>
    <row r="442" ht="14.25" customHeight="1">
      <c r="K442" s="26"/>
      <c r="L442" s="27"/>
      <c r="M442" s="27"/>
      <c r="N442" s="27"/>
    </row>
    <row r="443" ht="14.25" customHeight="1">
      <c r="K443" s="26"/>
      <c r="L443" s="27"/>
      <c r="M443" s="27"/>
      <c r="N443" s="27"/>
    </row>
    <row r="444" ht="14.25" customHeight="1">
      <c r="K444" s="26"/>
      <c r="L444" s="27"/>
      <c r="M444" s="27"/>
      <c r="N444" s="27"/>
    </row>
    <row r="445" ht="14.25" customHeight="1">
      <c r="K445" s="26"/>
      <c r="L445" s="27"/>
      <c r="M445" s="27"/>
      <c r="N445" s="27"/>
    </row>
    <row r="446" ht="14.25" customHeight="1">
      <c r="K446" s="26"/>
      <c r="L446" s="27"/>
      <c r="M446" s="27"/>
      <c r="N446" s="27"/>
    </row>
    <row r="447" ht="14.25" customHeight="1">
      <c r="K447" s="26"/>
      <c r="L447" s="27"/>
      <c r="M447" s="27"/>
      <c r="N447" s="27"/>
    </row>
    <row r="448" ht="14.25" customHeight="1">
      <c r="K448" s="26"/>
      <c r="L448" s="27"/>
      <c r="M448" s="27"/>
      <c r="N448" s="27"/>
    </row>
    <row r="449" ht="14.25" customHeight="1">
      <c r="K449" s="26"/>
      <c r="L449" s="27"/>
      <c r="M449" s="27"/>
      <c r="N449" s="27"/>
    </row>
    <row r="450" ht="14.25" customHeight="1">
      <c r="K450" s="26"/>
      <c r="L450" s="27"/>
      <c r="M450" s="27"/>
      <c r="N450" s="27"/>
    </row>
    <row r="451" ht="14.25" customHeight="1">
      <c r="K451" s="26"/>
      <c r="L451" s="27"/>
      <c r="M451" s="27"/>
      <c r="N451" s="27"/>
    </row>
    <row r="452" ht="14.25" customHeight="1">
      <c r="K452" s="26"/>
      <c r="L452" s="27"/>
      <c r="M452" s="27"/>
      <c r="N452" s="27"/>
    </row>
    <row r="453" ht="14.25" customHeight="1">
      <c r="K453" s="26"/>
      <c r="L453" s="27"/>
      <c r="M453" s="27"/>
      <c r="N453" s="27"/>
    </row>
    <row r="454" ht="14.25" customHeight="1">
      <c r="K454" s="26"/>
      <c r="L454" s="27"/>
      <c r="M454" s="27"/>
      <c r="N454" s="27"/>
    </row>
    <row r="455" ht="14.25" customHeight="1">
      <c r="K455" s="26"/>
      <c r="L455" s="27"/>
      <c r="M455" s="27"/>
      <c r="N455" s="27"/>
    </row>
    <row r="456" ht="14.25" customHeight="1">
      <c r="K456" s="26"/>
      <c r="L456" s="27"/>
      <c r="M456" s="27"/>
      <c r="N456" s="27"/>
    </row>
    <row r="457" ht="14.25" customHeight="1">
      <c r="K457" s="26"/>
      <c r="L457" s="27"/>
      <c r="M457" s="27"/>
      <c r="N457" s="27"/>
    </row>
    <row r="458" ht="14.25" customHeight="1">
      <c r="K458" s="26"/>
      <c r="L458" s="27"/>
      <c r="M458" s="27"/>
      <c r="N458" s="27"/>
    </row>
    <row r="459" ht="14.25" customHeight="1">
      <c r="K459" s="26"/>
      <c r="L459" s="27"/>
      <c r="M459" s="27"/>
      <c r="N459" s="27"/>
    </row>
    <row r="460" ht="14.25" customHeight="1">
      <c r="K460" s="26"/>
      <c r="L460" s="27"/>
      <c r="M460" s="27"/>
      <c r="N460" s="27"/>
    </row>
    <row r="461" ht="14.25" customHeight="1">
      <c r="K461" s="26"/>
      <c r="L461" s="27"/>
      <c r="M461" s="27"/>
      <c r="N461" s="27"/>
    </row>
    <row r="462" ht="14.25" customHeight="1">
      <c r="K462" s="26"/>
      <c r="L462" s="27"/>
      <c r="M462" s="27"/>
      <c r="N462" s="27"/>
    </row>
    <row r="463" ht="14.25" customHeight="1">
      <c r="K463" s="26"/>
      <c r="L463" s="27"/>
      <c r="M463" s="27"/>
      <c r="N463" s="27"/>
    </row>
    <row r="464" ht="14.25" customHeight="1">
      <c r="K464" s="26"/>
      <c r="L464" s="27"/>
      <c r="M464" s="27"/>
      <c r="N464" s="27"/>
    </row>
    <row r="465" ht="14.25" customHeight="1">
      <c r="K465" s="26"/>
      <c r="L465" s="27"/>
      <c r="M465" s="27"/>
      <c r="N465" s="27"/>
    </row>
    <row r="466" ht="14.25" customHeight="1">
      <c r="K466" s="26"/>
      <c r="L466" s="27"/>
      <c r="M466" s="27"/>
      <c r="N466" s="27"/>
    </row>
    <row r="467" ht="14.25" customHeight="1">
      <c r="K467" s="26"/>
      <c r="L467" s="27"/>
      <c r="M467" s="27"/>
      <c r="N467" s="27"/>
    </row>
    <row r="468" ht="14.25" customHeight="1">
      <c r="K468" s="26"/>
      <c r="L468" s="27"/>
      <c r="M468" s="27"/>
      <c r="N468" s="27"/>
    </row>
    <row r="469" ht="14.25" customHeight="1">
      <c r="K469" s="26"/>
      <c r="L469" s="27"/>
      <c r="M469" s="27"/>
      <c r="N469" s="27"/>
    </row>
    <row r="470" ht="14.25" customHeight="1">
      <c r="K470" s="26"/>
      <c r="L470" s="27"/>
      <c r="M470" s="27"/>
      <c r="N470" s="27"/>
    </row>
    <row r="471" ht="14.25" customHeight="1">
      <c r="K471" s="26"/>
      <c r="L471" s="27"/>
      <c r="M471" s="27"/>
      <c r="N471" s="27"/>
    </row>
    <row r="472" ht="14.25" customHeight="1">
      <c r="K472" s="26"/>
      <c r="L472" s="27"/>
      <c r="M472" s="27"/>
      <c r="N472" s="27"/>
    </row>
    <row r="473" ht="14.25" customHeight="1">
      <c r="K473" s="26"/>
      <c r="L473" s="27"/>
      <c r="M473" s="27"/>
      <c r="N473" s="27"/>
    </row>
    <row r="474" ht="14.25" customHeight="1">
      <c r="K474" s="26"/>
      <c r="L474" s="27"/>
      <c r="M474" s="27"/>
      <c r="N474" s="27"/>
    </row>
    <row r="475" ht="14.25" customHeight="1">
      <c r="K475" s="26"/>
      <c r="L475" s="27"/>
      <c r="M475" s="27"/>
      <c r="N475" s="27"/>
    </row>
    <row r="476" ht="14.25" customHeight="1">
      <c r="K476" s="26"/>
      <c r="L476" s="27"/>
      <c r="M476" s="27"/>
      <c r="N476" s="27"/>
    </row>
    <row r="477" ht="14.25" customHeight="1">
      <c r="K477" s="26"/>
      <c r="L477" s="27"/>
      <c r="M477" s="27"/>
      <c r="N477" s="27"/>
    </row>
    <row r="478" ht="14.25" customHeight="1">
      <c r="K478" s="26"/>
      <c r="L478" s="27"/>
      <c r="M478" s="27"/>
      <c r="N478" s="27"/>
    </row>
    <row r="479" ht="14.25" customHeight="1">
      <c r="K479" s="26"/>
      <c r="L479" s="27"/>
      <c r="M479" s="27"/>
      <c r="N479" s="27"/>
    </row>
    <row r="480" ht="14.25" customHeight="1">
      <c r="K480" s="26"/>
      <c r="L480" s="27"/>
      <c r="M480" s="27"/>
      <c r="N480" s="27"/>
    </row>
    <row r="481" ht="14.25" customHeight="1">
      <c r="K481" s="26"/>
      <c r="L481" s="27"/>
      <c r="M481" s="27"/>
      <c r="N481" s="27"/>
    </row>
    <row r="482" ht="14.25" customHeight="1">
      <c r="K482" s="26"/>
      <c r="L482" s="27"/>
      <c r="M482" s="27"/>
      <c r="N482" s="27"/>
    </row>
    <row r="483" ht="14.25" customHeight="1">
      <c r="K483" s="26"/>
      <c r="L483" s="27"/>
      <c r="M483" s="27"/>
      <c r="N483" s="27"/>
    </row>
    <row r="484" ht="14.25" customHeight="1">
      <c r="K484" s="26"/>
      <c r="L484" s="27"/>
      <c r="M484" s="27"/>
      <c r="N484" s="27"/>
    </row>
    <row r="485" ht="14.25" customHeight="1">
      <c r="K485" s="26"/>
      <c r="L485" s="27"/>
      <c r="M485" s="27"/>
      <c r="N485" s="27"/>
    </row>
    <row r="486" ht="14.25" customHeight="1">
      <c r="K486" s="26"/>
      <c r="L486" s="27"/>
      <c r="M486" s="27"/>
      <c r="N486" s="27"/>
    </row>
    <row r="487" ht="14.25" customHeight="1">
      <c r="K487" s="26"/>
      <c r="L487" s="27"/>
      <c r="M487" s="27"/>
      <c r="N487" s="27"/>
    </row>
    <row r="488" ht="14.25" customHeight="1">
      <c r="K488" s="26"/>
      <c r="L488" s="27"/>
      <c r="M488" s="27"/>
      <c r="N488" s="27"/>
    </row>
    <row r="489" ht="14.25" customHeight="1">
      <c r="K489" s="26"/>
      <c r="L489" s="27"/>
      <c r="M489" s="27"/>
      <c r="N489" s="27"/>
    </row>
    <row r="490" ht="14.25" customHeight="1">
      <c r="K490" s="26"/>
      <c r="L490" s="27"/>
      <c r="M490" s="27"/>
      <c r="N490" s="27"/>
    </row>
    <row r="491" ht="14.25" customHeight="1">
      <c r="K491" s="26"/>
      <c r="L491" s="27"/>
      <c r="M491" s="27"/>
      <c r="N491" s="27"/>
    </row>
    <row r="492" ht="14.25" customHeight="1">
      <c r="K492" s="26"/>
      <c r="L492" s="27"/>
      <c r="M492" s="27"/>
      <c r="N492" s="27"/>
    </row>
    <row r="493" ht="14.25" customHeight="1">
      <c r="K493" s="26"/>
      <c r="L493" s="27"/>
      <c r="M493" s="27"/>
      <c r="N493" s="27"/>
    </row>
    <row r="494" ht="14.25" customHeight="1">
      <c r="K494" s="26"/>
      <c r="L494" s="27"/>
      <c r="M494" s="27"/>
      <c r="N494" s="27"/>
    </row>
    <row r="495" ht="14.25" customHeight="1">
      <c r="K495" s="26"/>
      <c r="L495" s="27"/>
      <c r="M495" s="27"/>
      <c r="N495" s="27"/>
    </row>
    <row r="496" ht="14.25" customHeight="1">
      <c r="K496" s="26"/>
      <c r="L496" s="27"/>
      <c r="M496" s="27"/>
      <c r="N496" s="27"/>
    </row>
    <row r="497" ht="14.25" customHeight="1">
      <c r="K497" s="26"/>
      <c r="L497" s="27"/>
      <c r="M497" s="27"/>
      <c r="N497" s="27"/>
    </row>
    <row r="498" ht="14.25" customHeight="1">
      <c r="K498" s="26"/>
      <c r="L498" s="27"/>
      <c r="M498" s="27"/>
      <c r="N498" s="27"/>
    </row>
    <row r="499" ht="14.25" customHeight="1">
      <c r="K499" s="26"/>
      <c r="L499" s="27"/>
      <c r="M499" s="27"/>
      <c r="N499" s="27"/>
    </row>
    <row r="500" ht="14.25" customHeight="1">
      <c r="K500" s="26"/>
      <c r="L500" s="27"/>
      <c r="M500" s="27"/>
      <c r="N500" s="27"/>
    </row>
    <row r="501" ht="14.25" customHeight="1">
      <c r="K501" s="26"/>
      <c r="L501" s="27"/>
      <c r="M501" s="27"/>
      <c r="N501" s="27"/>
    </row>
    <row r="502" ht="14.25" customHeight="1">
      <c r="K502" s="26"/>
      <c r="L502" s="27"/>
      <c r="M502" s="27"/>
      <c r="N502" s="27"/>
    </row>
    <row r="503" ht="14.25" customHeight="1">
      <c r="K503" s="26"/>
      <c r="L503" s="27"/>
      <c r="M503" s="27"/>
      <c r="N503" s="27"/>
    </row>
    <row r="504" ht="14.25" customHeight="1">
      <c r="K504" s="26"/>
      <c r="L504" s="27"/>
      <c r="M504" s="27"/>
      <c r="N504" s="27"/>
    </row>
    <row r="505" ht="14.25" customHeight="1">
      <c r="K505" s="26"/>
      <c r="L505" s="27"/>
      <c r="M505" s="27"/>
      <c r="N505" s="27"/>
    </row>
    <row r="506" ht="14.25" customHeight="1">
      <c r="K506" s="26"/>
      <c r="L506" s="27"/>
      <c r="M506" s="27"/>
      <c r="N506" s="27"/>
    </row>
    <row r="507" ht="14.25" customHeight="1">
      <c r="K507" s="26"/>
      <c r="L507" s="27"/>
      <c r="M507" s="27"/>
      <c r="N507" s="27"/>
    </row>
    <row r="508" ht="14.25" customHeight="1">
      <c r="K508" s="26"/>
      <c r="L508" s="27"/>
      <c r="M508" s="27"/>
      <c r="N508" s="27"/>
    </row>
    <row r="509" ht="14.25" customHeight="1">
      <c r="K509" s="26"/>
      <c r="L509" s="27"/>
      <c r="M509" s="27"/>
      <c r="N509" s="27"/>
    </row>
    <row r="510" ht="14.25" customHeight="1">
      <c r="K510" s="26"/>
      <c r="L510" s="27"/>
      <c r="M510" s="27"/>
      <c r="N510" s="27"/>
    </row>
    <row r="511" ht="14.25" customHeight="1">
      <c r="K511" s="26"/>
      <c r="L511" s="27"/>
      <c r="M511" s="27"/>
      <c r="N511" s="27"/>
    </row>
    <row r="512" ht="14.25" customHeight="1">
      <c r="K512" s="26"/>
      <c r="L512" s="27"/>
      <c r="M512" s="27"/>
      <c r="N512" s="27"/>
    </row>
    <row r="513" ht="14.25" customHeight="1">
      <c r="K513" s="26"/>
      <c r="L513" s="27"/>
      <c r="M513" s="27"/>
      <c r="N513" s="27"/>
    </row>
    <row r="514" ht="14.25" customHeight="1">
      <c r="K514" s="26"/>
      <c r="L514" s="27"/>
      <c r="M514" s="27"/>
      <c r="N514" s="27"/>
    </row>
    <row r="515" ht="14.25" customHeight="1">
      <c r="K515" s="26"/>
      <c r="L515" s="27"/>
      <c r="M515" s="27"/>
      <c r="N515" s="27"/>
    </row>
    <row r="516" ht="14.25" customHeight="1">
      <c r="K516" s="26"/>
      <c r="L516" s="27"/>
      <c r="M516" s="27"/>
      <c r="N516" s="27"/>
    </row>
    <row r="517" ht="14.25" customHeight="1">
      <c r="K517" s="26"/>
      <c r="L517" s="27"/>
      <c r="M517" s="27"/>
      <c r="N517" s="27"/>
    </row>
    <row r="518" ht="14.25" customHeight="1">
      <c r="K518" s="26"/>
      <c r="L518" s="27"/>
      <c r="M518" s="27"/>
      <c r="N518" s="27"/>
    </row>
    <row r="519" ht="14.25" customHeight="1">
      <c r="K519" s="26"/>
      <c r="L519" s="27"/>
      <c r="M519" s="27"/>
      <c r="N519" s="27"/>
    </row>
    <row r="520" ht="14.25" customHeight="1">
      <c r="K520" s="26"/>
      <c r="L520" s="27"/>
      <c r="M520" s="27"/>
      <c r="N520" s="27"/>
    </row>
    <row r="521" ht="14.25" customHeight="1">
      <c r="K521" s="26"/>
      <c r="L521" s="27"/>
      <c r="M521" s="27"/>
      <c r="N521" s="27"/>
    </row>
    <row r="522" ht="14.25" customHeight="1">
      <c r="K522" s="26"/>
      <c r="L522" s="27"/>
      <c r="M522" s="27"/>
      <c r="N522" s="27"/>
    </row>
    <row r="523" ht="14.25" customHeight="1">
      <c r="K523" s="26"/>
      <c r="L523" s="27"/>
      <c r="M523" s="27"/>
      <c r="N523" s="27"/>
    </row>
    <row r="524" ht="14.25" customHeight="1">
      <c r="K524" s="26"/>
      <c r="L524" s="27"/>
      <c r="M524" s="27"/>
      <c r="N524" s="27"/>
    </row>
    <row r="525" ht="14.25" customHeight="1">
      <c r="K525" s="26"/>
      <c r="L525" s="27"/>
      <c r="M525" s="27"/>
      <c r="N525" s="27"/>
    </row>
    <row r="526" ht="14.25" customHeight="1">
      <c r="K526" s="26"/>
      <c r="L526" s="27"/>
      <c r="M526" s="27"/>
      <c r="N526" s="27"/>
    </row>
    <row r="527" ht="14.25" customHeight="1">
      <c r="K527" s="26"/>
      <c r="L527" s="27"/>
      <c r="M527" s="27"/>
      <c r="N527" s="27"/>
    </row>
    <row r="528" ht="14.25" customHeight="1">
      <c r="K528" s="26"/>
      <c r="L528" s="27"/>
      <c r="M528" s="27"/>
      <c r="N528" s="27"/>
    </row>
    <row r="529" ht="14.25" customHeight="1">
      <c r="K529" s="26"/>
      <c r="L529" s="27"/>
      <c r="M529" s="27"/>
      <c r="N529" s="27"/>
    </row>
    <row r="530" ht="14.25" customHeight="1">
      <c r="K530" s="26"/>
      <c r="L530" s="27"/>
      <c r="M530" s="27"/>
      <c r="N530" s="27"/>
    </row>
    <row r="531" ht="14.25" customHeight="1">
      <c r="K531" s="26"/>
      <c r="L531" s="27"/>
      <c r="M531" s="27"/>
      <c r="N531" s="27"/>
    </row>
    <row r="532" ht="14.25" customHeight="1">
      <c r="K532" s="26"/>
      <c r="L532" s="27"/>
      <c r="M532" s="27"/>
      <c r="N532" s="27"/>
    </row>
    <row r="533" ht="14.25" customHeight="1">
      <c r="K533" s="26"/>
      <c r="L533" s="27"/>
      <c r="M533" s="27"/>
      <c r="N533" s="27"/>
    </row>
    <row r="534" ht="14.25" customHeight="1">
      <c r="K534" s="26"/>
      <c r="L534" s="27"/>
      <c r="M534" s="27"/>
      <c r="N534" s="27"/>
    </row>
    <row r="535" ht="14.25" customHeight="1">
      <c r="K535" s="26"/>
      <c r="L535" s="27"/>
      <c r="M535" s="27"/>
      <c r="N535" s="27"/>
    </row>
    <row r="536" ht="14.25" customHeight="1">
      <c r="K536" s="26"/>
      <c r="L536" s="27"/>
      <c r="M536" s="27"/>
      <c r="N536" s="27"/>
    </row>
    <row r="537" ht="14.25" customHeight="1">
      <c r="K537" s="26"/>
      <c r="L537" s="27"/>
      <c r="M537" s="27"/>
      <c r="N537" s="27"/>
    </row>
    <row r="538" ht="14.25" customHeight="1">
      <c r="K538" s="26"/>
      <c r="L538" s="27"/>
      <c r="M538" s="27"/>
      <c r="N538" s="27"/>
    </row>
    <row r="539" ht="14.25" customHeight="1">
      <c r="K539" s="26"/>
      <c r="L539" s="27"/>
      <c r="M539" s="27"/>
      <c r="N539" s="27"/>
    </row>
    <row r="540" ht="14.25" customHeight="1">
      <c r="K540" s="26"/>
      <c r="L540" s="27"/>
      <c r="M540" s="27"/>
      <c r="N540" s="27"/>
    </row>
    <row r="541" ht="14.25" customHeight="1">
      <c r="K541" s="26"/>
      <c r="L541" s="27"/>
      <c r="M541" s="27"/>
      <c r="N541" s="27"/>
    </row>
    <row r="542" ht="14.25" customHeight="1">
      <c r="K542" s="26"/>
      <c r="L542" s="27"/>
      <c r="M542" s="27"/>
      <c r="N542" s="27"/>
    </row>
    <row r="543" ht="14.25" customHeight="1">
      <c r="K543" s="26"/>
      <c r="L543" s="27"/>
      <c r="M543" s="27"/>
      <c r="N543" s="27"/>
    </row>
    <row r="544" ht="14.25" customHeight="1">
      <c r="K544" s="26"/>
      <c r="L544" s="27"/>
      <c r="M544" s="27"/>
      <c r="N544" s="27"/>
    </row>
    <row r="545" ht="14.25" customHeight="1">
      <c r="K545" s="26"/>
      <c r="L545" s="27"/>
      <c r="M545" s="27"/>
      <c r="N545" s="27"/>
    </row>
    <row r="546" ht="14.25" customHeight="1">
      <c r="K546" s="26"/>
      <c r="L546" s="27"/>
      <c r="M546" s="27"/>
      <c r="N546" s="27"/>
    </row>
    <row r="547" ht="14.25" customHeight="1">
      <c r="K547" s="26"/>
      <c r="L547" s="27"/>
      <c r="M547" s="27"/>
      <c r="N547" s="27"/>
    </row>
    <row r="548" ht="14.25" customHeight="1">
      <c r="K548" s="26"/>
      <c r="L548" s="27"/>
      <c r="M548" s="27"/>
      <c r="N548" s="27"/>
    </row>
    <row r="549" ht="14.25" customHeight="1">
      <c r="K549" s="26"/>
      <c r="L549" s="27"/>
      <c r="M549" s="27"/>
      <c r="N549" s="27"/>
    </row>
    <row r="550" ht="14.25" customHeight="1">
      <c r="K550" s="26"/>
      <c r="L550" s="27"/>
      <c r="M550" s="27"/>
      <c r="N550" s="27"/>
    </row>
    <row r="551" ht="14.25" customHeight="1">
      <c r="K551" s="26"/>
      <c r="L551" s="27"/>
      <c r="M551" s="27"/>
      <c r="N551" s="27"/>
    </row>
    <row r="552" ht="14.25" customHeight="1">
      <c r="K552" s="26"/>
      <c r="L552" s="27"/>
      <c r="M552" s="27"/>
      <c r="N552" s="27"/>
    </row>
    <row r="553" ht="14.25" customHeight="1">
      <c r="K553" s="26"/>
      <c r="L553" s="27"/>
      <c r="M553" s="27"/>
      <c r="N553" s="27"/>
    </row>
    <row r="554" ht="14.25" customHeight="1">
      <c r="K554" s="26"/>
      <c r="L554" s="27"/>
      <c r="M554" s="27"/>
      <c r="N554" s="27"/>
    </row>
    <row r="555" ht="14.25" customHeight="1">
      <c r="K555" s="26"/>
      <c r="L555" s="27"/>
      <c r="M555" s="27"/>
      <c r="N555" s="27"/>
    </row>
    <row r="556" ht="14.25" customHeight="1">
      <c r="K556" s="26"/>
      <c r="L556" s="27"/>
      <c r="M556" s="27"/>
      <c r="N556" s="27"/>
    </row>
    <row r="557" ht="14.25" customHeight="1">
      <c r="K557" s="26"/>
      <c r="L557" s="27"/>
      <c r="M557" s="27"/>
      <c r="N557" s="27"/>
    </row>
    <row r="558" ht="14.25" customHeight="1">
      <c r="K558" s="26"/>
      <c r="L558" s="27"/>
      <c r="M558" s="27"/>
      <c r="N558" s="27"/>
    </row>
    <row r="559" ht="14.25" customHeight="1">
      <c r="K559" s="26"/>
      <c r="L559" s="27"/>
      <c r="M559" s="27"/>
      <c r="N559" s="27"/>
    </row>
    <row r="560" ht="14.25" customHeight="1">
      <c r="K560" s="26"/>
      <c r="L560" s="27"/>
      <c r="M560" s="27"/>
      <c r="N560" s="27"/>
    </row>
    <row r="561" ht="14.25" customHeight="1">
      <c r="K561" s="26"/>
      <c r="L561" s="27"/>
      <c r="M561" s="27"/>
      <c r="N561" s="27"/>
    </row>
    <row r="562" ht="14.25" customHeight="1">
      <c r="K562" s="26"/>
      <c r="L562" s="27"/>
      <c r="M562" s="27"/>
      <c r="N562" s="27"/>
    </row>
    <row r="563" ht="14.25" customHeight="1">
      <c r="K563" s="26"/>
      <c r="L563" s="27"/>
      <c r="M563" s="27"/>
      <c r="N563" s="27"/>
    </row>
    <row r="564" ht="14.25" customHeight="1">
      <c r="K564" s="26"/>
      <c r="L564" s="27"/>
      <c r="M564" s="27"/>
      <c r="N564" s="27"/>
    </row>
    <row r="565" ht="14.25" customHeight="1">
      <c r="K565" s="26"/>
      <c r="L565" s="27"/>
      <c r="M565" s="27"/>
      <c r="N565" s="27"/>
    </row>
    <row r="566" ht="14.25" customHeight="1">
      <c r="K566" s="26"/>
      <c r="L566" s="27"/>
      <c r="M566" s="27"/>
      <c r="N566" s="27"/>
    </row>
    <row r="567" ht="14.25" customHeight="1">
      <c r="K567" s="26"/>
      <c r="L567" s="27"/>
      <c r="M567" s="27"/>
      <c r="N567" s="27"/>
    </row>
    <row r="568" ht="14.25" customHeight="1">
      <c r="K568" s="26"/>
      <c r="L568" s="27"/>
      <c r="M568" s="27"/>
      <c r="N568" s="27"/>
    </row>
    <row r="569" ht="14.25" customHeight="1">
      <c r="K569" s="26"/>
      <c r="L569" s="27"/>
      <c r="M569" s="27"/>
      <c r="N569" s="27"/>
    </row>
    <row r="570" ht="14.25" customHeight="1">
      <c r="K570" s="26"/>
      <c r="L570" s="27"/>
      <c r="M570" s="27"/>
      <c r="N570" s="27"/>
    </row>
    <row r="571" ht="14.25" customHeight="1">
      <c r="K571" s="26"/>
      <c r="L571" s="27"/>
      <c r="M571" s="27"/>
      <c r="N571" s="27"/>
    </row>
    <row r="572" ht="14.25" customHeight="1">
      <c r="K572" s="26"/>
      <c r="L572" s="27"/>
      <c r="M572" s="27"/>
      <c r="N572" s="27"/>
    </row>
    <row r="573" ht="14.25" customHeight="1">
      <c r="K573" s="26"/>
      <c r="L573" s="27"/>
      <c r="M573" s="27"/>
      <c r="N573" s="27"/>
    </row>
    <row r="574" ht="14.25" customHeight="1">
      <c r="K574" s="26"/>
      <c r="L574" s="27"/>
      <c r="M574" s="27"/>
      <c r="N574" s="27"/>
    </row>
    <row r="575" ht="14.25" customHeight="1">
      <c r="K575" s="26"/>
      <c r="L575" s="27"/>
      <c r="M575" s="27"/>
      <c r="N575" s="27"/>
    </row>
    <row r="576" ht="14.25" customHeight="1">
      <c r="K576" s="26"/>
      <c r="L576" s="27"/>
      <c r="M576" s="27"/>
      <c r="N576" s="27"/>
    </row>
    <row r="577" ht="14.25" customHeight="1">
      <c r="K577" s="26"/>
      <c r="L577" s="27"/>
      <c r="M577" s="27"/>
      <c r="N577" s="27"/>
    </row>
    <row r="578" ht="14.25" customHeight="1">
      <c r="K578" s="26"/>
      <c r="L578" s="27"/>
      <c r="M578" s="27"/>
      <c r="N578" s="27"/>
    </row>
    <row r="579" ht="14.25" customHeight="1">
      <c r="K579" s="26"/>
      <c r="L579" s="27"/>
      <c r="M579" s="27"/>
      <c r="N579" s="27"/>
    </row>
    <row r="580" ht="14.25" customHeight="1">
      <c r="K580" s="26"/>
      <c r="L580" s="27"/>
      <c r="M580" s="27"/>
      <c r="N580" s="27"/>
    </row>
    <row r="581" ht="14.25" customHeight="1">
      <c r="K581" s="26"/>
      <c r="L581" s="27"/>
      <c r="M581" s="27"/>
      <c r="N581" s="27"/>
    </row>
    <row r="582" ht="14.25" customHeight="1">
      <c r="K582" s="26"/>
      <c r="L582" s="27"/>
      <c r="M582" s="27"/>
      <c r="N582" s="27"/>
    </row>
    <row r="583" ht="14.25" customHeight="1">
      <c r="K583" s="26"/>
      <c r="L583" s="27"/>
      <c r="M583" s="27"/>
      <c r="N583" s="27"/>
    </row>
    <row r="584" ht="14.25" customHeight="1">
      <c r="K584" s="26"/>
      <c r="L584" s="27"/>
      <c r="M584" s="27"/>
      <c r="N584" s="27"/>
    </row>
    <row r="585" ht="14.25" customHeight="1">
      <c r="K585" s="26"/>
      <c r="L585" s="27"/>
      <c r="M585" s="27"/>
      <c r="N585" s="27"/>
    </row>
    <row r="586" ht="14.25" customHeight="1">
      <c r="K586" s="26"/>
      <c r="L586" s="27"/>
      <c r="M586" s="27"/>
      <c r="N586" s="27"/>
    </row>
    <row r="587" ht="14.25" customHeight="1">
      <c r="K587" s="26"/>
      <c r="L587" s="27"/>
      <c r="M587" s="27"/>
      <c r="N587" s="27"/>
    </row>
    <row r="588" ht="14.25" customHeight="1">
      <c r="K588" s="26"/>
      <c r="L588" s="27"/>
      <c r="M588" s="27"/>
      <c r="N588" s="27"/>
    </row>
    <row r="589" ht="14.25" customHeight="1">
      <c r="K589" s="26"/>
      <c r="L589" s="27"/>
      <c r="M589" s="27"/>
      <c r="N589" s="27"/>
    </row>
    <row r="590" ht="14.25" customHeight="1">
      <c r="K590" s="26"/>
      <c r="L590" s="27"/>
      <c r="M590" s="27"/>
      <c r="N590" s="27"/>
    </row>
    <row r="591" ht="14.25" customHeight="1">
      <c r="K591" s="26"/>
      <c r="L591" s="27"/>
      <c r="M591" s="27"/>
      <c r="N591" s="27"/>
    </row>
    <row r="592" ht="14.25" customHeight="1">
      <c r="K592" s="26"/>
      <c r="L592" s="27"/>
      <c r="M592" s="27"/>
      <c r="N592" s="27"/>
    </row>
    <row r="593" ht="14.25" customHeight="1">
      <c r="K593" s="26"/>
      <c r="L593" s="27"/>
      <c r="M593" s="27"/>
      <c r="N593" s="27"/>
    </row>
    <row r="594" ht="14.25" customHeight="1">
      <c r="K594" s="26"/>
      <c r="L594" s="27"/>
      <c r="M594" s="27"/>
      <c r="N594" s="27"/>
    </row>
    <row r="595" ht="14.25" customHeight="1">
      <c r="K595" s="26"/>
      <c r="L595" s="27"/>
      <c r="M595" s="27"/>
      <c r="N595" s="27"/>
    </row>
    <row r="596" ht="14.25" customHeight="1">
      <c r="K596" s="26"/>
      <c r="L596" s="27"/>
      <c r="M596" s="27"/>
      <c r="N596" s="27"/>
    </row>
    <row r="597" ht="14.25" customHeight="1">
      <c r="K597" s="26"/>
      <c r="L597" s="27"/>
      <c r="M597" s="27"/>
      <c r="N597" s="27"/>
    </row>
    <row r="598" ht="14.25" customHeight="1">
      <c r="K598" s="26"/>
      <c r="L598" s="27"/>
      <c r="M598" s="27"/>
      <c r="N598" s="27"/>
    </row>
    <row r="599" ht="14.25" customHeight="1">
      <c r="K599" s="26"/>
      <c r="L599" s="27"/>
      <c r="M599" s="27"/>
      <c r="N599" s="27"/>
    </row>
    <row r="600" ht="14.25" customHeight="1">
      <c r="K600" s="26"/>
      <c r="L600" s="27"/>
      <c r="M600" s="27"/>
      <c r="N600" s="27"/>
    </row>
    <row r="601" ht="14.25" customHeight="1">
      <c r="K601" s="26"/>
      <c r="L601" s="27"/>
      <c r="M601" s="27"/>
      <c r="N601" s="27"/>
    </row>
    <row r="602" ht="14.25" customHeight="1">
      <c r="K602" s="26"/>
      <c r="L602" s="27"/>
      <c r="M602" s="27"/>
      <c r="N602" s="27"/>
    </row>
    <row r="603" ht="14.25" customHeight="1">
      <c r="K603" s="26"/>
      <c r="L603" s="27"/>
      <c r="M603" s="27"/>
      <c r="N603" s="27"/>
    </row>
    <row r="604" ht="14.25" customHeight="1">
      <c r="K604" s="26"/>
      <c r="L604" s="27"/>
      <c r="M604" s="27"/>
      <c r="N604" s="27"/>
    </row>
    <row r="605" ht="14.25" customHeight="1">
      <c r="K605" s="26"/>
      <c r="L605" s="27"/>
      <c r="M605" s="27"/>
      <c r="N605" s="27"/>
    </row>
    <row r="606" ht="14.25" customHeight="1">
      <c r="K606" s="26"/>
      <c r="L606" s="27"/>
      <c r="M606" s="27"/>
      <c r="N606" s="27"/>
    </row>
    <row r="607" ht="14.25" customHeight="1">
      <c r="K607" s="26"/>
      <c r="L607" s="27"/>
      <c r="M607" s="27"/>
      <c r="N607" s="27"/>
    </row>
    <row r="608" ht="14.25" customHeight="1">
      <c r="K608" s="26"/>
      <c r="L608" s="27"/>
      <c r="M608" s="27"/>
      <c r="N608" s="27"/>
    </row>
    <row r="609" ht="14.25" customHeight="1">
      <c r="K609" s="26"/>
      <c r="L609" s="27"/>
      <c r="M609" s="27"/>
      <c r="N609" s="27"/>
    </row>
    <row r="610" ht="14.25" customHeight="1">
      <c r="K610" s="26"/>
      <c r="L610" s="27"/>
      <c r="M610" s="27"/>
      <c r="N610" s="27"/>
    </row>
    <row r="611" ht="14.25" customHeight="1">
      <c r="K611" s="26"/>
      <c r="L611" s="27"/>
      <c r="M611" s="27"/>
      <c r="N611" s="27"/>
    </row>
    <row r="612" ht="14.25" customHeight="1">
      <c r="K612" s="26"/>
      <c r="L612" s="27"/>
      <c r="M612" s="27"/>
      <c r="N612" s="27"/>
    </row>
    <row r="613" ht="14.25" customHeight="1">
      <c r="K613" s="26"/>
      <c r="L613" s="27"/>
      <c r="M613" s="27"/>
      <c r="N613" s="27"/>
    </row>
    <row r="614" ht="14.25" customHeight="1">
      <c r="K614" s="26"/>
      <c r="L614" s="27"/>
      <c r="M614" s="27"/>
      <c r="N614" s="27"/>
    </row>
    <row r="615" ht="14.25" customHeight="1">
      <c r="K615" s="26"/>
      <c r="L615" s="27"/>
      <c r="M615" s="27"/>
      <c r="N615" s="27"/>
    </row>
    <row r="616" ht="14.25" customHeight="1">
      <c r="K616" s="26"/>
      <c r="L616" s="27"/>
      <c r="M616" s="27"/>
      <c r="N616" s="27"/>
    </row>
    <row r="617" ht="14.25" customHeight="1">
      <c r="K617" s="26"/>
      <c r="L617" s="27"/>
      <c r="M617" s="27"/>
      <c r="N617" s="27"/>
    </row>
    <row r="618" ht="14.25" customHeight="1">
      <c r="K618" s="26"/>
      <c r="L618" s="27"/>
      <c r="M618" s="27"/>
      <c r="N618" s="27"/>
    </row>
    <row r="619" ht="14.25" customHeight="1">
      <c r="K619" s="26"/>
      <c r="L619" s="27"/>
      <c r="M619" s="27"/>
      <c r="N619" s="27"/>
    </row>
    <row r="620" ht="14.25" customHeight="1">
      <c r="K620" s="26"/>
      <c r="L620" s="27"/>
      <c r="M620" s="27"/>
      <c r="N620" s="27"/>
    </row>
    <row r="621" ht="14.25" customHeight="1">
      <c r="K621" s="26"/>
      <c r="L621" s="27"/>
      <c r="M621" s="27"/>
      <c r="N621" s="27"/>
    </row>
    <row r="622" ht="14.25" customHeight="1">
      <c r="K622" s="26"/>
      <c r="L622" s="27"/>
      <c r="M622" s="27"/>
      <c r="N622" s="27"/>
    </row>
    <row r="623" ht="14.25" customHeight="1">
      <c r="K623" s="26"/>
      <c r="L623" s="27"/>
      <c r="M623" s="27"/>
      <c r="N623" s="27"/>
    </row>
    <row r="624" ht="14.25" customHeight="1">
      <c r="K624" s="26"/>
      <c r="L624" s="27"/>
      <c r="M624" s="27"/>
      <c r="N624" s="27"/>
    </row>
    <row r="625" ht="14.25" customHeight="1">
      <c r="K625" s="26"/>
      <c r="L625" s="27"/>
      <c r="M625" s="27"/>
      <c r="N625" s="27"/>
    </row>
    <row r="626" ht="14.25" customHeight="1">
      <c r="K626" s="26"/>
      <c r="L626" s="27"/>
      <c r="M626" s="27"/>
      <c r="N626" s="27"/>
    </row>
    <row r="627" ht="14.25" customHeight="1">
      <c r="K627" s="26"/>
      <c r="L627" s="27"/>
      <c r="M627" s="27"/>
      <c r="N627" s="27"/>
    </row>
    <row r="628" ht="14.25" customHeight="1">
      <c r="K628" s="26"/>
      <c r="L628" s="27"/>
      <c r="M628" s="27"/>
      <c r="N628" s="27"/>
    </row>
    <row r="629" ht="14.25" customHeight="1">
      <c r="K629" s="26"/>
      <c r="L629" s="27"/>
      <c r="M629" s="27"/>
      <c r="N629" s="27"/>
    </row>
    <row r="630" ht="14.25" customHeight="1">
      <c r="K630" s="26"/>
      <c r="L630" s="27"/>
      <c r="M630" s="27"/>
      <c r="N630" s="27"/>
    </row>
    <row r="631" ht="14.25" customHeight="1">
      <c r="K631" s="26"/>
      <c r="L631" s="27"/>
      <c r="M631" s="27"/>
      <c r="N631" s="27"/>
    </row>
    <row r="632" ht="14.25" customHeight="1">
      <c r="K632" s="26"/>
      <c r="L632" s="27"/>
      <c r="M632" s="27"/>
      <c r="N632" s="27"/>
    </row>
    <row r="633" ht="14.25" customHeight="1">
      <c r="K633" s="26"/>
      <c r="L633" s="27"/>
      <c r="M633" s="27"/>
      <c r="N633" s="27"/>
    </row>
    <row r="634" ht="14.25" customHeight="1">
      <c r="K634" s="26"/>
      <c r="L634" s="27"/>
      <c r="M634" s="27"/>
      <c r="N634" s="27"/>
    </row>
    <row r="635" ht="14.25" customHeight="1">
      <c r="K635" s="26"/>
      <c r="L635" s="27"/>
      <c r="M635" s="27"/>
      <c r="N635" s="27"/>
    </row>
    <row r="636" ht="14.25" customHeight="1">
      <c r="K636" s="26"/>
      <c r="L636" s="27"/>
      <c r="M636" s="27"/>
      <c r="N636" s="27"/>
    </row>
    <row r="637" ht="14.25" customHeight="1">
      <c r="K637" s="26"/>
      <c r="L637" s="27"/>
      <c r="M637" s="27"/>
      <c r="N637" s="27"/>
    </row>
    <row r="638" ht="14.25" customHeight="1">
      <c r="K638" s="26"/>
      <c r="L638" s="27"/>
      <c r="M638" s="27"/>
      <c r="N638" s="27"/>
    </row>
    <row r="639" ht="14.25" customHeight="1">
      <c r="K639" s="26"/>
      <c r="L639" s="27"/>
      <c r="M639" s="27"/>
      <c r="N639" s="27"/>
    </row>
    <row r="640" ht="14.25" customHeight="1">
      <c r="K640" s="26"/>
      <c r="L640" s="27"/>
      <c r="M640" s="27"/>
      <c r="N640" s="27"/>
    </row>
    <row r="641" ht="14.25" customHeight="1">
      <c r="K641" s="26"/>
      <c r="L641" s="27"/>
      <c r="M641" s="27"/>
      <c r="N641" s="27"/>
    </row>
    <row r="642" ht="14.25" customHeight="1">
      <c r="K642" s="26"/>
      <c r="L642" s="27"/>
      <c r="M642" s="27"/>
      <c r="N642" s="27"/>
    </row>
    <row r="643" ht="14.25" customHeight="1">
      <c r="K643" s="26"/>
      <c r="L643" s="27"/>
      <c r="M643" s="27"/>
      <c r="N643" s="27"/>
    </row>
    <row r="644" ht="14.25" customHeight="1">
      <c r="K644" s="26"/>
      <c r="L644" s="27"/>
      <c r="M644" s="27"/>
      <c r="N644" s="27"/>
    </row>
    <row r="645" ht="14.25" customHeight="1">
      <c r="K645" s="26"/>
      <c r="L645" s="27"/>
      <c r="M645" s="27"/>
      <c r="N645" s="27"/>
    </row>
    <row r="646" ht="14.25" customHeight="1">
      <c r="K646" s="26"/>
      <c r="L646" s="27"/>
      <c r="M646" s="27"/>
      <c r="N646" s="27"/>
    </row>
    <row r="647" ht="14.25" customHeight="1">
      <c r="K647" s="26"/>
      <c r="L647" s="27"/>
      <c r="M647" s="27"/>
      <c r="N647" s="27"/>
    </row>
    <row r="648" ht="14.25" customHeight="1">
      <c r="K648" s="26"/>
      <c r="L648" s="27"/>
      <c r="M648" s="27"/>
      <c r="N648" s="27"/>
    </row>
    <row r="649" ht="14.25" customHeight="1">
      <c r="K649" s="26"/>
      <c r="L649" s="27"/>
      <c r="M649" s="27"/>
      <c r="N649" s="27"/>
    </row>
    <row r="650" ht="14.25" customHeight="1">
      <c r="K650" s="26"/>
      <c r="L650" s="27"/>
      <c r="M650" s="27"/>
      <c r="N650" s="27"/>
    </row>
    <row r="651" ht="14.25" customHeight="1">
      <c r="K651" s="26"/>
      <c r="L651" s="27"/>
      <c r="M651" s="27"/>
      <c r="N651" s="27"/>
    </row>
    <row r="652" ht="14.25" customHeight="1">
      <c r="K652" s="26"/>
      <c r="L652" s="27"/>
      <c r="M652" s="27"/>
      <c r="N652" s="27"/>
    </row>
    <row r="653" ht="14.25" customHeight="1">
      <c r="K653" s="26"/>
      <c r="L653" s="27"/>
      <c r="M653" s="27"/>
      <c r="N653" s="27"/>
    </row>
    <row r="654" ht="14.25" customHeight="1">
      <c r="K654" s="26"/>
      <c r="L654" s="27"/>
      <c r="M654" s="27"/>
      <c r="N654" s="27"/>
    </row>
    <row r="655" ht="14.25" customHeight="1">
      <c r="K655" s="26"/>
      <c r="L655" s="27"/>
      <c r="M655" s="27"/>
      <c r="N655" s="27"/>
    </row>
    <row r="656" ht="14.25" customHeight="1">
      <c r="K656" s="26"/>
      <c r="L656" s="27"/>
      <c r="M656" s="27"/>
      <c r="N656" s="27"/>
    </row>
    <row r="657" ht="14.25" customHeight="1">
      <c r="K657" s="26"/>
      <c r="L657" s="27"/>
      <c r="M657" s="27"/>
      <c r="N657" s="27"/>
    </row>
    <row r="658" ht="14.25" customHeight="1">
      <c r="K658" s="26"/>
      <c r="L658" s="27"/>
      <c r="M658" s="27"/>
      <c r="N658" s="27"/>
    </row>
    <row r="659" ht="14.25" customHeight="1">
      <c r="K659" s="26"/>
      <c r="L659" s="27"/>
      <c r="M659" s="27"/>
      <c r="N659" s="27"/>
    </row>
    <row r="660" ht="14.25" customHeight="1">
      <c r="K660" s="26"/>
      <c r="L660" s="27"/>
      <c r="M660" s="27"/>
      <c r="N660" s="27"/>
    </row>
    <row r="661" ht="14.25" customHeight="1">
      <c r="K661" s="26"/>
      <c r="L661" s="27"/>
      <c r="M661" s="27"/>
      <c r="N661" s="27"/>
    </row>
    <row r="662" ht="14.25" customHeight="1">
      <c r="K662" s="26"/>
      <c r="L662" s="27"/>
      <c r="M662" s="27"/>
      <c r="N662" s="27"/>
    </row>
    <row r="663" ht="14.25" customHeight="1">
      <c r="K663" s="26"/>
      <c r="L663" s="27"/>
      <c r="M663" s="27"/>
      <c r="N663" s="27"/>
    </row>
    <row r="664" ht="14.25" customHeight="1">
      <c r="K664" s="26"/>
      <c r="L664" s="27"/>
      <c r="M664" s="27"/>
      <c r="N664" s="27"/>
    </row>
    <row r="665" ht="14.25" customHeight="1">
      <c r="K665" s="26"/>
      <c r="L665" s="27"/>
      <c r="M665" s="27"/>
      <c r="N665" s="27"/>
    </row>
    <row r="666" ht="14.25" customHeight="1">
      <c r="K666" s="26"/>
      <c r="L666" s="27"/>
      <c r="M666" s="27"/>
      <c r="N666" s="27"/>
    </row>
    <row r="667" ht="14.25" customHeight="1">
      <c r="K667" s="26"/>
      <c r="L667" s="27"/>
      <c r="M667" s="27"/>
      <c r="N667" s="27"/>
    </row>
    <row r="668" ht="14.25" customHeight="1">
      <c r="K668" s="26"/>
      <c r="L668" s="27"/>
      <c r="M668" s="27"/>
      <c r="N668" s="27"/>
    </row>
    <row r="669" ht="14.25" customHeight="1">
      <c r="K669" s="26"/>
      <c r="L669" s="27"/>
      <c r="M669" s="27"/>
      <c r="N669" s="27"/>
    </row>
    <row r="670" ht="14.25" customHeight="1">
      <c r="K670" s="26"/>
      <c r="L670" s="27"/>
      <c r="M670" s="27"/>
      <c r="N670" s="27"/>
    </row>
    <row r="671" ht="14.25" customHeight="1">
      <c r="K671" s="26"/>
      <c r="L671" s="27"/>
      <c r="M671" s="27"/>
      <c r="N671" s="27"/>
    </row>
    <row r="672" ht="14.25" customHeight="1">
      <c r="K672" s="26"/>
      <c r="L672" s="27"/>
      <c r="M672" s="27"/>
      <c r="N672" s="27"/>
    </row>
    <row r="673" ht="14.25" customHeight="1">
      <c r="K673" s="26"/>
      <c r="L673" s="27"/>
      <c r="M673" s="27"/>
      <c r="N673" s="27"/>
    </row>
    <row r="674" ht="14.25" customHeight="1">
      <c r="K674" s="26"/>
      <c r="L674" s="27"/>
      <c r="M674" s="27"/>
      <c r="N674" s="27"/>
    </row>
    <row r="675" ht="14.25" customHeight="1">
      <c r="K675" s="26"/>
      <c r="L675" s="27"/>
      <c r="M675" s="27"/>
      <c r="N675" s="27"/>
    </row>
    <row r="676" ht="14.25" customHeight="1">
      <c r="K676" s="26"/>
      <c r="L676" s="27"/>
      <c r="M676" s="27"/>
      <c r="N676" s="27"/>
    </row>
    <row r="677" ht="14.25" customHeight="1">
      <c r="K677" s="26"/>
      <c r="L677" s="27"/>
      <c r="M677" s="27"/>
      <c r="N677" s="27"/>
    </row>
    <row r="678" ht="14.25" customHeight="1">
      <c r="K678" s="26"/>
      <c r="L678" s="27"/>
      <c r="M678" s="27"/>
      <c r="N678" s="27"/>
    </row>
    <row r="679" ht="14.25" customHeight="1">
      <c r="K679" s="26"/>
      <c r="L679" s="27"/>
      <c r="M679" s="27"/>
      <c r="N679" s="27"/>
    </row>
    <row r="680" ht="14.25" customHeight="1">
      <c r="K680" s="26"/>
      <c r="L680" s="27"/>
      <c r="M680" s="27"/>
      <c r="N680" s="27"/>
    </row>
    <row r="681" ht="14.25" customHeight="1">
      <c r="K681" s="26"/>
      <c r="L681" s="27"/>
      <c r="M681" s="27"/>
      <c r="N681" s="27"/>
    </row>
    <row r="682" ht="14.25" customHeight="1">
      <c r="K682" s="26"/>
      <c r="L682" s="27"/>
      <c r="M682" s="27"/>
      <c r="N682" s="27"/>
    </row>
    <row r="683" ht="14.25" customHeight="1">
      <c r="K683" s="26"/>
      <c r="L683" s="27"/>
      <c r="M683" s="27"/>
      <c r="N683" s="27"/>
    </row>
    <row r="684" ht="14.25" customHeight="1">
      <c r="K684" s="26"/>
      <c r="L684" s="27"/>
      <c r="M684" s="27"/>
      <c r="N684" s="27"/>
    </row>
    <row r="685" ht="14.25" customHeight="1">
      <c r="K685" s="26"/>
      <c r="L685" s="27"/>
      <c r="M685" s="27"/>
      <c r="N685" s="27"/>
    </row>
    <row r="686" ht="14.25" customHeight="1">
      <c r="K686" s="26"/>
      <c r="L686" s="27"/>
      <c r="M686" s="27"/>
      <c r="N686" s="27"/>
    </row>
    <row r="687" ht="14.25" customHeight="1">
      <c r="K687" s="26"/>
      <c r="L687" s="27"/>
      <c r="M687" s="27"/>
      <c r="N687" s="27"/>
    </row>
    <row r="688" ht="14.25" customHeight="1">
      <c r="K688" s="26"/>
      <c r="L688" s="27"/>
      <c r="M688" s="27"/>
      <c r="N688" s="27"/>
    </row>
    <row r="689" ht="14.25" customHeight="1">
      <c r="K689" s="26"/>
      <c r="L689" s="27"/>
      <c r="M689" s="27"/>
      <c r="N689" s="27"/>
    </row>
    <row r="690" ht="14.25" customHeight="1">
      <c r="K690" s="26"/>
      <c r="L690" s="27"/>
      <c r="M690" s="27"/>
      <c r="N690" s="27"/>
    </row>
    <row r="691" ht="14.25" customHeight="1">
      <c r="K691" s="26"/>
      <c r="L691" s="27"/>
      <c r="M691" s="27"/>
      <c r="N691" s="27"/>
    </row>
    <row r="692" ht="14.25" customHeight="1">
      <c r="K692" s="26"/>
      <c r="L692" s="27"/>
      <c r="M692" s="27"/>
      <c r="N692" s="27"/>
    </row>
    <row r="693" ht="14.25" customHeight="1">
      <c r="K693" s="26"/>
      <c r="L693" s="27"/>
      <c r="M693" s="27"/>
      <c r="N693" s="27"/>
    </row>
    <row r="694" ht="14.25" customHeight="1">
      <c r="K694" s="26"/>
      <c r="L694" s="27"/>
      <c r="M694" s="27"/>
      <c r="N694" s="27"/>
    </row>
    <row r="695" ht="14.25" customHeight="1">
      <c r="K695" s="26"/>
      <c r="L695" s="27"/>
      <c r="M695" s="27"/>
      <c r="N695" s="27"/>
    </row>
    <row r="696" ht="14.25" customHeight="1">
      <c r="K696" s="26"/>
      <c r="L696" s="27"/>
      <c r="M696" s="27"/>
      <c r="N696" s="27"/>
    </row>
    <row r="697" ht="14.25" customHeight="1">
      <c r="K697" s="26"/>
      <c r="L697" s="27"/>
      <c r="M697" s="27"/>
      <c r="N697" s="27"/>
    </row>
    <row r="698" ht="14.25" customHeight="1">
      <c r="K698" s="26"/>
      <c r="L698" s="27"/>
      <c r="M698" s="27"/>
      <c r="N698" s="27"/>
    </row>
    <row r="699" ht="14.25" customHeight="1">
      <c r="K699" s="26"/>
      <c r="L699" s="27"/>
      <c r="M699" s="27"/>
      <c r="N699" s="27"/>
    </row>
    <row r="700" ht="14.25" customHeight="1">
      <c r="K700" s="26"/>
      <c r="L700" s="27"/>
      <c r="M700" s="27"/>
      <c r="N700" s="27"/>
    </row>
    <row r="701" ht="14.25" customHeight="1">
      <c r="K701" s="26"/>
      <c r="L701" s="27"/>
      <c r="M701" s="27"/>
      <c r="N701" s="27"/>
    </row>
    <row r="702" ht="14.25" customHeight="1">
      <c r="K702" s="26"/>
      <c r="L702" s="27"/>
      <c r="M702" s="27"/>
      <c r="N702" s="27"/>
    </row>
    <row r="703" ht="14.25" customHeight="1">
      <c r="K703" s="26"/>
      <c r="L703" s="27"/>
      <c r="M703" s="27"/>
      <c r="N703" s="27"/>
    </row>
    <row r="704" ht="14.25" customHeight="1">
      <c r="K704" s="26"/>
      <c r="L704" s="27"/>
      <c r="M704" s="27"/>
      <c r="N704" s="27"/>
    </row>
    <row r="705" ht="14.25" customHeight="1">
      <c r="K705" s="26"/>
      <c r="L705" s="27"/>
      <c r="M705" s="27"/>
      <c r="N705" s="27"/>
    </row>
    <row r="706" ht="14.25" customHeight="1">
      <c r="K706" s="26"/>
      <c r="L706" s="27"/>
      <c r="M706" s="27"/>
      <c r="N706" s="27"/>
    </row>
    <row r="707" ht="14.25" customHeight="1">
      <c r="K707" s="26"/>
      <c r="L707" s="27"/>
      <c r="M707" s="27"/>
      <c r="N707" s="27"/>
    </row>
    <row r="708" ht="14.25" customHeight="1">
      <c r="K708" s="26"/>
      <c r="L708" s="27"/>
      <c r="M708" s="27"/>
      <c r="N708" s="27"/>
    </row>
    <row r="709" ht="14.25" customHeight="1">
      <c r="K709" s="26"/>
      <c r="L709" s="27"/>
      <c r="M709" s="27"/>
      <c r="N709" s="27"/>
    </row>
    <row r="710" ht="14.25" customHeight="1">
      <c r="K710" s="26"/>
      <c r="L710" s="27"/>
      <c r="M710" s="27"/>
      <c r="N710" s="27"/>
    </row>
    <row r="711" ht="14.25" customHeight="1">
      <c r="K711" s="26"/>
      <c r="L711" s="27"/>
      <c r="M711" s="27"/>
      <c r="N711" s="27"/>
    </row>
    <row r="712" ht="14.25" customHeight="1">
      <c r="K712" s="26"/>
      <c r="L712" s="27"/>
      <c r="M712" s="27"/>
      <c r="N712" s="27"/>
    </row>
    <row r="713" ht="14.25" customHeight="1">
      <c r="K713" s="26"/>
      <c r="L713" s="27"/>
      <c r="M713" s="27"/>
      <c r="N713" s="27"/>
    </row>
    <row r="714" ht="14.25" customHeight="1">
      <c r="K714" s="26"/>
      <c r="L714" s="27"/>
      <c r="M714" s="27"/>
      <c r="N714" s="27"/>
    </row>
    <row r="715" ht="14.25" customHeight="1">
      <c r="K715" s="26"/>
      <c r="L715" s="27"/>
      <c r="M715" s="27"/>
      <c r="N715" s="27"/>
    </row>
    <row r="716" ht="14.25" customHeight="1">
      <c r="K716" s="26"/>
      <c r="L716" s="27"/>
      <c r="M716" s="27"/>
      <c r="N716" s="27"/>
    </row>
    <row r="717" ht="14.25" customHeight="1">
      <c r="K717" s="26"/>
      <c r="L717" s="27"/>
      <c r="M717" s="27"/>
      <c r="N717" s="27"/>
    </row>
    <row r="718" ht="14.25" customHeight="1">
      <c r="K718" s="26"/>
      <c r="L718" s="27"/>
      <c r="M718" s="27"/>
      <c r="N718" s="27"/>
    </row>
    <row r="719" ht="14.25" customHeight="1">
      <c r="K719" s="26"/>
      <c r="L719" s="27"/>
      <c r="M719" s="27"/>
      <c r="N719" s="27"/>
    </row>
    <row r="720" ht="14.25" customHeight="1">
      <c r="K720" s="26"/>
      <c r="L720" s="27"/>
      <c r="M720" s="27"/>
      <c r="N720" s="27"/>
    </row>
    <row r="721" ht="14.25" customHeight="1">
      <c r="K721" s="26"/>
      <c r="L721" s="27"/>
      <c r="M721" s="27"/>
      <c r="N721" s="27"/>
    </row>
    <row r="722" ht="14.25" customHeight="1">
      <c r="K722" s="26"/>
      <c r="L722" s="27"/>
      <c r="M722" s="27"/>
      <c r="N722" s="27"/>
    </row>
    <row r="723" ht="14.25" customHeight="1">
      <c r="K723" s="26"/>
      <c r="L723" s="27"/>
      <c r="M723" s="27"/>
      <c r="N723" s="27"/>
    </row>
    <row r="724" ht="14.25" customHeight="1">
      <c r="K724" s="26"/>
      <c r="L724" s="27"/>
      <c r="M724" s="27"/>
      <c r="N724" s="27"/>
    </row>
    <row r="725" ht="14.25" customHeight="1">
      <c r="K725" s="26"/>
      <c r="L725" s="27"/>
      <c r="M725" s="27"/>
      <c r="N725" s="27"/>
    </row>
    <row r="726" ht="14.25" customHeight="1">
      <c r="K726" s="26"/>
      <c r="L726" s="27"/>
      <c r="M726" s="27"/>
      <c r="N726" s="27"/>
    </row>
    <row r="727" ht="14.25" customHeight="1">
      <c r="K727" s="26"/>
      <c r="L727" s="27"/>
      <c r="M727" s="27"/>
      <c r="N727" s="27"/>
    </row>
    <row r="728" ht="14.25" customHeight="1">
      <c r="K728" s="26"/>
      <c r="L728" s="27"/>
      <c r="M728" s="27"/>
      <c r="N728" s="27"/>
    </row>
    <row r="729" ht="14.25" customHeight="1">
      <c r="K729" s="26"/>
      <c r="L729" s="27"/>
      <c r="M729" s="27"/>
      <c r="N729" s="27"/>
    </row>
    <row r="730" ht="14.25" customHeight="1">
      <c r="K730" s="26"/>
      <c r="L730" s="27"/>
      <c r="M730" s="27"/>
      <c r="N730" s="27"/>
    </row>
    <row r="731" ht="14.25" customHeight="1">
      <c r="K731" s="26"/>
      <c r="L731" s="27"/>
      <c r="M731" s="27"/>
      <c r="N731" s="27"/>
    </row>
    <row r="732" ht="14.25" customHeight="1">
      <c r="K732" s="26"/>
      <c r="L732" s="27"/>
      <c r="M732" s="27"/>
      <c r="N732" s="27"/>
    </row>
    <row r="733" ht="14.25" customHeight="1">
      <c r="K733" s="26"/>
      <c r="L733" s="27"/>
      <c r="M733" s="27"/>
      <c r="N733" s="27"/>
    </row>
    <row r="734" ht="14.25" customHeight="1">
      <c r="K734" s="26"/>
      <c r="L734" s="27"/>
      <c r="M734" s="27"/>
      <c r="N734" s="27"/>
    </row>
    <row r="735" ht="14.25" customHeight="1">
      <c r="K735" s="26"/>
      <c r="L735" s="27"/>
      <c r="M735" s="27"/>
      <c r="N735" s="27"/>
    </row>
    <row r="736" ht="14.25" customHeight="1">
      <c r="K736" s="26"/>
      <c r="L736" s="27"/>
      <c r="M736" s="27"/>
      <c r="N736" s="27"/>
    </row>
    <row r="737" ht="14.25" customHeight="1">
      <c r="K737" s="26"/>
      <c r="L737" s="27"/>
      <c r="M737" s="27"/>
      <c r="N737" s="27"/>
    </row>
    <row r="738" ht="14.25" customHeight="1">
      <c r="K738" s="26"/>
      <c r="L738" s="27"/>
      <c r="M738" s="27"/>
      <c r="N738" s="27"/>
    </row>
    <row r="739" ht="14.25" customHeight="1">
      <c r="K739" s="26"/>
      <c r="L739" s="27"/>
      <c r="M739" s="27"/>
      <c r="N739" s="27"/>
    </row>
    <row r="740" ht="14.25" customHeight="1">
      <c r="K740" s="26"/>
      <c r="L740" s="27"/>
      <c r="M740" s="27"/>
      <c r="N740" s="27"/>
    </row>
    <row r="741" ht="14.25" customHeight="1">
      <c r="K741" s="26"/>
      <c r="L741" s="27"/>
      <c r="M741" s="27"/>
      <c r="N741" s="27"/>
    </row>
    <row r="742" ht="14.25" customHeight="1">
      <c r="K742" s="26"/>
      <c r="L742" s="27"/>
      <c r="M742" s="27"/>
      <c r="N742" s="27"/>
    </row>
    <row r="743" ht="14.25" customHeight="1">
      <c r="K743" s="26"/>
      <c r="L743" s="27"/>
      <c r="M743" s="27"/>
      <c r="N743" s="27"/>
    </row>
    <row r="744" ht="14.25" customHeight="1">
      <c r="K744" s="26"/>
      <c r="L744" s="27"/>
      <c r="M744" s="27"/>
      <c r="N744" s="27"/>
    </row>
    <row r="745" ht="14.25" customHeight="1">
      <c r="K745" s="26"/>
      <c r="L745" s="27"/>
      <c r="M745" s="27"/>
      <c r="N745" s="27"/>
    </row>
    <row r="746" ht="14.25" customHeight="1">
      <c r="K746" s="26"/>
      <c r="L746" s="27"/>
      <c r="M746" s="27"/>
      <c r="N746" s="27"/>
    </row>
    <row r="747" ht="14.25" customHeight="1">
      <c r="K747" s="26"/>
      <c r="L747" s="27"/>
      <c r="M747" s="27"/>
      <c r="N747" s="27"/>
    </row>
    <row r="748" ht="14.25" customHeight="1">
      <c r="K748" s="26"/>
      <c r="L748" s="27"/>
      <c r="M748" s="27"/>
      <c r="N748" s="27"/>
    </row>
    <row r="749" ht="14.25" customHeight="1">
      <c r="K749" s="26"/>
      <c r="L749" s="27"/>
      <c r="M749" s="27"/>
      <c r="N749" s="27"/>
    </row>
    <row r="750" ht="14.25" customHeight="1">
      <c r="K750" s="26"/>
      <c r="L750" s="27"/>
      <c r="M750" s="27"/>
      <c r="N750" s="27"/>
    </row>
    <row r="751" ht="14.25" customHeight="1">
      <c r="K751" s="26"/>
      <c r="L751" s="27"/>
      <c r="M751" s="27"/>
      <c r="N751" s="27"/>
    </row>
    <row r="752" ht="14.25" customHeight="1">
      <c r="K752" s="26"/>
      <c r="L752" s="27"/>
      <c r="M752" s="27"/>
      <c r="N752" s="27"/>
    </row>
    <row r="753" ht="14.25" customHeight="1">
      <c r="K753" s="26"/>
      <c r="L753" s="27"/>
      <c r="M753" s="27"/>
      <c r="N753" s="27"/>
    </row>
    <row r="754" ht="14.25" customHeight="1">
      <c r="K754" s="26"/>
      <c r="L754" s="27"/>
      <c r="M754" s="27"/>
      <c r="N754" s="27"/>
    </row>
    <row r="755" ht="14.25" customHeight="1">
      <c r="K755" s="26"/>
      <c r="L755" s="27"/>
      <c r="M755" s="27"/>
      <c r="N755" s="27"/>
    </row>
    <row r="756" ht="14.25" customHeight="1">
      <c r="K756" s="26"/>
      <c r="L756" s="27"/>
      <c r="M756" s="27"/>
      <c r="N756" s="27"/>
    </row>
    <row r="757" ht="14.25" customHeight="1">
      <c r="K757" s="26"/>
      <c r="L757" s="27"/>
      <c r="M757" s="27"/>
      <c r="N757" s="27"/>
    </row>
    <row r="758" ht="14.25" customHeight="1">
      <c r="K758" s="26"/>
      <c r="L758" s="27"/>
      <c r="M758" s="27"/>
      <c r="N758" s="27"/>
    </row>
    <row r="759" ht="14.25" customHeight="1">
      <c r="K759" s="26"/>
      <c r="L759" s="27"/>
      <c r="M759" s="27"/>
      <c r="N759" s="27"/>
    </row>
    <row r="760" ht="14.25" customHeight="1">
      <c r="K760" s="26"/>
      <c r="L760" s="27"/>
      <c r="M760" s="27"/>
      <c r="N760" s="27"/>
    </row>
    <row r="761" ht="14.25" customHeight="1">
      <c r="K761" s="26"/>
      <c r="L761" s="27"/>
      <c r="M761" s="27"/>
      <c r="N761" s="27"/>
    </row>
    <row r="762" ht="14.25" customHeight="1">
      <c r="K762" s="26"/>
      <c r="L762" s="27"/>
      <c r="M762" s="27"/>
      <c r="N762" s="27"/>
    </row>
    <row r="763" ht="14.25" customHeight="1">
      <c r="K763" s="26"/>
      <c r="L763" s="27"/>
      <c r="M763" s="27"/>
      <c r="N763" s="27"/>
    </row>
    <row r="764" ht="14.25" customHeight="1">
      <c r="K764" s="26"/>
      <c r="L764" s="27"/>
      <c r="M764" s="27"/>
      <c r="N764" s="27"/>
    </row>
    <row r="765" ht="14.25" customHeight="1">
      <c r="K765" s="26"/>
      <c r="L765" s="27"/>
      <c r="M765" s="27"/>
      <c r="N765" s="27"/>
    </row>
    <row r="766" ht="14.25" customHeight="1">
      <c r="K766" s="26"/>
      <c r="L766" s="27"/>
      <c r="M766" s="27"/>
      <c r="N766" s="27"/>
    </row>
    <row r="767" ht="14.25" customHeight="1">
      <c r="K767" s="26"/>
      <c r="L767" s="27"/>
      <c r="M767" s="27"/>
      <c r="N767" s="27"/>
    </row>
    <row r="768" ht="14.25" customHeight="1">
      <c r="K768" s="26"/>
      <c r="L768" s="27"/>
      <c r="M768" s="27"/>
      <c r="N768" s="27"/>
    </row>
    <row r="769" ht="14.25" customHeight="1">
      <c r="K769" s="26"/>
      <c r="L769" s="27"/>
      <c r="M769" s="27"/>
      <c r="N769" s="27"/>
    </row>
    <row r="770" ht="14.25" customHeight="1">
      <c r="K770" s="26"/>
      <c r="L770" s="27"/>
      <c r="M770" s="27"/>
      <c r="N770" s="27"/>
    </row>
    <row r="771" ht="14.25" customHeight="1">
      <c r="K771" s="26"/>
      <c r="L771" s="27"/>
      <c r="M771" s="27"/>
      <c r="N771" s="27"/>
    </row>
    <row r="772" ht="14.25" customHeight="1">
      <c r="K772" s="26"/>
      <c r="L772" s="27"/>
      <c r="M772" s="27"/>
      <c r="N772" s="27"/>
    </row>
    <row r="773" ht="14.25" customHeight="1">
      <c r="K773" s="26"/>
      <c r="L773" s="27"/>
      <c r="M773" s="27"/>
      <c r="N773" s="27"/>
    </row>
    <row r="774" ht="14.25" customHeight="1">
      <c r="K774" s="26"/>
      <c r="L774" s="27"/>
      <c r="M774" s="27"/>
      <c r="N774" s="27"/>
    </row>
    <row r="775" ht="14.25" customHeight="1">
      <c r="K775" s="26"/>
      <c r="L775" s="27"/>
      <c r="M775" s="27"/>
      <c r="N775" s="27"/>
    </row>
    <row r="776" ht="14.25" customHeight="1">
      <c r="K776" s="26"/>
      <c r="L776" s="27"/>
      <c r="M776" s="27"/>
      <c r="N776" s="27"/>
    </row>
    <row r="777" ht="14.25" customHeight="1">
      <c r="K777" s="26"/>
      <c r="L777" s="27"/>
      <c r="M777" s="27"/>
      <c r="N777" s="27"/>
    </row>
    <row r="778" ht="14.25" customHeight="1">
      <c r="K778" s="26"/>
      <c r="L778" s="27"/>
      <c r="M778" s="27"/>
      <c r="N778" s="27"/>
    </row>
    <row r="779" ht="14.25" customHeight="1">
      <c r="K779" s="26"/>
      <c r="L779" s="27"/>
      <c r="M779" s="27"/>
      <c r="N779" s="27"/>
    </row>
    <row r="780" ht="14.25" customHeight="1">
      <c r="K780" s="26"/>
      <c r="L780" s="27"/>
      <c r="M780" s="27"/>
      <c r="N780" s="27"/>
    </row>
    <row r="781" ht="14.25" customHeight="1">
      <c r="K781" s="26"/>
      <c r="L781" s="27"/>
      <c r="M781" s="27"/>
      <c r="N781" s="27"/>
    </row>
    <row r="782" ht="14.25" customHeight="1">
      <c r="K782" s="26"/>
      <c r="L782" s="27"/>
      <c r="M782" s="27"/>
      <c r="N782" s="27"/>
    </row>
    <row r="783" ht="14.25" customHeight="1">
      <c r="K783" s="26"/>
      <c r="L783" s="27"/>
      <c r="M783" s="27"/>
      <c r="N783" s="27"/>
    </row>
    <row r="784" ht="14.25" customHeight="1">
      <c r="K784" s="26"/>
      <c r="L784" s="27"/>
      <c r="M784" s="27"/>
      <c r="N784" s="27"/>
    </row>
    <row r="785" ht="14.25" customHeight="1">
      <c r="K785" s="26"/>
      <c r="L785" s="27"/>
      <c r="M785" s="27"/>
      <c r="N785" s="27"/>
    </row>
    <row r="786" ht="14.25" customHeight="1">
      <c r="K786" s="26"/>
      <c r="L786" s="27"/>
      <c r="M786" s="27"/>
      <c r="N786" s="27"/>
    </row>
    <row r="787" ht="14.25" customHeight="1">
      <c r="K787" s="26"/>
      <c r="L787" s="27"/>
      <c r="M787" s="27"/>
      <c r="N787" s="27"/>
    </row>
    <row r="788" ht="14.25" customHeight="1">
      <c r="K788" s="26"/>
      <c r="L788" s="27"/>
      <c r="M788" s="27"/>
      <c r="N788" s="27"/>
    </row>
    <row r="789" ht="14.25" customHeight="1">
      <c r="K789" s="26"/>
      <c r="L789" s="27"/>
      <c r="M789" s="27"/>
      <c r="N789" s="27"/>
    </row>
    <row r="790" ht="14.25" customHeight="1">
      <c r="K790" s="26"/>
      <c r="L790" s="27"/>
      <c r="M790" s="27"/>
      <c r="N790" s="27"/>
    </row>
    <row r="791" ht="14.25" customHeight="1">
      <c r="K791" s="26"/>
      <c r="L791" s="27"/>
      <c r="M791" s="27"/>
      <c r="N791" s="27"/>
    </row>
    <row r="792" ht="14.25" customHeight="1">
      <c r="K792" s="26"/>
      <c r="L792" s="27"/>
      <c r="M792" s="27"/>
      <c r="N792" s="27"/>
    </row>
    <row r="793" ht="14.25" customHeight="1">
      <c r="K793" s="26"/>
      <c r="L793" s="27"/>
      <c r="M793" s="27"/>
      <c r="N793" s="27"/>
    </row>
    <row r="794" ht="14.25" customHeight="1">
      <c r="K794" s="26"/>
      <c r="L794" s="27"/>
      <c r="M794" s="27"/>
      <c r="N794" s="27"/>
    </row>
    <row r="795" ht="14.25" customHeight="1">
      <c r="K795" s="26"/>
      <c r="L795" s="27"/>
      <c r="M795" s="27"/>
      <c r="N795" s="27"/>
    </row>
    <row r="796" ht="14.25" customHeight="1">
      <c r="K796" s="26"/>
      <c r="L796" s="27"/>
      <c r="M796" s="27"/>
      <c r="N796" s="27"/>
    </row>
    <row r="797" ht="14.25" customHeight="1">
      <c r="K797" s="26"/>
      <c r="L797" s="27"/>
      <c r="M797" s="27"/>
      <c r="N797" s="27"/>
    </row>
    <row r="798" ht="14.25" customHeight="1">
      <c r="K798" s="26"/>
      <c r="L798" s="27"/>
      <c r="M798" s="27"/>
      <c r="N798" s="27"/>
    </row>
    <row r="799" ht="14.25" customHeight="1">
      <c r="K799" s="26"/>
      <c r="L799" s="27"/>
      <c r="M799" s="27"/>
      <c r="N799" s="27"/>
    </row>
    <row r="800" ht="14.25" customHeight="1">
      <c r="K800" s="26"/>
      <c r="L800" s="27"/>
      <c r="M800" s="27"/>
      <c r="N800" s="27"/>
    </row>
    <row r="801" ht="14.25" customHeight="1">
      <c r="K801" s="26"/>
      <c r="L801" s="27"/>
      <c r="M801" s="27"/>
      <c r="N801" s="27"/>
    </row>
    <row r="802" ht="14.25" customHeight="1">
      <c r="K802" s="26"/>
      <c r="L802" s="27"/>
      <c r="M802" s="27"/>
      <c r="N802" s="27"/>
    </row>
    <row r="803" ht="14.25" customHeight="1">
      <c r="K803" s="26"/>
      <c r="L803" s="27"/>
      <c r="M803" s="27"/>
      <c r="N803" s="27"/>
    </row>
    <row r="804" ht="14.25" customHeight="1">
      <c r="K804" s="26"/>
      <c r="L804" s="27"/>
      <c r="M804" s="27"/>
      <c r="N804" s="27"/>
    </row>
    <row r="805" ht="14.25" customHeight="1">
      <c r="K805" s="26"/>
      <c r="L805" s="27"/>
      <c r="M805" s="27"/>
      <c r="N805" s="27"/>
    </row>
    <row r="806" ht="14.25" customHeight="1">
      <c r="K806" s="26"/>
      <c r="L806" s="27"/>
      <c r="M806" s="27"/>
      <c r="N806" s="27"/>
    </row>
    <row r="807" ht="14.25" customHeight="1">
      <c r="K807" s="26"/>
      <c r="L807" s="27"/>
      <c r="M807" s="27"/>
      <c r="N807" s="27"/>
    </row>
    <row r="808" ht="14.25" customHeight="1">
      <c r="K808" s="26"/>
      <c r="L808" s="27"/>
      <c r="M808" s="27"/>
      <c r="N808" s="27"/>
    </row>
    <row r="809" ht="14.25" customHeight="1">
      <c r="K809" s="26"/>
      <c r="L809" s="27"/>
      <c r="M809" s="27"/>
      <c r="N809" s="27"/>
    </row>
    <row r="810" ht="14.25" customHeight="1">
      <c r="K810" s="26"/>
      <c r="L810" s="27"/>
      <c r="M810" s="27"/>
      <c r="N810" s="27"/>
    </row>
    <row r="811" ht="14.25" customHeight="1">
      <c r="K811" s="26"/>
      <c r="L811" s="27"/>
      <c r="M811" s="27"/>
      <c r="N811" s="27"/>
    </row>
    <row r="812" ht="14.25" customHeight="1">
      <c r="K812" s="26"/>
      <c r="L812" s="27"/>
      <c r="M812" s="27"/>
      <c r="N812" s="27"/>
    </row>
    <row r="813" ht="14.25" customHeight="1">
      <c r="K813" s="26"/>
      <c r="L813" s="27"/>
      <c r="M813" s="27"/>
      <c r="N813" s="27"/>
    </row>
    <row r="814" ht="14.25" customHeight="1">
      <c r="K814" s="26"/>
      <c r="L814" s="27"/>
      <c r="M814" s="27"/>
      <c r="N814" s="27"/>
    </row>
    <row r="815" ht="14.25" customHeight="1">
      <c r="K815" s="26"/>
      <c r="L815" s="27"/>
      <c r="M815" s="27"/>
      <c r="N815" s="27"/>
    </row>
    <row r="816" ht="14.25" customHeight="1">
      <c r="K816" s="26"/>
      <c r="L816" s="27"/>
      <c r="M816" s="27"/>
      <c r="N816" s="27"/>
    </row>
    <row r="817" ht="14.25" customHeight="1">
      <c r="K817" s="26"/>
      <c r="L817" s="27"/>
      <c r="M817" s="27"/>
      <c r="N817" s="27"/>
    </row>
    <row r="818" ht="14.25" customHeight="1">
      <c r="K818" s="26"/>
      <c r="L818" s="27"/>
      <c r="M818" s="27"/>
      <c r="N818" s="27"/>
    </row>
    <row r="819" ht="14.25" customHeight="1">
      <c r="K819" s="26"/>
      <c r="L819" s="27"/>
      <c r="M819" s="27"/>
      <c r="N819" s="27"/>
    </row>
    <row r="820" ht="14.25" customHeight="1">
      <c r="K820" s="26"/>
      <c r="L820" s="27"/>
      <c r="M820" s="27"/>
      <c r="N820" s="27"/>
    </row>
    <row r="821" ht="14.25" customHeight="1">
      <c r="K821" s="26"/>
      <c r="L821" s="27"/>
      <c r="M821" s="27"/>
      <c r="N821" s="27"/>
    </row>
    <row r="822" ht="14.25" customHeight="1">
      <c r="K822" s="26"/>
      <c r="L822" s="27"/>
      <c r="M822" s="27"/>
      <c r="N822" s="27"/>
    </row>
    <row r="823" ht="14.25" customHeight="1">
      <c r="K823" s="26"/>
      <c r="L823" s="27"/>
      <c r="M823" s="27"/>
      <c r="N823" s="27"/>
    </row>
    <row r="824" ht="14.25" customHeight="1">
      <c r="K824" s="26"/>
      <c r="L824" s="27"/>
      <c r="M824" s="27"/>
      <c r="N824" s="27"/>
    </row>
    <row r="825" ht="14.25" customHeight="1">
      <c r="K825" s="26"/>
      <c r="L825" s="27"/>
      <c r="M825" s="27"/>
      <c r="N825" s="27"/>
    </row>
    <row r="826" ht="14.25" customHeight="1">
      <c r="K826" s="26"/>
      <c r="L826" s="27"/>
      <c r="M826" s="27"/>
      <c r="N826" s="27"/>
    </row>
    <row r="827" ht="14.25" customHeight="1">
      <c r="K827" s="26"/>
      <c r="L827" s="27"/>
      <c r="M827" s="27"/>
      <c r="N827" s="27"/>
    </row>
    <row r="828" ht="14.25" customHeight="1">
      <c r="K828" s="26"/>
      <c r="L828" s="27"/>
      <c r="M828" s="27"/>
      <c r="N828" s="27"/>
    </row>
    <row r="829" ht="14.25" customHeight="1">
      <c r="K829" s="26"/>
      <c r="L829" s="27"/>
      <c r="M829" s="27"/>
      <c r="N829" s="27"/>
    </row>
    <row r="830" ht="14.25" customHeight="1">
      <c r="K830" s="26"/>
      <c r="L830" s="27"/>
      <c r="M830" s="27"/>
      <c r="N830" s="27"/>
    </row>
    <row r="831" ht="14.25" customHeight="1">
      <c r="K831" s="26"/>
      <c r="L831" s="27"/>
      <c r="M831" s="27"/>
      <c r="N831" s="27"/>
    </row>
    <row r="832" ht="14.25" customHeight="1">
      <c r="K832" s="26"/>
      <c r="L832" s="27"/>
      <c r="M832" s="27"/>
      <c r="N832" s="27"/>
    </row>
    <row r="833" ht="14.25" customHeight="1">
      <c r="K833" s="26"/>
      <c r="L833" s="27"/>
      <c r="M833" s="27"/>
      <c r="N833" s="27"/>
    </row>
    <row r="834" ht="14.25" customHeight="1">
      <c r="K834" s="26"/>
      <c r="L834" s="27"/>
      <c r="M834" s="27"/>
      <c r="N834" s="27"/>
    </row>
    <row r="835" ht="14.25" customHeight="1">
      <c r="K835" s="26"/>
      <c r="L835" s="27"/>
      <c r="M835" s="27"/>
      <c r="N835" s="27"/>
    </row>
    <row r="836" ht="14.25" customHeight="1">
      <c r="K836" s="26"/>
      <c r="L836" s="27"/>
      <c r="M836" s="27"/>
      <c r="N836" s="27"/>
    </row>
    <row r="837" ht="14.25" customHeight="1">
      <c r="K837" s="26"/>
      <c r="L837" s="27"/>
      <c r="M837" s="27"/>
      <c r="N837" s="27"/>
    </row>
    <row r="838" ht="14.25" customHeight="1">
      <c r="K838" s="26"/>
      <c r="L838" s="27"/>
      <c r="M838" s="27"/>
      <c r="N838" s="27"/>
    </row>
    <row r="839" ht="14.25" customHeight="1">
      <c r="K839" s="26"/>
      <c r="L839" s="27"/>
      <c r="M839" s="27"/>
      <c r="N839" s="27"/>
    </row>
    <row r="840" ht="14.25" customHeight="1">
      <c r="K840" s="26"/>
      <c r="L840" s="27"/>
      <c r="M840" s="27"/>
      <c r="N840" s="27"/>
    </row>
    <row r="841" ht="14.25" customHeight="1">
      <c r="K841" s="26"/>
      <c r="L841" s="27"/>
      <c r="M841" s="27"/>
      <c r="N841" s="27"/>
    </row>
    <row r="842" ht="14.25" customHeight="1">
      <c r="K842" s="26"/>
      <c r="L842" s="27"/>
      <c r="M842" s="27"/>
      <c r="N842" s="27"/>
    </row>
    <row r="843" ht="14.25" customHeight="1">
      <c r="K843" s="26"/>
      <c r="L843" s="27"/>
      <c r="M843" s="27"/>
      <c r="N843" s="27"/>
    </row>
    <row r="844" ht="14.25" customHeight="1">
      <c r="K844" s="26"/>
      <c r="L844" s="27"/>
      <c r="M844" s="27"/>
      <c r="N844" s="27"/>
    </row>
    <row r="845" ht="14.25" customHeight="1">
      <c r="K845" s="26"/>
      <c r="L845" s="27"/>
      <c r="M845" s="27"/>
      <c r="N845" s="27"/>
    </row>
    <row r="846" ht="14.25" customHeight="1">
      <c r="K846" s="26"/>
      <c r="L846" s="27"/>
      <c r="M846" s="27"/>
      <c r="N846" s="27"/>
    </row>
    <row r="847" ht="14.25" customHeight="1">
      <c r="K847" s="26"/>
      <c r="L847" s="27"/>
      <c r="M847" s="27"/>
      <c r="N847" s="27"/>
    </row>
    <row r="848" ht="14.25" customHeight="1">
      <c r="K848" s="26"/>
      <c r="L848" s="27"/>
      <c r="M848" s="27"/>
      <c r="N848" s="27"/>
    </row>
    <row r="849" ht="14.25" customHeight="1">
      <c r="K849" s="26"/>
      <c r="L849" s="27"/>
      <c r="M849" s="27"/>
      <c r="N849" s="27"/>
    </row>
    <row r="850" ht="14.25" customHeight="1">
      <c r="K850" s="26"/>
      <c r="L850" s="27"/>
      <c r="M850" s="27"/>
      <c r="N850" s="27"/>
    </row>
    <row r="851" ht="14.25" customHeight="1">
      <c r="K851" s="26"/>
      <c r="L851" s="27"/>
      <c r="M851" s="27"/>
      <c r="N851" s="27"/>
    </row>
    <row r="852" ht="14.25" customHeight="1">
      <c r="K852" s="26"/>
      <c r="L852" s="27"/>
      <c r="M852" s="27"/>
      <c r="N852" s="27"/>
    </row>
    <row r="853" ht="14.25" customHeight="1">
      <c r="K853" s="26"/>
      <c r="L853" s="27"/>
      <c r="M853" s="27"/>
      <c r="N853" s="27"/>
    </row>
    <row r="854" ht="14.25" customHeight="1">
      <c r="K854" s="26"/>
      <c r="L854" s="27"/>
      <c r="M854" s="27"/>
      <c r="N854" s="27"/>
    </row>
    <row r="855" ht="14.25" customHeight="1">
      <c r="K855" s="26"/>
      <c r="L855" s="27"/>
      <c r="M855" s="27"/>
      <c r="N855" s="27"/>
    </row>
    <row r="856" ht="14.25" customHeight="1">
      <c r="K856" s="26"/>
      <c r="L856" s="27"/>
      <c r="M856" s="27"/>
      <c r="N856" s="27"/>
    </row>
    <row r="857" ht="14.25" customHeight="1">
      <c r="K857" s="26"/>
      <c r="L857" s="27"/>
      <c r="M857" s="27"/>
      <c r="N857" s="27"/>
    </row>
    <row r="858" ht="14.25" customHeight="1">
      <c r="K858" s="26"/>
      <c r="L858" s="27"/>
      <c r="M858" s="27"/>
      <c r="N858" s="27"/>
    </row>
    <row r="859" ht="14.25" customHeight="1">
      <c r="K859" s="26"/>
      <c r="L859" s="27"/>
      <c r="M859" s="27"/>
      <c r="N859" s="27"/>
    </row>
    <row r="860" ht="14.25" customHeight="1">
      <c r="K860" s="26"/>
      <c r="L860" s="27"/>
      <c r="M860" s="27"/>
      <c r="N860" s="27"/>
    </row>
    <row r="861" ht="14.25" customHeight="1">
      <c r="K861" s="26"/>
      <c r="L861" s="27"/>
      <c r="M861" s="27"/>
      <c r="N861" s="27"/>
    </row>
    <row r="862" ht="14.25" customHeight="1">
      <c r="K862" s="26"/>
      <c r="L862" s="27"/>
      <c r="M862" s="27"/>
      <c r="N862" s="27"/>
    </row>
    <row r="863" ht="14.25" customHeight="1">
      <c r="K863" s="26"/>
      <c r="L863" s="27"/>
      <c r="M863" s="27"/>
      <c r="N863" s="27"/>
    </row>
    <row r="864" ht="14.25" customHeight="1">
      <c r="K864" s="26"/>
      <c r="L864" s="27"/>
      <c r="M864" s="27"/>
      <c r="N864" s="27"/>
    </row>
    <row r="865" ht="14.25" customHeight="1">
      <c r="K865" s="26"/>
      <c r="L865" s="27"/>
      <c r="M865" s="27"/>
      <c r="N865" s="27"/>
    </row>
    <row r="866" ht="14.25" customHeight="1">
      <c r="K866" s="26"/>
      <c r="L866" s="27"/>
      <c r="M866" s="27"/>
      <c r="N866" s="27"/>
    </row>
    <row r="867" ht="14.25" customHeight="1">
      <c r="K867" s="26"/>
      <c r="L867" s="27"/>
      <c r="M867" s="27"/>
      <c r="N867" s="27"/>
    </row>
    <row r="868" ht="14.25" customHeight="1">
      <c r="K868" s="26"/>
      <c r="L868" s="27"/>
      <c r="M868" s="27"/>
      <c r="N868" s="27"/>
    </row>
    <row r="869" ht="14.25" customHeight="1">
      <c r="K869" s="26"/>
      <c r="L869" s="27"/>
      <c r="M869" s="27"/>
      <c r="N869" s="27"/>
    </row>
    <row r="870" ht="14.25" customHeight="1">
      <c r="K870" s="26"/>
      <c r="L870" s="27"/>
      <c r="M870" s="27"/>
      <c r="N870" s="27"/>
    </row>
    <row r="871" ht="14.25" customHeight="1">
      <c r="K871" s="26"/>
      <c r="L871" s="27"/>
      <c r="M871" s="27"/>
      <c r="N871" s="27"/>
    </row>
    <row r="872" ht="14.25" customHeight="1">
      <c r="K872" s="26"/>
      <c r="L872" s="27"/>
      <c r="M872" s="27"/>
      <c r="N872" s="27"/>
    </row>
    <row r="873" ht="14.25" customHeight="1">
      <c r="K873" s="26"/>
      <c r="L873" s="27"/>
      <c r="M873" s="27"/>
      <c r="N873" s="27"/>
    </row>
    <row r="874" ht="14.25" customHeight="1">
      <c r="K874" s="26"/>
      <c r="L874" s="27"/>
      <c r="M874" s="27"/>
      <c r="N874" s="27"/>
    </row>
    <row r="875" ht="14.25" customHeight="1">
      <c r="K875" s="26"/>
      <c r="L875" s="27"/>
      <c r="M875" s="27"/>
      <c r="N875" s="27"/>
    </row>
    <row r="876" ht="14.25" customHeight="1">
      <c r="K876" s="26"/>
      <c r="L876" s="27"/>
      <c r="M876" s="27"/>
      <c r="N876" s="27"/>
    </row>
    <row r="877" ht="14.25" customHeight="1">
      <c r="K877" s="26"/>
      <c r="L877" s="27"/>
      <c r="M877" s="27"/>
      <c r="N877" s="27"/>
    </row>
    <row r="878" ht="14.25" customHeight="1">
      <c r="K878" s="26"/>
      <c r="L878" s="27"/>
      <c r="M878" s="27"/>
      <c r="N878" s="27"/>
    </row>
    <row r="879" ht="14.25" customHeight="1">
      <c r="K879" s="26"/>
      <c r="L879" s="27"/>
      <c r="M879" s="27"/>
      <c r="N879" s="27"/>
    </row>
    <row r="880" ht="14.25" customHeight="1">
      <c r="K880" s="26"/>
      <c r="L880" s="27"/>
      <c r="M880" s="27"/>
      <c r="N880" s="27"/>
    </row>
    <row r="881" ht="14.25" customHeight="1">
      <c r="K881" s="26"/>
      <c r="L881" s="27"/>
      <c r="M881" s="27"/>
      <c r="N881" s="27"/>
    </row>
    <row r="882" ht="14.25" customHeight="1">
      <c r="K882" s="26"/>
      <c r="L882" s="27"/>
      <c r="M882" s="27"/>
      <c r="N882" s="27"/>
    </row>
    <row r="883" ht="14.25" customHeight="1">
      <c r="K883" s="26"/>
      <c r="L883" s="27"/>
      <c r="M883" s="27"/>
      <c r="N883" s="27"/>
    </row>
    <row r="884" ht="14.25" customHeight="1">
      <c r="K884" s="26"/>
      <c r="L884" s="27"/>
      <c r="M884" s="27"/>
      <c r="N884" s="27"/>
    </row>
    <row r="885" ht="14.25" customHeight="1">
      <c r="K885" s="26"/>
      <c r="L885" s="27"/>
      <c r="M885" s="27"/>
      <c r="N885" s="27"/>
    </row>
    <row r="886" ht="14.25" customHeight="1">
      <c r="K886" s="26"/>
      <c r="L886" s="27"/>
      <c r="M886" s="27"/>
      <c r="N886" s="27"/>
    </row>
    <row r="887" ht="14.25" customHeight="1">
      <c r="K887" s="26"/>
      <c r="L887" s="27"/>
      <c r="M887" s="27"/>
      <c r="N887" s="27"/>
    </row>
    <row r="888" ht="14.25" customHeight="1">
      <c r="K888" s="26"/>
      <c r="L888" s="27"/>
      <c r="M888" s="27"/>
      <c r="N888" s="27"/>
    </row>
    <row r="889" ht="14.25" customHeight="1">
      <c r="K889" s="26"/>
      <c r="L889" s="27"/>
      <c r="M889" s="27"/>
      <c r="N889" s="27"/>
    </row>
    <row r="890" ht="14.25" customHeight="1">
      <c r="K890" s="26"/>
      <c r="L890" s="27"/>
      <c r="M890" s="27"/>
      <c r="N890" s="27"/>
    </row>
    <row r="891" ht="14.25" customHeight="1">
      <c r="K891" s="26"/>
      <c r="L891" s="27"/>
      <c r="M891" s="27"/>
      <c r="N891" s="27"/>
    </row>
    <row r="892" ht="14.25" customHeight="1">
      <c r="K892" s="26"/>
      <c r="L892" s="27"/>
      <c r="M892" s="27"/>
      <c r="N892" s="27"/>
    </row>
    <row r="893" ht="14.25" customHeight="1">
      <c r="K893" s="26"/>
      <c r="L893" s="27"/>
      <c r="M893" s="27"/>
      <c r="N893" s="27"/>
    </row>
    <row r="894" ht="14.25" customHeight="1">
      <c r="K894" s="26"/>
      <c r="L894" s="27"/>
      <c r="M894" s="27"/>
      <c r="N894" s="27"/>
    </row>
    <row r="895" ht="14.25" customHeight="1">
      <c r="K895" s="26"/>
      <c r="L895" s="27"/>
      <c r="M895" s="27"/>
      <c r="N895" s="27"/>
    </row>
    <row r="896" ht="14.25" customHeight="1">
      <c r="K896" s="26"/>
      <c r="L896" s="27"/>
      <c r="M896" s="27"/>
      <c r="N896" s="27"/>
    </row>
    <row r="897" ht="14.25" customHeight="1">
      <c r="K897" s="26"/>
      <c r="L897" s="27"/>
      <c r="M897" s="27"/>
      <c r="N897" s="27"/>
    </row>
    <row r="898" ht="14.25" customHeight="1">
      <c r="K898" s="26"/>
      <c r="L898" s="27"/>
      <c r="M898" s="27"/>
      <c r="N898" s="27"/>
    </row>
    <row r="899" ht="14.25" customHeight="1">
      <c r="K899" s="26"/>
      <c r="L899" s="27"/>
      <c r="M899" s="27"/>
      <c r="N899" s="27"/>
    </row>
    <row r="900" ht="14.25" customHeight="1">
      <c r="K900" s="26"/>
      <c r="L900" s="27"/>
      <c r="M900" s="27"/>
      <c r="N900" s="27"/>
    </row>
    <row r="901" ht="14.25" customHeight="1">
      <c r="K901" s="26"/>
      <c r="L901" s="27"/>
      <c r="M901" s="27"/>
      <c r="N901" s="27"/>
    </row>
    <row r="902" ht="14.25" customHeight="1">
      <c r="K902" s="26"/>
      <c r="L902" s="27"/>
      <c r="M902" s="27"/>
      <c r="N902" s="27"/>
    </row>
    <row r="903" ht="14.25" customHeight="1">
      <c r="K903" s="26"/>
      <c r="L903" s="27"/>
      <c r="M903" s="27"/>
      <c r="N903" s="27"/>
    </row>
    <row r="904" ht="14.25" customHeight="1">
      <c r="K904" s="26"/>
      <c r="L904" s="27"/>
      <c r="M904" s="27"/>
      <c r="N904" s="27"/>
    </row>
    <row r="905" ht="14.25" customHeight="1">
      <c r="K905" s="26"/>
      <c r="L905" s="27"/>
      <c r="M905" s="27"/>
      <c r="N905" s="27"/>
    </row>
    <row r="906" ht="14.25" customHeight="1">
      <c r="K906" s="26"/>
      <c r="L906" s="27"/>
      <c r="M906" s="27"/>
      <c r="N906" s="27"/>
    </row>
    <row r="907" ht="14.25" customHeight="1">
      <c r="K907" s="26"/>
      <c r="L907" s="27"/>
      <c r="M907" s="27"/>
      <c r="N907" s="27"/>
    </row>
    <row r="908" ht="14.25" customHeight="1">
      <c r="K908" s="26"/>
      <c r="L908" s="27"/>
      <c r="M908" s="27"/>
      <c r="N908" s="27"/>
    </row>
    <row r="909" ht="14.25" customHeight="1">
      <c r="K909" s="26"/>
      <c r="L909" s="27"/>
      <c r="M909" s="27"/>
      <c r="N909" s="27"/>
    </row>
    <row r="910" ht="14.25" customHeight="1">
      <c r="K910" s="26"/>
      <c r="L910" s="27"/>
      <c r="M910" s="27"/>
      <c r="N910" s="27"/>
    </row>
    <row r="911" ht="14.25" customHeight="1">
      <c r="K911" s="26"/>
      <c r="L911" s="27"/>
      <c r="M911" s="27"/>
      <c r="N911" s="27"/>
    </row>
    <row r="912" ht="14.25" customHeight="1">
      <c r="K912" s="26"/>
      <c r="L912" s="27"/>
      <c r="M912" s="27"/>
      <c r="N912" s="27"/>
    </row>
    <row r="913" ht="14.25" customHeight="1">
      <c r="K913" s="26"/>
      <c r="L913" s="27"/>
      <c r="M913" s="27"/>
      <c r="N913" s="27"/>
    </row>
    <row r="914" ht="14.25" customHeight="1">
      <c r="K914" s="26"/>
      <c r="L914" s="27"/>
      <c r="M914" s="27"/>
      <c r="N914" s="27"/>
    </row>
    <row r="915" ht="14.25" customHeight="1">
      <c r="K915" s="26"/>
      <c r="L915" s="27"/>
      <c r="M915" s="27"/>
      <c r="N915" s="27"/>
    </row>
    <row r="916" ht="14.25" customHeight="1">
      <c r="K916" s="26"/>
      <c r="L916" s="27"/>
      <c r="M916" s="27"/>
      <c r="N916" s="27"/>
    </row>
    <row r="917" ht="14.25" customHeight="1">
      <c r="K917" s="26"/>
      <c r="L917" s="27"/>
      <c r="M917" s="27"/>
      <c r="N917" s="27"/>
    </row>
    <row r="918" ht="14.25" customHeight="1">
      <c r="K918" s="26"/>
      <c r="L918" s="27"/>
      <c r="M918" s="27"/>
      <c r="N918" s="27"/>
    </row>
    <row r="919" ht="14.25" customHeight="1">
      <c r="K919" s="26"/>
      <c r="L919" s="27"/>
      <c r="M919" s="27"/>
      <c r="N919" s="27"/>
    </row>
    <row r="920" ht="14.25" customHeight="1">
      <c r="K920" s="26"/>
      <c r="L920" s="27"/>
      <c r="M920" s="27"/>
      <c r="N920" s="27"/>
    </row>
    <row r="921" ht="14.25" customHeight="1">
      <c r="K921" s="26"/>
      <c r="L921" s="27"/>
      <c r="M921" s="27"/>
      <c r="N921" s="27"/>
    </row>
    <row r="922" ht="14.25" customHeight="1">
      <c r="K922" s="26"/>
      <c r="L922" s="27"/>
      <c r="M922" s="27"/>
      <c r="N922" s="27"/>
    </row>
    <row r="923" ht="14.25" customHeight="1">
      <c r="K923" s="26"/>
      <c r="L923" s="27"/>
      <c r="M923" s="27"/>
      <c r="N923" s="27"/>
    </row>
    <row r="924" ht="14.25" customHeight="1">
      <c r="K924" s="26"/>
      <c r="L924" s="27"/>
      <c r="M924" s="27"/>
      <c r="N924" s="27"/>
    </row>
    <row r="925" ht="14.25" customHeight="1">
      <c r="K925" s="26"/>
      <c r="L925" s="27"/>
      <c r="M925" s="27"/>
      <c r="N925" s="27"/>
    </row>
    <row r="926" ht="14.25" customHeight="1">
      <c r="K926" s="26"/>
      <c r="L926" s="27"/>
      <c r="M926" s="27"/>
      <c r="N926" s="27"/>
    </row>
    <row r="927" ht="14.25" customHeight="1">
      <c r="K927" s="26"/>
      <c r="L927" s="27"/>
      <c r="M927" s="27"/>
      <c r="N927" s="27"/>
    </row>
    <row r="928" ht="14.25" customHeight="1">
      <c r="K928" s="26"/>
      <c r="L928" s="27"/>
      <c r="M928" s="27"/>
      <c r="N928" s="27"/>
    </row>
    <row r="929" ht="14.25" customHeight="1">
      <c r="K929" s="26"/>
      <c r="L929" s="27"/>
      <c r="M929" s="27"/>
      <c r="N929" s="27"/>
    </row>
    <row r="930" ht="14.25" customHeight="1">
      <c r="K930" s="26"/>
      <c r="L930" s="27"/>
      <c r="M930" s="27"/>
      <c r="N930" s="27"/>
    </row>
    <row r="931" ht="14.25" customHeight="1">
      <c r="K931" s="26"/>
      <c r="L931" s="27"/>
      <c r="M931" s="27"/>
      <c r="N931" s="27"/>
    </row>
    <row r="932" ht="14.25" customHeight="1">
      <c r="K932" s="26"/>
      <c r="L932" s="27"/>
      <c r="M932" s="27"/>
      <c r="N932" s="27"/>
    </row>
    <row r="933" ht="14.25" customHeight="1">
      <c r="K933" s="26"/>
      <c r="L933" s="27"/>
      <c r="M933" s="27"/>
      <c r="N933" s="27"/>
    </row>
    <row r="934" ht="14.25" customHeight="1">
      <c r="K934" s="26"/>
      <c r="L934" s="27"/>
      <c r="M934" s="27"/>
      <c r="N934" s="27"/>
    </row>
    <row r="935" ht="14.25" customHeight="1">
      <c r="K935" s="26"/>
      <c r="L935" s="27"/>
      <c r="M935" s="27"/>
      <c r="N935" s="27"/>
    </row>
    <row r="936" ht="14.25" customHeight="1">
      <c r="K936" s="26"/>
      <c r="L936" s="27"/>
      <c r="M936" s="27"/>
      <c r="N936" s="27"/>
    </row>
    <row r="937" ht="14.25" customHeight="1">
      <c r="K937" s="26"/>
      <c r="L937" s="27"/>
      <c r="M937" s="27"/>
      <c r="N937" s="27"/>
    </row>
    <row r="938" ht="14.25" customHeight="1">
      <c r="K938" s="26"/>
      <c r="L938" s="27"/>
      <c r="M938" s="27"/>
      <c r="N938" s="27"/>
    </row>
    <row r="939" ht="14.25" customHeight="1">
      <c r="K939" s="26"/>
      <c r="L939" s="27"/>
      <c r="M939" s="27"/>
      <c r="N939" s="27"/>
    </row>
    <row r="940" ht="14.25" customHeight="1">
      <c r="K940" s="26"/>
      <c r="L940" s="27"/>
      <c r="M940" s="27"/>
      <c r="N940" s="27"/>
    </row>
    <row r="941" ht="14.25" customHeight="1">
      <c r="K941" s="26"/>
      <c r="L941" s="27"/>
      <c r="M941" s="27"/>
      <c r="N941" s="27"/>
    </row>
    <row r="942" ht="14.25" customHeight="1">
      <c r="K942" s="26"/>
      <c r="L942" s="27"/>
      <c r="M942" s="27"/>
      <c r="N942" s="27"/>
    </row>
    <row r="943" ht="14.25" customHeight="1">
      <c r="K943" s="26"/>
      <c r="L943" s="27"/>
      <c r="M943" s="27"/>
      <c r="N943" s="27"/>
    </row>
    <row r="944" ht="14.25" customHeight="1">
      <c r="K944" s="26"/>
      <c r="L944" s="27"/>
      <c r="M944" s="27"/>
      <c r="N944" s="27"/>
    </row>
    <row r="945" ht="14.25" customHeight="1">
      <c r="K945" s="26"/>
      <c r="L945" s="27"/>
      <c r="M945" s="27"/>
      <c r="N945" s="27"/>
    </row>
    <row r="946" ht="14.25" customHeight="1">
      <c r="K946" s="26"/>
      <c r="L946" s="27"/>
      <c r="M946" s="27"/>
      <c r="N946" s="27"/>
    </row>
    <row r="947" ht="14.25" customHeight="1">
      <c r="K947" s="26"/>
      <c r="L947" s="27"/>
      <c r="M947" s="27"/>
      <c r="N947" s="27"/>
    </row>
    <row r="948" ht="14.25" customHeight="1">
      <c r="K948" s="26"/>
      <c r="L948" s="27"/>
      <c r="M948" s="27"/>
      <c r="N948" s="27"/>
    </row>
    <row r="949" ht="14.25" customHeight="1">
      <c r="K949" s="26"/>
      <c r="L949" s="27"/>
      <c r="M949" s="27"/>
      <c r="N949" s="27"/>
    </row>
    <row r="950" ht="14.25" customHeight="1">
      <c r="K950" s="26"/>
      <c r="L950" s="27"/>
      <c r="M950" s="27"/>
      <c r="N950" s="27"/>
    </row>
    <row r="951" ht="14.25" customHeight="1">
      <c r="K951" s="26"/>
      <c r="L951" s="27"/>
      <c r="M951" s="27"/>
      <c r="N951" s="27"/>
    </row>
    <row r="952" ht="14.25" customHeight="1">
      <c r="K952" s="26"/>
      <c r="L952" s="27"/>
      <c r="M952" s="27"/>
      <c r="N952" s="27"/>
    </row>
    <row r="953" ht="14.25" customHeight="1">
      <c r="K953" s="26"/>
      <c r="L953" s="27"/>
      <c r="M953" s="27"/>
      <c r="N953" s="27"/>
    </row>
    <row r="954" ht="14.25" customHeight="1">
      <c r="K954" s="26"/>
      <c r="L954" s="27"/>
      <c r="M954" s="27"/>
      <c r="N954" s="27"/>
    </row>
    <row r="955" ht="14.25" customHeight="1">
      <c r="K955" s="26"/>
      <c r="L955" s="27"/>
      <c r="M955" s="27"/>
      <c r="N955" s="27"/>
    </row>
    <row r="956" ht="14.25" customHeight="1">
      <c r="K956" s="26"/>
      <c r="L956" s="27"/>
      <c r="M956" s="27"/>
      <c r="N956" s="27"/>
    </row>
    <row r="957" ht="14.25" customHeight="1">
      <c r="K957" s="26"/>
      <c r="L957" s="27"/>
      <c r="M957" s="27"/>
      <c r="N957" s="27"/>
    </row>
    <row r="958" ht="14.25" customHeight="1">
      <c r="K958" s="26"/>
      <c r="L958" s="27"/>
      <c r="M958" s="27"/>
      <c r="N958" s="27"/>
    </row>
    <row r="959" ht="14.25" customHeight="1">
      <c r="K959" s="26"/>
      <c r="L959" s="27"/>
      <c r="M959" s="27"/>
      <c r="N959" s="27"/>
    </row>
    <row r="960" ht="14.25" customHeight="1">
      <c r="K960" s="26"/>
      <c r="L960" s="27"/>
      <c r="M960" s="27"/>
      <c r="N960" s="27"/>
    </row>
    <row r="961" ht="14.25" customHeight="1">
      <c r="K961" s="26"/>
      <c r="L961" s="27"/>
      <c r="M961" s="27"/>
      <c r="N961" s="27"/>
    </row>
    <row r="962" ht="14.25" customHeight="1">
      <c r="K962" s="26"/>
      <c r="L962" s="27"/>
      <c r="M962" s="27"/>
      <c r="N962" s="27"/>
    </row>
    <row r="963" ht="14.25" customHeight="1">
      <c r="K963" s="26"/>
      <c r="L963" s="27"/>
      <c r="M963" s="27"/>
      <c r="N963" s="27"/>
    </row>
    <row r="964" ht="14.25" customHeight="1">
      <c r="K964" s="26"/>
      <c r="L964" s="27"/>
      <c r="M964" s="27"/>
      <c r="N964" s="27"/>
    </row>
    <row r="965" ht="14.25" customHeight="1">
      <c r="K965" s="26"/>
      <c r="L965" s="27"/>
      <c r="M965" s="27"/>
      <c r="N965" s="27"/>
    </row>
    <row r="966" ht="14.25" customHeight="1">
      <c r="K966" s="26"/>
      <c r="L966" s="27"/>
      <c r="M966" s="27"/>
      <c r="N966" s="27"/>
    </row>
    <row r="967" ht="14.25" customHeight="1">
      <c r="K967" s="26"/>
      <c r="L967" s="27"/>
      <c r="M967" s="27"/>
      <c r="N967" s="27"/>
    </row>
    <row r="968" ht="14.25" customHeight="1">
      <c r="K968" s="26"/>
      <c r="L968" s="27"/>
      <c r="M968" s="27"/>
      <c r="N968" s="27"/>
    </row>
    <row r="969" ht="14.25" customHeight="1">
      <c r="K969" s="26"/>
      <c r="L969" s="27"/>
      <c r="M969" s="27"/>
      <c r="N969" s="27"/>
    </row>
    <row r="970" ht="14.25" customHeight="1">
      <c r="K970" s="26"/>
      <c r="L970" s="27"/>
      <c r="M970" s="27"/>
      <c r="N970" s="27"/>
    </row>
    <row r="971" ht="14.25" customHeight="1">
      <c r="K971" s="26"/>
      <c r="L971" s="27"/>
      <c r="M971" s="27"/>
      <c r="N971" s="27"/>
    </row>
    <row r="972" ht="14.25" customHeight="1">
      <c r="K972" s="26"/>
      <c r="L972" s="27"/>
      <c r="M972" s="27"/>
      <c r="N972" s="27"/>
    </row>
    <row r="973" ht="14.25" customHeight="1">
      <c r="K973" s="26"/>
      <c r="L973" s="27"/>
      <c r="M973" s="27"/>
      <c r="N973" s="27"/>
    </row>
    <row r="974" ht="14.25" customHeight="1">
      <c r="K974" s="26"/>
      <c r="L974" s="27"/>
      <c r="M974" s="27"/>
      <c r="N974" s="27"/>
    </row>
    <row r="975" ht="14.25" customHeight="1">
      <c r="K975" s="26"/>
      <c r="L975" s="27"/>
      <c r="M975" s="27"/>
      <c r="N975" s="27"/>
    </row>
    <row r="976" ht="14.25" customHeight="1">
      <c r="K976" s="26"/>
      <c r="L976" s="27"/>
      <c r="M976" s="27"/>
      <c r="N976" s="27"/>
    </row>
    <row r="977" ht="14.25" customHeight="1">
      <c r="K977" s="26"/>
      <c r="L977" s="27"/>
      <c r="M977" s="27"/>
      <c r="N977" s="27"/>
    </row>
    <row r="978" ht="14.25" customHeight="1">
      <c r="K978" s="26"/>
      <c r="L978" s="27"/>
      <c r="M978" s="27"/>
      <c r="N978" s="27"/>
    </row>
    <row r="979" ht="14.25" customHeight="1">
      <c r="K979" s="26"/>
      <c r="L979" s="27"/>
      <c r="M979" s="27"/>
      <c r="N979" s="27"/>
    </row>
    <row r="980" ht="14.25" customHeight="1">
      <c r="K980" s="26"/>
      <c r="L980" s="27"/>
      <c r="M980" s="27"/>
      <c r="N980" s="27"/>
    </row>
    <row r="981" ht="14.25" customHeight="1">
      <c r="K981" s="26"/>
      <c r="L981" s="27"/>
      <c r="M981" s="27"/>
      <c r="N981" s="27"/>
    </row>
    <row r="982" ht="14.25" customHeight="1">
      <c r="K982" s="26"/>
      <c r="L982" s="27"/>
      <c r="M982" s="27"/>
      <c r="N982" s="27"/>
    </row>
    <row r="983" ht="14.25" customHeight="1">
      <c r="K983" s="26"/>
      <c r="L983" s="27"/>
      <c r="M983" s="27"/>
      <c r="N983" s="27"/>
    </row>
    <row r="984" ht="14.25" customHeight="1">
      <c r="K984" s="26"/>
      <c r="L984" s="27"/>
      <c r="M984" s="27"/>
      <c r="N984" s="27"/>
    </row>
    <row r="985" ht="14.25" customHeight="1">
      <c r="K985" s="26"/>
      <c r="L985" s="27"/>
      <c r="M985" s="27"/>
      <c r="N985" s="27"/>
    </row>
    <row r="986" ht="14.25" customHeight="1">
      <c r="K986" s="26"/>
      <c r="L986" s="27"/>
      <c r="M986" s="27"/>
      <c r="N986" s="27"/>
    </row>
    <row r="987" ht="14.25" customHeight="1">
      <c r="K987" s="26"/>
      <c r="L987" s="27"/>
      <c r="M987" s="27"/>
      <c r="N987" s="27"/>
    </row>
    <row r="988" ht="14.25" customHeight="1">
      <c r="K988" s="26"/>
      <c r="L988" s="27"/>
      <c r="M988" s="27"/>
      <c r="N988" s="27"/>
    </row>
    <row r="989" ht="14.25" customHeight="1">
      <c r="K989" s="26"/>
      <c r="L989" s="27"/>
      <c r="M989" s="27"/>
      <c r="N989" s="27"/>
    </row>
    <row r="990" ht="14.25" customHeight="1">
      <c r="K990" s="26"/>
      <c r="L990" s="27"/>
      <c r="M990" s="27"/>
      <c r="N990" s="27"/>
    </row>
    <row r="991" ht="14.25" customHeight="1">
      <c r="K991" s="26"/>
      <c r="L991" s="27"/>
      <c r="M991" s="27"/>
      <c r="N991" s="27"/>
    </row>
    <row r="992" ht="14.25" customHeight="1">
      <c r="K992" s="26"/>
      <c r="L992" s="27"/>
      <c r="M992" s="27"/>
      <c r="N992" s="27"/>
    </row>
    <row r="993" ht="14.25" customHeight="1">
      <c r="K993" s="26"/>
      <c r="L993" s="27"/>
      <c r="M993" s="27"/>
      <c r="N993" s="27"/>
    </row>
    <row r="994" ht="14.25" customHeight="1">
      <c r="K994" s="26"/>
      <c r="L994" s="27"/>
      <c r="M994" s="27"/>
      <c r="N994" s="27"/>
    </row>
    <row r="995" ht="14.25" customHeight="1">
      <c r="K995" s="26"/>
      <c r="L995" s="27"/>
      <c r="M995" s="27"/>
      <c r="N995" s="27"/>
    </row>
    <row r="996" ht="14.25" customHeight="1">
      <c r="K996" s="26"/>
      <c r="L996" s="27"/>
      <c r="M996" s="27"/>
      <c r="N996" s="27"/>
    </row>
    <row r="997" ht="14.25" customHeight="1">
      <c r="K997" s="26"/>
      <c r="L997" s="27"/>
      <c r="M997" s="27"/>
      <c r="N997" s="27"/>
    </row>
    <row r="998" ht="14.25" customHeight="1">
      <c r="K998" s="26"/>
      <c r="L998" s="27"/>
      <c r="M998" s="27"/>
      <c r="N998" s="27"/>
    </row>
  </sheetData>
  <autoFilter ref="$A$1:$N$26"/>
  <mergeCells count="5">
    <mergeCell ref="T1:Z1"/>
    <mergeCell ref="X3:Z3"/>
    <mergeCell ref="T10:V10"/>
    <mergeCell ref="X15:Z15"/>
    <mergeCell ref="T16:V16"/>
  </mergeCells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N4"/>
    <hyperlink r:id="rId9" ref="L5"/>
    <hyperlink r:id="rId10" ref="M5"/>
    <hyperlink r:id="rId11" ref="N5"/>
    <hyperlink r:id="rId12" ref="L6"/>
    <hyperlink r:id="rId13" ref="N6"/>
    <hyperlink r:id="rId14" ref="L7"/>
    <hyperlink r:id="rId15" ref="N7"/>
    <hyperlink r:id="rId16" ref="L8"/>
    <hyperlink r:id="rId17" ref="N8"/>
    <hyperlink r:id="rId18" ref="L9"/>
    <hyperlink r:id="rId19" ref="N9"/>
    <hyperlink r:id="rId20" ref="L10"/>
    <hyperlink r:id="rId21" ref="N10"/>
    <hyperlink r:id="rId22" ref="L11"/>
    <hyperlink r:id="rId23" ref="M11"/>
    <hyperlink r:id="rId24" ref="N11"/>
    <hyperlink r:id="rId25" ref="L12"/>
    <hyperlink r:id="rId26" ref="N12"/>
    <hyperlink r:id="rId27" ref="L13"/>
    <hyperlink r:id="rId28" ref="M13"/>
    <hyperlink r:id="rId29" ref="N13"/>
    <hyperlink r:id="rId30" ref="L14"/>
    <hyperlink r:id="rId31" ref="N14"/>
    <hyperlink r:id="rId32" ref="L15"/>
    <hyperlink r:id="rId33" ref="N15"/>
    <hyperlink r:id="rId34" ref="L16"/>
    <hyperlink r:id="rId35" ref="N16"/>
    <hyperlink r:id="rId36" ref="L17"/>
    <hyperlink r:id="rId37" ref="M17"/>
    <hyperlink r:id="rId38" ref="N17"/>
    <hyperlink r:id="rId39" ref="L18"/>
    <hyperlink r:id="rId40" ref="M18"/>
    <hyperlink r:id="rId41" ref="N18"/>
    <hyperlink r:id="rId42" ref="L19"/>
    <hyperlink r:id="rId43" ref="N19"/>
    <hyperlink r:id="rId44" ref="L20"/>
    <hyperlink r:id="rId45" ref="N20"/>
    <hyperlink r:id="rId46" ref="L21"/>
    <hyperlink r:id="rId47" ref="N21"/>
    <hyperlink r:id="rId48" ref="L22"/>
    <hyperlink r:id="rId49" ref="N22"/>
    <hyperlink r:id="rId50" ref="L23"/>
    <hyperlink r:id="rId51" ref="N23"/>
    <hyperlink r:id="rId52" ref="L24"/>
    <hyperlink r:id="rId53" ref="M24"/>
    <hyperlink r:id="rId54" ref="N24"/>
    <hyperlink r:id="rId55" ref="L25"/>
    <hyperlink r:id="rId56" ref="M25"/>
    <hyperlink r:id="rId57" ref="N25"/>
    <hyperlink r:id="rId58" ref="L26"/>
    <hyperlink r:id="rId59" ref="N26"/>
  </hyperlinks>
  <printOptions/>
  <pageMargins bottom="1.0" footer="0.0" header="0.0" left="0.75" right="0.75" top="1.0"/>
  <pageSetup orientation="landscape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29.75"/>
    <col customWidth="1" min="3" max="3" width="28.88"/>
    <col customWidth="1" min="4" max="4" width="10.5"/>
    <col customWidth="1" min="5" max="5" width="12.25"/>
    <col customWidth="1" min="6" max="6" width="15.75"/>
    <col customWidth="1" min="7" max="7" width="14.0"/>
    <col customWidth="1" min="8" max="8" width="24.5"/>
    <col customWidth="1" min="9" max="9" width="27.13"/>
    <col customWidth="1" min="10" max="10" width="15.75"/>
    <col customWidth="1" min="11" max="11" width="27.13"/>
    <col customWidth="1" min="12" max="12" width="15.75"/>
    <col customWidth="1" min="13" max="13" width="27.13"/>
    <col customWidth="1" min="14" max="14" width="15.75"/>
    <col customWidth="1" min="15" max="15" width="17.63"/>
    <col customWidth="1" min="16" max="16" width="24.5"/>
    <col customWidth="1" min="17" max="17" width="27.13"/>
    <col customWidth="1" min="18" max="18" width="15.75"/>
    <col customWidth="1" min="19" max="19" width="27.13"/>
    <col customWidth="1" min="20" max="20" width="15.75"/>
    <col customWidth="1" min="21" max="21" width="27.13"/>
    <col customWidth="1" min="22" max="22" width="15.75"/>
    <col customWidth="1" min="23" max="25" width="11.38"/>
    <col customWidth="1" min="26" max="26" width="27.13"/>
    <col customWidth="1" min="27" max="27" width="15.75"/>
    <col customWidth="1" min="28" max="28" width="27.13"/>
    <col customWidth="1" min="29" max="29" width="15.75"/>
    <col customWidth="1" min="30" max="30" width="27.13"/>
    <col customWidth="1" min="31" max="31" width="15.75"/>
    <col customWidth="1" min="32" max="37" width="11.38"/>
  </cols>
  <sheetData>
    <row r="1">
      <c r="A1" s="28" t="s">
        <v>181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30"/>
    </row>
    <row r="2">
      <c r="A2" s="31" t="s">
        <v>182</v>
      </c>
    </row>
    <row r="4">
      <c r="A4" s="12" t="s">
        <v>183</v>
      </c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7</v>
      </c>
      <c r="I4" s="12" t="s">
        <v>184</v>
      </c>
      <c r="J4" s="12" t="s">
        <v>185</v>
      </c>
      <c r="K4" s="12" t="s">
        <v>186</v>
      </c>
      <c r="L4" s="12" t="s">
        <v>187</v>
      </c>
      <c r="M4" s="12" t="s">
        <v>188</v>
      </c>
      <c r="N4" s="12" t="s">
        <v>189</v>
      </c>
      <c r="O4" s="12" t="s">
        <v>190</v>
      </c>
      <c r="P4" s="12" t="s">
        <v>191</v>
      </c>
      <c r="Q4" s="12" t="s">
        <v>192</v>
      </c>
      <c r="R4" s="12" t="s">
        <v>193</v>
      </c>
      <c r="S4" s="12" t="s">
        <v>194</v>
      </c>
      <c r="T4" s="12" t="s">
        <v>195</v>
      </c>
      <c r="U4" s="12" t="s">
        <v>196</v>
      </c>
      <c r="V4" s="12" t="s">
        <v>197</v>
      </c>
      <c r="W4" s="12" t="s">
        <v>198</v>
      </c>
      <c r="X4" s="12" t="s">
        <v>199</v>
      </c>
      <c r="Y4" s="12" t="s">
        <v>200</v>
      </c>
      <c r="Z4" s="12" t="s">
        <v>201</v>
      </c>
      <c r="AA4" s="12" t="s">
        <v>202</v>
      </c>
      <c r="AB4" s="12" t="s">
        <v>203</v>
      </c>
      <c r="AC4" s="12" t="s">
        <v>204</v>
      </c>
      <c r="AD4" s="12" t="s">
        <v>205</v>
      </c>
      <c r="AE4" s="12" t="s">
        <v>206</v>
      </c>
      <c r="AF4" s="12" t="s">
        <v>207</v>
      </c>
      <c r="AG4" s="12" t="s">
        <v>208</v>
      </c>
      <c r="AH4" s="12" t="s">
        <v>209</v>
      </c>
      <c r="AI4" s="12" t="s">
        <v>210</v>
      </c>
      <c r="AJ4" s="12" t="s">
        <v>211</v>
      </c>
      <c r="AK4" s="12" t="s">
        <v>212</v>
      </c>
    </row>
    <row r="5">
      <c r="A5" s="32">
        <v>1.0</v>
      </c>
      <c r="B5" s="33" t="s">
        <v>15</v>
      </c>
      <c r="C5" s="33" t="s">
        <v>16</v>
      </c>
      <c r="D5" s="33" t="s">
        <v>17</v>
      </c>
      <c r="E5" s="33" t="s">
        <v>18</v>
      </c>
      <c r="F5" s="33" t="s">
        <v>19</v>
      </c>
      <c r="G5" s="33" t="s">
        <v>20</v>
      </c>
      <c r="H5" s="33" t="s">
        <v>22</v>
      </c>
      <c r="I5" s="34" t="s">
        <v>213</v>
      </c>
      <c r="J5" s="35" t="s">
        <v>214</v>
      </c>
      <c r="K5" s="34" t="s">
        <v>215</v>
      </c>
      <c r="L5" s="35" t="s">
        <v>214</v>
      </c>
      <c r="M5" s="34" t="s">
        <v>216</v>
      </c>
      <c r="N5" s="35" t="s">
        <v>214</v>
      </c>
      <c r="O5" s="36">
        <v>3.0</v>
      </c>
      <c r="P5" s="37">
        <v>1.0</v>
      </c>
      <c r="Q5" s="34" t="s">
        <v>217</v>
      </c>
      <c r="R5" s="35" t="s">
        <v>214</v>
      </c>
      <c r="S5" s="34" t="s">
        <v>218</v>
      </c>
      <c r="T5" s="35" t="s">
        <v>214</v>
      </c>
      <c r="U5" s="34" t="s">
        <v>219</v>
      </c>
      <c r="V5" s="35" t="s">
        <v>214</v>
      </c>
      <c r="W5" s="36">
        <v>3.0</v>
      </c>
      <c r="X5" s="38">
        <v>0.0</v>
      </c>
      <c r="Y5" s="37">
        <v>1.0</v>
      </c>
      <c r="Z5" s="34" t="s">
        <v>220</v>
      </c>
      <c r="AA5" s="35" t="s">
        <v>214</v>
      </c>
      <c r="AB5" s="34" t="s">
        <v>221</v>
      </c>
      <c r="AC5" s="35" t="s">
        <v>214</v>
      </c>
      <c r="AD5" s="34" t="s">
        <v>222</v>
      </c>
      <c r="AE5" s="35" t="s">
        <v>223</v>
      </c>
      <c r="AF5" s="36">
        <v>2.0</v>
      </c>
      <c r="AG5" s="38">
        <v>0.0</v>
      </c>
      <c r="AH5" s="37">
        <v>1.0</v>
      </c>
      <c r="AI5" s="39">
        <v>3.0</v>
      </c>
      <c r="AJ5" s="39">
        <v>1.0</v>
      </c>
      <c r="AK5" s="39">
        <v>0.0</v>
      </c>
    </row>
    <row r="6">
      <c r="A6" s="35">
        <v>2.0</v>
      </c>
      <c r="B6" s="34" t="s">
        <v>26</v>
      </c>
      <c r="C6" s="34" t="s">
        <v>27</v>
      </c>
      <c r="D6" s="34" t="s">
        <v>28</v>
      </c>
      <c r="E6" s="34" t="s">
        <v>18</v>
      </c>
      <c r="F6" s="34" t="s">
        <v>19</v>
      </c>
      <c r="G6" s="34" t="s">
        <v>29</v>
      </c>
      <c r="H6" s="34" t="s">
        <v>22</v>
      </c>
      <c r="I6" s="34" t="s">
        <v>224</v>
      </c>
      <c r="J6" s="35" t="s">
        <v>214</v>
      </c>
      <c r="K6" s="34" t="s">
        <v>225</v>
      </c>
      <c r="L6" s="35" t="s">
        <v>223</v>
      </c>
      <c r="M6" s="34" t="s">
        <v>226</v>
      </c>
      <c r="N6" s="35" t="s">
        <v>223</v>
      </c>
      <c r="O6" s="36">
        <v>1.0</v>
      </c>
      <c r="P6" s="37">
        <v>1.0</v>
      </c>
      <c r="Q6" s="34" t="s">
        <v>227</v>
      </c>
      <c r="R6" s="35" t="s">
        <v>214</v>
      </c>
      <c r="S6" s="34" t="s">
        <v>228</v>
      </c>
      <c r="T6" s="35" t="s">
        <v>214</v>
      </c>
      <c r="U6" s="34" t="s">
        <v>229</v>
      </c>
      <c r="V6" s="35" t="s">
        <v>223</v>
      </c>
      <c r="W6" s="36">
        <v>2.0</v>
      </c>
      <c r="X6" s="38">
        <v>0.0</v>
      </c>
      <c r="Y6" s="37">
        <v>1.0</v>
      </c>
      <c r="Z6" s="34" t="s">
        <v>230</v>
      </c>
      <c r="AA6" s="35" t="s">
        <v>214</v>
      </c>
      <c r="AB6" s="34" t="s">
        <v>231</v>
      </c>
      <c r="AC6" s="35" t="s">
        <v>214</v>
      </c>
      <c r="AD6" s="34" t="s">
        <v>232</v>
      </c>
      <c r="AE6" s="35" t="s">
        <v>223</v>
      </c>
      <c r="AF6" s="36">
        <v>2.0</v>
      </c>
      <c r="AG6" s="38">
        <v>0.0</v>
      </c>
      <c r="AH6" s="37">
        <v>1.0</v>
      </c>
      <c r="AI6" s="39">
        <v>3.0</v>
      </c>
      <c r="AJ6" s="39">
        <v>1.0</v>
      </c>
      <c r="AK6" s="39">
        <v>0.0</v>
      </c>
    </row>
    <row r="7">
      <c r="A7" s="32">
        <v>3.0</v>
      </c>
      <c r="B7" s="33" t="s">
        <v>36</v>
      </c>
      <c r="C7" s="33" t="s">
        <v>37</v>
      </c>
      <c r="D7" s="33" t="s">
        <v>38</v>
      </c>
      <c r="E7" s="33" t="s">
        <v>18</v>
      </c>
      <c r="F7" s="33" t="s">
        <v>19</v>
      </c>
      <c r="G7" s="33" t="s">
        <v>39</v>
      </c>
      <c r="H7" s="33" t="s">
        <v>22</v>
      </c>
      <c r="I7" s="34" t="s">
        <v>233</v>
      </c>
      <c r="J7" s="35" t="s">
        <v>214</v>
      </c>
      <c r="K7" s="34" t="s">
        <v>234</v>
      </c>
      <c r="L7" s="35" t="s">
        <v>223</v>
      </c>
      <c r="M7" s="34" t="s">
        <v>235</v>
      </c>
      <c r="N7" s="35" t="s">
        <v>223</v>
      </c>
      <c r="O7" s="36">
        <v>1.0</v>
      </c>
      <c r="P7" s="37">
        <v>1.0</v>
      </c>
      <c r="Q7" s="34" t="s">
        <v>236</v>
      </c>
      <c r="R7" s="35" t="s">
        <v>223</v>
      </c>
      <c r="S7" s="34" t="s">
        <v>237</v>
      </c>
      <c r="T7" s="35" t="s">
        <v>223</v>
      </c>
      <c r="U7" s="34" t="s">
        <v>238</v>
      </c>
      <c r="V7" s="35" t="s">
        <v>223</v>
      </c>
      <c r="W7" s="36">
        <v>0.0</v>
      </c>
      <c r="X7" s="38">
        <v>0.0</v>
      </c>
      <c r="Y7" s="40">
        <v>0.0</v>
      </c>
      <c r="Z7" s="34" t="s">
        <v>239</v>
      </c>
      <c r="AA7" s="35" t="s">
        <v>223</v>
      </c>
      <c r="AB7" s="34" t="s">
        <v>240</v>
      </c>
      <c r="AC7" s="35" t="s">
        <v>223</v>
      </c>
      <c r="AD7" s="34" t="s">
        <v>241</v>
      </c>
      <c r="AE7" s="35" t="s">
        <v>223</v>
      </c>
      <c r="AF7" s="36">
        <v>0.0</v>
      </c>
      <c r="AG7" s="38">
        <v>0.0</v>
      </c>
      <c r="AH7" s="40">
        <v>0.0</v>
      </c>
      <c r="AI7" s="39">
        <v>1.0</v>
      </c>
      <c r="AJ7" s="39">
        <v>0.0</v>
      </c>
      <c r="AK7" s="39">
        <v>0.0</v>
      </c>
    </row>
    <row r="8">
      <c r="A8" s="35">
        <v>4.0</v>
      </c>
      <c r="B8" s="34" t="s">
        <v>47</v>
      </c>
      <c r="C8" s="34" t="s">
        <v>48</v>
      </c>
      <c r="D8" s="34" t="s">
        <v>38</v>
      </c>
      <c r="E8" s="34" t="s">
        <v>18</v>
      </c>
      <c r="F8" s="34" t="s">
        <v>19</v>
      </c>
      <c r="G8" s="34" t="s">
        <v>49</v>
      </c>
      <c r="H8" s="34" t="s">
        <v>22</v>
      </c>
      <c r="I8" s="34" t="s">
        <v>242</v>
      </c>
      <c r="J8" s="35" t="s">
        <v>223</v>
      </c>
      <c r="K8" s="34" t="s">
        <v>243</v>
      </c>
      <c r="L8" s="35" t="s">
        <v>223</v>
      </c>
      <c r="M8" s="34" t="s">
        <v>244</v>
      </c>
      <c r="N8" s="35" t="s">
        <v>223</v>
      </c>
      <c r="O8" s="36">
        <v>0.0</v>
      </c>
      <c r="P8" s="40">
        <v>0.0</v>
      </c>
      <c r="Q8" s="34" t="s">
        <v>245</v>
      </c>
      <c r="R8" s="35" t="s">
        <v>223</v>
      </c>
      <c r="S8" s="34" t="s">
        <v>246</v>
      </c>
      <c r="T8" s="35" t="s">
        <v>223</v>
      </c>
      <c r="U8" s="34" t="s">
        <v>247</v>
      </c>
      <c r="V8" s="35" t="s">
        <v>223</v>
      </c>
      <c r="W8" s="36">
        <v>0.0</v>
      </c>
      <c r="X8" s="38">
        <v>0.0</v>
      </c>
      <c r="Y8" s="40">
        <v>0.0</v>
      </c>
      <c r="Z8" s="34" t="s">
        <v>248</v>
      </c>
      <c r="AA8" s="35" t="s">
        <v>223</v>
      </c>
      <c r="AB8" s="34" t="s">
        <v>249</v>
      </c>
      <c r="AC8" s="35" t="s">
        <v>223</v>
      </c>
      <c r="AD8" s="34" t="s">
        <v>250</v>
      </c>
      <c r="AE8" s="35" t="s">
        <v>223</v>
      </c>
      <c r="AF8" s="36">
        <v>0.0</v>
      </c>
      <c r="AG8" s="38">
        <v>0.0</v>
      </c>
      <c r="AH8" s="40">
        <v>0.0</v>
      </c>
      <c r="AI8" s="39">
        <v>0.0</v>
      </c>
      <c r="AJ8" s="39">
        <v>0.0</v>
      </c>
      <c r="AK8" s="39">
        <v>1.0</v>
      </c>
    </row>
    <row r="9">
      <c r="A9" s="32">
        <v>5.0</v>
      </c>
      <c r="B9" s="33" t="s">
        <v>55</v>
      </c>
      <c r="C9" s="33" t="s">
        <v>56</v>
      </c>
      <c r="D9" s="33" t="s">
        <v>54</v>
      </c>
      <c r="E9" s="33" t="s">
        <v>57</v>
      </c>
      <c r="F9" s="33" t="s">
        <v>58</v>
      </c>
      <c r="G9" s="33" t="s">
        <v>59</v>
      </c>
      <c r="H9" s="33" t="s">
        <v>22</v>
      </c>
      <c r="I9" s="34" t="s">
        <v>251</v>
      </c>
      <c r="J9" s="35" t="s">
        <v>214</v>
      </c>
      <c r="K9" s="34" t="s">
        <v>252</v>
      </c>
      <c r="L9" s="35" t="s">
        <v>214</v>
      </c>
      <c r="M9" s="34" t="s">
        <v>253</v>
      </c>
      <c r="N9" s="35" t="s">
        <v>214</v>
      </c>
      <c r="O9" s="36">
        <v>3.0</v>
      </c>
      <c r="P9" s="37">
        <v>1.0</v>
      </c>
      <c r="Q9" s="34" t="s">
        <v>254</v>
      </c>
      <c r="R9" s="35" t="s">
        <v>223</v>
      </c>
      <c r="S9" s="34" t="s">
        <v>255</v>
      </c>
      <c r="T9" s="35" t="s">
        <v>223</v>
      </c>
      <c r="U9" s="34" t="s">
        <v>256</v>
      </c>
      <c r="V9" s="35" t="s">
        <v>223</v>
      </c>
      <c r="W9" s="36">
        <v>0.0</v>
      </c>
      <c r="X9" s="38">
        <v>0.0</v>
      </c>
      <c r="Y9" s="40">
        <v>0.0</v>
      </c>
      <c r="Z9" s="34" t="s">
        <v>257</v>
      </c>
      <c r="AA9" s="35" t="s">
        <v>214</v>
      </c>
      <c r="AB9" s="34" t="s">
        <v>258</v>
      </c>
      <c r="AC9" s="35" t="s">
        <v>214</v>
      </c>
      <c r="AD9" s="34" t="s">
        <v>259</v>
      </c>
      <c r="AE9" s="35" t="s">
        <v>214</v>
      </c>
      <c r="AF9" s="36">
        <v>3.0</v>
      </c>
      <c r="AG9" s="38">
        <v>0.0</v>
      </c>
      <c r="AH9" s="37">
        <v>1.0</v>
      </c>
      <c r="AI9" s="39">
        <v>2.0</v>
      </c>
      <c r="AJ9" s="39">
        <v>0.0</v>
      </c>
      <c r="AK9" s="39">
        <v>0.0</v>
      </c>
    </row>
    <row r="10">
      <c r="A10" s="35">
        <v>6.0</v>
      </c>
      <c r="B10" s="34" t="s">
        <v>65</v>
      </c>
      <c r="C10" s="34" t="s">
        <v>66</v>
      </c>
      <c r="D10" s="34" t="s">
        <v>67</v>
      </c>
      <c r="E10" s="34" t="s">
        <v>57</v>
      </c>
      <c r="F10" s="34" t="s">
        <v>58</v>
      </c>
      <c r="G10" s="34" t="s">
        <v>68</v>
      </c>
      <c r="H10" s="34" t="s">
        <v>69</v>
      </c>
      <c r="I10" s="34" t="s">
        <v>260</v>
      </c>
      <c r="J10" s="35" t="s">
        <v>223</v>
      </c>
      <c r="K10" s="34" t="s">
        <v>261</v>
      </c>
      <c r="L10" s="35" t="s">
        <v>223</v>
      </c>
      <c r="M10" s="34" t="s">
        <v>262</v>
      </c>
      <c r="N10" s="35" t="s">
        <v>223</v>
      </c>
      <c r="O10" s="36">
        <v>0.0</v>
      </c>
      <c r="P10" s="40">
        <v>0.0</v>
      </c>
      <c r="Q10" s="34" t="s">
        <v>263</v>
      </c>
      <c r="R10" s="35" t="s">
        <v>223</v>
      </c>
      <c r="S10" s="34" t="s">
        <v>264</v>
      </c>
      <c r="T10" s="35" t="s">
        <v>223</v>
      </c>
      <c r="U10" s="34" t="s">
        <v>265</v>
      </c>
      <c r="V10" s="35" t="s">
        <v>223</v>
      </c>
      <c r="W10" s="36">
        <v>0.0</v>
      </c>
      <c r="X10" s="38">
        <v>0.0</v>
      </c>
      <c r="Y10" s="40">
        <v>0.0</v>
      </c>
      <c r="Z10" s="34" t="s">
        <v>266</v>
      </c>
      <c r="AA10" s="35" t="s">
        <v>223</v>
      </c>
      <c r="AB10" s="34" t="s">
        <v>267</v>
      </c>
      <c r="AC10" s="35" t="s">
        <v>223</v>
      </c>
      <c r="AD10" s="34" t="s">
        <v>268</v>
      </c>
      <c r="AE10" s="35" t="s">
        <v>223</v>
      </c>
      <c r="AF10" s="36">
        <v>0.0</v>
      </c>
      <c r="AG10" s="38">
        <v>0.0</v>
      </c>
      <c r="AH10" s="40">
        <v>0.0</v>
      </c>
      <c r="AI10" s="39">
        <v>0.0</v>
      </c>
      <c r="AJ10" s="39">
        <v>0.0</v>
      </c>
      <c r="AK10" s="39">
        <v>1.0</v>
      </c>
    </row>
    <row r="11">
      <c r="A11" s="32">
        <v>7.0</v>
      </c>
      <c r="B11" s="33" t="s">
        <v>75</v>
      </c>
      <c r="C11" s="33" t="s">
        <v>76</v>
      </c>
      <c r="D11" s="33" t="s">
        <v>74</v>
      </c>
      <c r="E11" s="33" t="s">
        <v>57</v>
      </c>
      <c r="F11" s="33" t="s">
        <v>58</v>
      </c>
      <c r="G11" s="33" t="s">
        <v>29</v>
      </c>
      <c r="H11" s="33" t="s">
        <v>69</v>
      </c>
      <c r="I11" s="34" t="s">
        <v>269</v>
      </c>
      <c r="J11" s="35" t="s">
        <v>223</v>
      </c>
      <c r="K11" s="34" t="s">
        <v>270</v>
      </c>
      <c r="L11" s="35" t="s">
        <v>223</v>
      </c>
      <c r="M11" s="34" t="s">
        <v>271</v>
      </c>
      <c r="N11" s="35" t="s">
        <v>223</v>
      </c>
      <c r="O11" s="36">
        <v>0.0</v>
      </c>
      <c r="P11" s="40">
        <v>0.0</v>
      </c>
      <c r="Q11" s="34" t="s">
        <v>272</v>
      </c>
      <c r="R11" s="41" t="s">
        <v>223</v>
      </c>
      <c r="S11" s="34" t="s">
        <v>273</v>
      </c>
      <c r="T11" s="41" t="s">
        <v>223</v>
      </c>
      <c r="U11" s="34" t="s">
        <v>274</v>
      </c>
      <c r="V11" s="41" t="s">
        <v>223</v>
      </c>
      <c r="W11" s="36">
        <v>0.0</v>
      </c>
      <c r="X11" s="38">
        <v>3.0</v>
      </c>
      <c r="Y11" s="40">
        <v>0.0</v>
      </c>
      <c r="Z11" s="34" t="s">
        <v>275</v>
      </c>
      <c r="AA11" s="41" t="s">
        <v>223</v>
      </c>
      <c r="AB11" s="34" t="s">
        <v>276</v>
      </c>
      <c r="AC11" s="41" t="s">
        <v>223</v>
      </c>
      <c r="AD11" s="34" t="s">
        <v>277</v>
      </c>
      <c r="AE11" s="41" t="s">
        <v>223</v>
      </c>
      <c r="AF11" s="36">
        <v>0.0</v>
      </c>
      <c r="AG11" s="38">
        <v>3.0</v>
      </c>
      <c r="AH11" s="40">
        <v>0.0</v>
      </c>
      <c r="AI11" s="39">
        <v>0.0</v>
      </c>
      <c r="AJ11" s="39">
        <v>0.0</v>
      </c>
      <c r="AK11" s="39">
        <v>1.0</v>
      </c>
    </row>
    <row r="12">
      <c r="A12" s="35">
        <v>8.0</v>
      </c>
      <c r="B12" s="34" t="s">
        <v>81</v>
      </c>
      <c r="C12" s="34" t="s">
        <v>82</v>
      </c>
      <c r="D12" s="34" t="s">
        <v>54</v>
      </c>
      <c r="E12" s="34" t="s">
        <v>57</v>
      </c>
      <c r="F12" s="34" t="s">
        <v>19</v>
      </c>
      <c r="G12" s="34" t="s">
        <v>39</v>
      </c>
      <c r="H12" s="34" t="s">
        <v>69</v>
      </c>
      <c r="I12" s="34" t="s">
        <v>278</v>
      </c>
      <c r="J12" s="35" t="s">
        <v>223</v>
      </c>
      <c r="K12" s="34" t="s">
        <v>279</v>
      </c>
      <c r="L12" s="35" t="s">
        <v>223</v>
      </c>
      <c r="M12" s="34" t="s">
        <v>280</v>
      </c>
      <c r="N12" s="35" t="s">
        <v>223</v>
      </c>
      <c r="O12" s="36">
        <v>0.0</v>
      </c>
      <c r="P12" s="40">
        <v>0.0</v>
      </c>
      <c r="Q12" s="34" t="s">
        <v>281</v>
      </c>
      <c r="R12" s="35" t="s">
        <v>223</v>
      </c>
      <c r="S12" s="34" t="s">
        <v>282</v>
      </c>
      <c r="T12" s="35" t="s">
        <v>223</v>
      </c>
      <c r="U12" s="34" t="s">
        <v>283</v>
      </c>
      <c r="V12" s="35" t="s">
        <v>223</v>
      </c>
      <c r="W12" s="36">
        <v>0.0</v>
      </c>
      <c r="X12" s="38">
        <v>0.0</v>
      </c>
      <c r="Y12" s="40">
        <v>0.0</v>
      </c>
      <c r="Z12" s="34" t="s">
        <v>284</v>
      </c>
      <c r="AA12" s="35" t="s">
        <v>223</v>
      </c>
      <c r="AB12" s="34" t="s">
        <v>285</v>
      </c>
      <c r="AC12" s="35" t="s">
        <v>223</v>
      </c>
      <c r="AD12" s="34" t="s">
        <v>286</v>
      </c>
      <c r="AE12" s="35" t="s">
        <v>223</v>
      </c>
      <c r="AF12" s="36">
        <v>0.0</v>
      </c>
      <c r="AG12" s="38">
        <v>0.0</v>
      </c>
      <c r="AH12" s="40">
        <v>0.0</v>
      </c>
      <c r="AI12" s="39">
        <v>0.0</v>
      </c>
      <c r="AJ12" s="39">
        <v>0.0</v>
      </c>
      <c r="AK12" s="39">
        <v>1.0</v>
      </c>
    </row>
    <row r="13">
      <c r="A13" s="32">
        <v>9.0</v>
      </c>
      <c r="B13" s="33" t="s">
        <v>86</v>
      </c>
      <c r="C13" s="33" t="s">
        <v>87</v>
      </c>
      <c r="D13" s="33" t="s">
        <v>28</v>
      </c>
      <c r="E13" s="33" t="s">
        <v>57</v>
      </c>
      <c r="F13" s="33" t="s">
        <v>88</v>
      </c>
      <c r="G13" s="33" t="s">
        <v>68</v>
      </c>
      <c r="H13" s="33" t="s">
        <v>69</v>
      </c>
      <c r="I13" s="34" t="s">
        <v>287</v>
      </c>
      <c r="J13" s="35" t="s">
        <v>223</v>
      </c>
      <c r="K13" s="34" t="s">
        <v>288</v>
      </c>
      <c r="L13" s="35" t="s">
        <v>223</v>
      </c>
      <c r="M13" s="34" t="s">
        <v>289</v>
      </c>
      <c r="N13" s="35" t="s">
        <v>223</v>
      </c>
      <c r="O13" s="36">
        <v>0.0</v>
      </c>
      <c r="P13" s="40">
        <v>0.0</v>
      </c>
      <c r="Q13" s="34" t="s">
        <v>290</v>
      </c>
      <c r="R13" s="35" t="s">
        <v>223</v>
      </c>
      <c r="S13" s="34" t="s">
        <v>291</v>
      </c>
      <c r="T13" s="35" t="s">
        <v>223</v>
      </c>
      <c r="U13" s="34" t="s">
        <v>292</v>
      </c>
      <c r="V13" s="35" t="s">
        <v>223</v>
      </c>
      <c r="W13" s="36">
        <v>0.0</v>
      </c>
      <c r="X13" s="38">
        <v>0.0</v>
      </c>
      <c r="Y13" s="40">
        <v>0.0</v>
      </c>
      <c r="Z13" s="34" t="s">
        <v>293</v>
      </c>
      <c r="AA13" s="35" t="s">
        <v>223</v>
      </c>
      <c r="AB13" s="34" t="s">
        <v>294</v>
      </c>
      <c r="AC13" s="35" t="s">
        <v>223</v>
      </c>
      <c r="AD13" s="34" t="s">
        <v>295</v>
      </c>
      <c r="AE13" s="35" t="s">
        <v>223</v>
      </c>
      <c r="AF13" s="36">
        <v>0.0</v>
      </c>
      <c r="AG13" s="38">
        <v>0.0</v>
      </c>
      <c r="AH13" s="40">
        <v>0.0</v>
      </c>
      <c r="AI13" s="39">
        <v>0.0</v>
      </c>
      <c r="AJ13" s="39">
        <v>0.0</v>
      </c>
      <c r="AK13" s="39">
        <v>1.0</v>
      </c>
    </row>
    <row r="14">
      <c r="A14" s="35">
        <v>10.0</v>
      </c>
      <c r="B14" s="34" t="s">
        <v>94</v>
      </c>
      <c r="C14" s="34" t="s">
        <v>95</v>
      </c>
      <c r="D14" s="34" t="s">
        <v>54</v>
      </c>
      <c r="E14" s="34" t="s">
        <v>57</v>
      </c>
      <c r="F14" s="34" t="s">
        <v>58</v>
      </c>
      <c r="G14" s="34" t="s">
        <v>59</v>
      </c>
      <c r="H14" s="34" t="s">
        <v>69</v>
      </c>
      <c r="I14" s="34" t="s">
        <v>296</v>
      </c>
      <c r="J14" s="35" t="s">
        <v>223</v>
      </c>
      <c r="K14" s="34" t="s">
        <v>297</v>
      </c>
      <c r="L14" s="35" t="s">
        <v>223</v>
      </c>
      <c r="M14" s="34" t="s">
        <v>298</v>
      </c>
      <c r="N14" s="35" t="s">
        <v>223</v>
      </c>
      <c r="O14" s="36">
        <v>0.0</v>
      </c>
      <c r="P14" s="40">
        <v>0.0</v>
      </c>
      <c r="Q14" s="34" t="s">
        <v>299</v>
      </c>
      <c r="R14" s="35" t="s">
        <v>223</v>
      </c>
      <c r="S14" s="34" t="s">
        <v>300</v>
      </c>
      <c r="T14" s="35" t="s">
        <v>223</v>
      </c>
      <c r="U14" s="34" t="s">
        <v>301</v>
      </c>
      <c r="V14" s="35" t="s">
        <v>223</v>
      </c>
      <c r="W14" s="36">
        <v>0.0</v>
      </c>
      <c r="X14" s="38">
        <v>0.0</v>
      </c>
      <c r="Y14" s="40">
        <v>0.0</v>
      </c>
      <c r="Z14" s="34" t="s">
        <v>302</v>
      </c>
      <c r="AA14" s="35" t="s">
        <v>223</v>
      </c>
      <c r="AB14" s="34" t="s">
        <v>303</v>
      </c>
      <c r="AC14" s="35" t="s">
        <v>223</v>
      </c>
      <c r="AD14" s="34" t="s">
        <v>304</v>
      </c>
      <c r="AE14" s="35" t="s">
        <v>223</v>
      </c>
      <c r="AF14" s="36">
        <v>0.0</v>
      </c>
      <c r="AG14" s="38">
        <v>0.0</v>
      </c>
      <c r="AH14" s="40">
        <v>0.0</v>
      </c>
      <c r="AI14" s="39">
        <v>0.0</v>
      </c>
      <c r="AJ14" s="39">
        <v>0.0</v>
      </c>
      <c r="AK14" s="39">
        <v>1.0</v>
      </c>
    </row>
    <row r="15">
      <c r="A15" s="32">
        <v>11.0</v>
      </c>
      <c r="B15" s="33" t="s">
        <v>99</v>
      </c>
      <c r="C15" s="33" t="s">
        <v>100</v>
      </c>
      <c r="D15" s="33" t="s">
        <v>54</v>
      </c>
      <c r="E15" s="33" t="s">
        <v>57</v>
      </c>
      <c r="F15" s="33" t="s">
        <v>19</v>
      </c>
      <c r="G15" s="33" t="s">
        <v>39</v>
      </c>
      <c r="H15" s="33" t="s">
        <v>101</v>
      </c>
      <c r="I15" s="34" t="s">
        <v>305</v>
      </c>
      <c r="J15" s="35" t="s">
        <v>223</v>
      </c>
      <c r="K15" s="34" t="s">
        <v>306</v>
      </c>
      <c r="L15" s="35" t="s">
        <v>223</v>
      </c>
      <c r="M15" s="34" t="s">
        <v>307</v>
      </c>
      <c r="N15" s="35" t="s">
        <v>223</v>
      </c>
      <c r="O15" s="36">
        <v>0.0</v>
      </c>
      <c r="P15" s="40">
        <v>0.0</v>
      </c>
      <c r="Q15" s="34" t="s">
        <v>308</v>
      </c>
      <c r="R15" s="35" t="s">
        <v>223</v>
      </c>
      <c r="S15" s="34" t="s">
        <v>309</v>
      </c>
      <c r="T15" s="35" t="s">
        <v>223</v>
      </c>
      <c r="U15" s="34" t="s">
        <v>310</v>
      </c>
      <c r="V15" s="35" t="s">
        <v>223</v>
      </c>
      <c r="W15" s="36">
        <v>0.0</v>
      </c>
      <c r="X15" s="38">
        <v>0.0</v>
      </c>
      <c r="Y15" s="40">
        <v>0.0</v>
      </c>
      <c r="Z15" s="34" t="s">
        <v>311</v>
      </c>
      <c r="AA15" s="35" t="s">
        <v>223</v>
      </c>
      <c r="AB15" s="34" t="s">
        <v>312</v>
      </c>
      <c r="AC15" s="35" t="s">
        <v>223</v>
      </c>
      <c r="AD15" s="34" t="s">
        <v>313</v>
      </c>
      <c r="AE15" s="35" t="s">
        <v>223</v>
      </c>
      <c r="AF15" s="36">
        <v>0.0</v>
      </c>
      <c r="AG15" s="38">
        <v>0.0</v>
      </c>
      <c r="AH15" s="40">
        <v>0.0</v>
      </c>
      <c r="AI15" s="39">
        <v>0.0</v>
      </c>
      <c r="AJ15" s="39">
        <v>0.0</v>
      </c>
      <c r="AK15" s="39">
        <v>1.0</v>
      </c>
    </row>
    <row r="16">
      <c r="A16" s="35">
        <v>12.0</v>
      </c>
      <c r="B16" s="34" t="s">
        <v>106</v>
      </c>
      <c r="C16" s="34" t="s">
        <v>107</v>
      </c>
      <c r="D16" s="34" t="s">
        <v>105</v>
      </c>
      <c r="E16" s="34" t="s">
        <v>57</v>
      </c>
      <c r="F16" s="34" t="s">
        <v>19</v>
      </c>
      <c r="G16" s="34" t="s">
        <v>39</v>
      </c>
      <c r="H16" s="34" t="s">
        <v>101</v>
      </c>
      <c r="I16" s="34" t="s">
        <v>314</v>
      </c>
      <c r="J16" s="35" t="s">
        <v>214</v>
      </c>
      <c r="K16" s="34" t="s">
        <v>315</v>
      </c>
      <c r="L16" s="35" t="s">
        <v>214</v>
      </c>
      <c r="M16" s="34" t="s">
        <v>316</v>
      </c>
      <c r="N16" s="35" t="s">
        <v>214</v>
      </c>
      <c r="O16" s="36">
        <v>3.0</v>
      </c>
      <c r="P16" s="37">
        <v>1.0</v>
      </c>
      <c r="Q16" s="34" t="s">
        <v>317</v>
      </c>
      <c r="R16" s="35" t="s">
        <v>214</v>
      </c>
      <c r="S16" s="34" t="s">
        <v>318</v>
      </c>
      <c r="T16" s="35" t="s">
        <v>214</v>
      </c>
      <c r="U16" s="34" t="s">
        <v>319</v>
      </c>
      <c r="V16" s="35" t="s">
        <v>223</v>
      </c>
      <c r="W16" s="36">
        <v>2.0</v>
      </c>
      <c r="X16" s="38">
        <v>0.0</v>
      </c>
      <c r="Y16" s="37">
        <v>1.0</v>
      </c>
      <c r="Z16" s="34" t="s">
        <v>320</v>
      </c>
      <c r="AA16" s="35" t="s">
        <v>214</v>
      </c>
      <c r="AB16" s="34" t="s">
        <v>321</v>
      </c>
      <c r="AC16" s="35" t="s">
        <v>214</v>
      </c>
      <c r="AD16" s="34" t="s">
        <v>322</v>
      </c>
      <c r="AE16" s="35" t="s">
        <v>223</v>
      </c>
      <c r="AF16" s="36">
        <v>2.0</v>
      </c>
      <c r="AG16" s="38">
        <v>0.0</v>
      </c>
      <c r="AH16" s="37">
        <v>1.0</v>
      </c>
      <c r="AI16" s="39">
        <v>3.0</v>
      </c>
      <c r="AJ16" s="39">
        <v>1.0</v>
      </c>
      <c r="AK16" s="39">
        <v>0.0</v>
      </c>
    </row>
    <row r="17">
      <c r="A17" s="32">
        <v>13.0</v>
      </c>
      <c r="B17" s="33" t="s">
        <v>111</v>
      </c>
      <c r="C17" s="33" t="s">
        <v>112</v>
      </c>
      <c r="D17" s="33" t="s">
        <v>54</v>
      </c>
      <c r="E17" s="33" t="s">
        <v>57</v>
      </c>
      <c r="F17" s="33" t="s">
        <v>19</v>
      </c>
      <c r="G17" s="33" t="s">
        <v>68</v>
      </c>
      <c r="H17" s="33" t="s">
        <v>101</v>
      </c>
      <c r="I17" s="34" t="s">
        <v>323</v>
      </c>
      <c r="J17" s="35" t="s">
        <v>223</v>
      </c>
      <c r="K17" s="34" t="s">
        <v>324</v>
      </c>
      <c r="L17" s="35" t="s">
        <v>223</v>
      </c>
      <c r="M17" s="34" t="s">
        <v>325</v>
      </c>
      <c r="N17" s="35" t="s">
        <v>223</v>
      </c>
      <c r="O17" s="36">
        <v>0.0</v>
      </c>
      <c r="P17" s="40">
        <v>0.0</v>
      </c>
      <c r="Q17" s="34" t="s">
        <v>326</v>
      </c>
      <c r="R17" s="35" t="s">
        <v>223</v>
      </c>
      <c r="S17" s="34" t="s">
        <v>327</v>
      </c>
      <c r="T17" s="35" t="s">
        <v>223</v>
      </c>
      <c r="U17" s="34" t="s">
        <v>328</v>
      </c>
      <c r="V17" s="35" t="s">
        <v>223</v>
      </c>
      <c r="W17" s="36">
        <v>0.0</v>
      </c>
      <c r="X17" s="38">
        <v>0.0</v>
      </c>
      <c r="Y17" s="40">
        <v>0.0</v>
      </c>
      <c r="Z17" s="34" t="s">
        <v>329</v>
      </c>
      <c r="AA17" s="35" t="s">
        <v>223</v>
      </c>
      <c r="AB17" s="34" t="s">
        <v>330</v>
      </c>
      <c r="AC17" s="35" t="s">
        <v>223</v>
      </c>
      <c r="AD17" s="34" t="s">
        <v>331</v>
      </c>
      <c r="AE17" s="35" t="s">
        <v>223</v>
      </c>
      <c r="AF17" s="36">
        <v>0.0</v>
      </c>
      <c r="AG17" s="38">
        <v>0.0</v>
      </c>
      <c r="AH17" s="40">
        <v>0.0</v>
      </c>
      <c r="AI17" s="39">
        <v>0.0</v>
      </c>
      <c r="AJ17" s="39">
        <v>0.0</v>
      </c>
      <c r="AK17" s="39">
        <v>1.0</v>
      </c>
    </row>
    <row r="18">
      <c r="A18" s="35">
        <v>14.0</v>
      </c>
      <c r="B18" s="34" t="s">
        <v>116</v>
      </c>
      <c r="C18" s="34" t="s">
        <v>117</v>
      </c>
      <c r="D18" s="34" t="s">
        <v>74</v>
      </c>
      <c r="E18" s="34" t="s">
        <v>57</v>
      </c>
      <c r="F18" s="34" t="s">
        <v>19</v>
      </c>
      <c r="G18" s="34" t="s">
        <v>20</v>
      </c>
      <c r="H18" s="34" t="s">
        <v>101</v>
      </c>
      <c r="I18" s="34" t="s">
        <v>332</v>
      </c>
      <c r="J18" s="35" t="s">
        <v>214</v>
      </c>
      <c r="K18" s="34" t="s">
        <v>333</v>
      </c>
      <c r="L18" s="35" t="s">
        <v>214</v>
      </c>
      <c r="M18" s="34" t="s">
        <v>334</v>
      </c>
      <c r="N18" s="35" t="s">
        <v>214</v>
      </c>
      <c r="O18" s="36">
        <v>3.0</v>
      </c>
      <c r="P18" s="37">
        <v>1.0</v>
      </c>
      <c r="Q18" s="34" t="s">
        <v>335</v>
      </c>
      <c r="R18" s="41" t="s">
        <v>223</v>
      </c>
      <c r="S18" s="34" t="s">
        <v>336</v>
      </c>
      <c r="T18" s="41" t="s">
        <v>223</v>
      </c>
      <c r="U18" s="34" t="s">
        <v>337</v>
      </c>
      <c r="V18" s="41" t="s">
        <v>223</v>
      </c>
      <c r="W18" s="36">
        <v>0.0</v>
      </c>
      <c r="X18" s="38">
        <v>3.0</v>
      </c>
      <c r="Y18" s="40">
        <v>0.0</v>
      </c>
      <c r="Z18" s="34" t="s">
        <v>338</v>
      </c>
      <c r="AA18" s="41" t="s">
        <v>223</v>
      </c>
      <c r="AB18" s="34" t="s">
        <v>339</v>
      </c>
      <c r="AC18" s="41" t="s">
        <v>223</v>
      </c>
      <c r="AD18" s="34" t="s">
        <v>340</v>
      </c>
      <c r="AE18" s="41" t="s">
        <v>223</v>
      </c>
      <c r="AF18" s="36">
        <v>0.0</v>
      </c>
      <c r="AG18" s="38">
        <v>3.0</v>
      </c>
      <c r="AH18" s="40">
        <v>0.0</v>
      </c>
      <c r="AI18" s="39">
        <v>1.0</v>
      </c>
      <c r="AJ18" s="39">
        <v>0.0</v>
      </c>
      <c r="AK18" s="39">
        <v>0.0</v>
      </c>
    </row>
    <row r="19">
      <c r="A19" s="32">
        <v>15.0</v>
      </c>
      <c r="B19" s="33" t="s">
        <v>122</v>
      </c>
      <c r="C19" s="33" t="s">
        <v>123</v>
      </c>
      <c r="D19" s="33" t="s">
        <v>93</v>
      </c>
      <c r="E19" s="33" t="s">
        <v>18</v>
      </c>
      <c r="F19" s="33" t="s">
        <v>19</v>
      </c>
      <c r="G19" s="33" t="s">
        <v>124</v>
      </c>
      <c r="H19" s="33" t="s">
        <v>101</v>
      </c>
      <c r="I19" s="34" t="s">
        <v>341</v>
      </c>
      <c r="J19" s="35" t="s">
        <v>223</v>
      </c>
      <c r="K19" s="34" t="s">
        <v>342</v>
      </c>
      <c r="L19" s="35" t="s">
        <v>223</v>
      </c>
      <c r="M19" s="34" t="s">
        <v>343</v>
      </c>
      <c r="N19" s="35" t="s">
        <v>223</v>
      </c>
      <c r="O19" s="36">
        <v>0.0</v>
      </c>
      <c r="P19" s="40">
        <v>0.0</v>
      </c>
      <c r="Q19" s="34" t="s">
        <v>344</v>
      </c>
      <c r="R19" s="35" t="s">
        <v>223</v>
      </c>
      <c r="S19" s="34" t="s">
        <v>345</v>
      </c>
      <c r="T19" s="35" t="s">
        <v>223</v>
      </c>
      <c r="U19" s="34" t="s">
        <v>346</v>
      </c>
      <c r="V19" s="35" t="s">
        <v>223</v>
      </c>
      <c r="W19" s="36">
        <v>0.0</v>
      </c>
      <c r="X19" s="38">
        <v>0.0</v>
      </c>
      <c r="Y19" s="40">
        <v>0.0</v>
      </c>
      <c r="Z19" s="34" t="s">
        <v>347</v>
      </c>
      <c r="AA19" s="35" t="s">
        <v>223</v>
      </c>
      <c r="AB19" s="34" t="s">
        <v>348</v>
      </c>
      <c r="AC19" s="35" t="s">
        <v>223</v>
      </c>
      <c r="AD19" s="34" t="s">
        <v>349</v>
      </c>
      <c r="AE19" s="35" t="s">
        <v>223</v>
      </c>
      <c r="AF19" s="36">
        <v>0.0</v>
      </c>
      <c r="AG19" s="38">
        <v>0.0</v>
      </c>
      <c r="AH19" s="40">
        <v>0.0</v>
      </c>
      <c r="AI19" s="39">
        <v>0.0</v>
      </c>
      <c r="AJ19" s="39">
        <v>0.0</v>
      </c>
      <c r="AK19" s="39">
        <v>1.0</v>
      </c>
    </row>
    <row r="20">
      <c r="A20" s="35">
        <v>16.0</v>
      </c>
      <c r="B20" s="34" t="s">
        <v>128</v>
      </c>
      <c r="C20" s="34" t="s">
        <v>129</v>
      </c>
      <c r="D20" s="34" t="s">
        <v>17</v>
      </c>
      <c r="E20" s="34" t="s">
        <v>18</v>
      </c>
      <c r="F20" s="34" t="s">
        <v>88</v>
      </c>
      <c r="G20" s="34" t="s">
        <v>130</v>
      </c>
      <c r="H20" s="34" t="s">
        <v>131</v>
      </c>
      <c r="I20" s="34" t="s">
        <v>350</v>
      </c>
      <c r="J20" s="35" t="s">
        <v>214</v>
      </c>
      <c r="K20" s="34" t="s">
        <v>351</v>
      </c>
      <c r="L20" s="35" t="s">
        <v>214</v>
      </c>
      <c r="M20" s="34" t="s">
        <v>352</v>
      </c>
      <c r="N20" s="35" t="s">
        <v>214</v>
      </c>
      <c r="O20" s="36">
        <v>3.0</v>
      </c>
      <c r="P20" s="37">
        <v>1.0</v>
      </c>
      <c r="Q20" s="34" t="s">
        <v>353</v>
      </c>
      <c r="R20" s="35" t="s">
        <v>214</v>
      </c>
      <c r="S20" s="34" t="s">
        <v>354</v>
      </c>
      <c r="T20" s="35" t="s">
        <v>214</v>
      </c>
      <c r="U20" s="34" t="s">
        <v>355</v>
      </c>
      <c r="V20" s="35" t="s">
        <v>214</v>
      </c>
      <c r="W20" s="36">
        <v>3.0</v>
      </c>
      <c r="X20" s="38">
        <v>0.0</v>
      </c>
      <c r="Y20" s="37">
        <v>1.0</v>
      </c>
      <c r="Z20" s="34" t="s">
        <v>356</v>
      </c>
      <c r="AA20" s="35" t="s">
        <v>214</v>
      </c>
      <c r="AB20" s="34" t="s">
        <v>357</v>
      </c>
      <c r="AC20" s="35" t="s">
        <v>214</v>
      </c>
      <c r="AD20" s="34" t="s">
        <v>358</v>
      </c>
      <c r="AE20" s="35" t="s">
        <v>214</v>
      </c>
      <c r="AF20" s="36">
        <v>3.0</v>
      </c>
      <c r="AG20" s="38">
        <v>0.0</v>
      </c>
      <c r="AH20" s="37">
        <v>1.0</v>
      </c>
      <c r="AI20" s="39">
        <v>3.0</v>
      </c>
      <c r="AJ20" s="39">
        <v>1.0</v>
      </c>
      <c r="AK20" s="39">
        <v>0.0</v>
      </c>
    </row>
    <row r="21" ht="15.75" customHeight="1">
      <c r="A21" s="32">
        <v>17.0</v>
      </c>
      <c r="B21" s="33" t="s">
        <v>135</v>
      </c>
      <c r="C21" s="33" t="s">
        <v>16</v>
      </c>
      <c r="D21" s="33" t="s">
        <v>17</v>
      </c>
      <c r="E21" s="33" t="s">
        <v>18</v>
      </c>
      <c r="F21" s="33" t="s">
        <v>58</v>
      </c>
      <c r="G21" s="33" t="s">
        <v>20</v>
      </c>
      <c r="H21" s="33" t="s">
        <v>131</v>
      </c>
      <c r="I21" s="34" t="s">
        <v>359</v>
      </c>
      <c r="J21" s="35" t="s">
        <v>214</v>
      </c>
      <c r="K21" s="34" t="s">
        <v>360</v>
      </c>
      <c r="L21" s="35" t="s">
        <v>214</v>
      </c>
      <c r="M21" s="34" t="s">
        <v>361</v>
      </c>
      <c r="N21" s="35" t="s">
        <v>214</v>
      </c>
      <c r="O21" s="36">
        <v>3.0</v>
      </c>
      <c r="P21" s="37">
        <v>1.0</v>
      </c>
      <c r="Q21" s="34" t="s">
        <v>362</v>
      </c>
      <c r="R21" s="35" t="s">
        <v>214</v>
      </c>
      <c r="S21" s="34" t="s">
        <v>363</v>
      </c>
      <c r="T21" s="35" t="s">
        <v>214</v>
      </c>
      <c r="U21" s="34" t="s">
        <v>364</v>
      </c>
      <c r="V21" s="35" t="s">
        <v>214</v>
      </c>
      <c r="W21" s="36">
        <v>3.0</v>
      </c>
      <c r="X21" s="38">
        <v>0.0</v>
      </c>
      <c r="Y21" s="37">
        <v>1.0</v>
      </c>
      <c r="Z21" s="34" t="s">
        <v>365</v>
      </c>
      <c r="AA21" s="35" t="s">
        <v>214</v>
      </c>
      <c r="AB21" s="34" t="s">
        <v>366</v>
      </c>
      <c r="AC21" s="35" t="s">
        <v>214</v>
      </c>
      <c r="AD21" s="34" t="s">
        <v>367</v>
      </c>
      <c r="AE21" s="35" t="s">
        <v>214</v>
      </c>
      <c r="AF21" s="36">
        <v>3.0</v>
      </c>
      <c r="AG21" s="38">
        <v>0.0</v>
      </c>
      <c r="AH21" s="37">
        <v>1.0</v>
      </c>
      <c r="AI21" s="39">
        <v>3.0</v>
      </c>
      <c r="AJ21" s="39">
        <v>1.0</v>
      </c>
      <c r="AK21" s="39">
        <v>0.0</v>
      </c>
    </row>
    <row r="22" ht="15.75" customHeight="1">
      <c r="A22" s="35">
        <v>18.0</v>
      </c>
      <c r="B22" s="34" t="s">
        <v>140</v>
      </c>
      <c r="C22" s="34" t="s">
        <v>141</v>
      </c>
      <c r="D22" s="34" t="s">
        <v>54</v>
      </c>
      <c r="E22" s="34" t="s">
        <v>57</v>
      </c>
      <c r="F22" s="34" t="s">
        <v>19</v>
      </c>
      <c r="G22" s="34" t="s">
        <v>59</v>
      </c>
      <c r="H22" s="34" t="s">
        <v>131</v>
      </c>
      <c r="I22" s="34" t="s">
        <v>368</v>
      </c>
      <c r="J22" s="35" t="s">
        <v>214</v>
      </c>
      <c r="K22" s="34" t="s">
        <v>369</v>
      </c>
      <c r="L22" s="35" t="s">
        <v>214</v>
      </c>
      <c r="M22" s="34" t="s">
        <v>370</v>
      </c>
      <c r="N22" s="35" t="s">
        <v>214</v>
      </c>
      <c r="O22" s="36">
        <v>3.0</v>
      </c>
      <c r="P22" s="37">
        <v>1.0</v>
      </c>
      <c r="Q22" s="34" t="s">
        <v>371</v>
      </c>
      <c r="R22" s="35" t="s">
        <v>223</v>
      </c>
      <c r="S22" s="34" t="s">
        <v>372</v>
      </c>
      <c r="T22" s="35" t="s">
        <v>223</v>
      </c>
      <c r="U22" s="34" t="s">
        <v>373</v>
      </c>
      <c r="V22" s="35" t="s">
        <v>223</v>
      </c>
      <c r="W22" s="36">
        <v>0.0</v>
      </c>
      <c r="X22" s="38">
        <v>0.0</v>
      </c>
      <c r="Y22" s="40">
        <v>0.0</v>
      </c>
      <c r="Z22" s="34" t="s">
        <v>374</v>
      </c>
      <c r="AA22" s="35" t="s">
        <v>214</v>
      </c>
      <c r="AB22" s="34" t="s">
        <v>375</v>
      </c>
      <c r="AC22" s="35" t="s">
        <v>214</v>
      </c>
      <c r="AD22" s="34" t="s">
        <v>376</v>
      </c>
      <c r="AE22" s="35" t="s">
        <v>223</v>
      </c>
      <c r="AF22" s="36">
        <v>2.0</v>
      </c>
      <c r="AG22" s="38">
        <v>0.0</v>
      </c>
      <c r="AH22" s="37">
        <v>1.0</v>
      </c>
      <c r="AI22" s="39">
        <v>2.0</v>
      </c>
      <c r="AJ22" s="39">
        <v>0.0</v>
      </c>
      <c r="AK22" s="39">
        <v>0.0</v>
      </c>
    </row>
    <row r="23" ht="15.75" customHeight="1">
      <c r="A23" s="32">
        <v>19.0</v>
      </c>
      <c r="B23" s="33" t="s">
        <v>145</v>
      </c>
      <c r="C23" s="33" t="s">
        <v>146</v>
      </c>
      <c r="D23" s="33" t="s">
        <v>74</v>
      </c>
      <c r="E23" s="33" t="s">
        <v>57</v>
      </c>
      <c r="F23" s="33" t="s">
        <v>19</v>
      </c>
      <c r="G23" s="33" t="s">
        <v>29</v>
      </c>
      <c r="H23" s="33" t="s">
        <v>131</v>
      </c>
      <c r="I23" s="34" t="s">
        <v>377</v>
      </c>
      <c r="J23" s="35" t="s">
        <v>223</v>
      </c>
      <c r="K23" s="34" t="s">
        <v>378</v>
      </c>
      <c r="L23" s="35" t="s">
        <v>223</v>
      </c>
      <c r="M23" s="34" t="s">
        <v>379</v>
      </c>
      <c r="N23" s="35" t="s">
        <v>223</v>
      </c>
      <c r="O23" s="36">
        <v>0.0</v>
      </c>
      <c r="P23" s="40">
        <v>0.0</v>
      </c>
      <c r="Q23" s="34" t="s">
        <v>380</v>
      </c>
      <c r="R23" s="41" t="s">
        <v>223</v>
      </c>
      <c r="S23" s="34" t="s">
        <v>381</v>
      </c>
      <c r="T23" s="41" t="s">
        <v>223</v>
      </c>
      <c r="U23" s="34" t="s">
        <v>382</v>
      </c>
      <c r="V23" s="41" t="s">
        <v>223</v>
      </c>
      <c r="W23" s="36">
        <v>0.0</v>
      </c>
      <c r="X23" s="38">
        <v>3.0</v>
      </c>
      <c r="Y23" s="40">
        <v>0.0</v>
      </c>
      <c r="Z23" s="34" t="s">
        <v>383</v>
      </c>
      <c r="AA23" s="41" t="s">
        <v>223</v>
      </c>
      <c r="AB23" s="34" t="s">
        <v>384</v>
      </c>
      <c r="AC23" s="41" t="s">
        <v>223</v>
      </c>
      <c r="AD23" s="34" t="s">
        <v>385</v>
      </c>
      <c r="AE23" s="41" t="s">
        <v>223</v>
      </c>
      <c r="AF23" s="36">
        <v>0.0</v>
      </c>
      <c r="AG23" s="38">
        <v>3.0</v>
      </c>
      <c r="AH23" s="40">
        <v>0.0</v>
      </c>
      <c r="AI23" s="39">
        <v>0.0</v>
      </c>
      <c r="AJ23" s="39">
        <v>0.0</v>
      </c>
      <c r="AK23" s="39">
        <v>1.0</v>
      </c>
    </row>
    <row r="24" ht="15.75" customHeight="1">
      <c r="A24" s="35">
        <v>20.0</v>
      </c>
      <c r="B24" s="34" t="s">
        <v>150</v>
      </c>
      <c r="C24" s="34" t="s">
        <v>151</v>
      </c>
      <c r="D24" s="34" t="s">
        <v>54</v>
      </c>
      <c r="E24" s="34" t="s">
        <v>57</v>
      </c>
      <c r="F24" s="34" t="s">
        <v>19</v>
      </c>
      <c r="G24" s="34" t="s">
        <v>49</v>
      </c>
      <c r="H24" s="34" t="s">
        <v>131</v>
      </c>
      <c r="I24" s="34" t="s">
        <v>386</v>
      </c>
      <c r="J24" s="35" t="s">
        <v>223</v>
      </c>
      <c r="K24" s="34" t="s">
        <v>387</v>
      </c>
      <c r="L24" s="35" t="s">
        <v>223</v>
      </c>
      <c r="M24" s="34" t="s">
        <v>388</v>
      </c>
      <c r="N24" s="35" t="s">
        <v>223</v>
      </c>
      <c r="O24" s="36">
        <v>0.0</v>
      </c>
      <c r="P24" s="40">
        <v>0.0</v>
      </c>
      <c r="Q24" s="34" t="s">
        <v>389</v>
      </c>
      <c r="R24" s="35" t="s">
        <v>223</v>
      </c>
      <c r="S24" s="34" t="s">
        <v>390</v>
      </c>
      <c r="T24" s="35" t="s">
        <v>223</v>
      </c>
      <c r="U24" s="34" t="s">
        <v>391</v>
      </c>
      <c r="V24" s="35" t="s">
        <v>223</v>
      </c>
      <c r="W24" s="36">
        <v>0.0</v>
      </c>
      <c r="X24" s="38">
        <v>0.0</v>
      </c>
      <c r="Y24" s="40">
        <v>0.0</v>
      </c>
      <c r="Z24" s="34" t="s">
        <v>392</v>
      </c>
      <c r="AA24" s="35" t="s">
        <v>223</v>
      </c>
      <c r="AB24" s="34" t="s">
        <v>393</v>
      </c>
      <c r="AC24" s="35" t="s">
        <v>223</v>
      </c>
      <c r="AD24" s="34" t="s">
        <v>394</v>
      </c>
      <c r="AE24" s="35" t="s">
        <v>223</v>
      </c>
      <c r="AF24" s="36">
        <v>0.0</v>
      </c>
      <c r="AG24" s="38">
        <v>0.0</v>
      </c>
      <c r="AH24" s="40">
        <v>0.0</v>
      </c>
      <c r="AI24" s="39">
        <v>0.0</v>
      </c>
      <c r="AJ24" s="39">
        <v>0.0</v>
      </c>
      <c r="AK24" s="39">
        <v>1.0</v>
      </c>
    </row>
    <row r="25" ht="15.75" customHeight="1">
      <c r="A25" s="32">
        <v>21.0</v>
      </c>
      <c r="B25" s="33" t="s">
        <v>155</v>
      </c>
      <c r="C25" s="33" t="s">
        <v>156</v>
      </c>
      <c r="D25" s="33" t="s">
        <v>38</v>
      </c>
      <c r="E25" s="33" t="s">
        <v>18</v>
      </c>
      <c r="F25" s="33" t="s">
        <v>88</v>
      </c>
      <c r="G25" s="33" t="s">
        <v>39</v>
      </c>
      <c r="H25" s="33" t="s">
        <v>157</v>
      </c>
      <c r="I25" s="34" t="s">
        <v>395</v>
      </c>
      <c r="J25" s="35" t="s">
        <v>223</v>
      </c>
      <c r="K25" s="34" t="s">
        <v>396</v>
      </c>
      <c r="L25" s="35" t="s">
        <v>223</v>
      </c>
      <c r="M25" s="34" t="s">
        <v>397</v>
      </c>
      <c r="N25" s="35" t="s">
        <v>223</v>
      </c>
      <c r="O25" s="36">
        <v>0.0</v>
      </c>
      <c r="P25" s="40">
        <v>0.0</v>
      </c>
      <c r="Q25" s="34" t="s">
        <v>398</v>
      </c>
      <c r="R25" s="35" t="s">
        <v>223</v>
      </c>
      <c r="S25" s="34" t="s">
        <v>399</v>
      </c>
      <c r="T25" s="35" t="s">
        <v>223</v>
      </c>
      <c r="U25" s="34" t="s">
        <v>400</v>
      </c>
      <c r="V25" s="35" t="s">
        <v>223</v>
      </c>
      <c r="W25" s="36">
        <v>0.0</v>
      </c>
      <c r="X25" s="38">
        <v>0.0</v>
      </c>
      <c r="Y25" s="40">
        <v>0.0</v>
      </c>
      <c r="Z25" s="34" t="s">
        <v>401</v>
      </c>
      <c r="AA25" s="35" t="s">
        <v>223</v>
      </c>
      <c r="AB25" s="34" t="s">
        <v>402</v>
      </c>
      <c r="AC25" s="35" t="s">
        <v>223</v>
      </c>
      <c r="AD25" s="34" t="s">
        <v>403</v>
      </c>
      <c r="AE25" s="35" t="s">
        <v>223</v>
      </c>
      <c r="AF25" s="36">
        <v>0.0</v>
      </c>
      <c r="AG25" s="38">
        <v>0.0</v>
      </c>
      <c r="AH25" s="40">
        <v>0.0</v>
      </c>
      <c r="AI25" s="39">
        <v>0.0</v>
      </c>
      <c r="AJ25" s="39">
        <v>0.0</v>
      </c>
      <c r="AK25" s="39">
        <v>1.0</v>
      </c>
    </row>
    <row r="26" ht="15.75" customHeight="1">
      <c r="A26" s="35">
        <v>22.0</v>
      </c>
      <c r="B26" s="34" t="s">
        <v>161</v>
      </c>
      <c r="C26" s="34" t="s">
        <v>162</v>
      </c>
      <c r="D26" s="34" t="s">
        <v>93</v>
      </c>
      <c r="E26" s="34" t="s">
        <v>18</v>
      </c>
      <c r="F26" s="34" t="s">
        <v>88</v>
      </c>
      <c r="G26" s="34" t="s">
        <v>130</v>
      </c>
      <c r="H26" s="34" t="s">
        <v>157</v>
      </c>
      <c r="I26" s="34" t="s">
        <v>404</v>
      </c>
      <c r="J26" s="35" t="s">
        <v>223</v>
      </c>
      <c r="K26" s="34" t="s">
        <v>405</v>
      </c>
      <c r="L26" s="35" t="s">
        <v>223</v>
      </c>
      <c r="M26" s="34" t="s">
        <v>406</v>
      </c>
      <c r="N26" s="35" t="s">
        <v>223</v>
      </c>
      <c r="O26" s="36">
        <v>0.0</v>
      </c>
      <c r="P26" s="40">
        <v>0.0</v>
      </c>
      <c r="Q26" s="34" t="s">
        <v>407</v>
      </c>
      <c r="R26" s="35" t="s">
        <v>223</v>
      </c>
      <c r="S26" s="34" t="s">
        <v>408</v>
      </c>
      <c r="T26" s="35" t="s">
        <v>223</v>
      </c>
      <c r="U26" s="34" t="s">
        <v>409</v>
      </c>
      <c r="V26" s="35" t="s">
        <v>223</v>
      </c>
      <c r="W26" s="36">
        <v>0.0</v>
      </c>
      <c r="X26" s="38">
        <v>0.0</v>
      </c>
      <c r="Y26" s="40">
        <v>0.0</v>
      </c>
      <c r="Z26" s="34" t="s">
        <v>410</v>
      </c>
      <c r="AA26" s="35" t="s">
        <v>223</v>
      </c>
      <c r="AB26" s="34" t="s">
        <v>411</v>
      </c>
      <c r="AC26" s="35" t="s">
        <v>223</v>
      </c>
      <c r="AD26" s="34" t="s">
        <v>412</v>
      </c>
      <c r="AE26" s="35" t="s">
        <v>223</v>
      </c>
      <c r="AF26" s="36">
        <v>0.0</v>
      </c>
      <c r="AG26" s="38">
        <v>0.0</v>
      </c>
      <c r="AH26" s="40">
        <v>0.0</v>
      </c>
      <c r="AI26" s="39">
        <v>0.0</v>
      </c>
      <c r="AJ26" s="39">
        <v>0.0</v>
      </c>
      <c r="AK26" s="39">
        <v>1.0</v>
      </c>
    </row>
    <row r="27" ht="15.75" customHeight="1">
      <c r="A27" s="32">
        <v>23.0</v>
      </c>
      <c r="B27" s="33" t="s">
        <v>166</v>
      </c>
      <c r="C27" s="33" t="s">
        <v>167</v>
      </c>
      <c r="D27" s="33" t="s">
        <v>17</v>
      </c>
      <c r="E27" s="33" t="s">
        <v>18</v>
      </c>
      <c r="F27" s="33" t="s">
        <v>88</v>
      </c>
      <c r="G27" s="33" t="s">
        <v>168</v>
      </c>
      <c r="H27" s="33" t="s">
        <v>157</v>
      </c>
      <c r="I27" s="34" t="s">
        <v>413</v>
      </c>
      <c r="J27" s="35" t="s">
        <v>214</v>
      </c>
      <c r="K27" s="34" t="s">
        <v>414</v>
      </c>
      <c r="L27" s="35" t="s">
        <v>214</v>
      </c>
      <c r="M27" s="34" t="s">
        <v>415</v>
      </c>
      <c r="N27" s="35" t="s">
        <v>223</v>
      </c>
      <c r="O27" s="36">
        <v>2.0</v>
      </c>
      <c r="P27" s="37">
        <v>1.0</v>
      </c>
      <c r="Q27" s="34" t="s">
        <v>416</v>
      </c>
      <c r="R27" s="35" t="s">
        <v>214</v>
      </c>
      <c r="S27" s="34" t="s">
        <v>417</v>
      </c>
      <c r="T27" s="35" t="s">
        <v>214</v>
      </c>
      <c r="U27" s="34" t="s">
        <v>418</v>
      </c>
      <c r="V27" s="35" t="s">
        <v>214</v>
      </c>
      <c r="W27" s="36">
        <v>3.0</v>
      </c>
      <c r="X27" s="38">
        <v>0.0</v>
      </c>
      <c r="Y27" s="37">
        <v>1.0</v>
      </c>
      <c r="Z27" s="34" t="s">
        <v>419</v>
      </c>
      <c r="AA27" s="35" t="s">
        <v>214</v>
      </c>
      <c r="AB27" s="34" t="s">
        <v>420</v>
      </c>
      <c r="AC27" s="35" t="s">
        <v>214</v>
      </c>
      <c r="AD27" s="34" t="s">
        <v>421</v>
      </c>
      <c r="AE27" s="35" t="s">
        <v>214</v>
      </c>
      <c r="AF27" s="36">
        <v>3.0</v>
      </c>
      <c r="AG27" s="38">
        <v>0.0</v>
      </c>
      <c r="AH27" s="37">
        <v>1.0</v>
      </c>
      <c r="AI27" s="39">
        <v>3.0</v>
      </c>
      <c r="AJ27" s="39">
        <v>1.0</v>
      </c>
      <c r="AK27" s="39">
        <v>0.0</v>
      </c>
    </row>
    <row r="28" ht="15.75" customHeight="1">
      <c r="A28" s="35">
        <v>24.0</v>
      </c>
      <c r="B28" s="34" t="s">
        <v>172</v>
      </c>
      <c r="C28" s="34" t="s">
        <v>173</v>
      </c>
      <c r="D28" s="34" t="s">
        <v>74</v>
      </c>
      <c r="E28" s="34" t="s">
        <v>57</v>
      </c>
      <c r="F28" s="34" t="s">
        <v>19</v>
      </c>
      <c r="G28" s="34" t="s">
        <v>39</v>
      </c>
      <c r="H28" s="34" t="s">
        <v>157</v>
      </c>
      <c r="I28" s="34" t="s">
        <v>422</v>
      </c>
      <c r="J28" s="35" t="s">
        <v>223</v>
      </c>
      <c r="K28" s="34" t="s">
        <v>423</v>
      </c>
      <c r="L28" s="35" t="s">
        <v>223</v>
      </c>
      <c r="M28" s="34" t="s">
        <v>424</v>
      </c>
      <c r="N28" s="35" t="s">
        <v>223</v>
      </c>
      <c r="O28" s="36">
        <v>0.0</v>
      </c>
      <c r="P28" s="40">
        <v>0.0</v>
      </c>
      <c r="Q28" s="34" t="s">
        <v>425</v>
      </c>
      <c r="R28" s="41" t="s">
        <v>223</v>
      </c>
      <c r="S28" s="34" t="s">
        <v>426</v>
      </c>
      <c r="T28" s="41" t="s">
        <v>223</v>
      </c>
      <c r="U28" s="34" t="s">
        <v>427</v>
      </c>
      <c r="V28" s="41" t="s">
        <v>223</v>
      </c>
      <c r="W28" s="36">
        <v>0.0</v>
      </c>
      <c r="X28" s="38">
        <v>3.0</v>
      </c>
      <c r="Y28" s="40">
        <v>0.0</v>
      </c>
      <c r="Z28" s="34" t="s">
        <v>428</v>
      </c>
      <c r="AA28" s="41" t="s">
        <v>223</v>
      </c>
      <c r="AB28" s="34" t="s">
        <v>429</v>
      </c>
      <c r="AC28" s="41" t="s">
        <v>223</v>
      </c>
      <c r="AD28" s="34" t="s">
        <v>430</v>
      </c>
      <c r="AE28" s="41" t="s">
        <v>223</v>
      </c>
      <c r="AF28" s="36">
        <v>0.0</v>
      </c>
      <c r="AG28" s="38">
        <v>3.0</v>
      </c>
      <c r="AH28" s="40">
        <v>0.0</v>
      </c>
      <c r="AI28" s="39">
        <v>0.0</v>
      </c>
      <c r="AJ28" s="39">
        <v>0.0</v>
      </c>
      <c r="AK28" s="39">
        <v>1.0</v>
      </c>
    </row>
    <row r="29" ht="15.75" customHeight="1">
      <c r="A29" s="32">
        <v>25.0</v>
      </c>
      <c r="B29" s="33" t="s">
        <v>177</v>
      </c>
      <c r="C29" s="33" t="s">
        <v>27</v>
      </c>
      <c r="D29" s="33" t="s">
        <v>28</v>
      </c>
      <c r="E29" s="33" t="s">
        <v>57</v>
      </c>
      <c r="F29" s="33" t="s">
        <v>88</v>
      </c>
      <c r="G29" s="33" t="s">
        <v>59</v>
      </c>
      <c r="H29" s="33" t="s">
        <v>157</v>
      </c>
      <c r="I29" s="34" t="s">
        <v>431</v>
      </c>
      <c r="J29" s="35" t="s">
        <v>223</v>
      </c>
      <c r="K29" s="34" t="s">
        <v>432</v>
      </c>
      <c r="L29" s="35" t="s">
        <v>223</v>
      </c>
      <c r="M29" s="34" t="s">
        <v>433</v>
      </c>
      <c r="N29" s="35" t="s">
        <v>223</v>
      </c>
      <c r="O29" s="36">
        <v>0.0</v>
      </c>
      <c r="P29" s="40">
        <v>0.0</v>
      </c>
      <c r="Q29" s="34" t="s">
        <v>434</v>
      </c>
      <c r="R29" s="35" t="s">
        <v>223</v>
      </c>
      <c r="S29" s="34" t="s">
        <v>435</v>
      </c>
      <c r="T29" s="35" t="s">
        <v>223</v>
      </c>
      <c r="U29" s="34" t="s">
        <v>436</v>
      </c>
      <c r="V29" s="35" t="s">
        <v>223</v>
      </c>
      <c r="W29" s="36">
        <v>0.0</v>
      </c>
      <c r="X29" s="38">
        <v>0.0</v>
      </c>
      <c r="Y29" s="40">
        <v>0.0</v>
      </c>
      <c r="Z29" s="34" t="s">
        <v>437</v>
      </c>
      <c r="AA29" s="35" t="s">
        <v>223</v>
      </c>
      <c r="AB29" s="34" t="s">
        <v>438</v>
      </c>
      <c r="AC29" s="35" t="s">
        <v>223</v>
      </c>
      <c r="AD29" s="34" t="s">
        <v>439</v>
      </c>
      <c r="AE29" s="35" t="s">
        <v>223</v>
      </c>
      <c r="AF29" s="36">
        <v>0.0</v>
      </c>
      <c r="AG29" s="38">
        <v>0.0</v>
      </c>
      <c r="AH29" s="40">
        <v>0.0</v>
      </c>
      <c r="AI29" s="39">
        <v>0.0</v>
      </c>
      <c r="AJ29" s="39">
        <v>0.0</v>
      </c>
      <c r="AK29" s="39">
        <v>1.0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K$29"/>
  <mergeCells count="2">
    <mergeCell ref="A1:AK1"/>
    <mergeCell ref="A2:AK2"/>
  </mergeCells>
  <conditionalFormatting sqref="P5:P29">
    <cfRule type="cellIs" dxfId="0" priority="1" operator="equal">
      <formula>1</formula>
    </cfRule>
  </conditionalFormatting>
  <conditionalFormatting sqref="P5:P29">
    <cfRule type="cellIs" dxfId="1" priority="2" operator="equal">
      <formula>0</formula>
    </cfRule>
  </conditionalFormatting>
  <conditionalFormatting sqref="Y5:Y29">
    <cfRule type="cellIs" dxfId="0" priority="3" operator="equal">
      <formula>1</formula>
    </cfRule>
  </conditionalFormatting>
  <conditionalFormatting sqref="Y5:Y29">
    <cfRule type="cellIs" dxfId="1" priority="4" operator="equal">
      <formula>0</formula>
    </cfRule>
  </conditionalFormatting>
  <conditionalFormatting sqref="AH5:AH29">
    <cfRule type="cellIs" dxfId="0" priority="5" operator="equal">
      <formula>1</formula>
    </cfRule>
  </conditionalFormatting>
  <conditionalFormatting sqref="AH5:AH29">
    <cfRule type="cellIs" dxfId="1" priority="6" operator="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75"/>
    <col customWidth="1" min="2" max="2" width="21.38"/>
    <col customWidth="1" min="3" max="3" width="18.63"/>
    <col customWidth="1" min="4" max="4" width="12.0"/>
    <col customWidth="1" min="5" max="5" width="14.5"/>
    <col customWidth="1" min="6" max="6" width="11.75"/>
    <col customWidth="1" min="7" max="7" width="16.38"/>
    <col customWidth="1" min="8" max="8" width="19.0"/>
    <col customWidth="1" min="9" max="9" width="6.13"/>
    <col customWidth="1" min="10" max="10" width="24.88"/>
    <col customWidth="1" min="11" max="11" width="25.38"/>
    <col customWidth="1" min="12" max="12" width="18.63"/>
    <col customWidth="1" min="13" max="13" width="14.5"/>
    <col customWidth="1" min="14" max="14" width="13.88"/>
    <col customWidth="1" min="15" max="15" width="19.0"/>
    <col customWidth="1" min="16" max="16" width="13.88"/>
    <col customWidth="1" min="17" max="17" width="13.63"/>
    <col customWidth="1" min="18" max="38" width="7.63"/>
  </cols>
  <sheetData>
    <row r="1">
      <c r="A1" s="42" t="s">
        <v>440</v>
      </c>
      <c r="B1" s="29"/>
      <c r="C1" s="29"/>
      <c r="D1" s="29"/>
      <c r="E1" s="29"/>
      <c r="F1" s="29"/>
      <c r="G1" s="29"/>
      <c r="H1" s="30"/>
    </row>
    <row r="2">
      <c r="A2" s="31" t="s">
        <v>182</v>
      </c>
    </row>
    <row r="3">
      <c r="A3" s="12" t="s">
        <v>441</v>
      </c>
      <c r="B3" s="12" t="s">
        <v>442</v>
      </c>
      <c r="C3" s="12" t="s">
        <v>443</v>
      </c>
      <c r="D3" s="12" t="s">
        <v>444</v>
      </c>
      <c r="E3" s="12" t="s">
        <v>445</v>
      </c>
      <c r="F3" s="12" t="s">
        <v>446</v>
      </c>
      <c r="G3" s="12" t="s">
        <v>447</v>
      </c>
      <c r="H3" s="43"/>
    </row>
    <row r="4">
      <c r="A4" s="34" t="s">
        <v>448</v>
      </c>
      <c r="B4" s="36">
        <v>10.0</v>
      </c>
      <c r="C4" s="44">
        <v>15.0</v>
      </c>
      <c r="D4" s="45">
        <v>0.4</v>
      </c>
      <c r="E4" s="36">
        <v>25.0</v>
      </c>
      <c r="F4" s="44">
        <v>50.0</v>
      </c>
      <c r="G4" s="45">
        <v>0.3333333333333333</v>
      </c>
      <c r="H4" s="35"/>
    </row>
    <row r="5">
      <c r="A5" s="34" t="s">
        <v>449</v>
      </c>
      <c r="B5" s="36">
        <v>6.0</v>
      </c>
      <c r="C5" s="44">
        <v>19.0</v>
      </c>
      <c r="D5" s="45">
        <v>0.24</v>
      </c>
      <c r="E5" s="36">
        <v>16.0</v>
      </c>
      <c r="F5" s="44">
        <v>59.0</v>
      </c>
      <c r="G5" s="45">
        <v>0.2133333333333333</v>
      </c>
      <c r="H5" s="35"/>
    </row>
    <row r="6">
      <c r="A6" s="34" t="s">
        <v>450</v>
      </c>
      <c r="B6" s="36">
        <v>8.0</v>
      </c>
      <c r="C6" s="44">
        <v>17.0</v>
      </c>
      <c r="D6" s="45">
        <v>0.32</v>
      </c>
      <c r="E6" s="36">
        <v>20.0</v>
      </c>
      <c r="F6" s="44">
        <v>55.0</v>
      </c>
      <c r="G6" s="45">
        <v>0.2666666666666667</v>
      </c>
      <c r="H6" s="35"/>
    </row>
    <row r="8">
      <c r="A8" s="46" t="s">
        <v>451</v>
      </c>
      <c r="G8" s="46" t="s">
        <v>452</v>
      </c>
    </row>
    <row r="9">
      <c r="A9" s="47"/>
      <c r="B9" s="48"/>
    </row>
    <row r="10">
      <c r="A10" s="47"/>
      <c r="B10" s="48"/>
    </row>
    <row r="11">
      <c r="A11" s="47"/>
      <c r="B11" s="48"/>
    </row>
    <row r="12">
      <c r="A12" s="47"/>
      <c r="B12" s="48"/>
    </row>
    <row r="13">
      <c r="A13" s="47"/>
      <c r="B13" s="48"/>
    </row>
    <row r="14">
      <c r="A14" s="47"/>
      <c r="B14" s="48"/>
    </row>
    <row r="15">
      <c r="A15" s="47"/>
      <c r="B15" s="48"/>
    </row>
    <row r="16">
      <c r="A16" s="47"/>
      <c r="B16" s="48"/>
    </row>
    <row r="17">
      <c r="A17" s="47"/>
      <c r="B17" s="48"/>
    </row>
    <row r="18">
      <c r="A18" s="47"/>
      <c r="B18" s="48"/>
    </row>
    <row r="19">
      <c r="A19" s="47"/>
      <c r="B19" s="48"/>
    </row>
    <row r="20">
      <c r="A20" s="47"/>
      <c r="B20" s="48"/>
    </row>
    <row r="21">
      <c r="A21" s="47"/>
      <c r="B21" s="48"/>
    </row>
    <row r="22">
      <c r="A22" s="47"/>
      <c r="B22" s="48"/>
    </row>
    <row r="23">
      <c r="A23" s="47"/>
      <c r="B23" s="48"/>
    </row>
    <row r="24">
      <c r="A24" s="47"/>
      <c r="B24" s="48"/>
    </row>
    <row r="25">
      <c r="A25" s="47"/>
      <c r="B25" s="48"/>
      <c r="Y25" s="13" t="s">
        <v>453</v>
      </c>
      <c r="Z25" s="5"/>
      <c r="AA25" s="5"/>
      <c r="AB25" s="5"/>
      <c r="AC25" s="6"/>
    </row>
    <row r="26">
      <c r="Y26" s="17" t="s">
        <v>454</v>
      </c>
      <c r="Z26" s="17" t="s">
        <v>455</v>
      </c>
      <c r="AA26" s="17" t="s">
        <v>448</v>
      </c>
      <c r="AB26" s="17" t="s">
        <v>449</v>
      </c>
      <c r="AC26" s="17" t="s">
        <v>450</v>
      </c>
    </row>
    <row r="27">
      <c r="A27" s="46" t="s">
        <v>456</v>
      </c>
      <c r="G27" s="46" t="s">
        <v>457</v>
      </c>
      <c r="Y27" s="34" t="s">
        <v>18</v>
      </c>
      <c r="Z27" s="35">
        <v>10.0</v>
      </c>
      <c r="AA27" s="35">
        <v>6.0</v>
      </c>
      <c r="AB27" s="35">
        <v>5.0</v>
      </c>
      <c r="AC27" s="35">
        <v>5.0</v>
      </c>
    </row>
    <row r="28">
      <c r="Y28" s="34" t="s">
        <v>57</v>
      </c>
      <c r="Z28" s="35">
        <v>15.0</v>
      </c>
      <c r="AA28" s="35">
        <v>4.0</v>
      </c>
      <c r="AB28" s="35">
        <v>1.0</v>
      </c>
      <c r="AC28" s="35">
        <v>3.0</v>
      </c>
    </row>
    <row r="31">
      <c r="Y31" s="13" t="s">
        <v>458</v>
      </c>
      <c r="Z31" s="5"/>
      <c r="AA31" s="5"/>
      <c r="AB31" s="5"/>
      <c r="AC31" s="6"/>
    </row>
    <row r="32">
      <c r="Y32" s="17" t="s">
        <v>459</v>
      </c>
      <c r="Z32" s="17" t="s">
        <v>455</v>
      </c>
      <c r="AA32" s="17" t="s">
        <v>448</v>
      </c>
      <c r="AB32" s="17" t="s">
        <v>449</v>
      </c>
      <c r="AC32" s="17" t="s">
        <v>450</v>
      </c>
    </row>
    <row r="33">
      <c r="Y33" s="34" t="s">
        <v>22</v>
      </c>
      <c r="Z33" s="35">
        <v>5.0</v>
      </c>
      <c r="AA33" s="35">
        <v>4.0</v>
      </c>
      <c r="AB33" s="35">
        <v>2.0</v>
      </c>
      <c r="AC33" s="35">
        <v>3.0</v>
      </c>
    </row>
    <row r="34">
      <c r="Y34" s="34" t="s">
        <v>69</v>
      </c>
      <c r="Z34" s="35">
        <v>5.0</v>
      </c>
      <c r="AA34" s="35">
        <v>0.0</v>
      </c>
      <c r="AB34" s="35">
        <v>0.0</v>
      </c>
      <c r="AC34" s="35">
        <v>0.0</v>
      </c>
    </row>
    <row r="35">
      <c r="Y35" s="34" t="s">
        <v>101</v>
      </c>
      <c r="Z35" s="35">
        <v>5.0</v>
      </c>
      <c r="AA35" s="35">
        <v>2.0</v>
      </c>
      <c r="AB35" s="35">
        <v>1.0</v>
      </c>
      <c r="AC35" s="35">
        <v>1.0</v>
      </c>
    </row>
    <row r="36">
      <c r="Y36" s="34" t="s">
        <v>131</v>
      </c>
      <c r="Z36" s="35">
        <v>5.0</v>
      </c>
      <c r="AA36" s="35">
        <v>3.0</v>
      </c>
      <c r="AB36" s="35">
        <v>2.0</v>
      </c>
      <c r="AC36" s="35">
        <v>3.0</v>
      </c>
    </row>
    <row r="37">
      <c r="Y37" s="34" t="s">
        <v>157</v>
      </c>
      <c r="Z37" s="35">
        <v>5.0</v>
      </c>
      <c r="AA37" s="35">
        <v>1.0</v>
      </c>
      <c r="AB37" s="35">
        <v>1.0</v>
      </c>
      <c r="AC37" s="35">
        <v>1.0</v>
      </c>
    </row>
    <row r="39">
      <c r="Y39" s="13" t="s">
        <v>460</v>
      </c>
      <c r="Z39" s="6"/>
    </row>
    <row r="40">
      <c r="Y40" s="17" t="s">
        <v>461</v>
      </c>
      <c r="Z40" s="17" t="s">
        <v>455</v>
      </c>
    </row>
    <row r="41">
      <c r="Y41" s="34">
        <v>0.0</v>
      </c>
      <c r="Z41" s="35">
        <v>15.0</v>
      </c>
    </row>
    <row r="42">
      <c r="Y42" s="34">
        <v>1.0</v>
      </c>
      <c r="Z42" s="35">
        <v>2.0</v>
      </c>
    </row>
    <row r="43">
      <c r="Y43" s="34">
        <v>2.0</v>
      </c>
      <c r="Z43" s="35">
        <v>2.0</v>
      </c>
    </row>
    <row r="44">
      <c r="Y44" s="34">
        <v>3.0</v>
      </c>
      <c r="Z44" s="35">
        <v>6.0</v>
      </c>
    </row>
    <row r="46">
      <c r="A46" s="46" t="s">
        <v>462</v>
      </c>
      <c r="D46" s="46" t="s">
        <v>463</v>
      </c>
      <c r="G46" s="46" t="s">
        <v>464</v>
      </c>
      <c r="AF46" s="49"/>
    </row>
    <row r="48">
      <c r="Y48" s="50" t="s">
        <v>465</v>
      </c>
      <c r="Z48" s="50" t="s">
        <v>466</v>
      </c>
      <c r="AA48" s="50" t="s">
        <v>467</v>
      </c>
      <c r="AB48" s="50" t="s">
        <v>468</v>
      </c>
      <c r="AC48" s="50" t="s">
        <v>469</v>
      </c>
      <c r="AD48" s="50" t="s">
        <v>470</v>
      </c>
      <c r="AE48" s="50" t="s">
        <v>471</v>
      </c>
      <c r="AF48" s="50" t="s">
        <v>472</v>
      </c>
      <c r="AG48" s="50" t="s">
        <v>473</v>
      </c>
      <c r="AH48" s="50" t="s">
        <v>474</v>
      </c>
    </row>
    <row r="49">
      <c r="A49" s="51"/>
      <c r="Y49" s="52" t="s">
        <v>131</v>
      </c>
      <c r="Z49" s="53">
        <v>9.0</v>
      </c>
      <c r="AA49" s="53">
        <v>15.0</v>
      </c>
      <c r="AB49" s="54">
        <v>0.6</v>
      </c>
      <c r="AC49" s="53">
        <v>6.0</v>
      </c>
      <c r="AD49" s="53">
        <v>15.0</v>
      </c>
      <c r="AE49" s="54">
        <v>0.4</v>
      </c>
      <c r="AF49" s="53">
        <v>8.0</v>
      </c>
      <c r="AG49" s="53">
        <v>15.0</v>
      </c>
      <c r="AH49" s="54">
        <v>0.5333333333333333</v>
      </c>
    </row>
    <row r="50">
      <c r="Y50" s="55" t="s">
        <v>22</v>
      </c>
      <c r="Z50" s="56">
        <v>8.0</v>
      </c>
      <c r="AA50" s="56">
        <v>15.0</v>
      </c>
      <c r="AB50" s="57">
        <v>0.5333333333333333</v>
      </c>
      <c r="AC50" s="56">
        <v>5.0</v>
      </c>
      <c r="AD50" s="56">
        <v>15.0</v>
      </c>
      <c r="AE50" s="57">
        <v>0.3333333333333333</v>
      </c>
      <c r="AF50" s="56">
        <v>7.0</v>
      </c>
      <c r="AG50" s="56">
        <v>15.0</v>
      </c>
      <c r="AH50" s="57">
        <v>0.4666666666666667</v>
      </c>
    </row>
    <row r="51">
      <c r="Y51" s="52" t="s">
        <v>101</v>
      </c>
      <c r="Z51" s="53">
        <v>6.0</v>
      </c>
      <c r="AA51" s="53">
        <v>15.0</v>
      </c>
      <c r="AB51" s="54">
        <v>0.4</v>
      </c>
      <c r="AC51" s="53">
        <v>2.0</v>
      </c>
      <c r="AD51" s="53">
        <v>15.0</v>
      </c>
      <c r="AE51" s="54">
        <v>0.1333333333333333</v>
      </c>
      <c r="AF51" s="53">
        <v>2.0</v>
      </c>
      <c r="AG51" s="53">
        <v>15.0</v>
      </c>
      <c r="AH51" s="54">
        <v>0.1333333333333333</v>
      </c>
    </row>
    <row r="52">
      <c r="Y52" s="55" t="s">
        <v>157</v>
      </c>
      <c r="Z52" s="56">
        <v>2.0</v>
      </c>
      <c r="AA52" s="56">
        <v>15.0</v>
      </c>
      <c r="AB52" s="57">
        <v>0.1333333333333333</v>
      </c>
      <c r="AC52" s="56">
        <v>3.0</v>
      </c>
      <c r="AD52" s="56">
        <v>15.0</v>
      </c>
      <c r="AE52" s="57">
        <v>0.2</v>
      </c>
      <c r="AF52" s="56">
        <v>3.0</v>
      </c>
      <c r="AG52" s="56">
        <v>15.0</v>
      </c>
      <c r="AH52" s="57">
        <v>0.2</v>
      </c>
    </row>
    <row r="53">
      <c r="Y53" s="52" t="s">
        <v>69</v>
      </c>
      <c r="Z53" s="53">
        <v>0.0</v>
      </c>
      <c r="AA53" s="53">
        <v>15.0</v>
      </c>
      <c r="AB53" s="54">
        <v>0.0</v>
      </c>
      <c r="AC53" s="53">
        <v>0.0</v>
      </c>
      <c r="AD53" s="53">
        <v>15.0</v>
      </c>
      <c r="AE53" s="54">
        <v>0.0</v>
      </c>
      <c r="AF53" s="53">
        <v>0.0</v>
      </c>
      <c r="AG53" s="53">
        <v>15.0</v>
      </c>
      <c r="AH53" s="54">
        <v>0.0</v>
      </c>
    </row>
    <row r="61">
      <c r="A61" s="58" t="s">
        <v>475</v>
      </c>
      <c r="B61" s="5"/>
      <c r="C61" s="5"/>
      <c r="D61" s="5"/>
      <c r="E61" s="5"/>
      <c r="F61" s="5"/>
      <c r="G61" s="5"/>
    </row>
    <row r="62">
      <c r="A62" s="17" t="s">
        <v>476</v>
      </c>
      <c r="B62" s="17" t="s">
        <v>477</v>
      </c>
      <c r="C62" s="17" t="s">
        <v>454</v>
      </c>
      <c r="D62" s="17" t="s">
        <v>448</v>
      </c>
      <c r="E62" s="17" t="s">
        <v>449</v>
      </c>
      <c r="F62" s="17" t="s">
        <v>450</v>
      </c>
      <c r="G62" s="17" t="s">
        <v>478</v>
      </c>
    </row>
    <row r="63">
      <c r="A63" s="35" t="s">
        <v>15</v>
      </c>
      <c r="B63" s="35" t="s">
        <v>17</v>
      </c>
      <c r="C63" s="35" t="s">
        <v>18</v>
      </c>
      <c r="D63" s="35">
        <v>1.0</v>
      </c>
      <c r="E63" s="35">
        <v>1.0</v>
      </c>
      <c r="F63" s="35">
        <v>1.0</v>
      </c>
      <c r="G63" s="35">
        <v>3.0</v>
      </c>
    </row>
    <row r="64" ht="15.75" customHeight="1">
      <c r="A64" s="35" t="s">
        <v>26</v>
      </c>
      <c r="B64" s="35" t="s">
        <v>28</v>
      </c>
      <c r="C64" s="35" t="s">
        <v>18</v>
      </c>
      <c r="D64" s="35">
        <v>1.0</v>
      </c>
      <c r="E64" s="35">
        <v>1.0</v>
      </c>
      <c r="F64" s="35">
        <v>1.0</v>
      </c>
      <c r="G64" s="35">
        <v>3.0</v>
      </c>
      <c r="Y64" s="59" t="s">
        <v>465</v>
      </c>
      <c r="Z64" s="59" t="s">
        <v>479</v>
      </c>
      <c r="AA64" s="59" t="s">
        <v>480</v>
      </c>
      <c r="AB64" s="59" t="s">
        <v>481</v>
      </c>
      <c r="AC64" s="59" t="s">
        <v>482</v>
      </c>
      <c r="AD64" s="59" t="s">
        <v>483</v>
      </c>
      <c r="AE64" s="59" t="s">
        <v>484</v>
      </c>
      <c r="AF64" s="59" t="s">
        <v>485</v>
      </c>
      <c r="AG64" s="59" t="s">
        <v>486</v>
      </c>
      <c r="AH64" s="59" t="s">
        <v>487</v>
      </c>
    </row>
    <row r="65" ht="15.75" customHeight="1">
      <c r="A65" s="35" t="s">
        <v>36</v>
      </c>
      <c r="B65" s="35" t="s">
        <v>38</v>
      </c>
      <c r="C65" s="35" t="s">
        <v>18</v>
      </c>
      <c r="D65" s="35">
        <v>1.0</v>
      </c>
      <c r="E65" s="35">
        <v>0.0</v>
      </c>
      <c r="F65" s="35">
        <v>0.0</v>
      </c>
      <c r="G65" s="35">
        <v>1.0</v>
      </c>
      <c r="Y65" s="60" t="s">
        <v>131</v>
      </c>
      <c r="Z65" s="61">
        <v>3.0</v>
      </c>
      <c r="AA65" s="61">
        <v>5.0</v>
      </c>
      <c r="AB65" s="62">
        <f t="shared" ref="AB65:AB69" si="1">Z65/AA65</f>
        <v>0.6</v>
      </c>
      <c r="AC65" s="61">
        <v>2.0</v>
      </c>
      <c r="AD65" s="61">
        <v>5.0</v>
      </c>
      <c r="AE65" s="62">
        <f t="shared" ref="AE65:AE69" si="2">AC65/AD65</f>
        <v>0.4</v>
      </c>
      <c r="AF65" s="61">
        <v>3.0</v>
      </c>
      <c r="AG65" s="61">
        <v>5.0</v>
      </c>
      <c r="AH65" s="62">
        <f t="shared" ref="AH65:AH69" si="3">AF65/AG65</f>
        <v>0.6</v>
      </c>
    </row>
    <row r="66" ht="15.75" customHeight="1">
      <c r="A66" s="35" t="s">
        <v>47</v>
      </c>
      <c r="B66" s="35" t="s">
        <v>38</v>
      </c>
      <c r="C66" s="35" t="s">
        <v>18</v>
      </c>
      <c r="D66" s="35">
        <v>0.0</v>
      </c>
      <c r="E66" s="35">
        <v>0.0</v>
      </c>
      <c r="F66" s="35">
        <v>0.0</v>
      </c>
      <c r="G66" s="35">
        <v>0.0</v>
      </c>
      <c r="Y66" s="60" t="s">
        <v>22</v>
      </c>
      <c r="Z66" s="63">
        <v>4.0</v>
      </c>
      <c r="AA66" s="63">
        <v>5.0</v>
      </c>
      <c r="AB66" s="62">
        <f t="shared" si="1"/>
        <v>0.8</v>
      </c>
      <c r="AC66" s="63">
        <v>2.0</v>
      </c>
      <c r="AD66" s="63">
        <v>5.0</v>
      </c>
      <c r="AE66" s="62">
        <f t="shared" si="2"/>
        <v>0.4</v>
      </c>
      <c r="AF66" s="63">
        <v>3.0</v>
      </c>
      <c r="AG66" s="63">
        <v>5.0</v>
      </c>
      <c r="AH66" s="62">
        <f t="shared" si="3"/>
        <v>0.6</v>
      </c>
    </row>
    <row r="67" ht="15.75" customHeight="1">
      <c r="A67" s="35" t="s">
        <v>55</v>
      </c>
      <c r="B67" s="35" t="s">
        <v>54</v>
      </c>
      <c r="C67" s="35" t="s">
        <v>57</v>
      </c>
      <c r="D67" s="35">
        <v>1.0</v>
      </c>
      <c r="E67" s="35">
        <v>0.0</v>
      </c>
      <c r="F67" s="35">
        <v>1.0</v>
      </c>
      <c r="G67" s="35">
        <v>2.0</v>
      </c>
      <c r="Y67" s="60" t="s">
        <v>101</v>
      </c>
      <c r="Z67" s="61">
        <v>2.0</v>
      </c>
      <c r="AA67" s="61">
        <v>5.0</v>
      </c>
      <c r="AB67" s="62">
        <f t="shared" si="1"/>
        <v>0.4</v>
      </c>
      <c r="AC67" s="61">
        <v>1.0</v>
      </c>
      <c r="AD67" s="61">
        <v>5.0</v>
      </c>
      <c r="AE67" s="62">
        <f t="shared" si="2"/>
        <v>0.2</v>
      </c>
      <c r="AF67" s="61">
        <v>1.0</v>
      </c>
      <c r="AG67" s="61">
        <v>5.0</v>
      </c>
      <c r="AH67" s="62">
        <f t="shared" si="3"/>
        <v>0.2</v>
      </c>
    </row>
    <row r="68" ht="15.75" customHeight="1">
      <c r="A68" s="35" t="s">
        <v>65</v>
      </c>
      <c r="B68" s="35" t="s">
        <v>67</v>
      </c>
      <c r="C68" s="35" t="s">
        <v>57</v>
      </c>
      <c r="D68" s="35">
        <v>0.0</v>
      </c>
      <c r="E68" s="35">
        <v>0.0</v>
      </c>
      <c r="F68" s="35">
        <v>0.0</v>
      </c>
      <c r="G68" s="35">
        <v>0.0</v>
      </c>
      <c r="Y68" s="60" t="s">
        <v>157</v>
      </c>
      <c r="Z68" s="63">
        <v>1.0</v>
      </c>
      <c r="AA68" s="63">
        <v>5.0</v>
      </c>
      <c r="AB68" s="62">
        <f t="shared" si="1"/>
        <v>0.2</v>
      </c>
      <c r="AC68" s="63">
        <v>1.0</v>
      </c>
      <c r="AD68" s="63">
        <v>5.0</v>
      </c>
      <c r="AE68" s="62">
        <f t="shared" si="2"/>
        <v>0.2</v>
      </c>
      <c r="AF68" s="63">
        <v>1.0</v>
      </c>
      <c r="AG68" s="63">
        <v>5.0</v>
      </c>
      <c r="AH68" s="62">
        <f t="shared" si="3"/>
        <v>0.2</v>
      </c>
    </row>
    <row r="69" ht="15.75" customHeight="1">
      <c r="A69" s="35" t="s">
        <v>75</v>
      </c>
      <c r="B69" s="35" t="s">
        <v>74</v>
      </c>
      <c r="C69" s="35" t="s">
        <v>57</v>
      </c>
      <c r="D69" s="35">
        <v>0.0</v>
      </c>
      <c r="E69" s="35">
        <v>0.0</v>
      </c>
      <c r="F69" s="35">
        <v>0.0</v>
      </c>
      <c r="G69" s="35">
        <v>0.0</v>
      </c>
      <c r="Y69" s="60" t="s">
        <v>69</v>
      </c>
      <c r="Z69" s="61">
        <v>0.0</v>
      </c>
      <c r="AA69" s="61">
        <v>5.0</v>
      </c>
      <c r="AB69" s="62">
        <f t="shared" si="1"/>
        <v>0</v>
      </c>
      <c r="AC69" s="61">
        <v>0.0</v>
      </c>
      <c r="AD69" s="61">
        <v>5.0</v>
      </c>
      <c r="AE69" s="62">
        <f t="shared" si="2"/>
        <v>0</v>
      </c>
      <c r="AF69" s="61">
        <v>0.0</v>
      </c>
      <c r="AG69" s="61">
        <v>5.0</v>
      </c>
      <c r="AH69" s="62">
        <f t="shared" si="3"/>
        <v>0</v>
      </c>
    </row>
    <row r="70" ht="15.75" customHeight="1">
      <c r="A70" s="35" t="s">
        <v>81</v>
      </c>
      <c r="B70" s="35" t="s">
        <v>54</v>
      </c>
      <c r="C70" s="35" t="s">
        <v>57</v>
      </c>
      <c r="D70" s="35">
        <v>0.0</v>
      </c>
      <c r="E70" s="35">
        <v>0.0</v>
      </c>
      <c r="F70" s="35">
        <v>0.0</v>
      </c>
      <c r="G70" s="35">
        <v>0.0</v>
      </c>
    </row>
    <row r="71" ht="15.75" customHeight="1">
      <c r="A71" s="35" t="s">
        <v>86</v>
      </c>
      <c r="B71" s="35" t="s">
        <v>28</v>
      </c>
      <c r="C71" s="35" t="s">
        <v>57</v>
      </c>
      <c r="D71" s="35">
        <v>0.0</v>
      </c>
      <c r="E71" s="35">
        <v>0.0</v>
      </c>
      <c r="F71" s="35">
        <v>0.0</v>
      </c>
      <c r="G71" s="35">
        <v>0.0</v>
      </c>
    </row>
    <row r="72" ht="15.75" customHeight="1">
      <c r="A72" s="35" t="s">
        <v>94</v>
      </c>
      <c r="B72" s="35" t="s">
        <v>54</v>
      </c>
      <c r="C72" s="35" t="s">
        <v>57</v>
      </c>
      <c r="D72" s="35">
        <v>0.0</v>
      </c>
      <c r="E72" s="35">
        <v>0.0</v>
      </c>
      <c r="F72" s="35">
        <v>0.0</v>
      </c>
      <c r="G72" s="35">
        <v>0.0</v>
      </c>
    </row>
    <row r="73" ht="15.75" customHeight="1">
      <c r="A73" s="35" t="s">
        <v>99</v>
      </c>
      <c r="B73" s="35" t="s">
        <v>54</v>
      </c>
      <c r="C73" s="35" t="s">
        <v>57</v>
      </c>
      <c r="D73" s="35">
        <v>0.0</v>
      </c>
      <c r="E73" s="35">
        <v>0.0</v>
      </c>
      <c r="F73" s="35">
        <v>0.0</v>
      </c>
      <c r="G73" s="35">
        <v>0.0</v>
      </c>
    </row>
    <row r="74" ht="15.75" customHeight="1">
      <c r="A74" s="35" t="s">
        <v>106</v>
      </c>
      <c r="B74" s="35" t="s">
        <v>105</v>
      </c>
      <c r="C74" s="35" t="s">
        <v>57</v>
      </c>
      <c r="D74" s="35">
        <v>1.0</v>
      </c>
      <c r="E74" s="35">
        <v>1.0</v>
      </c>
      <c r="F74" s="35">
        <v>1.0</v>
      </c>
      <c r="G74" s="35">
        <v>3.0</v>
      </c>
    </row>
    <row r="75" ht="15.75" customHeight="1">
      <c r="A75" s="35" t="s">
        <v>111</v>
      </c>
      <c r="B75" s="35" t="s">
        <v>54</v>
      </c>
      <c r="C75" s="35" t="s">
        <v>57</v>
      </c>
      <c r="D75" s="35">
        <v>0.0</v>
      </c>
      <c r="E75" s="35">
        <v>0.0</v>
      </c>
      <c r="F75" s="35">
        <v>0.0</v>
      </c>
      <c r="G75" s="35">
        <v>0.0</v>
      </c>
      <c r="Y75" s="13" t="s">
        <v>488</v>
      </c>
      <c r="Z75" s="5"/>
      <c r="AA75" s="5"/>
      <c r="AB75" s="5"/>
      <c r="AC75" s="5"/>
    </row>
    <row r="76" ht="15.75" customHeight="1">
      <c r="A76" s="35" t="s">
        <v>116</v>
      </c>
      <c r="B76" s="35" t="s">
        <v>74</v>
      </c>
      <c r="C76" s="35" t="s">
        <v>57</v>
      </c>
      <c r="D76" s="35">
        <v>1.0</v>
      </c>
      <c r="E76" s="35">
        <v>0.0</v>
      </c>
      <c r="F76" s="35">
        <v>0.0</v>
      </c>
      <c r="G76" s="35">
        <v>1.0</v>
      </c>
      <c r="Y76" s="17" t="s">
        <v>441</v>
      </c>
      <c r="Z76" s="17" t="s">
        <v>442</v>
      </c>
      <c r="AA76" s="17" t="s">
        <v>443</v>
      </c>
      <c r="AB76" s="17" t="s">
        <v>445</v>
      </c>
      <c r="AC76" s="17" t="s">
        <v>446</v>
      </c>
    </row>
    <row r="77" ht="15.75" customHeight="1">
      <c r="A77" s="35" t="s">
        <v>122</v>
      </c>
      <c r="B77" s="35" t="s">
        <v>93</v>
      </c>
      <c r="C77" s="35" t="s">
        <v>18</v>
      </c>
      <c r="D77" s="35">
        <v>0.0</v>
      </c>
      <c r="E77" s="35">
        <v>0.0</v>
      </c>
      <c r="F77" s="35">
        <v>0.0</v>
      </c>
      <c r="G77" s="35">
        <v>0.0</v>
      </c>
      <c r="Y77" s="34" t="s">
        <v>448</v>
      </c>
      <c r="Z77" s="35">
        <v>10.0</v>
      </c>
      <c r="AA77" s="35">
        <v>15.0</v>
      </c>
      <c r="AB77" s="35">
        <v>25.0</v>
      </c>
      <c r="AC77" s="35">
        <v>50.0</v>
      </c>
    </row>
    <row r="78" ht="15.75" customHeight="1">
      <c r="A78" s="35" t="s">
        <v>128</v>
      </c>
      <c r="B78" s="35" t="s">
        <v>17</v>
      </c>
      <c r="C78" s="35" t="s">
        <v>18</v>
      </c>
      <c r="D78" s="35">
        <v>1.0</v>
      </c>
      <c r="E78" s="35">
        <v>1.0</v>
      </c>
      <c r="F78" s="35">
        <v>1.0</v>
      </c>
      <c r="G78" s="35">
        <v>3.0</v>
      </c>
      <c r="Y78" s="34" t="s">
        <v>449</v>
      </c>
      <c r="Z78" s="35">
        <v>6.0</v>
      </c>
      <c r="AA78" s="35">
        <v>19.0</v>
      </c>
      <c r="AB78" s="35">
        <v>16.0</v>
      </c>
      <c r="AC78" s="35">
        <v>59.0</v>
      </c>
    </row>
    <row r="79" ht="15.75" customHeight="1">
      <c r="A79" s="35" t="s">
        <v>135</v>
      </c>
      <c r="B79" s="35" t="s">
        <v>17</v>
      </c>
      <c r="C79" s="35" t="s">
        <v>18</v>
      </c>
      <c r="D79" s="35">
        <v>1.0</v>
      </c>
      <c r="E79" s="35">
        <v>1.0</v>
      </c>
      <c r="F79" s="35">
        <v>1.0</v>
      </c>
      <c r="G79" s="35">
        <v>3.0</v>
      </c>
      <c r="Y79" s="34" t="s">
        <v>450</v>
      </c>
      <c r="Z79" s="35">
        <v>8.0</v>
      </c>
      <c r="AA79" s="35">
        <v>17.0</v>
      </c>
      <c r="AB79" s="35">
        <v>20.0</v>
      </c>
      <c r="AC79" s="35">
        <v>55.0</v>
      </c>
    </row>
    <row r="80" ht="15.75" customHeight="1">
      <c r="A80" s="35" t="s">
        <v>140</v>
      </c>
      <c r="B80" s="35" t="s">
        <v>54</v>
      </c>
      <c r="C80" s="35" t="s">
        <v>57</v>
      </c>
      <c r="D80" s="35">
        <v>1.0</v>
      </c>
      <c r="E80" s="35">
        <v>0.0</v>
      </c>
      <c r="F80" s="35">
        <v>1.0</v>
      </c>
      <c r="G80" s="35">
        <v>2.0</v>
      </c>
    </row>
    <row r="81" ht="15.75" customHeight="1">
      <c r="A81" s="35" t="s">
        <v>145</v>
      </c>
      <c r="B81" s="35" t="s">
        <v>74</v>
      </c>
      <c r="C81" s="35" t="s">
        <v>57</v>
      </c>
      <c r="D81" s="35">
        <v>0.0</v>
      </c>
      <c r="E81" s="35">
        <v>0.0</v>
      </c>
      <c r="F81" s="35">
        <v>0.0</v>
      </c>
      <c r="G81" s="35">
        <v>0.0</v>
      </c>
    </row>
    <row r="82" ht="15.75" customHeight="1">
      <c r="A82" s="35" t="s">
        <v>150</v>
      </c>
      <c r="B82" s="35" t="s">
        <v>54</v>
      </c>
      <c r="C82" s="35" t="s">
        <v>57</v>
      </c>
      <c r="D82" s="35">
        <v>0.0</v>
      </c>
      <c r="E82" s="35">
        <v>0.0</v>
      </c>
      <c r="F82" s="35">
        <v>0.0</v>
      </c>
      <c r="G82" s="35">
        <v>0.0</v>
      </c>
    </row>
    <row r="83" ht="15.75" customHeight="1">
      <c r="A83" s="35" t="s">
        <v>155</v>
      </c>
      <c r="B83" s="35" t="s">
        <v>38</v>
      </c>
      <c r="C83" s="35" t="s">
        <v>18</v>
      </c>
      <c r="D83" s="35">
        <v>0.0</v>
      </c>
      <c r="E83" s="35">
        <v>0.0</v>
      </c>
      <c r="F83" s="35">
        <v>0.0</v>
      </c>
      <c r="G83" s="35">
        <v>0.0</v>
      </c>
    </row>
    <row r="84" ht="15.75" customHeight="1">
      <c r="A84" s="35" t="s">
        <v>161</v>
      </c>
      <c r="B84" s="35" t="s">
        <v>93</v>
      </c>
      <c r="C84" s="35" t="s">
        <v>18</v>
      </c>
      <c r="D84" s="35">
        <v>0.0</v>
      </c>
      <c r="E84" s="35">
        <v>0.0</v>
      </c>
      <c r="F84" s="35">
        <v>0.0</v>
      </c>
      <c r="G84" s="35">
        <v>0.0</v>
      </c>
    </row>
    <row r="85" ht="15.75" customHeight="1">
      <c r="A85" s="35" t="s">
        <v>166</v>
      </c>
      <c r="B85" s="35" t="s">
        <v>17</v>
      </c>
      <c r="C85" s="35" t="s">
        <v>18</v>
      </c>
      <c r="D85" s="35">
        <v>1.0</v>
      </c>
      <c r="E85" s="35">
        <v>1.0</v>
      </c>
      <c r="F85" s="35">
        <v>1.0</v>
      </c>
      <c r="G85" s="35">
        <v>3.0</v>
      </c>
    </row>
    <row r="86" ht="15.75" customHeight="1">
      <c r="A86" s="35" t="s">
        <v>172</v>
      </c>
      <c r="B86" s="35" t="s">
        <v>74</v>
      </c>
      <c r="C86" s="35" t="s">
        <v>57</v>
      </c>
      <c r="D86" s="35">
        <v>0.0</v>
      </c>
      <c r="E86" s="35">
        <v>0.0</v>
      </c>
      <c r="F86" s="35">
        <v>0.0</v>
      </c>
      <c r="G86" s="35">
        <v>0.0</v>
      </c>
    </row>
    <row r="87" ht="15.75" customHeight="1">
      <c r="A87" s="35" t="s">
        <v>177</v>
      </c>
      <c r="B87" s="35" t="s">
        <v>28</v>
      </c>
      <c r="C87" s="35" t="s">
        <v>57</v>
      </c>
      <c r="D87" s="35">
        <v>0.0</v>
      </c>
      <c r="E87" s="35">
        <v>0.0</v>
      </c>
      <c r="F87" s="35">
        <v>0.0</v>
      </c>
      <c r="G87" s="35">
        <v>0.0</v>
      </c>
    </row>
    <row r="88" ht="15.75" customHeight="1">
      <c r="D88" s="64">
        <f t="shared" ref="D88:G88" si="4">sum(D63:D87)</f>
        <v>10</v>
      </c>
      <c r="E88" s="64">
        <f t="shared" si="4"/>
        <v>6</v>
      </c>
      <c r="F88" s="64">
        <f t="shared" si="4"/>
        <v>8</v>
      </c>
      <c r="G88" s="51">
        <f t="shared" si="4"/>
        <v>24</v>
      </c>
    </row>
    <row r="89" ht="15.75" customHeight="1">
      <c r="D89" s="65">
        <f t="shared" ref="D89:F89" si="5">D88/25</f>
        <v>0.4</v>
      </c>
      <c r="E89" s="65">
        <f t="shared" si="5"/>
        <v>0.24</v>
      </c>
      <c r="F89" s="65">
        <f t="shared" si="5"/>
        <v>0.32</v>
      </c>
    </row>
    <row r="90" ht="15.75" customHeight="1"/>
    <row r="91" ht="15.75" customHeight="1"/>
    <row r="92" ht="15.75" customHeight="1"/>
    <row r="93" ht="15.75" customHeight="1"/>
    <row r="94" ht="15.75" customHeight="1">
      <c r="A94" s="66"/>
    </row>
    <row r="95" ht="15.75" customHeight="1">
      <c r="A95" s="66"/>
    </row>
    <row r="96" ht="15.75" customHeight="1">
      <c r="A96" s="66"/>
    </row>
    <row r="97" ht="15.75" customHeight="1">
      <c r="A97" s="66"/>
    </row>
    <row r="98" ht="15.75" customHeight="1">
      <c r="A98" s="66"/>
    </row>
    <row r="99" ht="15.75" customHeight="1">
      <c r="A99" s="66"/>
    </row>
    <row r="100" ht="15.75" customHeight="1">
      <c r="A100" s="66"/>
    </row>
    <row r="101" ht="15.75" customHeight="1">
      <c r="A101" s="66"/>
    </row>
    <row r="102" ht="15.75" customHeight="1">
      <c r="A102" s="66"/>
    </row>
    <row r="103" ht="15.75" customHeight="1">
      <c r="A103" s="66"/>
    </row>
    <row r="104" ht="15.75" customHeight="1">
      <c r="A104" s="66"/>
    </row>
    <row r="105" ht="15.75" customHeight="1">
      <c r="A105" s="66"/>
    </row>
    <row r="106" ht="15.75" customHeight="1">
      <c r="A106" s="66"/>
    </row>
    <row r="107" ht="15.75" customHeight="1">
      <c r="A107" s="66"/>
    </row>
    <row r="108" ht="15.75" customHeight="1">
      <c r="A108" s="66"/>
    </row>
    <row r="109" ht="15.75" customHeight="1">
      <c r="A109" s="66"/>
    </row>
    <row r="110" ht="15.75" customHeight="1">
      <c r="A110" s="66"/>
    </row>
    <row r="111" ht="15.75" customHeight="1">
      <c r="A111" s="66"/>
    </row>
    <row r="112" ht="15.75" customHeight="1">
      <c r="A112" s="66"/>
    </row>
    <row r="113" ht="15.75" customHeight="1">
      <c r="A113" s="66"/>
    </row>
    <row r="114" ht="15.75" customHeight="1">
      <c r="A114" s="66"/>
    </row>
    <row r="115" ht="15.75" customHeight="1">
      <c r="A115" s="66"/>
    </row>
    <row r="116" ht="15.75" customHeight="1">
      <c r="A116" s="66"/>
    </row>
    <row r="117" ht="15.75" customHeight="1">
      <c r="A117" s="66"/>
    </row>
    <row r="118" ht="15.75" customHeight="1">
      <c r="A118" s="66"/>
    </row>
    <row r="119" ht="15.75" customHeight="1">
      <c r="A119" s="66"/>
    </row>
    <row r="120" ht="15.75" customHeight="1">
      <c r="A120" s="66"/>
    </row>
    <row r="121" ht="15.75" customHeight="1">
      <c r="A121" s="66"/>
    </row>
    <row r="122" ht="15.75" customHeight="1">
      <c r="A122" s="66"/>
    </row>
    <row r="123" ht="15.75" customHeight="1">
      <c r="A123" s="6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mergeCells count="7">
    <mergeCell ref="A1:H1"/>
    <mergeCell ref="A2:AL2"/>
    <mergeCell ref="Y25:AC25"/>
    <mergeCell ref="Y31:AC31"/>
    <mergeCell ref="Y39:Z39"/>
    <mergeCell ref="A61:G61"/>
    <mergeCell ref="Y75:AC75"/>
  </mergeCells>
  <conditionalFormatting sqref="D63:D91">
    <cfRule type="cellIs" dxfId="0" priority="1" operator="equal">
      <formula>1</formula>
    </cfRule>
  </conditionalFormatting>
  <conditionalFormatting sqref="D63:D91">
    <cfRule type="cellIs" dxfId="1" priority="2" operator="equal">
      <formula>0</formula>
    </cfRule>
  </conditionalFormatting>
  <conditionalFormatting sqref="E63:E91">
    <cfRule type="cellIs" dxfId="0" priority="3" operator="equal">
      <formula>1</formula>
    </cfRule>
  </conditionalFormatting>
  <conditionalFormatting sqref="E63:E91">
    <cfRule type="cellIs" dxfId="1" priority="4" operator="equal">
      <formula>0</formula>
    </cfRule>
  </conditionalFormatting>
  <conditionalFormatting sqref="F63:F91">
    <cfRule type="cellIs" dxfId="0" priority="5" operator="equal">
      <formula>1</formula>
    </cfRule>
  </conditionalFormatting>
  <conditionalFormatting sqref="F63:F91">
    <cfRule type="cellIs" dxfId="1" priority="6" operator="equal">
      <formula>0</formula>
    </cfRule>
  </conditionalFormatting>
  <conditionalFormatting sqref="G63:G91">
    <cfRule type="cellIs" dxfId="0" priority="7" operator="equal">
      <formula>3</formula>
    </cfRule>
  </conditionalFormatting>
  <conditionalFormatting sqref="G63:G91">
    <cfRule type="cellIs" dxfId="2" priority="8" operator="equal">
      <formula>2</formula>
    </cfRule>
  </conditionalFormatting>
  <conditionalFormatting sqref="G63:G91">
    <cfRule type="cellIs" dxfId="3" priority="9" operator="equal">
      <formula>1</formula>
    </cfRule>
  </conditionalFormatting>
  <conditionalFormatting sqref="G63:G91">
    <cfRule type="cellIs" dxfId="1" priority="10" operator="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4.0" ySplit="2.0" topLeftCell="O3" activePane="bottomRight" state="frozen"/>
      <selection activeCell="O1" sqref="O1" pane="topRight"/>
      <selection activeCell="A3" sqref="A3" pane="bottomLeft"/>
      <selection activeCell="O3" sqref="O3" pane="bottomRight"/>
    </sheetView>
  </sheetViews>
  <sheetFormatPr customHeight="1" defaultColWidth="12.63" defaultRowHeight="15.0"/>
  <cols>
    <col customWidth="1" min="1" max="1" width="18.13"/>
    <col customWidth="1" min="2" max="3" width="10.25"/>
    <col customWidth="1" min="4" max="4" width="2.38"/>
    <col customWidth="1" min="5" max="5" width="18.13"/>
    <col customWidth="1" min="6" max="7" width="10.25"/>
    <col customWidth="1" min="8" max="8" width="2.38"/>
    <col customWidth="1" min="9" max="9" width="28.13"/>
    <col customWidth="1" min="10" max="11" width="10.25"/>
    <col customWidth="1" min="12" max="12" width="12.0"/>
    <col customWidth="1" min="13" max="14" width="0.38"/>
    <col customWidth="1" min="15" max="15" width="11.13"/>
    <col customWidth="1" min="16" max="28" width="7.63"/>
  </cols>
  <sheetData>
    <row r="1" ht="27.75" customHeight="1">
      <c r="A1" s="67" t="s">
        <v>489</v>
      </c>
      <c r="M1" s="68"/>
      <c r="N1" s="68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ht="27.75" customHeight="1">
      <c r="A2" s="70" t="s">
        <v>490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70" t="s">
        <v>491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>
      <c r="A3" s="71" t="s">
        <v>492</v>
      </c>
      <c r="B3" s="72"/>
      <c r="C3" s="73"/>
      <c r="D3" s="74" t="s">
        <v>53</v>
      </c>
      <c r="E3" s="72"/>
      <c r="F3" s="73"/>
      <c r="G3" s="71" t="s">
        <v>493</v>
      </c>
      <c r="H3" s="72"/>
      <c r="I3" s="73"/>
      <c r="J3" s="71" t="s">
        <v>494</v>
      </c>
      <c r="K3" s="72"/>
      <c r="L3" s="73"/>
    </row>
    <row r="4">
      <c r="A4" s="75">
        <f>COUNTA('raw_data_n=2551'!$A$2:$A$2552)</f>
        <v>2551</v>
      </c>
      <c r="B4" s="76"/>
      <c r="C4" s="77"/>
      <c r="D4" s="78">
        <v>11.0</v>
      </c>
      <c r="E4" s="76"/>
      <c r="F4" s="77"/>
      <c r="G4" s="75">
        <f>MEDIAN('raw_data_n=2551'!$S$2:$S$2552)</f>
        <v>1005</v>
      </c>
      <c r="H4" s="76"/>
      <c r="I4" s="77"/>
      <c r="J4" s="75">
        <f>MEDIAN('raw_data_n=2551'!$W$2:$W$2552)</f>
        <v>99491</v>
      </c>
      <c r="K4" s="76"/>
      <c r="L4" s="77"/>
    </row>
    <row r="5">
      <c r="A5" s="79"/>
      <c r="B5" s="80"/>
      <c r="C5" s="81"/>
      <c r="D5" s="79"/>
      <c r="E5" s="80"/>
      <c r="F5" s="81"/>
      <c r="G5" s="79"/>
      <c r="H5" s="80"/>
      <c r="I5" s="81"/>
      <c r="J5" s="79"/>
      <c r="K5" s="80"/>
      <c r="L5" s="81"/>
    </row>
    <row r="6">
      <c r="A6" s="71" t="s">
        <v>495</v>
      </c>
      <c r="B6" s="72"/>
      <c r="C6" s="73"/>
      <c r="D6" s="74"/>
      <c r="E6" s="72"/>
      <c r="F6" s="73"/>
      <c r="G6" s="71"/>
      <c r="H6" s="72"/>
      <c r="I6" s="73"/>
      <c r="J6" s="71"/>
      <c r="K6" s="72"/>
      <c r="L6" s="73"/>
    </row>
    <row r="7">
      <c r="A7" s="75">
        <f>MEDIAN('raw_data_n=2551'!$V$2:$V$2552)</f>
        <v>106</v>
      </c>
      <c r="B7" s="76"/>
      <c r="C7" s="77"/>
      <c r="D7" s="82"/>
      <c r="E7" s="76"/>
      <c r="F7" s="77"/>
      <c r="G7" s="82"/>
      <c r="H7" s="76"/>
      <c r="I7" s="77"/>
      <c r="J7" s="82"/>
      <c r="K7" s="76"/>
      <c r="L7" s="77"/>
    </row>
    <row r="8">
      <c r="A8" s="79"/>
      <c r="B8" s="80"/>
      <c r="C8" s="81"/>
      <c r="D8" s="79"/>
      <c r="E8" s="80"/>
      <c r="F8" s="81"/>
      <c r="G8" s="79"/>
      <c r="H8" s="80"/>
      <c r="I8" s="81"/>
      <c r="J8" s="79"/>
      <c r="K8" s="80"/>
      <c r="L8" s="81"/>
    </row>
    <row r="10">
      <c r="A10" s="83" t="s">
        <v>496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3"/>
    </row>
    <row r="11" ht="25.5" customHeight="1">
      <c r="A11" s="84" t="s">
        <v>497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ht="25.5" customHeight="1">
      <c r="A12" s="85"/>
      <c r="N12" s="86"/>
    </row>
    <row r="13" ht="25.5" customHeight="1">
      <c r="A13" s="85"/>
      <c r="N13" s="86"/>
    </row>
    <row r="14" ht="25.5" customHeight="1">
      <c r="A14" s="85"/>
      <c r="N14" s="86"/>
    </row>
    <row r="15" ht="25.5" customHeight="1">
      <c r="A15" s="85"/>
      <c r="N15" s="86"/>
    </row>
    <row r="16" ht="25.5" customHeight="1">
      <c r="A16" s="85"/>
      <c r="N16" s="86"/>
    </row>
    <row r="17" ht="25.5" customHeight="1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1"/>
    </row>
    <row r="18">
      <c r="A18" s="83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3"/>
    </row>
    <row r="20" ht="15.75" customHeight="1">
      <c r="A20" s="87" t="s">
        <v>498</v>
      </c>
      <c r="B20" s="72"/>
      <c r="C20" s="73"/>
      <c r="E20" s="87" t="s">
        <v>499</v>
      </c>
      <c r="F20" s="72"/>
      <c r="G20" s="73"/>
      <c r="I20" s="87" t="s">
        <v>500</v>
      </c>
      <c r="J20" s="72"/>
      <c r="K20" s="73"/>
    </row>
    <row r="21" ht="15.75" customHeight="1">
      <c r="A21" s="88" t="s">
        <v>44</v>
      </c>
      <c r="B21" s="88" t="s">
        <v>45</v>
      </c>
      <c r="C21" s="88" t="s">
        <v>46</v>
      </c>
      <c r="E21" s="88" t="s">
        <v>44</v>
      </c>
      <c r="F21" s="88" t="s">
        <v>45</v>
      </c>
      <c r="G21" s="88" t="s">
        <v>46</v>
      </c>
      <c r="I21" s="88" t="s">
        <v>44</v>
      </c>
      <c r="J21" s="88" t="s">
        <v>45</v>
      </c>
      <c r="K21" s="88" t="s">
        <v>46</v>
      </c>
    </row>
    <row r="22" ht="15.75" customHeight="1">
      <c r="A22" s="89" t="s">
        <v>17</v>
      </c>
      <c r="B22" s="90">
        <f>COUNTIF('raw_data_n=2551'!$M$2:$M$2552,A22)</f>
        <v>592</v>
      </c>
      <c r="C22" s="91">
        <f>B22/COUNTA('raw_data_n=2551'!$A$2:$A$2552)</f>
        <v>0.2320658565</v>
      </c>
      <c r="E22" s="89" t="s">
        <v>501</v>
      </c>
      <c r="F22" s="90">
        <f>COUNTIF('raw_data_n=2551'!$L$2:$L$2552,"&lt;&gt;")</f>
        <v>2284</v>
      </c>
      <c r="G22" s="91">
        <f>F22/COUNTA('raw_data_n=2551'!$A$2:$A$2552)</f>
        <v>0.8953351627</v>
      </c>
      <c r="I22" s="89" t="s">
        <v>22</v>
      </c>
      <c r="J22" s="90">
        <f>COUNTIF('raw_data_n=2551'!$B$2:$B$2552,I22)</f>
        <v>1796</v>
      </c>
      <c r="K22" s="91">
        <f>J22/COUNTA('raw_data_n=2551'!$A$2:$A$2552)</f>
        <v>0.7040376323</v>
      </c>
    </row>
    <row r="23" ht="15.75" customHeight="1">
      <c r="A23" s="89" t="s">
        <v>93</v>
      </c>
      <c r="B23" s="90">
        <f>COUNTIF('raw_data_n=2551'!$M$2:$M$2552,A23)</f>
        <v>420</v>
      </c>
      <c r="C23" s="91">
        <f>B23/COUNTA('raw_data_n=2551'!$A$2:$A$2552)</f>
        <v>0.1646413171</v>
      </c>
      <c r="E23" s="92" t="s">
        <v>502</v>
      </c>
      <c r="F23" s="90">
        <f>COUNTBLANK('raw_data_n=2551'!$L$2:$L$2552)</f>
        <v>267</v>
      </c>
      <c r="G23" s="91">
        <f>F23/COUNTA('raw_data_n=2551'!$A$2:$A$2552)</f>
        <v>0.1046648373</v>
      </c>
      <c r="I23" s="89" t="s">
        <v>69</v>
      </c>
      <c r="J23" s="90">
        <f>COUNTIF('raw_data_n=2551'!$B$2:$B$2552,I23)</f>
        <v>233</v>
      </c>
      <c r="K23" s="91">
        <f>J23/COUNTA('raw_data_n=2551'!$A$2:$A$2552)</f>
        <v>0.09133673069</v>
      </c>
    </row>
    <row r="24" ht="15.75" customHeight="1">
      <c r="A24" s="89" t="s">
        <v>74</v>
      </c>
      <c r="B24" s="90">
        <f>COUNTIF('raw_data_n=2551'!$M$2:$M$2552,A24)</f>
        <v>414</v>
      </c>
      <c r="C24" s="91">
        <f>B24/COUNTA('raw_data_n=2551'!$A$2:$A$2552)</f>
        <v>0.1622892983</v>
      </c>
      <c r="I24" s="89" t="s">
        <v>101</v>
      </c>
      <c r="J24" s="90">
        <f>COUNTIF('raw_data_n=2551'!$B$2:$B$2552,I24)</f>
        <v>202</v>
      </c>
      <c r="K24" s="91">
        <f>J24/COUNTA('raw_data_n=2551'!$A$2:$A$2552)</f>
        <v>0.07918463348</v>
      </c>
    </row>
    <row r="25" ht="15.75" customHeight="1">
      <c r="A25" s="89" t="s">
        <v>54</v>
      </c>
      <c r="B25" s="90">
        <f>COUNTIF('raw_data_n=2551'!$M$2:$M$2552,A25)</f>
        <v>403</v>
      </c>
      <c r="C25" s="91">
        <f>B25/COUNTA('raw_data_n=2551'!$A$2:$A$2552)</f>
        <v>0.1579772638</v>
      </c>
      <c r="I25" s="89" t="s">
        <v>131</v>
      </c>
      <c r="J25" s="90">
        <f>COUNTIF('raw_data_n=2551'!$B$2:$B$2552,I25)</f>
        <v>175</v>
      </c>
      <c r="K25" s="91">
        <f>J25/COUNTA('raw_data_n=2551'!$A$2:$A$2552)</f>
        <v>0.0686005488</v>
      </c>
    </row>
    <row r="26" ht="15.75" customHeight="1">
      <c r="A26" s="89" t="s">
        <v>105</v>
      </c>
      <c r="B26" s="90">
        <f>COUNTIF('raw_data_n=2551'!$M$2:$M$2552,A26)</f>
        <v>203</v>
      </c>
      <c r="C26" s="91">
        <f>B26/COUNTA('raw_data_n=2551'!$A$2:$A$2552)</f>
        <v>0.07957663661</v>
      </c>
      <c r="I26" s="89" t="s">
        <v>157</v>
      </c>
      <c r="J26" s="90">
        <f>COUNTIF('raw_data_n=2551'!$B$2:$B$2552,I26)</f>
        <v>145</v>
      </c>
      <c r="K26" s="91">
        <f>J26/COUNTA('raw_data_n=2551'!$A$2:$A$2552)</f>
        <v>0.05684045472</v>
      </c>
    </row>
    <row r="27" ht="15.75" customHeight="1">
      <c r="A27" s="89" t="s">
        <v>38</v>
      </c>
      <c r="B27" s="90">
        <f>COUNTIF('raw_data_n=2551'!$M$2:$M$2552,A27)</f>
        <v>152</v>
      </c>
      <c r="C27" s="91">
        <f>B27/COUNTA('raw_data_n=2551'!$A$2:$A$2552)</f>
        <v>0.05958447668</v>
      </c>
    </row>
    <row r="28" ht="15.75" customHeight="1">
      <c r="A28" s="89" t="s">
        <v>503</v>
      </c>
      <c r="B28" s="90">
        <f>COUNTIF('raw_data_n=2551'!$M$2:$M$2552,A28)</f>
        <v>139</v>
      </c>
      <c r="C28" s="91">
        <f>B28/COUNTA('raw_data_n=2551'!$A$2:$A$2552)</f>
        <v>0.05448843591</v>
      </c>
    </row>
    <row r="29" ht="15.75" customHeight="1">
      <c r="A29" s="89" t="s">
        <v>28</v>
      </c>
      <c r="B29" s="90">
        <f>COUNTIF('raw_data_n=2551'!$M$2:$M$2552,A29)</f>
        <v>112</v>
      </c>
      <c r="C29" s="91">
        <f>B29/COUNTA('raw_data_n=2551'!$A$2:$A$2552)</f>
        <v>0.04390435123</v>
      </c>
    </row>
    <row r="30" ht="15.75" customHeight="1">
      <c r="A30" s="89" t="s">
        <v>67</v>
      </c>
      <c r="B30" s="90">
        <f>COUNTIF('raw_data_n=2551'!$M$2:$M$2552,A30)</f>
        <v>108</v>
      </c>
      <c r="C30" s="91">
        <f>B30/COUNTA('raw_data_n=2551'!$A$2:$A$2552)</f>
        <v>0.04233633869</v>
      </c>
    </row>
    <row r="31" ht="15.75" customHeight="1">
      <c r="A31" s="89" t="s">
        <v>504</v>
      </c>
      <c r="B31" s="90">
        <f>COUNTIF('raw_data_n=2551'!$M$2:$M$2552,A31)</f>
        <v>7</v>
      </c>
      <c r="C31" s="91">
        <f>B31/COUNTA('raw_data_n=2551'!$A$2:$A$2552)</f>
        <v>0.002744021952</v>
      </c>
    </row>
    <row r="32" ht="15.75" customHeight="1">
      <c r="A32" s="89" t="s">
        <v>505</v>
      </c>
      <c r="B32" s="90">
        <f>COUNTIF('raw_data_n=2551'!$M$2:$M$2552,A32)</f>
        <v>1</v>
      </c>
      <c r="C32" s="91">
        <f>B32/COUNTA('raw_data_n=2551'!$A$2:$A$2552)</f>
        <v>0.000392003136</v>
      </c>
    </row>
    <row r="33" ht="15.75" customHeight="1"/>
    <row r="34" ht="15.75" customHeight="1"/>
    <row r="35" ht="15.75" customHeight="1">
      <c r="A35" s="87" t="s">
        <v>506</v>
      </c>
      <c r="B35" s="72"/>
      <c r="C35" s="73"/>
      <c r="E35" s="87" t="s">
        <v>507</v>
      </c>
      <c r="F35" s="72"/>
      <c r="G35" s="73"/>
      <c r="I35" s="87" t="s">
        <v>508</v>
      </c>
      <c r="J35" s="72"/>
      <c r="K35" s="73"/>
    </row>
    <row r="36" ht="15.75" customHeight="1">
      <c r="A36" s="88" t="s">
        <v>44</v>
      </c>
      <c r="B36" s="88" t="s">
        <v>45</v>
      </c>
      <c r="C36" s="88" t="s">
        <v>46</v>
      </c>
      <c r="E36" s="88" t="s">
        <v>44</v>
      </c>
      <c r="F36" s="88" t="s">
        <v>45</v>
      </c>
      <c r="G36" s="88" t="s">
        <v>46</v>
      </c>
      <c r="I36" s="88" t="s">
        <v>44</v>
      </c>
      <c r="J36" s="88" t="s">
        <v>45</v>
      </c>
      <c r="K36" s="88" t="s">
        <v>46</v>
      </c>
    </row>
    <row r="37" ht="15.75" customHeight="1">
      <c r="A37" s="89" t="s">
        <v>509</v>
      </c>
      <c r="B37" s="90">
        <f>COUNTIFS('raw_data_n=2551'!$S$2:$S$2552,"&gt;=-1",'raw_data_n=2551'!$S$2:$S$2552,"&lt;=100")</f>
        <v>344</v>
      </c>
      <c r="C37" s="91">
        <f>B37/COUNTA('raw_data_n=2551'!$A$2:$A$2552)</f>
        <v>0.1348490788</v>
      </c>
      <c r="E37" s="89" t="s">
        <v>510</v>
      </c>
      <c r="F37" s="90">
        <f>COUNTIFS('raw_data_n=2551'!$V$2:$V$2552,"&gt;=-1",'raw_data_n=2551'!$V$2:$V$2552,"&lt;=50")</f>
        <v>645</v>
      </c>
      <c r="G37" s="91">
        <f>F37/COUNTA('raw_data_n=2551'!$A$2:$A$2552)</f>
        <v>0.2528420227</v>
      </c>
      <c r="I37" s="89" t="s">
        <v>19</v>
      </c>
      <c r="J37" s="90">
        <f>COUNTIF('raw_data_n=2551'!$F$2:$F$2552,I37)</f>
        <v>2139</v>
      </c>
      <c r="K37" s="91">
        <f>J37/COUNTA('raw_data_n=2551'!$A$2:$A$2552)</f>
        <v>0.838494708</v>
      </c>
    </row>
    <row r="38" ht="15.75" customHeight="1">
      <c r="A38" s="89" t="s">
        <v>511</v>
      </c>
      <c r="B38" s="90">
        <f>COUNTIFS('raw_data_n=2551'!$S$2:$S$2552,"&gt;100",'raw_data_n=2551'!$S$2:$S$2552,"&lt;=1000")</f>
        <v>929</v>
      </c>
      <c r="C38" s="91">
        <f>B38/COUNTA('raw_data_n=2551'!$A$2:$A$2552)</f>
        <v>0.3641709134</v>
      </c>
      <c r="E38" s="89" t="s">
        <v>512</v>
      </c>
      <c r="F38" s="90">
        <f>COUNTIFS('raw_data_n=2551'!$V$2:$V$2552,"&gt;50",'raw_data_n=2551'!$V$2:$V$2552,"&lt;=100")</f>
        <v>576</v>
      </c>
      <c r="G38" s="91">
        <f>F38/COUNTA('raw_data_n=2551'!$A$2:$A$2552)</f>
        <v>0.2257938064</v>
      </c>
      <c r="I38" s="89" t="s">
        <v>88</v>
      </c>
      <c r="J38" s="90">
        <f>COUNTIF('raw_data_n=2551'!$F$2:$F$2552,I38)</f>
        <v>270</v>
      </c>
      <c r="K38" s="91">
        <f>J38/COUNTA('raw_data_n=2551'!$A$2:$A$2552)</f>
        <v>0.1058408467</v>
      </c>
    </row>
    <row r="39" ht="15.75" customHeight="1">
      <c r="A39" s="89" t="s">
        <v>513</v>
      </c>
      <c r="B39" s="90">
        <f>COUNTIFS('raw_data_n=2551'!$S$2:$S$2552,"&gt;1000",'raw_data_n=2551'!$S$2:$S$2552,"&lt;=5000")</f>
        <v>675</v>
      </c>
      <c r="C39" s="91">
        <f>B39/COUNTA('raw_data_n=2551'!$A$2:$A$2552)</f>
        <v>0.2646021168</v>
      </c>
      <c r="E39" s="89" t="s">
        <v>514</v>
      </c>
      <c r="F39" s="90">
        <f>COUNTIFS('raw_data_n=2551'!$V$2:$V$2552,"&gt;100",'raw_data_n=2551'!$V$2:$V$2552,"&lt;=250")</f>
        <v>708</v>
      </c>
      <c r="G39" s="91">
        <f>F39/COUNTA('raw_data_n=2551'!$A$2:$A$2552)</f>
        <v>0.2775382203</v>
      </c>
      <c r="I39" s="89" t="s">
        <v>58</v>
      </c>
      <c r="J39" s="90">
        <f>COUNTIF('raw_data_n=2551'!$F$2:$F$2552,I39)</f>
        <v>128</v>
      </c>
      <c r="K39" s="91">
        <f>J39/COUNTA('raw_data_n=2551'!$A$2:$A$2552)</f>
        <v>0.05017640141</v>
      </c>
    </row>
    <row r="40" ht="15.75" customHeight="1">
      <c r="A40" s="89" t="s">
        <v>515</v>
      </c>
      <c r="B40" s="90">
        <f>COUNTIFS('raw_data_n=2551'!$S$2:$S$2552,"&gt;5000",'raw_data_n=2551'!$S$2:$S$2552,"&lt;=20000")</f>
        <v>376</v>
      </c>
      <c r="C40" s="91">
        <f>B40/COUNTA('raw_data_n=2551'!$A$2:$A$2552)</f>
        <v>0.1473931791</v>
      </c>
      <c r="E40" s="89" t="s">
        <v>516</v>
      </c>
      <c r="F40" s="90">
        <f>COUNTIFS('raw_data_n=2551'!$V$2:$V$2552,"&gt;250",'raw_data_n=2551'!$V$2:$V$2552,"&lt;=500")</f>
        <v>359</v>
      </c>
      <c r="G40" s="91">
        <f>F40/COUNTA('raw_data_n=2551'!$A$2:$A$2552)</f>
        <v>0.1407291258</v>
      </c>
      <c r="I40" s="89" t="s">
        <v>517</v>
      </c>
      <c r="J40" s="90">
        <f>COUNTIF('raw_data_n=2551'!$F$2:$F$2552,I40)</f>
        <v>11</v>
      </c>
      <c r="K40" s="91">
        <f>J40/COUNTA('raw_data_n=2551'!$A$2:$A$2552)</f>
        <v>0.004312034496</v>
      </c>
    </row>
    <row r="41" ht="15.75" customHeight="1">
      <c r="A41" s="89" t="s">
        <v>518</v>
      </c>
      <c r="B41" s="90">
        <f>COUNTIFS('raw_data_n=2551'!$S$2:$S$2552,"&gt;20000")</f>
        <v>227</v>
      </c>
      <c r="C41" s="91">
        <f>B41/COUNTA('raw_data_n=2551'!$A$2:$A$2552)</f>
        <v>0.08898471188</v>
      </c>
      <c r="E41" s="89" t="s">
        <v>519</v>
      </c>
      <c r="F41" s="90">
        <f>COUNTIFS('raw_data_n=2551'!$V$2:$V$2552,"&gt;500",'raw_data_n=2551'!$V$2:$V$2552,"&lt;=1000")</f>
        <v>176</v>
      </c>
      <c r="G41" s="91">
        <f>F41/COUNTA('raw_data_n=2551'!$A$2:$A$2552)</f>
        <v>0.06899255194</v>
      </c>
      <c r="I41" s="89" t="s">
        <v>520</v>
      </c>
      <c r="J41" s="90">
        <f>COUNTIF('raw_data_n=2551'!$F$2:$F$2552,I41)</f>
        <v>3</v>
      </c>
      <c r="K41" s="91">
        <f>J41/COUNTA('raw_data_n=2551'!$A$2:$A$2552)</f>
        <v>0.001176009408</v>
      </c>
    </row>
    <row r="42" ht="15.75" customHeight="1">
      <c r="E42" s="89" t="s">
        <v>521</v>
      </c>
      <c r="F42" s="90">
        <f>COUNTIFS('raw_data_n=2551'!$V$2:$V$2552,"&gt;1000")</f>
        <v>71</v>
      </c>
      <c r="G42" s="91">
        <f>F42/COUNTA('raw_data_n=2551'!$A$2:$A$2552)</f>
        <v>0.02783222266</v>
      </c>
    </row>
    <row r="43" ht="15.75" customHeight="1">
      <c r="E43" s="89" t="s">
        <v>522</v>
      </c>
      <c r="F43" s="90">
        <f>COUNTBLANK('raw_data_n=2551'!$V$2:$V$2552)</f>
        <v>16</v>
      </c>
      <c r="G43" s="91">
        <f>F43/COUNTA('raw_data_n=2551'!$A$2:$A$2552)</f>
        <v>0.006272050176</v>
      </c>
    </row>
    <row r="44" ht="15.75" customHeight="1"/>
    <row r="45" ht="15.75" customHeight="1"/>
    <row r="46" ht="15.75" customHeight="1">
      <c r="A46" s="87" t="s">
        <v>523</v>
      </c>
      <c r="B46" s="72"/>
      <c r="C46" s="73"/>
      <c r="E46" s="87" t="s">
        <v>524</v>
      </c>
      <c r="F46" s="72"/>
      <c r="G46" s="73"/>
      <c r="I46" s="87" t="s">
        <v>525</v>
      </c>
      <c r="J46" s="72"/>
      <c r="K46" s="73"/>
    </row>
    <row r="47" ht="15.75" customHeight="1">
      <c r="A47" s="88" t="s">
        <v>44</v>
      </c>
      <c r="B47" s="88" t="s">
        <v>45</v>
      </c>
      <c r="C47" s="88" t="s">
        <v>46</v>
      </c>
      <c r="E47" s="88" t="s">
        <v>44</v>
      </c>
      <c r="F47" s="88" t="s">
        <v>45</v>
      </c>
      <c r="G47" s="88" t="s">
        <v>46</v>
      </c>
      <c r="I47" s="88" t="s">
        <v>44</v>
      </c>
      <c r="J47" s="88" t="s">
        <v>45</v>
      </c>
      <c r="K47" s="88" t="s">
        <v>46</v>
      </c>
    </row>
    <row r="48" ht="15.75" customHeight="1">
      <c r="A48" s="89" t="s">
        <v>526</v>
      </c>
      <c r="B48" s="90">
        <f>COUNTIFS('raw_data_n=2551'!$W$2:$W$2552,"&gt;=-1",'raw_data_n=2551'!$W$2:$W$2552,"&lt;=10000")</f>
        <v>260</v>
      </c>
      <c r="C48" s="91">
        <f>B48/COUNTA('raw_data_n=2551'!$A$2:$A$2552)</f>
        <v>0.1019208154</v>
      </c>
      <c r="E48" s="89" t="s">
        <v>527</v>
      </c>
      <c r="F48" s="90">
        <f>COUNTIF('raw_data_n=2551'!$Q$2:$Q$2552,E48)</f>
        <v>74</v>
      </c>
      <c r="G48" s="91">
        <f>F48/COUNT('raw_data_n=2551'!$Q$2:$Q$2552)</f>
        <v>0.0291913215</v>
      </c>
      <c r="I48" s="89" t="s">
        <v>21</v>
      </c>
      <c r="J48" s="90">
        <f>COUNTIF('raw_data_n=2551'!$H$2:$H$2552,I48)</f>
        <v>2130</v>
      </c>
      <c r="K48" s="91">
        <f>J48/COUNTA('raw_data_n=2551'!$A$2:$A$2552)</f>
        <v>0.8349666797</v>
      </c>
    </row>
    <row r="49" ht="15.75" customHeight="1">
      <c r="A49" s="89" t="s">
        <v>528</v>
      </c>
      <c r="B49" s="90">
        <f>COUNTIFS('raw_data_n=2551'!$W$2:$W$2552,"&gt;10000",'raw_data_n=2551'!$W$2:$W$2552,"&lt;=50000")</f>
        <v>654</v>
      </c>
      <c r="C49" s="91">
        <f>B49/COUNTA('raw_data_n=2551'!$A$2:$A$2552)</f>
        <v>0.256370051</v>
      </c>
      <c r="E49" s="89" t="s">
        <v>529</v>
      </c>
      <c r="F49" s="90">
        <f>COUNTIF('raw_data_n=2551'!$Q$2:$Q$2552,E49)</f>
        <v>648</v>
      </c>
      <c r="G49" s="91">
        <f>F49/COUNT('raw_data_n=2551'!$Q$2:$Q$2552)</f>
        <v>0.2556213018</v>
      </c>
      <c r="I49" s="89" t="s">
        <v>89</v>
      </c>
      <c r="J49" s="90">
        <f>COUNTIF('raw_data_n=2551'!$H$2:$H$2552,I49)</f>
        <v>262</v>
      </c>
      <c r="K49" s="91">
        <f>J49/COUNTA('raw_data_n=2551'!$A$2:$A$2552)</f>
        <v>0.1027048216</v>
      </c>
    </row>
    <row r="50" ht="15.75" customHeight="1">
      <c r="A50" s="89" t="s">
        <v>530</v>
      </c>
      <c r="B50" s="90">
        <f>COUNTIFS('raw_data_n=2551'!$W$2:$W$2552,"&gt;50000",'raw_data_n=2551'!$W$2:$W$2552,"&lt;=100000")</f>
        <v>363</v>
      </c>
      <c r="C50" s="91">
        <f>B50/COUNTA('raw_data_n=2551'!$A$2:$A$2552)</f>
        <v>0.1422971384</v>
      </c>
      <c r="E50" s="89" t="s">
        <v>531</v>
      </c>
      <c r="F50" s="90">
        <f>COUNTIF('raw_data_n=2551'!$Q$2:$Q$2552,E50)</f>
        <v>1813</v>
      </c>
      <c r="G50" s="91">
        <f>F50/COUNT('raw_data_n=2551'!$Q$2:$Q$2552)</f>
        <v>0.7151873767</v>
      </c>
      <c r="I50" s="89" t="s">
        <v>60</v>
      </c>
      <c r="J50" s="90">
        <f>COUNTIF('raw_data_n=2551'!$H$2:$H$2552,I50)</f>
        <v>94</v>
      </c>
      <c r="K50" s="91">
        <f>J50/COUNTA('raw_data_n=2551'!$A$2:$A$2552)</f>
        <v>0.03684829479</v>
      </c>
    </row>
    <row r="51" ht="15.75" customHeight="1">
      <c r="A51" s="89" t="s">
        <v>532</v>
      </c>
      <c r="B51" s="90">
        <f>COUNTIFS('raw_data_n=2551'!$W$2:$W$2552,"&gt;100000",'raw_data_n=2551'!$W$2:$W$2552,"&lt;=500000")</f>
        <v>836</v>
      </c>
      <c r="C51" s="91">
        <f>B51/COUNTA('raw_data_n=2551'!$A$2:$A$2552)</f>
        <v>0.3277146217</v>
      </c>
      <c r="E51" s="89" t="s">
        <v>533</v>
      </c>
      <c r="F51" s="90">
        <f>COUNTBLANK('raw_data_n=2551'!$Q$2:$Q$2552)</f>
        <v>16</v>
      </c>
      <c r="G51" s="91">
        <f>F51/COUNT('raw_data_n=2551'!$Q$2:$Q$2552)</f>
        <v>0.006311637081</v>
      </c>
      <c r="I51" s="89" t="s">
        <v>77</v>
      </c>
      <c r="J51" s="90">
        <f>COUNTIF('raw_data_n=2551'!$H$2:$H$2552,I51)</f>
        <v>43</v>
      </c>
      <c r="K51" s="91">
        <f>J51/COUNTA('raw_data_n=2551'!$A$2:$A$2552)</f>
        <v>0.01685613485</v>
      </c>
    </row>
    <row r="52" ht="15.75" customHeight="1">
      <c r="A52" s="89" t="s">
        <v>534</v>
      </c>
      <c r="B52" s="90">
        <f>COUNTIFS('raw_data_n=2551'!$W$2:$W$2552,"&gt;500000",'raw_data_n=2551'!$W$2:$W$2552,"&lt;=1000000")</f>
        <v>303</v>
      </c>
      <c r="C52" s="91">
        <f>B52/COUNTA('raw_data_n=2551'!$A$2:$A$2552)</f>
        <v>0.1187769502</v>
      </c>
      <c r="I52" s="89" t="s">
        <v>136</v>
      </c>
      <c r="J52" s="90">
        <f>COUNTIF('raw_data_n=2551'!$H$2:$H$2552,I52)</f>
        <v>11</v>
      </c>
      <c r="K52" s="91">
        <f>J52/COUNTA('raw_data_n=2551'!$A$2:$A$2552)</f>
        <v>0.004312034496</v>
      </c>
    </row>
    <row r="53" ht="15.75" customHeight="1">
      <c r="A53" s="89" t="s">
        <v>535</v>
      </c>
      <c r="B53" s="90">
        <f>COUNTIFS('raw_data_n=2551'!$W$2:$W$2552,"&gt;1000000")</f>
        <v>116</v>
      </c>
      <c r="C53" s="91">
        <f>B53/COUNTA('raw_data_n=2551'!$A$2:$A$2552)</f>
        <v>0.04547236378</v>
      </c>
      <c r="I53" s="89" t="s">
        <v>536</v>
      </c>
      <c r="J53" s="90">
        <f>COUNTIF('raw_data_n=2551'!$H$2:$H$2552,I53)</f>
        <v>7</v>
      </c>
      <c r="K53" s="91">
        <f>J53/COUNTA('raw_data_n=2551'!$A$2:$A$2552)</f>
        <v>0.002744021952</v>
      </c>
    </row>
    <row r="54" ht="15.75" customHeight="1">
      <c r="A54" s="89" t="s">
        <v>522</v>
      </c>
      <c r="B54" s="90">
        <f>COUNTBLANK('raw_data_n=2551'!$W$2:$W$2552)</f>
        <v>19</v>
      </c>
      <c r="C54" s="91">
        <f>B54/COUNTA('raw_data_n=2551'!$A$2:$A$2552)</f>
        <v>0.007448059584</v>
      </c>
      <c r="I54" s="89" t="s">
        <v>537</v>
      </c>
      <c r="J54" s="90">
        <f>COUNTIF('raw_data_n=2551'!$H$2:$H$2552,I54)</f>
        <v>3</v>
      </c>
      <c r="K54" s="91">
        <f>J54/COUNTA('raw_data_n=2551'!$A$2:$A$2552)</f>
        <v>0.001176009408</v>
      </c>
    </row>
    <row r="55" ht="15.75" customHeight="1">
      <c r="I55" s="89" t="s">
        <v>538</v>
      </c>
      <c r="J55" s="90">
        <f>COUNTIF('raw_data_n=2551'!$H$2:$H$2552,I55)</f>
        <v>1</v>
      </c>
      <c r="K55" s="91">
        <f>J55/COUNTA('raw_data_n=2551'!$A$2:$A$2552)</f>
        <v>0.000392003136</v>
      </c>
    </row>
    <row r="56" ht="15.75" customHeight="1"/>
    <row r="57" ht="15.75" customHeight="1"/>
    <row r="58" ht="15.75" customHeight="1">
      <c r="A58" s="87" t="s">
        <v>539</v>
      </c>
      <c r="B58" s="72"/>
      <c r="C58" s="73"/>
      <c r="E58" s="87" t="s">
        <v>540</v>
      </c>
      <c r="F58" s="72"/>
      <c r="G58" s="73"/>
    </row>
    <row r="59" ht="15.75" customHeight="1">
      <c r="A59" s="88" t="s">
        <v>44</v>
      </c>
      <c r="B59" s="88" t="s">
        <v>45</v>
      </c>
      <c r="C59" s="88" t="s">
        <v>46</v>
      </c>
      <c r="E59" s="88" t="s">
        <v>44</v>
      </c>
      <c r="F59" s="88" t="s">
        <v>45</v>
      </c>
      <c r="G59" s="88" t="s">
        <v>46</v>
      </c>
    </row>
    <row r="60" ht="15.75" customHeight="1">
      <c r="A60" s="89" t="s">
        <v>541</v>
      </c>
      <c r="B60" s="90">
        <f>SUMPRODUCT((('raw_data_n=2551'!$T$2:$T$2552/('raw_data_n=2551'!$T$2:$T$2552+'raw_data_n=2551'!$U$2:$U$2552))&lt;=0.5)*1)</f>
        <v>177</v>
      </c>
      <c r="C60" s="91">
        <f>B60/COUNTA('raw_data_n=2551'!$A$2:$A$2552)</f>
        <v>0.06938455508</v>
      </c>
      <c r="E60" s="89" t="s">
        <v>39</v>
      </c>
      <c r="F60" s="90">
        <f>COUNTIF('raw_data_n=2551'!$D$2:$D$2552,E60)</f>
        <v>721</v>
      </c>
      <c r="G60" s="91">
        <f>F60/COUNTA('raw_data_n=2551'!$A$2:$A$2552)</f>
        <v>0.2826342611</v>
      </c>
    </row>
    <row r="61" ht="15.75" customHeight="1">
      <c r="A61" s="89" t="s">
        <v>542</v>
      </c>
      <c r="B61" s="90">
        <f>SUMPRODUCT((('raw_data_n=2551'!$T$2:$T$2552/('raw_data_n=2551'!$T$2:$T$2552+'raw_data_n=2551'!$U$2:$U$2552))&gt;0.5)*(('raw_data_n=2551'!$T$2:$T$2552/('raw_data_n=2551'!$T$2:$T$2552+'raw_data_n=2551'!$U$2:$U$2552))&lt;=0.75)*1)</f>
        <v>234</v>
      </c>
      <c r="C61" s="91">
        <f>B61/COUNTA('raw_data_n=2551'!$A$2:$A$2552)</f>
        <v>0.09172873383</v>
      </c>
      <c r="E61" s="89" t="s">
        <v>59</v>
      </c>
      <c r="F61" s="90">
        <f>COUNTIF('raw_data_n=2551'!$D$2:$D$2552,E61)</f>
        <v>356</v>
      </c>
      <c r="G61" s="91">
        <f>F61/COUNTA('raw_data_n=2551'!$A$2:$A$2552)</f>
        <v>0.1395531164</v>
      </c>
    </row>
    <row r="62" ht="15.75" customHeight="1">
      <c r="A62" s="89" t="s">
        <v>543</v>
      </c>
      <c r="B62" s="90">
        <f>SUMPRODUCT((('raw_data_n=2551'!$T$2:$T$2552/('raw_data_n=2551'!$T$2:$T$2552+'raw_data_n=2551'!$U$2:$U$2552))&gt;0.75)*(('raw_data_n=2551'!$T$2:$T$2552/('raw_data_n=2551'!$T$2:$T$2552+'raw_data_n=2551'!$U$2:$U$2552))&lt;=0.9)*1)</f>
        <v>488</v>
      </c>
      <c r="C62" s="91">
        <f>B62/COUNTA('raw_data_n=2551'!$A$2:$A$2552)</f>
        <v>0.1912975304</v>
      </c>
      <c r="E62" s="89" t="s">
        <v>20</v>
      </c>
      <c r="F62" s="90">
        <f>COUNTIF('raw_data_n=2551'!$D$2:$D$2552,E62)</f>
        <v>270</v>
      </c>
      <c r="G62" s="91">
        <f>F62/COUNTA('raw_data_n=2551'!$A$2:$A$2552)</f>
        <v>0.1058408467</v>
      </c>
    </row>
    <row r="63" ht="15.75" customHeight="1">
      <c r="A63" s="89" t="s">
        <v>544</v>
      </c>
      <c r="B63" s="90">
        <f>SUMPRODUCT((('raw_data_n=2551'!$T$2:$T$2552/('raw_data_n=2551'!$T$2:$T$2552+'raw_data_n=2551'!$U$2:$U$2552))&gt;0.9)*(('raw_data_n=2551'!$T$2:$T$2552/('raw_data_n=2551'!$T$2:$T$2552+'raw_data_n=2551'!$U$2:$U$2552))&lt;=0.97)*1)</f>
        <v>612</v>
      </c>
      <c r="C63" s="91">
        <f>B63/COUNTA('raw_data_n=2551'!$A$2:$A$2552)</f>
        <v>0.2399059192</v>
      </c>
      <c r="E63" s="89" t="s">
        <v>124</v>
      </c>
      <c r="F63" s="90">
        <f>COUNTIF('raw_data_n=2551'!$D$2:$D$2552,E63)</f>
        <v>245</v>
      </c>
      <c r="G63" s="91">
        <f>F63/COUNTA('raw_data_n=2551'!$A$2:$A$2552)</f>
        <v>0.09604076833</v>
      </c>
    </row>
    <row r="64" ht="15.75" customHeight="1">
      <c r="A64" s="89" t="s">
        <v>545</v>
      </c>
      <c r="B64" s="90">
        <f>SUMPRODUCT((('raw_data_n=2551'!$T$2:$T$2552/('raw_data_n=2551'!$T$2:$T$2552+'raw_data_n=2551'!$U$2:$U$2552))&gt;0.97)*(('raw_data_n=2551'!$T$2:$T$2552/('raw_data_n=2551'!$T$2:$T$2552+'raw_data_n=2551'!$U$2:$U$2552))&lt;=0.99)*1)</f>
        <v>455</v>
      </c>
      <c r="C64" s="91">
        <f>B64/COUNTA('raw_data_n=2551'!$A$2:$A$2552)</f>
        <v>0.1783614269</v>
      </c>
      <c r="E64" s="89" t="s">
        <v>29</v>
      </c>
      <c r="F64" s="90">
        <f>COUNTIF('raw_data_n=2551'!$D$2:$D$2552,E64)</f>
        <v>230</v>
      </c>
      <c r="G64" s="91">
        <f>F64/COUNTA('raw_data_n=2551'!$A$2:$A$2552)</f>
        <v>0.09016072129</v>
      </c>
    </row>
    <row r="65" ht="15.75" customHeight="1">
      <c r="A65" s="89" t="s">
        <v>546</v>
      </c>
      <c r="B65" s="90">
        <f>SUMPRODUCT((('raw_data_n=2551'!$T$2:$T$2552/('raw_data_n=2551'!$T$2:$T$2552+'raw_data_n=2551'!$U$2:$U$2552))&gt;0.99)*1)</f>
        <v>585</v>
      </c>
      <c r="C65" s="91">
        <f>B65/COUNTA('raw_data_n=2551'!$A$2:$A$2552)</f>
        <v>0.2293218346</v>
      </c>
      <c r="E65" s="89" t="s">
        <v>168</v>
      </c>
      <c r="F65" s="90">
        <f>COUNTIF('raw_data_n=2551'!$D$2:$D$2552,E65)</f>
        <v>206</v>
      </c>
      <c r="G65" s="91">
        <f>F65/COUNTA('raw_data_n=2551'!$A$2:$A$2552)</f>
        <v>0.08075264602</v>
      </c>
    </row>
    <row r="66" ht="15.75" customHeight="1">
      <c r="E66" s="89" t="s">
        <v>130</v>
      </c>
      <c r="F66" s="90">
        <f>COUNTIF('raw_data_n=2551'!$D$2:$D$2552,E66)</f>
        <v>183</v>
      </c>
      <c r="G66" s="91">
        <f>F66/COUNTA('raw_data_n=2551'!$A$2:$A$2552)</f>
        <v>0.07173657389</v>
      </c>
    </row>
    <row r="67" ht="15.75" customHeight="1">
      <c r="E67" s="89" t="s">
        <v>68</v>
      </c>
      <c r="F67" s="90">
        <f>COUNTIF('raw_data_n=2551'!$D$2:$D$2552,E67)</f>
        <v>117</v>
      </c>
      <c r="G67" s="91">
        <f>F67/COUNTA('raw_data_n=2551'!$A$2:$A$2552)</f>
        <v>0.04586436691</v>
      </c>
    </row>
    <row r="68" ht="15.75" customHeight="1">
      <c r="E68" s="89" t="s">
        <v>49</v>
      </c>
      <c r="F68" s="90">
        <f>COUNTIF('raw_data_n=2551'!$D$2:$D$2552,E68)</f>
        <v>113</v>
      </c>
      <c r="G68" s="91">
        <f>F68/COUNTA('raw_data_n=2551'!$A$2:$A$2552)</f>
        <v>0.04429635437</v>
      </c>
    </row>
    <row r="69" ht="15.75" customHeight="1">
      <c r="E69" s="89" t="s">
        <v>547</v>
      </c>
      <c r="F69" s="90">
        <f>COUNTIF('raw_data_n=2551'!$D$2:$D$2552,E69)</f>
        <v>79</v>
      </c>
      <c r="G69" s="91">
        <f>F69/COUNTA('raw_data_n=2551'!$A$2:$A$2552)</f>
        <v>0.03096824775</v>
      </c>
    </row>
    <row r="70" ht="15.75" customHeight="1">
      <c r="E70" s="89" t="s">
        <v>548</v>
      </c>
      <c r="F70" s="90">
        <f>COUNTIF('raw_data_n=2551'!$D$2:$D$2552,E70)</f>
        <v>31</v>
      </c>
      <c r="G70" s="91">
        <f>F70/COUNTA('raw_data_n=2551'!$A$2:$A$2552)</f>
        <v>0.01215209722</v>
      </c>
    </row>
    <row r="71" ht="15.75" customHeight="1"/>
    <row r="72" ht="15.75" customHeight="1"/>
    <row r="73" ht="15.75" customHeight="1"/>
    <row r="74" ht="15.75" customHeight="1"/>
    <row r="75" ht="15.75" customHeight="1">
      <c r="A75" s="87" t="s">
        <v>549</v>
      </c>
      <c r="B75" s="72"/>
      <c r="C75" s="72"/>
      <c r="D75" s="73"/>
      <c r="G75" s="87" t="s">
        <v>550</v>
      </c>
      <c r="H75" s="72"/>
      <c r="I75" s="72"/>
      <c r="J75" s="72"/>
      <c r="K75" s="73"/>
    </row>
    <row r="76" ht="15.75" customHeight="1">
      <c r="A76" s="88" t="s">
        <v>44</v>
      </c>
      <c r="B76" s="88" t="s">
        <v>527</v>
      </c>
      <c r="C76" s="88" t="s">
        <v>529</v>
      </c>
      <c r="D76" s="88" t="s">
        <v>531</v>
      </c>
      <c r="G76" s="88" t="s">
        <v>44</v>
      </c>
      <c r="H76" s="88" t="s">
        <v>19</v>
      </c>
      <c r="I76" s="88" t="s">
        <v>88</v>
      </c>
      <c r="J76" s="88" t="s">
        <v>58</v>
      </c>
      <c r="K76" s="88" t="s">
        <v>551</v>
      </c>
    </row>
    <row r="77" ht="15.75" customHeight="1">
      <c r="A77" s="89" t="s">
        <v>17</v>
      </c>
      <c r="B77" s="93">
        <v>23.0</v>
      </c>
      <c r="C77" s="93">
        <v>210.0</v>
      </c>
      <c r="D77" s="93">
        <v>359.0</v>
      </c>
      <c r="G77" s="89" t="s">
        <v>39</v>
      </c>
      <c r="H77" s="93">
        <v>620.0</v>
      </c>
      <c r="I77" s="93">
        <v>74.0</v>
      </c>
      <c r="J77" s="93">
        <v>24.0</v>
      </c>
      <c r="K77" s="93">
        <v>3.0</v>
      </c>
    </row>
    <row r="78" ht="15.75" customHeight="1">
      <c r="A78" s="89" t="s">
        <v>93</v>
      </c>
      <c r="B78" s="93">
        <v>14.0</v>
      </c>
      <c r="C78" s="93">
        <v>73.0</v>
      </c>
      <c r="D78" s="93">
        <v>332.0</v>
      </c>
      <c r="G78" s="89" t="s">
        <v>59</v>
      </c>
      <c r="H78" s="93">
        <v>295.0</v>
      </c>
      <c r="I78" s="93">
        <v>30.0</v>
      </c>
      <c r="J78" s="93">
        <v>30.0</v>
      </c>
      <c r="K78" s="93">
        <v>1.0</v>
      </c>
    </row>
    <row r="79" ht="15.75" customHeight="1">
      <c r="A79" s="89" t="s">
        <v>74</v>
      </c>
      <c r="B79" s="93">
        <v>5.0</v>
      </c>
      <c r="C79" s="93">
        <v>93.0</v>
      </c>
      <c r="D79" s="93">
        <v>305.0</v>
      </c>
      <c r="G79" s="89" t="s">
        <v>20</v>
      </c>
      <c r="H79" s="93">
        <v>234.0</v>
      </c>
      <c r="I79" s="93">
        <v>27.0</v>
      </c>
      <c r="J79" s="93">
        <v>8.0</v>
      </c>
      <c r="K79" s="93">
        <v>1.0</v>
      </c>
    </row>
    <row r="80" ht="15.75" customHeight="1">
      <c r="A80" s="89" t="s">
        <v>54</v>
      </c>
      <c r="B80" s="93">
        <v>18.0</v>
      </c>
      <c r="C80" s="93">
        <v>101.0</v>
      </c>
      <c r="D80" s="93">
        <v>282.0</v>
      </c>
      <c r="G80" s="89" t="s">
        <v>124</v>
      </c>
      <c r="H80" s="93">
        <v>203.0</v>
      </c>
      <c r="I80" s="93">
        <v>28.0</v>
      </c>
      <c r="J80" s="93">
        <v>12.0</v>
      </c>
      <c r="K80" s="93">
        <v>2.0</v>
      </c>
    </row>
    <row r="81" ht="15.75" customHeight="1">
      <c r="A81" s="89" t="s">
        <v>105</v>
      </c>
      <c r="B81" s="93">
        <v>4.0</v>
      </c>
      <c r="C81" s="93">
        <v>45.0</v>
      </c>
      <c r="D81" s="93">
        <v>154.0</v>
      </c>
      <c r="G81" s="89" t="s">
        <v>29</v>
      </c>
      <c r="H81" s="93">
        <v>177.0</v>
      </c>
      <c r="I81" s="93">
        <v>36.0</v>
      </c>
      <c r="J81" s="93">
        <v>16.0</v>
      </c>
      <c r="K81" s="93">
        <v>1.0</v>
      </c>
    </row>
    <row r="82" ht="15.75" customHeight="1">
      <c r="A82" s="89" t="s">
        <v>38</v>
      </c>
      <c r="B82" s="93">
        <v>3.0</v>
      </c>
      <c r="C82" s="93">
        <v>39.0</v>
      </c>
      <c r="D82" s="93">
        <v>110.0</v>
      </c>
      <c r="G82" s="89" t="s">
        <v>168</v>
      </c>
      <c r="H82" s="93">
        <v>177.0</v>
      </c>
      <c r="I82" s="93">
        <v>21.0</v>
      </c>
      <c r="J82" s="93">
        <v>7.0</v>
      </c>
      <c r="K82" s="93">
        <v>1.0</v>
      </c>
    </row>
    <row r="83" ht="15.75" customHeight="1"/>
    <row r="84" ht="15.75" customHeight="1"/>
    <row r="85" ht="15.75" customHeight="1"/>
    <row r="86" ht="15.75" customHeight="1">
      <c r="A86" s="87" t="s">
        <v>552</v>
      </c>
      <c r="B86" s="72"/>
      <c r="C86" s="72"/>
      <c r="D86" s="73"/>
      <c r="G86" s="87" t="s">
        <v>553</v>
      </c>
      <c r="H86" s="72"/>
      <c r="I86" s="72"/>
      <c r="J86" s="73"/>
    </row>
    <row r="87" ht="15.75" customHeight="1">
      <c r="A87" s="88" t="s">
        <v>44</v>
      </c>
      <c r="B87" s="88" t="s">
        <v>527</v>
      </c>
      <c r="C87" s="88" t="s">
        <v>529</v>
      </c>
      <c r="D87" s="88" t="s">
        <v>531</v>
      </c>
      <c r="G87" s="88" t="s">
        <v>44</v>
      </c>
      <c r="H87" s="88" t="s">
        <v>527</v>
      </c>
      <c r="I87" s="88" t="s">
        <v>529</v>
      </c>
      <c r="J87" s="88" t="s">
        <v>531</v>
      </c>
    </row>
    <row r="88" ht="15.75" customHeight="1">
      <c r="A88" s="89" t="s">
        <v>22</v>
      </c>
      <c r="B88" s="93">
        <v>66.0</v>
      </c>
      <c r="C88" s="93">
        <v>498.0</v>
      </c>
      <c r="D88" s="93">
        <v>1230.0</v>
      </c>
      <c r="G88" s="89" t="s">
        <v>21</v>
      </c>
      <c r="H88" s="93">
        <v>67.0</v>
      </c>
      <c r="I88" s="93">
        <v>531.0</v>
      </c>
      <c r="J88" s="93">
        <v>1520.0</v>
      </c>
    </row>
    <row r="89" ht="15.75" customHeight="1">
      <c r="A89" s="89" t="s">
        <v>69</v>
      </c>
      <c r="B89" s="93">
        <v>0.0</v>
      </c>
      <c r="C89" s="93">
        <v>51.0</v>
      </c>
      <c r="D89" s="93">
        <v>180.0</v>
      </c>
      <c r="G89" s="89" t="s">
        <v>89</v>
      </c>
      <c r="H89" s="93">
        <v>5.0</v>
      </c>
      <c r="I89" s="93">
        <v>86.0</v>
      </c>
      <c r="J89" s="93">
        <v>169.0</v>
      </c>
    </row>
    <row r="90" ht="15.75" customHeight="1">
      <c r="A90" s="89" t="s">
        <v>101</v>
      </c>
      <c r="B90" s="93">
        <v>1.0</v>
      </c>
      <c r="C90" s="93">
        <v>26.0</v>
      </c>
      <c r="D90" s="93">
        <v>166.0</v>
      </c>
      <c r="G90" s="89" t="s">
        <v>60</v>
      </c>
      <c r="H90" s="93">
        <v>2.0</v>
      </c>
      <c r="I90" s="93">
        <v>15.0</v>
      </c>
      <c r="J90" s="93">
        <v>75.0</v>
      </c>
    </row>
    <row r="91" ht="15.75" customHeight="1">
      <c r="A91" s="89" t="s">
        <v>131</v>
      </c>
      <c r="B91" s="93">
        <v>3.0</v>
      </c>
      <c r="C91" s="93">
        <v>24.0</v>
      </c>
      <c r="D91" s="93">
        <v>145.0</v>
      </c>
      <c r="G91" s="89" t="s">
        <v>77</v>
      </c>
      <c r="H91" s="93">
        <v>0.0</v>
      </c>
      <c r="I91" s="93">
        <v>10.0</v>
      </c>
      <c r="J91" s="93">
        <v>33.0</v>
      </c>
    </row>
    <row r="92" ht="15.75" customHeight="1">
      <c r="A92" s="89" t="s">
        <v>157</v>
      </c>
      <c r="B92" s="93">
        <v>4.0</v>
      </c>
      <c r="C92" s="93">
        <v>49.0</v>
      </c>
      <c r="D92" s="93">
        <v>92.0</v>
      </c>
      <c r="G92" s="89" t="s">
        <v>136</v>
      </c>
      <c r="H92" s="93">
        <v>0.0</v>
      </c>
      <c r="I92" s="93">
        <v>3.0</v>
      </c>
      <c r="J92" s="93">
        <v>8.0</v>
      </c>
    </row>
    <row r="93" ht="15.75" customHeight="1">
      <c r="G93" s="89" t="s">
        <v>536</v>
      </c>
      <c r="H93" s="93">
        <v>0.0</v>
      </c>
      <c r="I93" s="93">
        <v>1.0</v>
      </c>
      <c r="J93" s="93">
        <v>6.0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7">
    <mergeCell ref="A1:L1"/>
    <mergeCell ref="A2:N2"/>
    <mergeCell ref="O2:AB2"/>
    <mergeCell ref="A3:C3"/>
    <mergeCell ref="D3:F3"/>
    <mergeCell ref="G3:I3"/>
    <mergeCell ref="J3:L3"/>
    <mergeCell ref="A4:C5"/>
    <mergeCell ref="D4:F5"/>
    <mergeCell ref="G4:I5"/>
    <mergeCell ref="J4:L5"/>
    <mergeCell ref="D6:F6"/>
    <mergeCell ref="G6:I6"/>
    <mergeCell ref="J6:L6"/>
    <mergeCell ref="A6:C6"/>
    <mergeCell ref="A7:C8"/>
    <mergeCell ref="D7:F8"/>
    <mergeCell ref="G7:I8"/>
    <mergeCell ref="J7:L8"/>
    <mergeCell ref="A10:N10"/>
    <mergeCell ref="A11:N17"/>
    <mergeCell ref="A18:N18"/>
    <mergeCell ref="A20:C20"/>
    <mergeCell ref="E20:G20"/>
    <mergeCell ref="I20:K20"/>
    <mergeCell ref="A35:C35"/>
    <mergeCell ref="E35:G35"/>
    <mergeCell ref="I35:K35"/>
    <mergeCell ref="A86:D86"/>
    <mergeCell ref="G86:J86"/>
    <mergeCell ref="A46:C46"/>
    <mergeCell ref="E46:G46"/>
    <mergeCell ref="I46:K46"/>
    <mergeCell ref="A58:C58"/>
    <mergeCell ref="E58:G58"/>
    <mergeCell ref="A75:D75"/>
    <mergeCell ref="G75:K75"/>
  </mergeCells>
  <conditionalFormatting sqref="B77:D83">
    <cfRule type="colorScale" priority="1">
      <colorScale>
        <cfvo type="min" val="0"/>
        <cfvo type="percentile" val="50"/>
        <cfvo type="max" val="0"/>
        <color rgb="FFF6F9FC"/>
        <color rgb="FFA6D4C7"/>
        <color rgb="FF1F4E79"/>
      </colorScale>
    </cfRule>
  </conditionalFormatting>
  <conditionalFormatting sqref="B88:D93">
    <cfRule type="colorScale" priority="2">
      <colorScale>
        <cfvo type="min" val="0"/>
        <cfvo type="percentile" val="50"/>
        <cfvo type="max" val="0"/>
        <color rgb="FFF6F9FC"/>
        <color rgb="FFA6D4C7"/>
        <color rgb="FF1F4E79"/>
      </colorScale>
    </cfRule>
  </conditionalFormatting>
  <conditionalFormatting sqref="H77:K83">
    <cfRule type="colorScale" priority="3">
      <colorScale>
        <cfvo type="min" val="0"/>
        <cfvo type="percentile" val="50"/>
        <cfvo type="max" val="0"/>
        <color rgb="FFF6F9FC"/>
        <color rgb="FFA6D4C7"/>
        <color rgb="FF1F4E79"/>
      </colorScale>
    </cfRule>
  </conditionalFormatting>
  <conditionalFormatting sqref="H88:J94">
    <cfRule type="colorScale" priority="4">
      <colorScale>
        <cfvo type="min" val="0"/>
        <cfvo type="percentile" val="50"/>
        <cfvo type="max" val="0"/>
        <color rgb="FFF6F9FC"/>
        <color rgb="FFA6D4C7"/>
        <color rgb="FF1F4E79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5.13"/>
    <col customWidth="1" min="4" max="4" width="16.38"/>
    <col customWidth="1" min="5" max="5" width="19.88"/>
    <col customWidth="1" min="6" max="6" width="16.38"/>
    <col customWidth="1" min="7" max="7" width="19.88"/>
    <col customWidth="1" min="8" max="8" width="16.38"/>
    <col customWidth="1" min="9" max="9" width="19.88"/>
    <col customWidth="1" min="10" max="10" width="11.13"/>
    <col customWidth="1" min="11" max="11" width="25.13"/>
    <col customWidth="1" min="12" max="12" width="26.88"/>
    <col customWidth="1" min="13" max="13" width="11.13"/>
    <col customWidth="1" min="14" max="14" width="18.13"/>
    <col customWidth="1" min="15" max="15" width="25.13"/>
    <col customWidth="1" min="16" max="16" width="12.88"/>
    <col customWidth="1" min="17" max="21" width="11.13"/>
    <col customWidth="1" min="22" max="22" width="20.25"/>
    <col customWidth="1" min="23" max="23" width="12.88"/>
  </cols>
  <sheetData>
    <row r="1">
      <c r="A1" s="94" t="s">
        <v>0</v>
      </c>
      <c r="B1" s="94" t="s">
        <v>7</v>
      </c>
      <c r="C1" s="94" t="s">
        <v>13</v>
      </c>
      <c r="D1" s="94" t="s">
        <v>5</v>
      </c>
      <c r="E1" s="94" t="s">
        <v>554</v>
      </c>
      <c r="F1" s="94" t="s">
        <v>4</v>
      </c>
      <c r="G1" s="94" t="s">
        <v>555</v>
      </c>
      <c r="H1" s="94" t="s">
        <v>6</v>
      </c>
      <c r="I1" s="94" t="s">
        <v>556</v>
      </c>
      <c r="J1" s="94" t="s">
        <v>557</v>
      </c>
      <c r="K1" s="94" t="s">
        <v>12</v>
      </c>
      <c r="L1" s="94" t="s">
        <v>11</v>
      </c>
      <c r="M1" s="94" t="s">
        <v>2</v>
      </c>
      <c r="N1" s="94" t="s">
        <v>558</v>
      </c>
      <c r="O1" s="94" t="s">
        <v>1</v>
      </c>
      <c r="P1" s="94" t="s">
        <v>559</v>
      </c>
      <c r="Q1" s="94" t="s">
        <v>560</v>
      </c>
      <c r="R1" s="94" t="s">
        <v>10</v>
      </c>
      <c r="S1" s="94" t="s">
        <v>8</v>
      </c>
      <c r="T1" s="94" t="s">
        <v>561</v>
      </c>
      <c r="U1" s="94" t="s">
        <v>562</v>
      </c>
      <c r="V1" s="94" t="s">
        <v>563</v>
      </c>
      <c r="W1" s="94" t="s">
        <v>564</v>
      </c>
    </row>
    <row r="2">
      <c r="A2" s="95" t="s">
        <v>565</v>
      </c>
      <c r="B2" s="95" t="s">
        <v>22</v>
      </c>
      <c r="C2" s="96" t="s">
        <v>566</v>
      </c>
      <c r="D2" s="95" t="s">
        <v>39</v>
      </c>
      <c r="E2" s="95" t="s">
        <v>39</v>
      </c>
      <c r="F2" s="95" t="s">
        <v>19</v>
      </c>
      <c r="G2" s="95" t="s">
        <v>19</v>
      </c>
      <c r="H2" s="95" t="s">
        <v>21</v>
      </c>
      <c r="I2" s="95" t="s">
        <v>567</v>
      </c>
      <c r="J2" s="97">
        <v>46021.50510549769</v>
      </c>
      <c r="K2" s="95" t="s">
        <v>568</v>
      </c>
      <c r="L2" s="96" t="s">
        <v>569</v>
      </c>
      <c r="M2" s="95" t="s">
        <v>38</v>
      </c>
      <c r="N2" s="95" t="s">
        <v>570</v>
      </c>
      <c r="O2" s="95" t="s">
        <v>570</v>
      </c>
      <c r="P2" s="95" t="s">
        <v>571</v>
      </c>
      <c r="Q2" s="98">
        <v>3.0</v>
      </c>
      <c r="R2" s="97">
        <v>45649.01813657407</v>
      </c>
      <c r="S2" s="99">
        <v>181.0</v>
      </c>
      <c r="T2" s="99">
        <v>19.0</v>
      </c>
      <c r="U2" s="99">
        <v>10.0</v>
      </c>
      <c r="V2" s="99">
        <v>1859.0</v>
      </c>
      <c r="W2" s="99">
        <v>14096.0</v>
      </c>
    </row>
    <row r="3">
      <c r="A3" s="95" t="s">
        <v>572</v>
      </c>
      <c r="B3" s="95" t="s">
        <v>22</v>
      </c>
      <c r="C3" s="96" t="s">
        <v>573</v>
      </c>
      <c r="D3" s="95" t="s">
        <v>49</v>
      </c>
      <c r="E3" s="95" t="s">
        <v>49</v>
      </c>
      <c r="F3" s="95" t="s">
        <v>19</v>
      </c>
      <c r="G3" s="95" t="s">
        <v>574</v>
      </c>
      <c r="H3" s="95" t="s">
        <v>21</v>
      </c>
      <c r="I3" s="95" t="s">
        <v>567</v>
      </c>
      <c r="J3" s="97">
        <v>45996.65484809028</v>
      </c>
      <c r="K3" s="96" t="s">
        <v>575</v>
      </c>
      <c r="L3" s="96" t="s">
        <v>576</v>
      </c>
      <c r="M3" s="95" t="s">
        <v>38</v>
      </c>
      <c r="N3" s="95" t="s">
        <v>577</v>
      </c>
      <c r="O3" s="95" t="s">
        <v>577</v>
      </c>
      <c r="P3" s="95" t="s">
        <v>578</v>
      </c>
      <c r="Q3" s="98">
        <v>3.0</v>
      </c>
      <c r="R3" s="97">
        <v>45825.83288194444</v>
      </c>
      <c r="S3" s="99">
        <v>95.0</v>
      </c>
      <c r="T3" s="99">
        <v>359.0</v>
      </c>
      <c r="U3" s="99">
        <v>6.0</v>
      </c>
      <c r="V3" s="99">
        <v>101.0</v>
      </c>
      <c r="W3" s="99">
        <v>60795.0</v>
      </c>
    </row>
    <row r="4">
      <c r="A4" s="95" t="s">
        <v>579</v>
      </c>
      <c r="B4" s="95" t="s">
        <v>22</v>
      </c>
      <c r="C4" s="96" t="s">
        <v>580</v>
      </c>
      <c r="D4" s="95" t="s">
        <v>49</v>
      </c>
      <c r="E4" s="95" t="s">
        <v>581</v>
      </c>
      <c r="F4" s="95" t="s">
        <v>19</v>
      </c>
      <c r="G4" s="95" t="s">
        <v>19</v>
      </c>
      <c r="H4" s="95" t="s">
        <v>21</v>
      </c>
      <c r="I4" s="95" t="s">
        <v>567</v>
      </c>
      <c r="J4" s="97">
        <v>45994.72077487269</v>
      </c>
      <c r="K4" s="96" t="s">
        <v>582</v>
      </c>
      <c r="L4" s="96" t="s">
        <v>583</v>
      </c>
      <c r="M4" s="95" t="s">
        <v>38</v>
      </c>
      <c r="N4" s="95" t="s">
        <v>48</v>
      </c>
      <c r="O4" s="95" t="s">
        <v>48</v>
      </c>
      <c r="P4" s="95" t="s">
        <v>584</v>
      </c>
      <c r="Q4" s="98">
        <v>3.0</v>
      </c>
      <c r="R4" s="97">
        <v>45868.23640046296</v>
      </c>
      <c r="S4" s="99">
        <v>705.0</v>
      </c>
      <c r="T4" s="99">
        <v>2167.0</v>
      </c>
      <c r="U4" s="99">
        <v>9.0</v>
      </c>
      <c r="V4" s="99">
        <v>100.0</v>
      </c>
      <c r="W4" s="99">
        <v>102459.0</v>
      </c>
    </row>
    <row r="5">
      <c r="A5" s="95" t="s">
        <v>585</v>
      </c>
      <c r="B5" s="95" t="s">
        <v>22</v>
      </c>
      <c r="C5" s="96" t="s">
        <v>586</v>
      </c>
      <c r="D5" s="95" t="s">
        <v>49</v>
      </c>
      <c r="E5" s="95" t="s">
        <v>587</v>
      </c>
      <c r="F5" s="95" t="s">
        <v>19</v>
      </c>
      <c r="G5" s="95" t="s">
        <v>588</v>
      </c>
      <c r="H5" s="95" t="s">
        <v>21</v>
      </c>
      <c r="I5" s="95" t="s">
        <v>589</v>
      </c>
      <c r="J5" s="97">
        <v>45989.86453453704</v>
      </c>
      <c r="K5" s="95" t="s">
        <v>590</v>
      </c>
      <c r="L5" s="96" t="s">
        <v>591</v>
      </c>
      <c r="M5" s="95" t="s">
        <v>38</v>
      </c>
      <c r="N5" s="95" t="s">
        <v>48</v>
      </c>
      <c r="O5" s="95" t="s">
        <v>48</v>
      </c>
      <c r="P5" s="95" t="s">
        <v>584</v>
      </c>
      <c r="Q5" s="98">
        <v>3.0</v>
      </c>
      <c r="R5" s="97">
        <v>45846.64581018518</v>
      </c>
      <c r="S5" s="99">
        <v>705.0</v>
      </c>
      <c r="T5" s="99">
        <v>112.0</v>
      </c>
      <c r="U5" s="99">
        <v>1.0</v>
      </c>
      <c r="V5" s="99">
        <v>19.0</v>
      </c>
      <c r="W5" s="99">
        <v>102459.0</v>
      </c>
    </row>
    <row r="6">
      <c r="A6" s="95" t="s">
        <v>592</v>
      </c>
      <c r="B6" s="95" t="s">
        <v>22</v>
      </c>
      <c r="C6" s="96" t="s">
        <v>593</v>
      </c>
      <c r="D6" s="95" t="s">
        <v>49</v>
      </c>
      <c r="E6" s="95" t="s">
        <v>581</v>
      </c>
      <c r="F6" s="95" t="s">
        <v>19</v>
      </c>
      <c r="G6" s="95" t="s">
        <v>19</v>
      </c>
      <c r="H6" s="95" t="s">
        <v>21</v>
      </c>
      <c r="I6" s="95" t="s">
        <v>567</v>
      </c>
      <c r="J6" s="97">
        <v>45994.72248325231</v>
      </c>
      <c r="K6" s="95" t="s">
        <v>594</v>
      </c>
      <c r="L6" s="96" t="s">
        <v>595</v>
      </c>
      <c r="M6" s="95" t="s">
        <v>38</v>
      </c>
      <c r="N6" s="95" t="s">
        <v>48</v>
      </c>
      <c r="O6" s="95" t="s">
        <v>48</v>
      </c>
      <c r="P6" s="95" t="s">
        <v>584</v>
      </c>
      <c r="Q6" s="98">
        <v>3.0</v>
      </c>
      <c r="R6" s="97">
        <v>45860.83983796297</v>
      </c>
      <c r="S6" s="99">
        <v>705.0</v>
      </c>
      <c r="T6" s="99">
        <v>1646.0</v>
      </c>
      <c r="U6" s="99">
        <v>2.0</v>
      </c>
      <c r="V6" s="99">
        <v>303.0</v>
      </c>
      <c r="W6" s="99">
        <v>102459.0</v>
      </c>
    </row>
    <row r="7">
      <c r="A7" s="95" t="s">
        <v>596</v>
      </c>
      <c r="B7" s="95" t="s">
        <v>69</v>
      </c>
      <c r="C7" s="96" t="s">
        <v>597</v>
      </c>
      <c r="D7" s="95" t="s">
        <v>29</v>
      </c>
      <c r="E7" s="95" t="s">
        <v>598</v>
      </c>
      <c r="F7" s="95" t="s">
        <v>58</v>
      </c>
      <c r="G7" s="95" t="s">
        <v>58</v>
      </c>
      <c r="H7" s="95" t="s">
        <v>77</v>
      </c>
      <c r="I7" s="95" t="s">
        <v>599</v>
      </c>
      <c r="J7" s="97">
        <v>46021.50930244213</v>
      </c>
      <c r="K7" s="95" t="s">
        <v>600</v>
      </c>
      <c r="L7" s="96" t="s">
        <v>601</v>
      </c>
      <c r="M7" s="95" t="s">
        <v>503</v>
      </c>
      <c r="N7" s="95" t="s">
        <v>602</v>
      </c>
      <c r="O7" s="95" t="s">
        <v>602</v>
      </c>
      <c r="P7" s="95" t="s">
        <v>603</v>
      </c>
      <c r="Q7" s="98">
        <v>3.0</v>
      </c>
      <c r="R7" s="97">
        <v>45874.91850694444</v>
      </c>
      <c r="S7" s="99">
        <v>1409.0</v>
      </c>
      <c r="T7" s="99">
        <v>321.0</v>
      </c>
      <c r="U7" s="99">
        <v>35.0</v>
      </c>
      <c r="V7" s="99">
        <v>331.0</v>
      </c>
      <c r="W7" s="99">
        <v>7744.0</v>
      </c>
    </row>
    <row r="8">
      <c r="A8" s="95" t="s">
        <v>604</v>
      </c>
      <c r="B8" s="95" t="s">
        <v>101</v>
      </c>
      <c r="C8" s="96" t="s">
        <v>605</v>
      </c>
      <c r="D8" s="95" t="s">
        <v>168</v>
      </c>
      <c r="E8" s="95" t="s">
        <v>606</v>
      </c>
      <c r="F8" s="95" t="s">
        <v>19</v>
      </c>
      <c r="G8" s="95" t="s">
        <v>19</v>
      </c>
      <c r="H8" s="95" t="s">
        <v>21</v>
      </c>
      <c r="I8" s="95" t="s">
        <v>607</v>
      </c>
      <c r="J8" s="97">
        <v>46021.49354603009</v>
      </c>
      <c r="K8" s="95" t="s">
        <v>608</v>
      </c>
      <c r="L8" s="96" t="s">
        <v>609</v>
      </c>
      <c r="M8" s="95" t="s">
        <v>105</v>
      </c>
      <c r="N8" s="95" t="s">
        <v>610</v>
      </c>
      <c r="O8" s="95" t="s">
        <v>610</v>
      </c>
      <c r="P8" s="95" t="s">
        <v>611</v>
      </c>
      <c r="Q8" s="98">
        <v>3.0</v>
      </c>
      <c r="R8" s="97">
        <v>45666.46930555555</v>
      </c>
      <c r="S8" s="99">
        <v>69.0</v>
      </c>
      <c r="T8" s="99">
        <v>105.0</v>
      </c>
      <c r="U8" s="99">
        <v>18.0</v>
      </c>
      <c r="V8" s="99">
        <v>220.0</v>
      </c>
      <c r="W8" s="99">
        <v>7546.0</v>
      </c>
    </row>
    <row r="9">
      <c r="A9" s="95" t="s">
        <v>612</v>
      </c>
      <c r="B9" s="95" t="s">
        <v>22</v>
      </c>
      <c r="C9" s="96" t="s">
        <v>613</v>
      </c>
      <c r="D9" s="95" t="s">
        <v>39</v>
      </c>
      <c r="E9" s="95" t="s">
        <v>614</v>
      </c>
      <c r="F9" s="95" t="s">
        <v>19</v>
      </c>
      <c r="G9" s="95" t="s">
        <v>588</v>
      </c>
      <c r="H9" s="95" t="s">
        <v>21</v>
      </c>
      <c r="I9" s="95" t="s">
        <v>589</v>
      </c>
      <c r="J9" s="97">
        <v>46021.49354603009</v>
      </c>
      <c r="K9" s="95" t="s">
        <v>615</v>
      </c>
      <c r="L9" s="96" t="s">
        <v>616</v>
      </c>
      <c r="M9" s="95" t="s">
        <v>67</v>
      </c>
      <c r="N9" s="95" t="s">
        <v>617</v>
      </c>
      <c r="O9" s="95" t="s">
        <v>617</v>
      </c>
      <c r="P9" s="95" t="s">
        <v>618</v>
      </c>
      <c r="Q9" s="98">
        <v>3.0</v>
      </c>
      <c r="R9" s="97">
        <v>45759.86489583334</v>
      </c>
      <c r="S9" s="99">
        <v>166.0</v>
      </c>
      <c r="T9" s="99">
        <v>34.0</v>
      </c>
      <c r="U9" s="99">
        <v>5.0</v>
      </c>
      <c r="V9" s="99">
        <v>16.0</v>
      </c>
      <c r="W9" s="99">
        <v>6379.0</v>
      </c>
    </row>
    <row r="10">
      <c r="A10" s="95" t="s">
        <v>619</v>
      </c>
      <c r="B10" s="95" t="s">
        <v>22</v>
      </c>
      <c r="C10" s="96" t="s">
        <v>620</v>
      </c>
      <c r="D10" s="95" t="s">
        <v>39</v>
      </c>
      <c r="E10" s="95" t="s">
        <v>614</v>
      </c>
      <c r="F10" s="95" t="s">
        <v>19</v>
      </c>
      <c r="G10" s="95" t="s">
        <v>19</v>
      </c>
      <c r="H10" s="95" t="s">
        <v>21</v>
      </c>
      <c r="I10" s="95" t="s">
        <v>567</v>
      </c>
      <c r="J10" s="97">
        <v>45975.67936400463</v>
      </c>
      <c r="K10" s="96" t="s">
        <v>621</v>
      </c>
      <c r="L10" s="96" t="s">
        <v>622</v>
      </c>
      <c r="M10" s="95" t="s">
        <v>67</v>
      </c>
      <c r="N10" s="95" t="s">
        <v>617</v>
      </c>
      <c r="O10" s="95" t="s">
        <v>617</v>
      </c>
      <c r="P10" s="95" t="s">
        <v>618</v>
      </c>
      <c r="Q10" s="98">
        <v>3.0</v>
      </c>
      <c r="R10" s="97">
        <v>45786.77586805556</v>
      </c>
      <c r="S10" s="99">
        <v>166.0</v>
      </c>
      <c r="T10" s="99">
        <v>44.0</v>
      </c>
      <c r="U10" s="99">
        <v>23.0</v>
      </c>
      <c r="V10" s="99">
        <v>134.0</v>
      </c>
      <c r="W10" s="99">
        <v>6379.0</v>
      </c>
    </row>
    <row r="11">
      <c r="A11" s="95" t="s">
        <v>623</v>
      </c>
      <c r="B11" s="95" t="s">
        <v>22</v>
      </c>
      <c r="C11" s="96" t="s">
        <v>624</v>
      </c>
      <c r="D11" s="95" t="s">
        <v>124</v>
      </c>
      <c r="E11" s="95" t="s">
        <v>625</v>
      </c>
      <c r="F11" s="95" t="s">
        <v>19</v>
      </c>
      <c r="G11" s="95" t="s">
        <v>19</v>
      </c>
      <c r="H11" s="95" t="s">
        <v>21</v>
      </c>
      <c r="I11" s="95" t="s">
        <v>567</v>
      </c>
      <c r="J11" s="97">
        <v>46021.50510549769</v>
      </c>
      <c r="K11" s="95" t="s">
        <v>626</v>
      </c>
      <c r="L11" s="96" t="s">
        <v>627</v>
      </c>
      <c r="M11" s="95" t="s">
        <v>74</v>
      </c>
      <c r="N11" s="95" t="s">
        <v>628</v>
      </c>
      <c r="O11" s="95" t="s">
        <v>628</v>
      </c>
      <c r="P11" s="95" t="s">
        <v>629</v>
      </c>
      <c r="Q11" s="98">
        <v>3.0</v>
      </c>
      <c r="R11" s="97">
        <v>45848.8174537037</v>
      </c>
      <c r="S11" s="99">
        <v>5712.0</v>
      </c>
      <c r="T11" s="99">
        <v>738.0</v>
      </c>
      <c r="U11" s="99">
        <v>21.0</v>
      </c>
      <c r="V11" s="99">
        <v>364.0</v>
      </c>
      <c r="W11" s="99">
        <v>75651.0</v>
      </c>
    </row>
    <row r="12">
      <c r="A12" s="95" t="s">
        <v>630</v>
      </c>
      <c r="B12" s="95" t="s">
        <v>22</v>
      </c>
      <c r="C12" s="96" t="s">
        <v>631</v>
      </c>
      <c r="D12" s="95" t="s">
        <v>20</v>
      </c>
      <c r="E12" s="95" t="s">
        <v>632</v>
      </c>
      <c r="F12" s="95" t="s">
        <v>19</v>
      </c>
      <c r="G12" s="95" t="s">
        <v>19</v>
      </c>
      <c r="H12" s="95" t="s">
        <v>21</v>
      </c>
      <c r="I12" s="95" t="s">
        <v>633</v>
      </c>
      <c r="J12" s="97">
        <v>46021.50510549769</v>
      </c>
      <c r="K12" s="95" t="s">
        <v>634</v>
      </c>
      <c r="L12" s="96" t="s">
        <v>635</v>
      </c>
      <c r="M12" s="95" t="s">
        <v>74</v>
      </c>
      <c r="N12" s="95" t="s">
        <v>628</v>
      </c>
      <c r="O12" s="95" t="s">
        <v>628</v>
      </c>
      <c r="P12" s="95" t="s">
        <v>629</v>
      </c>
      <c r="Q12" s="98">
        <v>3.0</v>
      </c>
      <c r="R12" s="97">
        <v>45652.82774305555</v>
      </c>
      <c r="S12" s="99">
        <v>5712.0</v>
      </c>
      <c r="T12" s="99">
        <v>7.0</v>
      </c>
      <c r="U12" s="99">
        <v>2.0</v>
      </c>
      <c r="V12" s="99">
        <v>761.0</v>
      </c>
      <c r="W12" s="99">
        <v>75651.0</v>
      </c>
    </row>
    <row r="13">
      <c r="A13" s="95" t="s">
        <v>636</v>
      </c>
      <c r="B13" s="95" t="s">
        <v>69</v>
      </c>
      <c r="C13" s="96" t="s">
        <v>637</v>
      </c>
      <c r="D13" s="95" t="s">
        <v>20</v>
      </c>
      <c r="E13" s="95" t="s">
        <v>638</v>
      </c>
      <c r="F13" s="95" t="s">
        <v>88</v>
      </c>
      <c r="G13" s="95" t="s">
        <v>639</v>
      </c>
      <c r="H13" s="95" t="s">
        <v>89</v>
      </c>
      <c r="I13" s="95" t="s">
        <v>640</v>
      </c>
      <c r="J13" s="97">
        <v>45975.67928111111</v>
      </c>
      <c r="K13" s="96" t="s">
        <v>641</v>
      </c>
      <c r="L13" s="96" t="s">
        <v>642</v>
      </c>
      <c r="M13" s="95" t="s">
        <v>28</v>
      </c>
      <c r="N13" s="95" t="s">
        <v>643</v>
      </c>
      <c r="O13" s="95" t="s">
        <v>643</v>
      </c>
      <c r="P13" s="95" t="s">
        <v>644</v>
      </c>
      <c r="Q13" s="98">
        <v>3.0</v>
      </c>
      <c r="R13" s="97">
        <v>45895.97962962963</v>
      </c>
      <c r="S13" s="99">
        <v>209.0</v>
      </c>
      <c r="T13" s="99">
        <v>199.0</v>
      </c>
      <c r="U13" s="99">
        <v>4.0</v>
      </c>
      <c r="V13" s="99">
        <v>24.0</v>
      </c>
      <c r="W13" s="99">
        <v>15259.0</v>
      </c>
    </row>
    <row r="14">
      <c r="A14" s="95" t="s">
        <v>645</v>
      </c>
      <c r="B14" s="95" t="s">
        <v>131</v>
      </c>
      <c r="C14" s="96" t="s">
        <v>646</v>
      </c>
      <c r="D14" s="95" t="s">
        <v>20</v>
      </c>
      <c r="E14" s="95" t="s">
        <v>638</v>
      </c>
      <c r="F14" s="95" t="s">
        <v>19</v>
      </c>
      <c r="G14" s="95" t="s">
        <v>574</v>
      </c>
      <c r="H14" s="95" t="s">
        <v>21</v>
      </c>
      <c r="I14" s="95" t="s">
        <v>647</v>
      </c>
      <c r="J14" s="97">
        <v>46021.49287208333</v>
      </c>
      <c r="K14" s="95" t="s">
        <v>648</v>
      </c>
      <c r="L14" s="96" t="s">
        <v>649</v>
      </c>
      <c r="M14" s="95" t="s">
        <v>28</v>
      </c>
      <c r="N14" s="95" t="s">
        <v>643</v>
      </c>
      <c r="O14" s="95" t="s">
        <v>643</v>
      </c>
      <c r="P14" s="95" t="s">
        <v>644</v>
      </c>
      <c r="Q14" s="98">
        <v>3.0</v>
      </c>
      <c r="R14" s="97">
        <v>45840.82586805556</v>
      </c>
      <c r="S14" s="99">
        <v>209.0</v>
      </c>
      <c r="T14" s="99">
        <v>18.0</v>
      </c>
      <c r="U14" s="99">
        <v>4.0</v>
      </c>
      <c r="V14" s="99">
        <v>414.0</v>
      </c>
      <c r="W14" s="99">
        <v>15259.0</v>
      </c>
    </row>
    <row r="15">
      <c r="A15" s="95" t="s">
        <v>650</v>
      </c>
      <c r="B15" s="95" t="s">
        <v>22</v>
      </c>
      <c r="C15" s="96" t="s">
        <v>651</v>
      </c>
      <c r="D15" s="95" t="s">
        <v>20</v>
      </c>
      <c r="E15" s="95" t="s">
        <v>638</v>
      </c>
      <c r="F15" s="95" t="s">
        <v>19</v>
      </c>
      <c r="G15" s="95" t="s">
        <v>19</v>
      </c>
      <c r="H15" s="95" t="s">
        <v>21</v>
      </c>
      <c r="I15" s="95" t="s">
        <v>567</v>
      </c>
      <c r="J15" s="97">
        <v>46021.50915592592</v>
      </c>
      <c r="K15" s="95" t="s">
        <v>652</v>
      </c>
      <c r="L15" s="96" t="s">
        <v>653</v>
      </c>
      <c r="M15" s="95" t="s">
        <v>54</v>
      </c>
      <c r="N15" s="95" t="s">
        <v>654</v>
      </c>
      <c r="O15" s="95" t="s">
        <v>654</v>
      </c>
      <c r="P15" s="95" t="s">
        <v>655</v>
      </c>
      <c r="Q15" s="98">
        <v>3.0</v>
      </c>
      <c r="R15" s="97">
        <v>45951.60378472223</v>
      </c>
      <c r="S15" s="99">
        <v>115.0</v>
      </c>
      <c r="T15" s="99">
        <v>333.0</v>
      </c>
      <c r="U15" s="99">
        <v>10.0</v>
      </c>
      <c r="V15" s="99">
        <v>203.0</v>
      </c>
      <c r="W15" s="99">
        <v>23784.0</v>
      </c>
    </row>
    <row r="16">
      <c r="A16" s="95" t="s">
        <v>656</v>
      </c>
      <c r="B16" s="95" t="s">
        <v>22</v>
      </c>
      <c r="C16" s="96" t="s">
        <v>657</v>
      </c>
      <c r="D16" s="95" t="s">
        <v>29</v>
      </c>
      <c r="E16" s="95" t="s">
        <v>658</v>
      </c>
      <c r="F16" s="95" t="s">
        <v>19</v>
      </c>
      <c r="G16" s="95" t="s">
        <v>19</v>
      </c>
      <c r="H16" s="95" t="s">
        <v>21</v>
      </c>
      <c r="I16" s="95" t="s">
        <v>589</v>
      </c>
      <c r="J16" s="97">
        <v>46076.6316190162</v>
      </c>
      <c r="K16" s="95" t="s">
        <v>659</v>
      </c>
      <c r="L16" s="96" t="s">
        <v>660</v>
      </c>
      <c r="M16" s="95" t="s">
        <v>74</v>
      </c>
      <c r="N16" s="95" t="s">
        <v>661</v>
      </c>
      <c r="O16" s="95" t="s">
        <v>661</v>
      </c>
      <c r="P16" s="95" t="s">
        <v>662</v>
      </c>
      <c r="Q16" s="98">
        <v>3.0</v>
      </c>
      <c r="R16" s="97">
        <v>45900.99552083333</v>
      </c>
      <c r="S16" s="99">
        <v>446.0</v>
      </c>
      <c r="T16" s="99">
        <v>55.0</v>
      </c>
      <c r="U16" s="99">
        <v>9.0</v>
      </c>
      <c r="V16" s="99">
        <v>183.0</v>
      </c>
      <c r="W16" s="99">
        <v>29046.0</v>
      </c>
    </row>
    <row r="17">
      <c r="A17" s="95" t="s">
        <v>663</v>
      </c>
      <c r="B17" s="95" t="s">
        <v>22</v>
      </c>
      <c r="C17" s="96" t="s">
        <v>664</v>
      </c>
      <c r="D17" s="95" t="s">
        <v>59</v>
      </c>
      <c r="E17" s="95" t="s">
        <v>665</v>
      </c>
      <c r="F17" s="95" t="s">
        <v>19</v>
      </c>
      <c r="G17" s="95" t="s">
        <v>19</v>
      </c>
      <c r="H17" s="95" t="s">
        <v>21</v>
      </c>
      <c r="I17" s="95" t="s">
        <v>567</v>
      </c>
      <c r="J17" s="97">
        <v>45988.61394711806</v>
      </c>
      <c r="K17" s="95" t="s">
        <v>666</v>
      </c>
      <c r="L17" s="96" t="s">
        <v>667</v>
      </c>
      <c r="M17" s="95" t="s">
        <v>17</v>
      </c>
      <c r="N17" s="95" t="s">
        <v>668</v>
      </c>
      <c r="O17" s="95" t="s">
        <v>668</v>
      </c>
      <c r="P17" s="95" t="s">
        <v>669</v>
      </c>
      <c r="Q17" s="98">
        <v>3.0</v>
      </c>
      <c r="R17" s="97">
        <v>45902.6912962963</v>
      </c>
      <c r="S17" s="99">
        <v>1615.0</v>
      </c>
      <c r="T17" s="99">
        <v>74.0</v>
      </c>
      <c r="U17" s="99">
        <v>25.0</v>
      </c>
      <c r="V17" s="99">
        <v>68.0</v>
      </c>
      <c r="W17" s="99">
        <v>31302.0</v>
      </c>
    </row>
    <row r="18">
      <c r="A18" s="95" t="s">
        <v>670</v>
      </c>
      <c r="B18" s="95" t="s">
        <v>22</v>
      </c>
      <c r="C18" s="96" t="s">
        <v>671</v>
      </c>
      <c r="D18" s="95" t="s">
        <v>29</v>
      </c>
      <c r="E18" s="95" t="s">
        <v>672</v>
      </c>
      <c r="F18" s="95" t="s">
        <v>19</v>
      </c>
      <c r="G18" s="95" t="s">
        <v>19</v>
      </c>
      <c r="H18" s="95" t="s">
        <v>21</v>
      </c>
      <c r="I18" s="95" t="s">
        <v>567</v>
      </c>
      <c r="J18" s="97">
        <v>46008.62904708333</v>
      </c>
      <c r="K18" s="96" t="s">
        <v>673</v>
      </c>
      <c r="L18" s="96" t="s">
        <v>674</v>
      </c>
      <c r="M18" s="95" t="s">
        <v>17</v>
      </c>
      <c r="N18" s="95" t="s">
        <v>668</v>
      </c>
      <c r="O18" s="95" t="s">
        <v>668</v>
      </c>
      <c r="P18" s="95" t="s">
        <v>669</v>
      </c>
      <c r="Q18" s="98">
        <v>3.0</v>
      </c>
      <c r="R18" s="97">
        <v>45812.6384837963</v>
      </c>
      <c r="S18" s="99">
        <v>1615.0</v>
      </c>
      <c r="T18" s="99">
        <v>243.0</v>
      </c>
      <c r="U18" s="99">
        <v>7.0</v>
      </c>
      <c r="V18" s="99">
        <v>261.0</v>
      </c>
      <c r="W18" s="99">
        <v>31302.0</v>
      </c>
    </row>
    <row r="19">
      <c r="A19" s="95" t="s">
        <v>675</v>
      </c>
      <c r="B19" s="95" t="s">
        <v>22</v>
      </c>
      <c r="C19" s="96" t="s">
        <v>676</v>
      </c>
      <c r="D19" s="95" t="s">
        <v>39</v>
      </c>
      <c r="E19" s="95" t="s">
        <v>39</v>
      </c>
      <c r="F19" s="95" t="s">
        <v>19</v>
      </c>
      <c r="G19" s="95" t="s">
        <v>19</v>
      </c>
      <c r="H19" s="95" t="s">
        <v>21</v>
      </c>
      <c r="I19" s="95" t="s">
        <v>677</v>
      </c>
      <c r="J19" s="97">
        <v>46021.49354603009</v>
      </c>
      <c r="K19" s="95" t="s">
        <v>678</v>
      </c>
      <c r="L19" s="96" t="s">
        <v>679</v>
      </c>
      <c r="M19" s="95" t="s">
        <v>28</v>
      </c>
      <c r="N19" s="95" t="s">
        <v>680</v>
      </c>
      <c r="O19" s="95" t="s">
        <v>680</v>
      </c>
      <c r="P19" s="95" t="s">
        <v>681</v>
      </c>
      <c r="Q19" s="98">
        <v>3.0</v>
      </c>
      <c r="R19" s="97">
        <v>45603.1995949074</v>
      </c>
      <c r="S19" s="99">
        <v>123.0</v>
      </c>
      <c r="T19" s="99">
        <v>126.0</v>
      </c>
      <c r="U19" s="99">
        <v>9.0</v>
      </c>
      <c r="V19" s="99">
        <v>71.0</v>
      </c>
      <c r="W19" s="99">
        <v>50432.0</v>
      </c>
    </row>
    <row r="20">
      <c r="A20" s="95" t="s">
        <v>682</v>
      </c>
      <c r="B20" s="95" t="s">
        <v>22</v>
      </c>
      <c r="C20" s="96" t="s">
        <v>683</v>
      </c>
      <c r="D20" s="95" t="s">
        <v>39</v>
      </c>
      <c r="E20" s="95" t="s">
        <v>614</v>
      </c>
      <c r="F20" s="95" t="s">
        <v>19</v>
      </c>
      <c r="G20" s="95" t="s">
        <v>19</v>
      </c>
      <c r="H20" s="95" t="s">
        <v>21</v>
      </c>
      <c r="I20" s="95" t="s">
        <v>684</v>
      </c>
      <c r="J20" s="97">
        <v>46021.50930244213</v>
      </c>
      <c r="K20" s="95" t="s">
        <v>685</v>
      </c>
      <c r="L20" s="96" t="s">
        <v>686</v>
      </c>
      <c r="M20" s="95" t="s">
        <v>28</v>
      </c>
      <c r="N20" s="95" t="s">
        <v>680</v>
      </c>
      <c r="O20" s="95" t="s">
        <v>680</v>
      </c>
      <c r="P20" s="95" t="s">
        <v>681</v>
      </c>
      <c r="Q20" s="98">
        <v>3.0</v>
      </c>
      <c r="R20" s="97">
        <v>45734.74423611111</v>
      </c>
      <c r="S20" s="99">
        <v>123.0</v>
      </c>
      <c r="T20" s="99">
        <v>50.0</v>
      </c>
      <c r="U20" s="99">
        <v>1.0</v>
      </c>
      <c r="V20" s="99">
        <v>110.0</v>
      </c>
      <c r="W20" s="99">
        <v>50432.0</v>
      </c>
    </row>
    <row r="21" ht="15.75" customHeight="1">
      <c r="A21" s="95" t="s">
        <v>687</v>
      </c>
      <c r="B21" s="95" t="s">
        <v>22</v>
      </c>
      <c r="C21" s="96" t="s">
        <v>688</v>
      </c>
      <c r="D21" s="95" t="s">
        <v>29</v>
      </c>
      <c r="E21" s="95" t="s">
        <v>689</v>
      </c>
      <c r="F21" s="95" t="s">
        <v>517</v>
      </c>
      <c r="G21" s="95" t="s">
        <v>690</v>
      </c>
      <c r="H21" s="95" t="s">
        <v>21</v>
      </c>
      <c r="I21" s="95" t="s">
        <v>567</v>
      </c>
      <c r="J21" s="97">
        <v>46021.49354603009</v>
      </c>
      <c r="K21" s="95" t="s">
        <v>691</v>
      </c>
      <c r="L21" s="96" t="s">
        <v>692</v>
      </c>
      <c r="M21" s="95" t="s">
        <v>28</v>
      </c>
      <c r="N21" s="95" t="s">
        <v>693</v>
      </c>
      <c r="O21" s="95" t="s">
        <v>693</v>
      </c>
      <c r="P21" s="95" t="s">
        <v>694</v>
      </c>
      <c r="Q21" s="98">
        <v>3.0</v>
      </c>
      <c r="R21" s="97">
        <v>45839.24162037037</v>
      </c>
      <c r="S21" s="99">
        <v>782.0</v>
      </c>
      <c r="T21" s="99">
        <v>2431.0</v>
      </c>
      <c r="U21" s="99">
        <v>47.0</v>
      </c>
      <c r="V21" s="99">
        <v>37.0</v>
      </c>
      <c r="W21" s="99">
        <v>2662.0</v>
      </c>
    </row>
    <row r="22" ht="15.75" customHeight="1">
      <c r="A22" s="95" t="s">
        <v>695</v>
      </c>
      <c r="B22" s="95" t="s">
        <v>22</v>
      </c>
      <c r="C22" s="96" t="s">
        <v>696</v>
      </c>
      <c r="D22" s="95" t="s">
        <v>39</v>
      </c>
      <c r="E22" s="95" t="s">
        <v>697</v>
      </c>
      <c r="F22" s="95" t="s">
        <v>19</v>
      </c>
      <c r="G22" s="95" t="s">
        <v>19</v>
      </c>
      <c r="H22" s="95" t="s">
        <v>21</v>
      </c>
      <c r="I22" s="95" t="s">
        <v>677</v>
      </c>
      <c r="J22" s="97">
        <v>46021.50350939815</v>
      </c>
      <c r="K22" s="95" t="s">
        <v>698</v>
      </c>
      <c r="L22" s="96" t="s">
        <v>699</v>
      </c>
      <c r="M22" s="95" t="s">
        <v>38</v>
      </c>
      <c r="N22" s="95" t="s">
        <v>700</v>
      </c>
      <c r="O22" s="95" t="s">
        <v>700</v>
      </c>
      <c r="P22" s="95" t="s">
        <v>701</v>
      </c>
      <c r="Q22" s="98">
        <v>3.0</v>
      </c>
      <c r="R22" s="97">
        <v>45828.0509837963</v>
      </c>
      <c r="S22" s="99">
        <v>250.0</v>
      </c>
      <c r="T22" s="99">
        <v>63.0</v>
      </c>
      <c r="U22" s="99">
        <v>2.0</v>
      </c>
      <c r="V22" s="99">
        <v>44.0</v>
      </c>
      <c r="W22" s="99">
        <v>3544.0</v>
      </c>
    </row>
    <row r="23" ht="15.75" customHeight="1">
      <c r="A23" s="95" t="s">
        <v>702</v>
      </c>
      <c r="B23" s="95" t="s">
        <v>22</v>
      </c>
      <c r="C23" s="96" t="s">
        <v>703</v>
      </c>
      <c r="D23" s="95" t="s">
        <v>59</v>
      </c>
      <c r="E23" s="95" t="s">
        <v>59</v>
      </c>
      <c r="F23" s="95" t="s">
        <v>19</v>
      </c>
      <c r="G23" s="95" t="s">
        <v>588</v>
      </c>
      <c r="H23" s="95" t="s">
        <v>21</v>
      </c>
      <c r="I23" s="95" t="s">
        <v>589</v>
      </c>
      <c r="J23" s="97">
        <v>46039.60634708333</v>
      </c>
      <c r="K23" s="96" t="s">
        <v>704</v>
      </c>
      <c r="L23" s="96" t="s">
        <v>705</v>
      </c>
      <c r="M23" s="95" t="s">
        <v>93</v>
      </c>
      <c r="N23" s="95" t="s">
        <v>706</v>
      </c>
      <c r="O23" s="95" t="s">
        <v>706</v>
      </c>
      <c r="P23" s="95" t="s">
        <v>707</v>
      </c>
      <c r="Q23" s="98">
        <v>3.0</v>
      </c>
      <c r="R23" s="97">
        <v>45835.91289351852</v>
      </c>
      <c r="S23" s="99">
        <v>63.0</v>
      </c>
      <c r="T23" s="99">
        <v>6.0</v>
      </c>
      <c r="U23" s="99">
        <v>1.0</v>
      </c>
      <c r="V23" s="99">
        <v>22.0</v>
      </c>
      <c r="W23" s="99">
        <v>7316.0</v>
      </c>
    </row>
    <row r="24" ht="15.75" customHeight="1">
      <c r="A24" s="95" t="s">
        <v>708</v>
      </c>
      <c r="B24" s="95" t="s">
        <v>22</v>
      </c>
      <c r="C24" s="96" t="s">
        <v>709</v>
      </c>
      <c r="D24" s="95" t="s">
        <v>547</v>
      </c>
      <c r="E24" s="95" t="s">
        <v>710</v>
      </c>
      <c r="F24" s="95" t="s">
        <v>19</v>
      </c>
      <c r="G24" s="95" t="s">
        <v>19</v>
      </c>
      <c r="H24" s="95" t="s">
        <v>21</v>
      </c>
      <c r="I24" s="95" t="s">
        <v>711</v>
      </c>
      <c r="J24" s="97">
        <v>45977.67557481481</v>
      </c>
      <c r="K24" s="95" t="s">
        <v>712</v>
      </c>
      <c r="L24" s="96" t="s">
        <v>713</v>
      </c>
      <c r="M24" s="95" t="s">
        <v>17</v>
      </c>
      <c r="N24" s="95" t="s">
        <v>714</v>
      </c>
      <c r="O24" s="95" t="s">
        <v>714</v>
      </c>
      <c r="P24" s="95" t="s">
        <v>715</v>
      </c>
      <c r="Q24" s="98">
        <v>3.0</v>
      </c>
      <c r="R24" s="97">
        <v>45871.4687962963</v>
      </c>
      <c r="S24" s="99">
        <v>835.0</v>
      </c>
      <c r="T24" s="99">
        <v>760.0</v>
      </c>
      <c r="U24" s="99">
        <v>8.0</v>
      </c>
      <c r="V24" s="99">
        <v>45.0</v>
      </c>
      <c r="W24" s="99">
        <v>14003.0</v>
      </c>
    </row>
    <row r="25" ht="15.75" customHeight="1">
      <c r="A25" s="95" t="s">
        <v>716</v>
      </c>
      <c r="B25" s="95" t="s">
        <v>69</v>
      </c>
      <c r="C25" s="96" t="s">
        <v>717</v>
      </c>
      <c r="D25" s="95" t="s">
        <v>39</v>
      </c>
      <c r="E25" s="95" t="s">
        <v>718</v>
      </c>
      <c r="F25" s="95" t="s">
        <v>19</v>
      </c>
      <c r="G25" s="95" t="s">
        <v>19</v>
      </c>
      <c r="H25" s="95" t="s">
        <v>21</v>
      </c>
      <c r="I25" s="95" t="s">
        <v>719</v>
      </c>
      <c r="J25" s="97">
        <v>46039.60634708333</v>
      </c>
      <c r="K25" s="95" t="s">
        <v>720</v>
      </c>
      <c r="L25" s="96" t="s">
        <v>721</v>
      </c>
      <c r="M25" s="95" t="s">
        <v>93</v>
      </c>
      <c r="N25" s="95" t="s">
        <v>722</v>
      </c>
      <c r="O25" s="95" t="s">
        <v>722</v>
      </c>
      <c r="P25" s="95" t="s">
        <v>723</v>
      </c>
      <c r="Q25" s="98">
        <v>3.0</v>
      </c>
      <c r="R25" s="97">
        <v>45731.80326388889</v>
      </c>
      <c r="S25" s="99">
        <v>206.0</v>
      </c>
      <c r="T25" s="99">
        <v>10.0</v>
      </c>
      <c r="U25" s="99">
        <v>5.0</v>
      </c>
      <c r="V25" s="99">
        <v>723.0</v>
      </c>
      <c r="W25" s="99">
        <v>26906.0</v>
      </c>
    </row>
    <row r="26" ht="15.75" customHeight="1">
      <c r="A26" s="95" t="s">
        <v>724</v>
      </c>
      <c r="B26" s="95" t="s">
        <v>131</v>
      </c>
      <c r="C26" s="96" t="s">
        <v>725</v>
      </c>
      <c r="D26" s="95" t="s">
        <v>39</v>
      </c>
      <c r="E26" s="95" t="s">
        <v>39</v>
      </c>
      <c r="F26" s="95" t="s">
        <v>88</v>
      </c>
      <c r="G26" s="95" t="s">
        <v>639</v>
      </c>
      <c r="H26" s="95" t="s">
        <v>89</v>
      </c>
      <c r="I26" s="95" t="s">
        <v>726</v>
      </c>
      <c r="J26" s="97">
        <v>45975.6793321412</v>
      </c>
      <c r="K26" s="96" t="s">
        <v>727</v>
      </c>
      <c r="L26" s="96" t="s">
        <v>728</v>
      </c>
      <c r="M26" s="95" t="s">
        <v>17</v>
      </c>
      <c r="N26" s="95" t="s">
        <v>729</v>
      </c>
      <c r="O26" s="95" t="s">
        <v>729</v>
      </c>
      <c r="P26" s="95" t="s">
        <v>730</v>
      </c>
      <c r="Q26" s="98">
        <v>3.0</v>
      </c>
      <c r="R26" s="97">
        <v>45810.52219907408</v>
      </c>
      <c r="S26" s="99">
        <v>162.0</v>
      </c>
      <c r="T26" s="99">
        <v>89.0</v>
      </c>
      <c r="U26" s="99">
        <v>37.0</v>
      </c>
      <c r="V26" s="99">
        <v>646.0</v>
      </c>
      <c r="W26" s="99">
        <v>7825.0</v>
      </c>
    </row>
    <row r="27" ht="15.75" customHeight="1">
      <c r="A27" s="95" t="s">
        <v>731</v>
      </c>
      <c r="B27" s="95" t="s">
        <v>101</v>
      </c>
      <c r="C27" s="96" t="s">
        <v>732</v>
      </c>
      <c r="D27" s="95" t="s">
        <v>168</v>
      </c>
      <c r="E27" s="95" t="s">
        <v>606</v>
      </c>
      <c r="F27" s="95" t="s">
        <v>19</v>
      </c>
      <c r="G27" s="95" t="s">
        <v>19</v>
      </c>
      <c r="H27" s="95" t="s">
        <v>21</v>
      </c>
      <c r="I27" s="95" t="s">
        <v>607</v>
      </c>
      <c r="J27" s="97">
        <v>45977.67557481481</v>
      </c>
      <c r="K27" s="95" t="s">
        <v>733</v>
      </c>
      <c r="L27" s="95"/>
      <c r="M27" s="95" t="s">
        <v>17</v>
      </c>
      <c r="N27" s="95" t="s">
        <v>734</v>
      </c>
      <c r="O27" s="95" t="s">
        <v>734</v>
      </c>
      <c r="P27" s="95" t="s">
        <v>735</v>
      </c>
      <c r="Q27" s="98">
        <v>3.0</v>
      </c>
      <c r="R27" s="97">
        <v>45623.67914351852</v>
      </c>
      <c r="S27" s="99">
        <v>584.0</v>
      </c>
      <c r="T27" s="99">
        <v>1194.0</v>
      </c>
      <c r="U27" s="99">
        <v>6.0</v>
      </c>
      <c r="V27" s="99">
        <v>181.0</v>
      </c>
      <c r="W27" s="99">
        <v>22397.0</v>
      </c>
    </row>
    <row r="28" ht="15.75" customHeight="1">
      <c r="A28" s="95" t="s">
        <v>736</v>
      </c>
      <c r="B28" s="95" t="s">
        <v>22</v>
      </c>
      <c r="C28" s="96" t="s">
        <v>737</v>
      </c>
      <c r="D28" s="95" t="s">
        <v>59</v>
      </c>
      <c r="E28" s="95" t="s">
        <v>738</v>
      </c>
      <c r="F28" s="95" t="s">
        <v>19</v>
      </c>
      <c r="G28" s="95" t="s">
        <v>19</v>
      </c>
      <c r="H28" s="95" t="s">
        <v>21</v>
      </c>
      <c r="I28" s="95" t="s">
        <v>589</v>
      </c>
      <c r="J28" s="97">
        <v>46021.50510549769</v>
      </c>
      <c r="K28" s="95" t="s">
        <v>739</v>
      </c>
      <c r="L28" s="96" t="s">
        <v>740</v>
      </c>
      <c r="M28" s="95" t="s">
        <v>74</v>
      </c>
      <c r="N28" s="95" t="s">
        <v>741</v>
      </c>
      <c r="O28" s="95" t="s">
        <v>741</v>
      </c>
      <c r="P28" s="95" t="s">
        <v>742</v>
      </c>
      <c r="Q28" s="98">
        <v>3.0</v>
      </c>
      <c r="R28" s="97">
        <v>45769.63677083333</v>
      </c>
      <c r="S28" s="99">
        <v>1772.0</v>
      </c>
      <c r="T28" s="99">
        <v>7.0</v>
      </c>
      <c r="U28" s="99">
        <v>7.0</v>
      </c>
      <c r="V28" s="99">
        <v>52.0</v>
      </c>
      <c r="W28" s="99">
        <v>103621.0</v>
      </c>
    </row>
    <row r="29" ht="15.75" customHeight="1">
      <c r="A29" s="95" t="s">
        <v>743</v>
      </c>
      <c r="B29" s="95" t="s">
        <v>101</v>
      </c>
      <c r="C29" s="96" t="s">
        <v>744</v>
      </c>
      <c r="D29" s="95" t="s">
        <v>59</v>
      </c>
      <c r="E29" s="95" t="s">
        <v>738</v>
      </c>
      <c r="F29" s="95" t="s">
        <v>19</v>
      </c>
      <c r="G29" s="95" t="s">
        <v>19</v>
      </c>
      <c r="H29" s="95" t="s">
        <v>21</v>
      </c>
      <c r="I29" s="95" t="s">
        <v>745</v>
      </c>
      <c r="J29" s="97">
        <v>46076.6316190162</v>
      </c>
      <c r="K29" s="95" t="s">
        <v>746</v>
      </c>
      <c r="L29" s="96" t="s">
        <v>747</v>
      </c>
      <c r="M29" s="95" t="s">
        <v>74</v>
      </c>
      <c r="N29" s="95" t="s">
        <v>748</v>
      </c>
      <c r="O29" s="95" t="s">
        <v>748</v>
      </c>
      <c r="P29" s="95" t="s">
        <v>749</v>
      </c>
      <c r="Q29" s="98">
        <v>3.0</v>
      </c>
      <c r="R29" s="97">
        <v>45986.81701388889</v>
      </c>
      <c r="S29" s="99">
        <v>1848.0</v>
      </c>
      <c r="T29" s="99">
        <v>26.0</v>
      </c>
      <c r="U29" s="99">
        <v>140.0</v>
      </c>
      <c r="V29" s="99">
        <v>34.0</v>
      </c>
      <c r="W29" s="99">
        <v>285180.0</v>
      </c>
    </row>
    <row r="30" ht="15.75" customHeight="1">
      <c r="A30" s="95" t="s">
        <v>750</v>
      </c>
      <c r="B30" s="95" t="s">
        <v>22</v>
      </c>
      <c r="C30" s="96" t="s">
        <v>751</v>
      </c>
      <c r="D30" s="95" t="s">
        <v>59</v>
      </c>
      <c r="E30" s="95" t="s">
        <v>738</v>
      </c>
      <c r="F30" s="95" t="s">
        <v>19</v>
      </c>
      <c r="G30" s="95" t="s">
        <v>19</v>
      </c>
      <c r="H30" s="95" t="s">
        <v>21</v>
      </c>
      <c r="I30" s="95" t="s">
        <v>589</v>
      </c>
      <c r="J30" s="97">
        <v>45975.67937972222</v>
      </c>
      <c r="K30" s="96" t="s">
        <v>752</v>
      </c>
      <c r="L30" s="96" t="s">
        <v>753</v>
      </c>
      <c r="M30" s="95" t="s">
        <v>74</v>
      </c>
      <c r="N30" s="95" t="s">
        <v>754</v>
      </c>
      <c r="O30" s="95" t="s">
        <v>754</v>
      </c>
      <c r="P30" s="95" t="s">
        <v>755</v>
      </c>
      <c r="Q30" s="98">
        <v>3.0</v>
      </c>
      <c r="R30" s="97">
        <v>45749.65957175926</v>
      </c>
      <c r="S30" s="99">
        <v>4650.0</v>
      </c>
      <c r="T30" s="99">
        <v>46.0</v>
      </c>
      <c r="U30" s="99">
        <v>7.0</v>
      </c>
      <c r="V30" s="99">
        <v>83.0</v>
      </c>
      <c r="W30" s="99">
        <v>158143.0</v>
      </c>
    </row>
    <row r="31" ht="15.75" customHeight="1">
      <c r="A31" s="95" t="s">
        <v>756</v>
      </c>
      <c r="B31" s="95" t="s">
        <v>101</v>
      </c>
      <c r="C31" s="96" t="s">
        <v>757</v>
      </c>
      <c r="D31" s="95" t="s">
        <v>59</v>
      </c>
      <c r="E31" s="95" t="s">
        <v>738</v>
      </c>
      <c r="F31" s="95" t="s">
        <v>19</v>
      </c>
      <c r="G31" s="95" t="s">
        <v>19</v>
      </c>
      <c r="H31" s="95" t="s">
        <v>21</v>
      </c>
      <c r="I31" s="95" t="s">
        <v>745</v>
      </c>
      <c r="J31" s="97">
        <v>45980.93934144676</v>
      </c>
      <c r="K31" s="95" t="s">
        <v>758</v>
      </c>
      <c r="L31" s="96" t="s">
        <v>759</v>
      </c>
      <c r="M31" s="95" t="s">
        <v>74</v>
      </c>
      <c r="N31" s="95" t="s">
        <v>754</v>
      </c>
      <c r="O31" s="95" t="s">
        <v>754</v>
      </c>
      <c r="P31" s="95" t="s">
        <v>755</v>
      </c>
      <c r="Q31" s="98">
        <v>3.0</v>
      </c>
      <c r="R31" s="97">
        <v>45895.11125</v>
      </c>
      <c r="S31" s="99">
        <v>4650.0</v>
      </c>
      <c r="T31" s="99">
        <v>28.0</v>
      </c>
      <c r="U31" s="99">
        <v>1.0</v>
      </c>
      <c r="V31" s="99">
        <v>32.0</v>
      </c>
      <c r="W31" s="99">
        <v>158143.0</v>
      </c>
    </row>
    <row r="32" ht="15.75" customHeight="1">
      <c r="A32" s="95" t="s">
        <v>760</v>
      </c>
      <c r="B32" s="95" t="s">
        <v>22</v>
      </c>
      <c r="C32" s="96" t="s">
        <v>761</v>
      </c>
      <c r="D32" s="95" t="s">
        <v>20</v>
      </c>
      <c r="E32" s="95" t="s">
        <v>762</v>
      </c>
      <c r="F32" s="95" t="s">
        <v>19</v>
      </c>
      <c r="G32" s="95" t="s">
        <v>588</v>
      </c>
      <c r="H32" s="95" t="s">
        <v>21</v>
      </c>
      <c r="I32" s="95" t="s">
        <v>589</v>
      </c>
      <c r="J32" s="97">
        <v>46021.50510549769</v>
      </c>
      <c r="K32" s="95" t="s">
        <v>763</v>
      </c>
      <c r="L32" s="96" t="s">
        <v>764</v>
      </c>
      <c r="M32" s="95" t="s">
        <v>67</v>
      </c>
      <c r="N32" s="95" t="s">
        <v>765</v>
      </c>
      <c r="O32" s="95" t="s">
        <v>765</v>
      </c>
      <c r="P32" s="95" t="s">
        <v>766</v>
      </c>
      <c r="Q32" s="98">
        <v>3.0</v>
      </c>
      <c r="R32" s="97">
        <v>45853.87464120371</v>
      </c>
      <c r="S32" s="99">
        <v>798.0</v>
      </c>
      <c r="T32" s="99">
        <v>62.0</v>
      </c>
      <c r="U32" s="99">
        <v>3.0</v>
      </c>
      <c r="V32" s="99">
        <v>44.0</v>
      </c>
      <c r="W32" s="99">
        <v>140141.0</v>
      </c>
    </row>
    <row r="33" ht="15.75" customHeight="1">
      <c r="A33" s="95" t="s">
        <v>767</v>
      </c>
      <c r="B33" s="95" t="s">
        <v>22</v>
      </c>
      <c r="C33" s="96" t="s">
        <v>768</v>
      </c>
      <c r="D33" s="95" t="s">
        <v>68</v>
      </c>
      <c r="E33" s="95" t="s">
        <v>769</v>
      </c>
      <c r="F33" s="95" t="s">
        <v>19</v>
      </c>
      <c r="G33" s="95" t="s">
        <v>19</v>
      </c>
      <c r="H33" s="95" t="s">
        <v>21</v>
      </c>
      <c r="I33" s="95" t="s">
        <v>589</v>
      </c>
      <c r="J33" s="97">
        <v>46021.49287208333</v>
      </c>
      <c r="K33" s="95" t="s">
        <v>770</v>
      </c>
      <c r="L33" s="96" t="s">
        <v>771</v>
      </c>
      <c r="M33" s="95" t="s">
        <v>28</v>
      </c>
      <c r="N33" s="95" t="s">
        <v>772</v>
      </c>
      <c r="O33" s="95" t="s">
        <v>772</v>
      </c>
      <c r="P33" s="95" t="s">
        <v>773</v>
      </c>
      <c r="Q33" s="98">
        <v>3.0</v>
      </c>
      <c r="R33" s="97">
        <v>45674.42975694445</v>
      </c>
      <c r="S33" s="99">
        <v>230.0</v>
      </c>
      <c r="T33" s="99">
        <v>113.0</v>
      </c>
      <c r="U33" s="99">
        <v>2.0</v>
      </c>
      <c r="V33" s="99">
        <v>141.0</v>
      </c>
      <c r="W33" s="99">
        <v>21554.0</v>
      </c>
    </row>
    <row r="34" ht="15.75" customHeight="1">
      <c r="A34" s="95" t="s">
        <v>774</v>
      </c>
      <c r="B34" s="95" t="s">
        <v>101</v>
      </c>
      <c r="C34" s="96" t="s">
        <v>775</v>
      </c>
      <c r="D34" s="95" t="s">
        <v>39</v>
      </c>
      <c r="E34" s="95" t="s">
        <v>39</v>
      </c>
      <c r="F34" s="95" t="s">
        <v>19</v>
      </c>
      <c r="G34" s="95" t="s">
        <v>19</v>
      </c>
      <c r="H34" s="95" t="s">
        <v>21</v>
      </c>
      <c r="I34" s="95" t="s">
        <v>776</v>
      </c>
      <c r="J34" s="97">
        <v>45975.67928111111</v>
      </c>
      <c r="K34" s="96" t="s">
        <v>777</v>
      </c>
      <c r="L34" s="96" t="s">
        <v>778</v>
      </c>
      <c r="M34" s="95" t="s">
        <v>105</v>
      </c>
      <c r="N34" s="95" t="s">
        <v>107</v>
      </c>
      <c r="O34" s="95" t="s">
        <v>107</v>
      </c>
      <c r="P34" s="95" t="s">
        <v>779</v>
      </c>
      <c r="Q34" s="98">
        <v>3.0</v>
      </c>
      <c r="R34" s="97">
        <v>45374.43184027778</v>
      </c>
      <c r="S34" s="99">
        <v>3366.0</v>
      </c>
      <c r="T34" s="99">
        <v>215.0</v>
      </c>
      <c r="U34" s="99">
        <v>1.0</v>
      </c>
      <c r="V34" s="99">
        <v>94.0</v>
      </c>
      <c r="W34" s="99">
        <v>139910.0</v>
      </c>
    </row>
    <row r="35" ht="15.75" customHeight="1">
      <c r="A35" s="95" t="s">
        <v>106</v>
      </c>
      <c r="B35" s="95" t="s">
        <v>101</v>
      </c>
      <c r="C35" s="96" t="s">
        <v>110</v>
      </c>
      <c r="D35" s="95" t="s">
        <v>168</v>
      </c>
      <c r="E35" s="95" t="s">
        <v>780</v>
      </c>
      <c r="F35" s="95" t="s">
        <v>19</v>
      </c>
      <c r="G35" s="95" t="s">
        <v>19</v>
      </c>
      <c r="H35" s="95" t="s">
        <v>21</v>
      </c>
      <c r="I35" s="95" t="s">
        <v>781</v>
      </c>
      <c r="J35" s="97">
        <v>45975.67930055556</v>
      </c>
      <c r="K35" s="96" t="s">
        <v>109</v>
      </c>
      <c r="L35" s="96" t="s">
        <v>108</v>
      </c>
      <c r="M35" s="95" t="s">
        <v>105</v>
      </c>
      <c r="N35" s="95" t="s">
        <v>107</v>
      </c>
      <c r="O35" s="95" t="s">
        <v>107</v>
      </c>
      <c r="P35" s="95" t="s">
        <v>779</v>
      </c>
      <c r="Q35" s="98">
        <v>3.0</v>
      </c>
      <c r="R35" s="97">
        <v>45235.75480324074</v>
      </c>
      <c r="S35" s="99">
        <v>3366.0</v>
      </c>
      <c r="T35" s="99">
        <v>142.0</v>
      </c>
      <c r="U35" s="99">
        <v>1.0</v>
      </c>
      <c r="V35" s="99">
        <v>265.0</v>
      </c>
      <c r="W35" s="99">
        <v>139910.0</v>
      </c>
    </row>
    <row r="36" ht="15.75" customHeight="1">
      <c r="A36" s="95" t="s">
        <v>782</v>
      </c>
      <c r="B36" s="95" t="s">
        <v>22</v>
      </c>
      <c r="C36" s="96" t="s">
        <v>783</v>
      </c>
      <c r="D36" s="95" t="s">
        <v>168</v>
      </c>
      <c r="E36" s="95" t="s">
        <v>168</v>
      </c>
      <c r="F36" s="95" t="s">
        <v>19</v>
      </c>
      <c r="G36" s="95" t="s">
        <v>19</v>
      </c>
      <c r="H36" s="95" t="s">
        <v>21</v>
      </c>
      <c r="I36" s="95" t="s">
        <v>567</v>
      </c>
      <c r="J36" s="97">
        <v>45975.67930055556</v>
      </c>
      <c r="K36" s="96" t="s">
        <v>784</v>
      </c>
      <c r="L36" s="96" t="s">
        <v>785</v>
      </c>
      <c r="M36" s="95" t="s">
        <v>105</v>
      </c>
      <c r="N36" s="95" t="s">
        <v>107</v>
      </c>
      <c r="O36" s="95" t="s">
        <v>107</v>
      </c>
      <c r="P36" s="95" t="s">
        <v>779</v>
      </c>
      <c r="Q36" s="98">
        <v>3.0</v>
      </c>
      <c r="R36" s="97">
        <v>45783.741875</v>
      </c>
      <c r="S36" s="99">
        <v>3366.0</v>
      </c>
      <c r="T36" s="99">
        <v>224.0</v>
      </c>
      <c r="U36" s="99">
        <v>1.0</v>
      </c>
      <c r="V36" s="99">
        <v>292.0</v>
      </c>
      <c r="W36" s="99">
        <v>139910.0</v>
      </c>
    </row>
    <row r="37" ht="15.75" customHeight="1">
      <c r="A37" s="95" t="s">
        <v>786</v>
      </c>
      <c r="B37" s="95" t="s">
        <v>22</v>
      </c>
      <c r="C37" s="96" t="s">
        <v>787</v>
      </c>
      <c r="D37" s="95" t="s">
        <v>124</v>
      </c>
      <c r="E37" s="95" t="s">
        <v>124</v>
      </c>
      <c r="F37" s="95" t="s">
        <v>19</v>
      </c>
      <c r="G37" s="95"/>
      <c r="H37" s="95" t="s">
        <v>21</v>
      </c>
      <c r="I37" s="95" t="s">
        <v>567</v>
      </c>
      <c r="J37" s="97">
        <v>45975.67937972222</v>
      </c>
      <c r="K37" s="96" t="s">
        <v>788</v>
      </c>
      <c r="L37" s="96" t="s">
        <v>789</v>
      </c>
      <c r="M37" s="95" t="s">
        <v>74</v>
      </c>
      <c r="N37" s="95" t="s">
        <v>790</v>
      </c>
      <c r="O37" s="95" t="s">
        <v>790</v>
      </c>
      <c r="P37" s="95" t="s">
        <v>791</v>
      </c>
      <c r="Q37" s="98">
        <v>3.0</v>
      </c>
      <c r="R37" s="97">
        <v>45701.99546296296</v>
      </c>
      <c r="S37" s="99">
        <v>25029.0</v>
      </c>
      <c r="T37" s="99">
        <v>10.0</v>
      </c>
      <c r="U37" s="99">
        <v>2.0</v>
      </c>
      <c r="V37" s="99">
        <v>26.0</v>
      </c>
      <c r="W37" s="99">
        <v>999999.0</v>
      </c>
    </row>
    <row r="38" ht="15.75" customHeight="1">
      <c r="A38" s="95" t="s">
        <v>792</v>
      </c>
      <c r="B38" s="95" t="s">
        <v>131</v>
      </c>
      <c r="C38" s="96" t="s">
        <v>793</v>
      </c>
      <c r="D38" s="95" t="s">
        <v>124</v>
      </c>
      <c r="E38" s="95" t="s">
        <v>794</v>
      </c>
      <c r="F38" s="95" t="s">
        <v>58</v>
      </c>
      <c r="G38" s="95" t="s">
        <v>58</v>
      </c>
      <c r="H38" s="95" t="s">
        <v>60</v>
      </c>
      <c r="I38" s="95" t="s">
        <v>795</v>
      </c>
      <c r="J38" s="97">
        <v>46008.62907607639</v>
      </c>
      <c r="K38" s="96" t="s">
        <v>796</v>
      </c>
      <c r="L38" s="96" t="s">
        <v>797</v>
      </c>
      <c r="M38" s="95" t="s">
        <v>74</v>
      </c>
      <c r="N38" s="95" t="s">
        <v>790</v>
      </c>
      <c r="O38" s="95" t="s">
        <v>790</v>
      </c>
      <c r="P38" s="95" t="s">
        <v>791</v>
      </c>
      <c r="Q38" s="98">
        <v>3.0</v>
      </c>
      <c r="R38" s="97">
        <v>45707.998125</v>
      </c>
      <c r="S38" s="99">
        <v>25029.0</v>
      </c>
      <c r="T38" s="99">
        <v>25.0</v>
      </c>
      <c r="U38" s="99">
        <v>131.0</v>
      </c>
      <c r="V38" s="99">
        <v>243.0</v>
      </c>
      <c r="W38" s="99">
        <v>999999.0</v>
      </c>
    </row>
    <row r="39" ht="15.75" customHeight="1">
      <c r="A39" s="95" t="s">
        <v>798</v>
      </c>
      <c r="B39" s="95" t="s">
        <v>22</v>
      </c>
      <c r="C39" s="96" t="s">
        <v>799</v>
      </c>
      <c r="D39" s="95" t="s">
        <v>39</v>
      </c>
      <c r="E39" s="95" t="s">
        <v>39</v>
      </c>
      <c r="F39" s="95" t="s">
        <v>19</v>
      </c>
      <c r="G39" s="95" t="s">
        <v>19</v>
      </c>
      <c r="H39" s="95" t="s">
        <v>21</v>
      </c>
      <c r="I39" s="95" t="s">
        <v>711</v>
      </c>
      <c r="J39" s="97">
        <v>46021.50510549769</v>
      </c>
      <c r="K39" s="95" t="s">
        <v>800</v>
      </c>
      <c r="L39" s="96" t="s">
        <v>801</v>
      </c>
      <c r="M39" s="95" t="s">
        <v>503</v>
      </c>
      <c r="N39" s="95" t="s">
        <v>802</v>
      </c>
      <c r="O39" s="95" t="s">
        <v>802</v>
      </c>
      <c r="P39" s="95" t="s">
        <v>803</v>
      </c>
      <c r="Q39" s="98">
        <v>3.0</v>
      </c>
      <c r="R39" s="97">
        <v>45643.33175925926</v>
      </c>
      <c r="S39" s="99">
        <v>610.0</v>
      </c>
      <c r="T39" s="99">
        <v>121.0</v>
      </c>
      <c r="U39" s="99">
        <v>2.0</v>
      </c>
      <c r="V39" s="99">
        <v>33.0</v>
      </c>
      <c r="W39" s="99">
        <v>2586.0</v>
      </c>
    </row>
    <row r="40" ht="15.75" customHeight="1">
      <c r="A40" s="95" t="s">
        <v>804</v>
      </c>
      <c r="B40" s="95" t="s">
        <v>22</v>
      </c>
      <c r="C40" s="96" t="s">
        <v>805</v>
      </c>
      <c r="D40" s="95" t="s">
        <v>68</v>
      </c>
      <c r="E40" s="95" t="s">
        <v>769</v>
      </c>
      <c r="F40" s="95" t="s">
        <v>19</v>
      </c>
      <c r="G40" s="95" t="s">
        <v>588</v>
      </c>
      <c r="H40" s="95" t="s">
        <v>21</v>
      </c>
      <c r="I40" s="95" t="s">
        <v>589</v>
      </c>
      <c r="J40" s="97">
        <v>46008.62901361111</v>
      </c>
      <c r="K40" s="96" t="s">
        <v>806</v>
      </c>
      <c r="L40" s="96" t="s">
        <v>807</v>
      </c>
      <c r="M40" s="95" t="s">
        <v>17</v>
      </c>
      <c r="N40" s="95" t="s">
        <v>808</v>
      </c>
      <c r="O40" s="95" t="s">
        <v>808</v>
      </c>
      <c r="P40" s="95" t="s">
        <v>809</v>
      </c>
      <c r="Q40" s="98">
        <v>3.0</v>
      </c>
      <c r="R40" s="97">
        <v>45872.60163194445</v>
      </c>
      <c r="S40" s="99">
        <v>458.0</v>
      </c>
      <c r="T40" s="99">
        <v>487.0</v>
      </c>
      <c r="U40" s="99">
        <v>15.0</v>
      </c>
      <c r="V40" s="99">
        <v>397.0</v>
      </c>
      <c r="W40" s="99">
        <v>26002.0</v>
      </c>
    </row>
    <row r="41" ht="15.75" customHeight="1">
      <c r="A41" s="95" t="s">
        <v>810</v>
      </c>
      <c r="B41" s="95" t="s">
        <v>22</v>
      </c>
      <c r="C41" s="96" t="s">
        <v>811</v>
      </c>
      <c r="D41" s="95" t="s">
        <v>168</v>
      </c>
      <c r="E41" s="95" t="s">
        <v>606</v>
      </c>
      <c r="F41" s="95" t="s">
        <v>19</v>
      </c>
      <c r="G41" s="95" t="s">
        <v>19</v>
      </c>
      <c r="H41" s="95" t="s">
        <v>21</v>
      </c>
      <c r="I41" s="95" t="s">
        <v>567</v>
      </c>
      <c r="J41" s="97">
        <v>45993.7854622338</v>
      </c>
      <c r="K41" s="96" t="s">
        <v>812</v>
      </c>
      <c r="L41" s="96" t="s">
        <v>813</v>
      </c>
      <c r="M41" s="95" t="s">
        <v>17</v>
      </c>
      <c r="N41" s="95" t="s">
        <v>814</v>
      </c>
      <c r="O41" s="95" t="s">
        <v>814</v>
      </c>
      <c r="P41" s="95" t="s">
        <v>815</v>
      </c>
      <c r="Q41" s="98">
        <v>3.0</v>
      </c>
      <c r="R41" s="97">
        <v>45704.87060185185</v>
      </c>
      <c r="S41" s="99">
        <v>163.0</v>
      </c>
      <c r="T41" s="99">
        <v>43.0</v>
      </c>
      <c r="U41" s="99">
        <v>4.0</v>
      </c>
      <c r="V41" s="99">
        <v>65.0</v>
      </c>
      <c r="W41" s="99">
        <v>27461.0</v>
      </c>
    </row>
    <row r="42" ht="15.75" customHeight="1">
      <c r="A42" s="95" t="s">
        <v>816</v>
      </c>
      <c r="B42" s="95" t="s">
        <v>22</v>
      </c>
      <c r="C42" s="96" t="s">
        <v>817</v>
      </c>
      <c r="D42" s="95" t="s">
        <v>168</v>
      </c>
      <c r="E42" s="95" t="s">
        <v>818</v>
      </c>
      <c r="F42" s="95" t="s">
        <v>19</v>
      </c>
      <c r="G42" s="95" t="s">
        <v>19</v>
      </c>
      <c r="H42" s="95" t="s">
        <v>21</v>
      </c>
      <c r="I42" s="95" t="s">
        <v>677</v>
      </c>
      <c r="J42" s="97">
        <v>45975.6793321412</v>
      </c>
      <c r="K42" s="96" t="s">
        <v>819</v>
      </c>
      <c r="L42" s="96" t="s">
        <v>820</v>
      </c>
      <c r="M42" s="95" t="s">
        <v>17</v>
      </c>
      <c r="N42" s="95" t="s">
        <v>821</v>
      </c>
      <c r="O42" s="95" t="s">
        <v>821</v>
      </c>
      <c r="P42" s="95" t="s">
        <v>822</v>
      </c>
      <c r="Q42" s="98">
        <v>3.0</v>
      </c>
      <c r="R42" s="97">
        <v>45733.54886574074</v>
      </c>
      <c r="S42" s="99">
        <v>75.0</v>
      </c>
      <c r="T42" s="99">
        <v>59.0</v>
      </c>
      <c r="U42" s="99">
        <v>1.0</v>
      </c>
      <c r="V42" s="99">
        <v>57.0</v>
      </c>
      <c r="W42" s="99">
        <v>999999.0</v>
      </c>
    </row>
    <row r="43" ht="15.75" customHeight="1">
      <c r="A43" s="95" t="s">
        <v>823</v>
      </c>
      <c r="B43" s="95" t="s">
        <v>22</v>
      </c>
      <c r="C43" s="96" t="s">
        <v>824</v>
      </c>
      <c r="D43" s="95" t="s">
        <v>20</v>
      </c>
      <c r="E43" s="95" t="s">
        <v>20</v>
      </c>
      <c r="F43" s="95" t="s">
        <v>19</v>
      </c>
      <c r="G43" s="95" t="s">
        <v>19</v>
      </c>
      <c r="H43" s="95" t="s">
        <v>21</v>
      </c>
      <c r="I43" s="95" t="s">
        <v>677</v>
      </c>
      <c r="J43" s="97">
        <v>45975.6793321412</v>
      </c>
      <c r="K43" s="96" t="s">
        <v>825</v>
      </c>
      <c r="L43" s="96" t="s">
        <v>826</v>
      </c>
      <c r="M43" s="95" t="s">
        <v>17</v>
      </c>
      <c r="N43" s="95" t="s">
        <v>827</v>
      </c>
      <c r="O43" s="95" t="s">
        <v>827</v>
      </c>
      <c r="P43" s="95" t="s">
        <v>828</v>
      </c>
      <c r="Q43" s="98">
        <v>3.0</v>
      </c>
      <c r="R43" s="97">
        <v>45631.86409722222</v>
      </c>
      <c r="S43" s="99">
        <v>0.0</v>
      </c>
      <c r="T43" s="99">
        <v>2.0</v>
      </c>
      <c r="U43" s="99">
        <v>3.0</v>
      </c>
      <c r="V43" s="99">
        <v>157.0</v>
      </c>
      <c r="W43" s="99">
        <v>999999.0</v>
      </c>
    </row>
    <row r="44" ht="15.75" customHeight="1">
      <c r="A44" s="95" t="s">
        <v>829</v>
      </c>
      <c r="B44" s="95" t="s">
        <v>22</v>
      </c>
      <c r="C44" s="96" t="s">
        <v>830</v>
      </c>
      <c r="D44" s="95" t="s">
        <v>20</v>
      </c>
      <c r="E44" s="95" t="s">
        <v>20</v>
      </c>
      <c r="F44" s="95" t="s">
        <v>19</v>
      </c>
      <c r="G44" s="95" t="s">
        <v>19</v>
      </c>
      <c r="H44" s="95" t="s">
        <v>21</v>
      </c>
      <c r="I44" s="95" t="s">
        <v>567</v>
      </c>
      <c r="J44" s="97">
        <v>45975.6793321412</v>
      </c>
      <c r="K44" s="96" t="s">
        <v>831</v>
      </c>
      <c r="L44" s="96" t="s">
        <v>832</v>
      </c>
      <c r="M44" s="95" t="s">
        <v>17</v>
      </c>
      <c r="N44" s="95" t="s">
        <v>827</v>
      </c>
      <c r="O44" s="95" t="s">
        <v>827</v>
      </c>
      <c r="P44" s="95" t="s">
        <v>828</v>
      </c>
      <c r="Q44" s="98">
        <v>3.0</v>
      </c>
      <c r="R44" s="97">
        <v>45755.30460648148</v>
      </c>
      <c r="S44" s="99">
        <v>0.0</v>
      </c>
      <c r="T44" s="99">
        <v>1.0</v>
      </c>
      <c r="U44" s="99">
        <v>1.0</v>
      </c>
      <c r="V44" s="99">
        <v>103.0</v>
      </c>
      <c r="W44" s="99">
        <v>999999.0</v>
      </c>
    </row>
    <row r="45" ht="15.75" customHeight="1">
      <c r="A45" s="95" t="s">
        <v>833</v>
      </c>
      <c r="B45" s="95" t="s">
        <v>22</v>
      </c>
      <c r="C45" s="96" t="s">
        <v>834</v>
      </c>
      <c r="D45" s="95" t="s">
        <v>20</v>
      </c>
      <c r="E45" s="95" t="s">
        <v>20</v>
      </c>
      <c r="F45" s="95" t="s">
        <v>19</v>
      </c>
      <c r="G45" s="95" t="s">
        <v>19</v>
      </c>
      <c r="H45" s="95" t="s">
        <v>21</v>
      </c>
      <c r="I45" s="95" t="s">
        <v>567</v>
      </c>
      <c r="J45" s="97">
        <v>45975.6793321412</v>
      </c>
      <c r="K45" s="96" t="s">
        <v>835</v>
      </c>
      <c r="L45" s="96" t="s">
        <v>836</v>
      </c>
      <c r="M45" s="95" t="s">
        <v>17</v>
      </c>
      <c r="N45" s="95" t="s">
        <v>827</v>
      </c>
      <c r="O45" s="95" t="s">
        <v>827</v>
      </c>
      <c r="P45" s="95" t="s">
        <v>828</v>
      </c>
      <c r="Q45" s="98">
        <v>3.0</v>
      </c>
      <c r="R45" s="97">
        <v>45672.3714699074</v>
      </c>
      <c r="S45" s="99">
        <v>0.0</v>
      </c>
      <c r="T45" s="99">
        <v>26.0</v>
      </c>
      <c r="U45" s="99">
        <v>3.0</v>
      </c>
      <c r="V45" s="99">
        <v>203.0</v>
      </c>
      <c r="W45" s="99">
        <v>999999.0</v>
      </c>
    </row>
    <row r="46" ht="15.75" customHeight="1">
      <c r="A46" s="95" t="s">
        <v>837</v>
      </c>
      <c r="B46" s="95" t="s">
        <v>69</v>
      </c>
      <c r="C46" s="96" t="s">
        <v>838</v>
      </c>
      <c r="D46" s="95" t="s">
        <v>20</v>
      </c>
      <c r="E46" s="95" t="s">
        <v>638</v>
      </c>
      <c r="F46" s="95" t="s">
        <v>19</v>
      </c>
      <c r="G46" s="95" t="s">
        <v>839</v>
      </c>
      <c r="H46" s="95" t="s">
        <v>60</v>
      </c>
      <c r="I46" s="95" t="s">
        <v>840</v>
      </c>
      <c r="J46" s="97">
        <v>46008.62901144676</v>
      </c>
      <c r="K46" s="96" t="s">
        <v>841</v>
      </c>
      <c r="L46" s="96" t="s">
        <v>842</v>
      </c>
      <c r="M46" s="95" t="s">
        <v>17</v>
      </c>
      <c r="N46" s="95" t="s">
        <v>827</v>
      </c>
      <c r="O46" s="95" t="s">
        <v>827</v>
      </c>
      <c r="P46" s="95" t="s">
        <v>828</v>
      </c>
      <c r="Q46" s="98">
        <v>3.0</v>
      </c>
      <c r="R46" s="97">
        <v>45679.67083333333</v>
      </c>
      <c r="S46" s="99">
        <v>0.0</v>
      </c>
      <c r="T46" s="99">
        <v>3.0</v>
      </c>
      <c r="U46" s="99">
        <v>1.0</v>
      </c>
      <c r="V46" s="99">
        <v>295.0</v>
      </c>
      <c r="W46" s="99">
        <v>999999.0</v>
      </c>
    </row>
    <row r="47" ht="15.75" customHeight="1">
      <c r="A47" s="95" t="s">
        <v>843</v>
      </c>
      <c r="B47" s="95" t="s">
        <v>22</v>
      </c>
      <c r="C47" s="96" t="s">
        <v>844</v>
      </c>
      <c r="D47" s="95" t="s">
        <v>20</v>
      </c>
      <c r="E47" s="95" t="s">
        <v>845</v>
      </c>
      <c r="F47" s="95" t="s">
        <v>19</v>
      </c>
      <c r="G47" s="95" t="s">
        <v>19</v>
      </c>
      <c r="H47" s="95" t="s">
        <v>21</v>
      </c>
      <c r="I47" s="95" t="s">
        <v>589</v>
      </c>
      <c r="J47" s="97">
        <v>45975.6793321412</v>
      </c>
      <c r="K47" s="96" t="s">
        <v>846</v>
      </c>
      <c r="L47" s="96" t="s">
        <v>847</v>
      </c>
      <c r="M47" s="95" t="s">
        <v>17</v>
      </c>
      <c r="N47" s="95" t="s">
        <v>848</v>
      </c>
      <c r="O47" s="95" t="s">
        <v>848</v>
      </c>
      <c r="P47" s="95" t="s">
        <v>849</v>
      </c>
      <c r="Q47" s="98">
        <v>3.0</v>
      </c>
      <c r="R47" s="97">
        <v>45602.57177083333</v>
      </c>
      <c r="S47" s="99">
        <v>528.0</v>
      </c>
      <c r="T47" s="99">
        <v>267.0</v>
      </c>
      <c r="U47" s="99">
        <v>4.0</v>
      </c>
      <c r="V47" s="99">
        <v>198.0</v>
      </c>
      <c r="W47" s="99">
        <v>33439.0</v>
      </c>
    </row>
    <row r="48" ht="15.75" customHeight="1">
      <c r="A48" s="95" t="s">
        <v>850</v>
      </c>
      <c r="B48" s="95" t="s">
        <v>101</v>
      </c>
      <c r="C48" s="96" t="s">
        <v>851</v>
      </c>
      <c r="D48" s="95" t="s">
        <v>20</v>
      </c>
      <c r="E48" s="95" t="s">
        <v>852</v>
      </c>
      <c r="F48" s="95" t="s">
        <v>19</v>
      </c>
      <c r="G48" s="95" t="s">
        <v>588</v>
      </c>
      <c r="H48" s="95" t="s">
        <v>21</v>
      </c>
      <c r="I48" s="95" t="s">
        <v>853</v>
      </c>
      <c r="J48" s="97">
        <v>46008.62901142361</v>
      </c>
      <c r="K48" s="96" t="s">
        <v>854</v>
      </c>
      <c r="L48" s="96" t="s">
        <v>855</v>
      </c>
      <c r="M48" s="95" t="s">
        <v>17</v>
      </c>
      <c r="N48" s="95" t="s">
        <v>848</v>
      </c>
      <c r="O48" s="95" t="s">
        <v>848</v>
      </c>
      <c r="P48" s="95" t="s">
        <v>849</v>
      </c>
      <c r="Q48" s="98">
        <v>3.0</v>
      </c>
      <c r="R48" s="97">
        <v>45601.53961805555</v>
      </c>
      <c r="S48" s="99">
        <v>528.0</v>
      </c>
      <c r="T48" s="99">
        <v>55.0</v>
      </c>
      <c r="U48" s="99">
        <v>15.0</v>
      </c>
      <c r="V48" s="99">
        <v>345.0</v>
      </c>
      <c r="W48" s="99">
        <v>33439.0</v>
      </c>
    </row>
    <row r="49" ht="15.75" customHeight="1">
      <c r="A49" s="95" t="s">
        <v>856</v>
      </c>
      <c r="B49" s="95" t="s">
        <v>157</v>
      </c>
      <c r="C49" s="96" t="s">
        <v>857</v>
      </c>
      <c r="D49" s="95" t="s">
        <v>20</v>
      </c>
      <c r="E49" s="95" t="s">
        <v>638</v>
      </c>
      <c r="F49" s="95" t="s">
        <v>88</v>
      </c>
      <c r="G49" s="95" t="s">
        <v>858</v>
      </c>
      <c r="H49" s="95" t="s">
        <v>89</v>
      </c>
      <c r="I49" s="95" t="s">
        <v>859</v>
      </c>
      <c r="J49" s="97">
        <v>46011.73367328704</v>
      </c>
      <c r="K49" s="95" t="s">
        <v>860</v>
      </c>
      <c r="L49" s="96" t="s">
        <v>861</v>
      </c>
      <c r="M49" s="95" t="s">
        <v>93</v>
      </c>
      <c r="N49" s="95" t="s">
        <v>862</v>
      </c>
      <c r="O49" s="95" t="s">
        <v>862</v>
      </c>
      <c r="P49" s="95" t="s">
        <v>863</v>
      </c>
      <c r="Q49" s="98">
        <v>3.0</v>
      </c>
      <c r="R49" s="97">
        <v>45994.12162037037</v>
      </c>
      <c r="S49" s="99">
        <v>2050.0</v>
      </c>
      <c r="T49" s="99">
        <v>1324.0</v>
      </c>
      <c r="U49" s="99">
        <v>39.0</v>
      </c>
      <c r="V49" s="99">
        <v>448.0</v>
      </c>
      <c r="W49" s="99">
        <v>211561.0</v>
      </c>
    </row>
    <row r="50" ht="15.75" customHeight="1">
      <c r="A50" s="95" t="s">
        <v>864</v>
      </c>
      <c r="B50" s="95" t="s">
        <v>22</v>
      </c>
      <c r="C50" s="96" t="s">
        <v>865</v>
      </c>
      <c r="D50" s="95" t="s">
        <v>20</v>
      </c>
      <c r="E50" s="95" t="s">
        <v>638</v>
      </c>
      <c r="F50" s="95" t="s">
        <v>19</v>
      </c>
      <c r="G50" s="95" t="s">
        <v>19</v>
      </c>
      <c r="H50" s="95" t="s">
        <v>21</v>
      </c>
      <c r="I50" s="95" t="s">
        <v>567</v>
      </c>
      <c r="J50" s="97">
        <v>45978.46468967593</v>
      </c>
      <c r="K50" s="95" t="s">
        <v>866</v>
      </c>
      <c r="L50" s="96" t="s">
        <v>867</v>
      </c>
      <c r="M50" s="95" t="s">
        <v>17</v>
      </c>
      <c r="N50" s="95" t="s">
        <v>868</v>
      </c>
      <c r="O50" s="95" t="s">
        <v>868</v>
      </c>
      <c r="P50" s="95" t="s">
        <v>869</v>
      </c>
      <c r="Q50" s="98">
        <v>3.0</v>
      </c>
      <c r="R50" s="97">
        <v>45629.35211805555</v>
      </c>
      <c r="S50" s="99">
        <v>2092.0</v>
      </c>
      <c r="T50" s="99">
        <v>7.0</v>
      </c>
      <c r="U50" s="99">
        <v>2.0</v>
      </c>
      <c r="V50" s="99">
        <v>37.0</v>
      </c>
      <c r="W50" s="99">
        <v>18540.0</v>
      </c>
    </row>
    <row r="51" ht="15.75" customHeight="1">
      <c r="A51" s="95" t="s">
        <v>870</v>
      </c>
      <c r="B51" s="95" t="s">
        <v>131</v>
      </c>
      <c r="C51" s="96" t="s">
        <v>871</v>
      </c>
      <c r="D51" s="95" t="s">
        <v>20</v>
      </c>
      <c r="E51" s="95" t="s">
        <v>872</v>
      </c>
      <c r="F51" s="95" t="s">
        <v>19</v>
      </c>
      <c r="G51" s="95" t="s">
        <v>19</v>
      </c>
      <c r="H51" s="95" t="s">
        <v>21</v>
      </c>
      <c r="I51" s="95" t="s">
        <v>647</v>
      </c>
      <c r="J51" s="97">
        <v>46021.50930244213</v>
      </c>
      <c r="K51" s="95" t="s">
        <v>873</v>
      </c>
      <c r="L51" s="96" t="s">
        <v>874</v>
      </c>
      <c r="M51" s="95" t="s">
        <v>54</v>
      </c>
      <c r="N51" s="95" t="s">
        <v>875</v>
      </c>
      <c r="O51" s="95" t="s">
        <v>875</v>
      </c>
      <c r="P51" s="95" t="s">
        <v>876</v>
      </c>
      <c r="Q51" s="98">
        <v>3.0</v>
      </c>
      <c r="R51" s="97">
        <v>45948.37239583334</v>
      </c>
      <c r="S51" s="99">
        <v>119.0</v>
      </c>
      <c r="T51" s="99">
        <v>397.0</v>
      </c>
      <c r="U51" s="99">
        <v>127.0</v>
      </c>
      <c r="V51" s="99">
        <v>1583.0</v>
      </c>
      <c r="W51" s="99">
        <v>72842.0</v>
      </c>
    </row>
    <row r="52" ht="15.75" customHeight="1">
      <c r="A52" s="95" t="s">
        <v>877</v>
      </c>
      <c r="B52" s="95" t="s">
        <v>22</v>
      </c>
      <c r="C52" s="96" t="s">
        <v>878</v>
      </c>
      <c r="D52" s="95" t="s">
        <v>20</v>
      </c>
      <c r="E52" s="95" t="s">
        <v>879</v>
      </c>
      <c r="F52" s="95" t="s">
        <v>19</v>
      </c>
      <c r="G52" s="95" t="s">
        <v>574</v>
      </c>
      <c r="H52" s="95" t="s">
        <v>21</v>
      </c>
      <c r="I52" s="95" t="s">
        <v>567</v>
      </c>
      <c r="J52" s="97">
        <v>46021.50930244213</v>
      </c>
      <c r="K52" s="95" t="s">
        <v>880</v>
      </c>
      <c r="L52" s="96" t="s">
        <v>881</v>
      </c>
      <c r="M52" s="95" t="s">
        <v>54</v>
      </c>
      <c r="N52" s="95" t="s">
        <v>875</v>
      </c>
      <c r="O52" s="95" t="s">
        <v>875</v>
      </c>
      <c r="P52" s="95" t="s">
        <v>876</v>
      </c>
      <c r="Q52" s="98">
        <v>3.0</v>
      </c>
      <c r="R52" s="97">
        <v>45871.80918981481</v>
      </c>
      <c r="S52" s="99">
        <v>119.0</v>
      </c>
      <c r="T52" s="99">
        <v>55.0</v>
      </c>
      <c r="U52" s="99">
        <v>13.0</v>
      </c>
      <c r="V52" s="99">
        <v>582.0</v>
      </c>
      <c r="W52" s="99">
        <v>72842.0</v>
      </c>
    </row>
    <row r="53" ht="15.75" customHeight="1">
      <c r="A53" s="95" t="s">
        <v>882</v>
      </c>
      <c r="B53" s="95" t="s">
        <v>22</v>
      </c>
      <c r="C53" s="96" t="s">
        <v>883</v>
      </c>
      <c r="D53" s="95" t="s">
        <v>20</v>
      </c>
      <c r="E53" s="95" t="s">
        <v>638</v>
      </c>
      <c r="F53" s="95" t="s">
        <v>19</v>
      </c>
      <c r="G53" s="95" t="s">
        <v>19</v>
      </c>
      <c r="H53" s="95" t="s">
        <v>21</v>
      </c>
      <c r="I53" s="95" t="s">
        <v>567</v>
      </c>
      <c r="J53" s="97">
        <v>45993.7854622338</v>
      </c>
      <c r="K53" s="96" t="s">
        <v>884</v>
      </c>
      <c r="L53" s="96" t="s">
        <v>885</v>
      </c>
      <c r="M53" s="95" t="s">
        <v>17</v>
      </c>
      <c r="N53" s="95" t="s">
        <v>886</v>
      </c>
      <c r="O53" s="95" t="s">
        <v>886</v>
      </c>
      <c r="P53" s="95" t="s">
        <v>887</v>
      </c>
      <c r="Q53" s="98">
        <v>3.0</v>
      </c>
      <c r="R53" s="97">
        <v>45737.31123842593</v>
      </c>
      <c r="S53" s="99">
        <v>101.0</v>
      </c>
      <c r="T53" s="99">
        <v>18.0</v>
      </c>
      <c r="U53" s="99">
        <v>4.0</v>
      </c>
      <c r="V53" s="99">
        <v>53.0</v>
      </c>
      <c r="W53" s="99">
        <v>5136.0</v>
      </c>
    </row>
    <row r="54" ht="15.75" customHeight="1">
      <c r="A54" s="95" t="s">
        <v>888</v>
      </c>
      <c r="B54" s="95" t="s">
        <v>101</v>
      </c>
      <c r="C54" s="96" t="s">
        <v>889</v>
      </c>
      <c r="D54" s="95" t="s">
        <v>39</v>
      </c>
      <c r="E54" s="95" t="s">
        <v>39</v>
      </c>
      <c r="F54" s="95" t="s">
        <v>19</v>
      </c>
      <c r="G54" s="95" t="s">
        <v>19</v>
      </c>
      <c r="H54" s="95" t="s">
        <v>21</v>
      </c>
      <c r="I54" s="95" t="s">
        <v>890</v>
      </c>
      <c r="J54" s="97">
        <v>46035.76896512732</v>
      </c>
      <c r="K54" s="95" t="s">
        <v>891</v>
      </c>
      <c r="L54" s="96" t="s">
        <v>892</v>
      </c>
      <c r="M54" s="95" t="s">
        <v>503</v>
      </c>
      <c r="N54" s="95" t="s">
        <v>893</v>
      </c>
      <c r="O54" s="95" t="s">
        <v>893</v>
      </c>
      <c r="P54" s="95" t="s">
        <v>894</v>
      </c>
      <c r="Q54" s="98">
        <v>3.0</v>
      </c>
      <c r="R54" s="97">
        <v>45706.85604166667</v>
      </c>
      <c r="S54" s="99">
        <v>6879.0</v>
      </c>
      <c r="T54" s="99">
        <v>40.0</v>
      </c>
      <c r="U54" s="99">
        <v>3.0</v>
      </c>
      <c r="V54" s="99">
        <v>16.0</v>
      </c>
      <c r="W54" s="99">
        <v>7502.0</v>
      </c>
    </row>
    <row r="55" ht="15.75" customHeight="1">
      <c r="A55" s="95" t="s">
        <v>895</v>
      </c>
      <c r="B55" s="95" t="s">
        <v>157</v>
      </c>
      <c r="C55" s="96" t="s">
        <v>896</v>
      </c>
      <c r="D55" s="95" t="s">
        <v>20</v>
      </c>
      <c r="E55" s="95" t="s">
        <v>20</v>
      </c>
      <c r="F55" s="95" t="s">
        <v>88</v>
      </c>
      <c r="G55" s="95" t="s">
        <v>88</v>
      </c>
      <c r="H55" s="95" t="s">
        <v>89</v>
      </c>
      <c r="I55" s="95" t="s">
        <v>897</v>
      </c>
      <c r="J55" s="97">
        <v>46008.62908494213</v>
      </c>
      <c r="K55" s="96" t="s">
        <v>898</v>
      </c>
      <c r="L55" s="95"/>
      <c r="M55" s="95" t="s">
        <v>74</v>
      </c>
      <c r="N55" s="95" t="s">
        <v>899</v>
      </c>
      <c r="O55" s="95" t="s">
        <v>899</v>
      </c>
      <c r="P55" s="95" t="s">
        <v>900</v>
      </c>
      <c r="Q55" s="98">
        <v>3.0</v>
      </c>
      <c r="R55" s="97">
        <v>45748.38079861111</v>
      </c>
      <c r="S55" s="99">
        <v>320.0</v>
      </c>
      <c r="T55" s="99">
        <v>67.0</v>
      </c>
      <c r="U55" s="99">
        <v>1.0</v>
      </c>
      <c r="V55" s="99">
        <v>138.0</v>
      </c>
      <c r="W55" s="99">
        <v>222669.0</v>
      </c>
    </row>
    <row r="56" ht="15.75" customHeight="1">
      <c r="A56" s="95" t="s">
        <v>901</v>
      </c>
      <c r="B56" s="95" t="s">
        <v>22</v>
      </c>
      <c r="C56" s="96" t="s">
        <v>902</v>
      </c>
      <c r="D56" s="95" t="s">
        <v>29</v>
      </c>
      <c r="E56" s="95" t="s">
        <v>598</v>
      </c>
      <c r="F56" s="95" t="s">
        <v>88</v>
      </c>
      <c r="G56" s="95" t="s">
        <v>903</v>
      </c>
      <c r="H56" s="95" t="s">
        <v>21</v>
      </c>
      <c r="I56" s="95" t="s">
        <v>589</v>
      </c>
      <c r="J56" s="97">
        <v>46008.62901141203</v>
      </c>
      <c r="K56" s="96" t="s">
        <v>904</v>
      </c>
      <c r="L56" s="96" t="s">
        <v>905</v>
      </c>
      <c r="M56" s="95" t="s">
        <v>17</v>
      </c>
      <c r="N56" s="95" t="s">
        <v>906</v>
      </c>
      <c r="O56" s="95" t="s">
        <v>906</v>
      </c>
      <c r="P56" s="95" t="s">
        <v>907</v>
      </c>
      <c r="Q56" s="98">
        <v>3.0</v>
      </c>
      <c r="R56" s="97">
        <v>45808.11832175926</v>
      </c>
      <c r="S56" s="99">
        <v>16258.0</v>
      </c>
      <c r="T56" s="99">
        <v>527.0</v>
      </c>
      <c r="U56" s="99">
        <v>4.0</v>
      </c>
      <c r="V56" s="99">
        <v>44.0</v>
      </c>
      <c r="W56" s="99">
        <v>91243.0</v>
      </c>
    </row>
    <row r="57" ht="15.75" customHeight="1">
      <c r="A57" s="95" t="s">
        <v>908</v>
      </c>
      <c r="B57" s="95" t="s">
        <v>157</v>
      </c>
      <c r="C57" s="96" t="s">
        <v>909</v>
      </c>
      <c r="D57" s="95" t="s">
        <v>29</v>
      </c>
      <c r="E57" s="95" t="s">
        <v>910</v>
      </c>
      <c r="F57" s="95" t="s">
        <v>88</v>
      </c>
      <c r="G57" s="95" t="s">
        <v>88</v>
      </c>
      <c r="H57" s="95" t="s">
        <v>89</v>
      </c>
      <c r="I57" s="95" t="s">
        <v>897</v>
      </c>
      <c r="J57" s="97">
        <v>45975.6793321412</v>
      </c>
      <c r="K57" s="96" t="s">
        <v>911</v>
      </c>
      <c r="L57" s="96" t="s">
        <v>912</v>
      </c>
      <c r="M57" s="95" t="s">
        <v>17</v>
      </c>
      <c r="N57" s="95" t="s">
        <v>913</v>
      </c>
      <c r="O57" s="95" t="s">
        <v>913</v>
      </c>
      <c r="P57" s="95" t="s">
        <v>914</v>
      </c>
      <c r="Q57" s="98">
        <v>3.0</v>
      </c>
      <c r="R57" s="97">
        <v>45717.83905092593</v>
      </c>
      <c r="S57" s="99">
        <v>5561.0</v>
      </c>
      <c r="T57" s="99">
        <v>1542.0</v>
      </c>
      <c r="U57" s="99">
        <v>17.0</v>
      </c>
      <c r="V57" s="99">
        <v>143.0</v>
      </c>
      <c r="W57" s="99">
        <v>118857.0</v>
      </c>
    </row>
    <row r="58" ht="15.75" customHeight="1">
      <c r="A58" s="95" t="s">
        <v>915</v>
      </c>
      <c r="B58" s="95" t="s">
        <v>131</v>
      </c>
      <c r="C58" s="96" t="s">
        <v>916</v>
      </c>
      <c r="D58" s="95" t="s">
        <v>130</v>
      </c>
      <c r="E58" s="95" t="s">
        <v>917</v>
      </c>
      <c r="F58" s="95" t="s">
        <v>19</v>
      </c>
      <c r="G58" s="95" t="s">
        <v>19</v>
      </c>
      <c r="H58" s="95" t="s">
        <v>21</v>
      </c>
      <c r="I58" s="95" t="s">
        <v>647</v>
      </c>
      <c r="J58" s="97">
        <v>46021.50930244213</v>
      </c>
      <c r="K58" s="95" t="s">
        <v>918</v>
      </c>
      <c r="L58" s="96" t="s">
        <v>919</v>
      </c>
      <c r="M58" s="95" t="s">
        <v>93</v>
      </c>
      <c r="N58" s="95" t="s">
        <v>920</v>
      </c>
      <c r="O58" s="95" t="s">
        <v>920</v>
      </c>
      <c r="P58" s="95" t="s">
        <v>921</v>
      </c>
      <c r="Q58" s="98">
        <v>3.0</v>
      </c>
      <c r="R58" s="97">
        <v>45937.57655092593</v>
      </c>
      <c r="S58" s="99">
        <v>118.0</v>
      </c>
      <c r="T58" s="99">
        <v>99.0</v>
      </c>
      <c r="U58" s="99">
        <v>9.0</v>
      </c>
      <c r="V58" s="99">
        <v>275.0</v>
      </c>
      <c r="W58" s="99">
        <v>6451.0</v>
      </c>
    </row>
    <row r="59" ht="15.75" customHeight="1">
      <c r="A59" s="95" t="s">
        <v>922</v>
      </c>
      <c r="B59" s="95" t="s">
        <v>131</v>
      </c>
      <c r="C59" s="96" t="s">
        <v>923</v>
      </c>
      <c r="D59" s="95" t="s">
        <v>130</v>
      </c>
      <c r="E59" s="95" t="s">
        <v>917</v>
      </c>
      <c r="F59" s="95" t="s">
        <v>19</v>
      </c>
      <c r="G59" s="95" t="s">
        <v>19</v>
      </c>
      <c r="H59" s="95" t="s">
        <v>21</v>
      </c>
      <c r="I59" s="95" t="s">
        <v>924</v>
      </c>
      <c r="J59" s="97">
        <v>46021.50930244213</v>
      </c>
      <c r="K59" s="95" t="s">
        <v>925</v>
      </c>
      <c r="L59" s="96" t="s">
        <v>926</v>
      </c>
      <c r="M59" s="95" t="s">
        <v>93</v>
      </c>
      <c r="N59" s="95" t="s">
        <v>920</v>
      </c>
      <c r="O59" s="95" t="s">
        <v>920</v>
      </c>
      <c r="P59" s="95" t="s">
        <v>921</v>
      </c>
      <c r="Q59" s="98">
        <v>3.0</v>
      </c>
      <c r="R59" s="97">
        <v>45714.50979166666</v>
      </c>
      <c r="S59" s="99">
        <v>118.0</v>
      </c>
      <c r="T59" s="99">
        <v>80.0</v>
      </c>
      <c r="U59" s="99">
        <v>18.0</v>
      </c>
      <c r="V59" s="99">
        <v>71.0</v>
      </c>
      <c r="W59" s="99">
        <v>6451.0</v>
      </c>
    </row>
    <row r="60" ht="15.75" customHeight="1">
      <c r="A60" s="95" t="s">
        <v>927</v>
      </c>
      <c r="B60" s="95" t="s">
        <v>22</v>
      </c>
      <c r="C60" s="96" t="s">
        <v>928</v>
      </c>
      <c r="D60" s="95" t="s">
        <v>39</v>
      </c>
      <c r="E60" s="95" t="s">
        <v>39</v>
      </c>
      <c r="F60" s="95" t="s">
        <v>19</v>
      </c>
      <c r="G60" s="95" t="s">
        <v>19</v>
      </c>
      <c r="H60" s="95" t="s">
        <v>21</v>
      </c>
      <c r="I60" s="95" t="s">
        <v>567</v>
      </c>
      <c r="J60" s="97">
        <v>46056.94211379629</v>
      </c>
      <c r="K60" s="95" t="s">
        <v>929</v>
      </c>
      <c r="L60" s="96" t="s">
        <v>930</v>
      </c>
      <c r="M60" s="95" t="s">
        <v>93</v>
      </c>
      <c r="N60" s="95" t="s">
        <v>931</v>
      </c>
      <c r="O60" s="95" t="s">
        <v>931</v>
      </c>
      <c r="P60" s="95" t="s">
        <v>932</v>
      </c>
      <c r="Q60" s="98">
        <v>3.0</v>
      </c>
      <c r="R60" s="97">
        <v>45620.06681712963</v>
      </c>
      <c r="S60" s="99">
        <v>194.0</v>
      </c>
      <c r="T60" s="99">
        <v>71.0</v>
      </c>
      <c r="U60" s="99">
        <v>1.0</v>
      </c>
      <c r="V60" s="99">
        <v>108.0</v>
      </c>
      <c r="W60" s="99">
        <v>4896.0</v>
      </c>
    </row>
    <row r="61" ht="15.75" customHeight="1">
      <c r="A61" s="95" t="s">
        <v>933</v>
      </c>
      <c r="B61" s="95" t="s">
        <v>22</v>
      </c>
      <c r="C61" s="96" t="s">
        <v>934</v>
      </c>
      <c r="D61" s="95" t="s">
        <v>124</v>
      </c>
      <c r="E61" s="95" t="s">
        <v>935</v>
      </c>
      <c r="F61" s="95" t="s">
        <v>19</v>
      </c>
      <c r="G61" s="95" t="s">
        <v>19</v>
      </c>
      <c r="H61" s="95" t="s">
        <v>21</v>
      </c>
      <c r="I61" s="95" t="s">
        <v>567</v>
      </c>
      <c r="J61" s="97">
        <v>46021.50930244213</v>
      </c>
      <c r="K61" s="95" t="s">
        <v>936</v>
      </c>
      <c r="L61" s="96" t="s">
        <v>937</v>
      </c>
      <c r="M61" s="95" t="s">
        <v>503</v>
      </c>
      <c r="N61" s="95" t="s">
        <v>938</v>
      </c>
      <c r="O61" s="95" t="s">
        <v>938</v>
      </c>
      <c r="P61" s="95" t="s">
        <v>939</v>
      </c>
      <c r="Q61" s="98">
        <v>3.0</v>
      </c>
      <c r="R61" s="97">
        <v>45923.27898148148</v>
      </c>
      <c r="S61" s="99">
        <v>256.0</v>
      </c>
      <c r="T61" s="99">
        <v>49.0</v>
      </c>
      <c r="U61" s="99">
        <v>6.0</v>
      </c>
      <c r="V61" s="99">
        <v>1313.0</v>
      </c>
      <c r="W61" s="99">
        <v>217118.0</v>
      </c>
    </row>
    <row r="62" ht="15.75" customHeight="1">
      <c r="A62" s="95" t="s">
        <v>940</v>
      </c>
      <c r="B62" s="95" t="s">
        <v>22</v>
      </c>
      <c r="C62" s="96" t="s">
        <v>941</v>
      </c>
      <c r="D62" s="95" t="s">
        <v>124</v>
      </c>
      <c r="E62" s="95" t="s">
        <v>942</v>
      </c>
      <c r="F62" s="95" t="s">
        <v>19</v>
      </c>
      <c r="G62" s="95" t="s">
        <v>19</v>
      </c>
      <c r="H62" s="95" t="s">
        <v>21</v>
      </c>
      <c r="I62" s="95" t="s">
        <v>943</v>
      </c>
      <c r="J62" s="97">
        <v>46021.50930244213</v>
      </c>
      <c r="K62" s="95" t="s">
        <v>944</v>
      </c>
      <c r="L62" s="96" t="s">
        <v>945</v>
      </c>
      <c r="M62" s="95" t="s">
        <v>503</v>
      </c>
      <c r="N62" s="95" t="s">
        <v>938</v>
      </c>
      <c r="O62" s="95" t="s">
        <v>938</v>
      </c>
      <c r="P62" s="95" t="s">
        <v>939</v>
      </c>
      <c r="Q62" s="98">
        <v>3.0</v>
      </c>
      <c r="R62" s="97">
        <v>45720.49628472222</v>
      </c>
      <c r="S62" s="99">
        <v>256.0</v>
      </c>
      <c r="T62" s="99">
        <v>13.0</v>
      </c>
      <c r="U62" s="99">
        <v>8.0</v>
      </c>
      <c r="V62" s="99">
        <v>323.0</v>
      </c>
      <c r="W62" s="99">
        <v>217118.0</v>
      </c>
    </row>
    <row r="63" ht="15.75" customHeight="1">
      <c r="A63" s="95" t="s">
        <v>946</v>
      </c>
      <c r="B63" s="95" t="s">
        <v>69</v>
      </c>
      <c r="C63" s="96" t="s">
        <v>947</v>
      </c>
      <c r="D63" s="95" t="s">
        <v>49</v>
      </c>
      <c r="E63" s="95" t="s">
        <v>948</v>
      </c>
      <c r="F63" s="95" t="s">
        <v>19</v>
      </c>
      <c r="G63" s="95" t="s">
        <v>574</v>
      </c>
      <c r="H63" s="95" t="s">
        <v>536</v>
      </c>
      <c r="I63" s="95" t="s">
        <v>949</v>
      </c>
      <c r="J63" s="97">
        <v>46021.50930244213</v>
      </c>
      <c r="K63" s="95" t="s">
        <v>950</v>
      </c>
      <c r="L63" s="96" t="s">
        <v>951</v>
      </c>
      <c r="M63" s="95" t="s">
        <v>503</v>
      </c>
      <c r="N63" s="95" t="s">
        <v>938</v>
      </c>
      <c r="O63" s="95" t="s">
        <v>938</v>
      </c>
      <c r="P63" s="95" t="s">
        <v>939</v>
      </c>
      <c r="Q63" s="98">
        <v>3.0</v>
      </c>
      <c r="R63" s="97">
        <v>45989.88810185185</v>
      </c>
      <c r="S63" s="99">
        <v>256.0</v>
      </c>
      <c r="T63" s="99">
        <v>6.0</v>
      </c>
      <c r="U63" s="99">
        <v>16.0</v>
      </c>
      <c r="V63" s="99">
        <v>91.0</v>
      </c>
      <c r="W63" s="99">
        <v>217118.0</v>
      </c>
    </row>
    <row r="64" ht="15.75" customHeight="1">
      <c r="A64" s="95" t="s">
        <v>952</v>
      </c>
      <c r="B64" s="95" t="s">
        <v>101</v>
      </c>
      <c r="C64" s="96" t="s">
        <v>953</v>
      </c>
      <c r="D64" s="95" t="s">
        <v>124</v>
      </c>
      <c r="E64" s="95" t="s">
        <v>954</v>
      </c>
      <c r="F64" s="95" t="s">
        <v>19</v>
      </c>
      <c r="G64" s="95" t="s">
        <v>574</v>
      </c>
      <c r="H64" s="95" t="s">
        <v>21</v>
      </c>
      <c r="I64" s="95" t="s">
        <v>955</v>
      </c>
      <c r="J64" s="97">
        <v>46076.6316190162</v>
      </c>
      <c r="K64" s="95" t="s">
        <v>956</v>
      </c>
      <c r="L64" s="96" t="s">
        <v>957</v>
      </c>
      <c r="M64" s="95" t="s">
        <v>74</v>
      </c>
      <c r="N64" s="95" t="s">
        <v>938</v>
      </c>
      <c r="O64" s="95" t="s">
        <v>938</v>
      </c>
      <c r="P64" s="95" t="s">
        <v>939</v>
      </c>
      <c r="Q64" s="98">
        <v>3.0</v>
      </c>
      <c r="R64" s="97">
        <v>46020.6359375</v>
      </c>
      <c r="S64" s="99">
        <v>256.0</v>
      </c>
      <c r="T64" s="99">
        <v>16.0</v>
      </c>
      <c r="U64" s="99">
        <v>22.0</v>
      </c>
      <c r="V64" s="99">
        <v>544.0</v>
      </c>
      <c r="W64" s="99">
        <v>217118.0</v>
      </c>
    </row>
    <row r="65" ht="15.75" customHeight="1">
      <c r="A65" s="95" t="s">
        <v>958</v>
      </c>
      <c r="B65" s="95" t="s">
        <v>22</v>
      </c>
      <c r="C65" s="96" t="s">
        <v>959</v>
      </c>
      <c r="D65" s="95" t="s">
        <v>39</v>
      </c>
      <c r="E65" s="95" t="s">
        <v>960</v>
      </c>
      <c r="F65" s="95" t="s">
        <v>19</v>
      </c>
      <c r="G65" s="95" t="s">
        <v>19</v>
      </c>
      <c r="H65" s="95" t="s">
        <v>21</v>
      </c>
      <c r="I65" s="95" t="s">
        <v>589</v>
      </c>
      <c r="J65" s="97">
        <v>45975.67928111111</v>
      </c>
      <c r="K65" s="96" t="s">
        <v>961</v>
      </c>
      <c r="L65" s="96" t="s">
        <v>962</v>
      </c>
      <c r="M65" s="95" t="s">
        <v>28</v>
      </c>
      <c r="N65" s="95" t="s">
        <v>27</v>
      </c>
      <c r="O65" s="95" t="s">
        <v>27</v>
      </c>
      <c r="P65" s="95" t="s">
        <v>963</v>
      </c>
      <c r="Q65" s="98">
        <v>3.0</v>
      </c>
      <c r="R65" s="97">
        <v>45789.84609953704</v>
      </c>
      <c r="S65" s="99">
        <v>4975.0</v>
      </c>
      <c r="T65" s="99">
        <v>18.0</v>
      </c>
      <c r="U65" s="99">
        <v>1.0</v>
      </c>
      <c r="V65" s="99">
        <v>154.0</v>
      </c>
      <c r="W65" s="99">
        <v>413595.0</v>
      </c>
    </row>
    <row r="66" ht="15.75" customHeight="1">
      <c r="A66" s="95" t="s">
        <v>177</v>
      </c>
      <c r="B66" s="95" t="s">
        <v>157</v>
      </c>
      <c r="C66" s="96" t="s">
        <v>180</v>
      </c>
      <c r="D66" s="95" t="s">
        <v>39</v>
      </c>
      <c r="E66" s="95" t="s">
        <v>960</v>
      </c>
      <c r="F66" s="95" t="s">
        <v>88</v>
      </c>
      <c r="G66" s="95" t="s">
        <v>88</v>
      </c>
      <c r="H66" s="95" t="s">
        <v>89</v>
      </c>
      <c r="I66" s="95" t="s">
        <v>859</v>
      </c>
      <c r="J66" s="97">
        <v>45986.53542238426</v>
      </c>
      <c r="K66" s="95" t="s">
        <v>179</v>
      </c>
      <c r="L66" s="96" t="s">
        <v>178</v>
      </c>
      <c r="M66" s="95" t="s">
        <v>28</v>
      </c>
      <c r="N66" s="95" t="s">
        <v>27</v>
      </c>
      <c r="O66" s="95" t="s">
        <v>27</v>
      </c>
      <c r="P66" s="95" t="s">
        <v>963</v>
      </c>
      <c r="Q66" s="98">
        <v>3.0</v>
      </c>
      <c r="R66" s="97">
        <v>45845.7187962963</v>
      </c>
      <c r="S66" s="99">
        <v>4975.0</v>
      </c>
      <c r="T66" s="99">
        <v>183.0</v>
      </c>
      <c r="U66" s="99">
        <v>2.0</v>
      </c>
      <c r="V66" s="99">
        <v>117.0</v>
      </c>
      <c r="W66" s="99">
        <v>413595.0</v>
      </c>
    </row>
    <row r="67" ht="15.75" customHeight="1">
      <c r="A67" s="95" t="s">
        <v>964</v>
      </c>
      <c r="B67" s="95" t="s">
        <v>157</v>
      </c>
      <c r="C67" s="96" t="s">
        <v>965</v>
      </c>
      <c r="D67" s="95" t="s">
        <v>59</v>
      </c>
      <c r="E67" s="95" t="s">
        <v>59</v>
      </c>
      <c r="F67" s="95" t="s">
        <v>88</v>
      </c>
      <c r="G67" s="95" t="s">
        <v>858</v>
      </c>
      <c r="H67" s="95" t="s">
        <v>89</v>
      </c>
      <c r="I67" s="95" t="s">
        <v>966</v>
      </c>
      <c r="J67" s="97">
        <v>45986.5375812963</v>
      </c>
      <c r="K67" s="95" t="s">
        <v>967</v>
      </c>
      <c r="L67" s="96" t="s">
        <v>968</v>
      </c>
      <c r="M67" s="95" t="s">
        <v>28</v>
      </c>
      <c r="N67" s="95" t="s">
        <v>27</v>
      </c>
      <c r="O67" s="95" t="s">
        <v>27</v>
      </c>
      <c r="P67" s="95" t="s">
        <v>963</v>
      </c>
      <c r="Q67" s="98">
        <v>3.0</v>
      </c>
      <c r="R67" s="97">
        <v>45939.97640046296</v>
      </c>
      <c r="S67" s="99">
        <v>4975.0</v>
      </c>
      <c r="T67" s="99">
        <v>8.0</v>
      </c>
      <c r="U67" s="99">
        <v>7.0</v>
      </c>
      <c r="V67" s="99">
        <v>126.0</v>
      </c>
      <c r="W67" s="99">
        <v>413595.0</v>
      </c>
    </row>
    <row r="68" ht="15.75" customHeight="1">
      <c r="A68" s="95" t="s">
        <v>969</v>
      </c>
      <c r="B68" s="95" t="s">
        <v>157</v>
      </c>
      <c r="C68" s="96" t="s">
        <v>970</v>
      </c>
      <c r="D68" s="95" t="s">
        <v>124</v>
      </c>
      <c r="E68" s="95" t="s">
        <v>971</v>
      </c>
      <c r="F68" s="95" t="s">
        <v>88</v>
      </c>
      <c r="G68" s="95" t="s">
        <v>88</v>
      </c>
      <c r="H68" s="95" t="s">
        <v>89</v>
      </c>
      <c r="I68" s="95" t="s">
        <v>897</v>
      </c>
      <c r="J68" s="97">
        <v>45975.6793321412</v>
      </c>
      <c r="K68" s="96" t="s">
        <v>972</v>
      </c>
      <c r="L68" s="95"/>
      <c r="M68" s="95" t="s">
        <v>17</v>
      </c>
      <c r="N68" s="95" t="s">
        <v>973</v>
      </c>
      <c r="O68" s="95" t="s">
        <v>973</v>
      </c>
      <c r="P68" s="95" t="s">
        <v>974</v>
      </c>
      <c r="Q68" s="98">
        <v>3.0</v>
      </c>
      <c r="R68" s="97">
        <v>45752.46402777778</v>
      </c>
      <c r="S68" s="99">
        <v>1548.0</v>
      </c>
      <c r="T68" s="99">
        <v>395.0</v>
      </c>
      <c r="U68" s="99">
        <v>17.0</v>
      </c>
      <c r="V68" s="99">
        <v>915.0</v>
      </c>
      <c r="W68" s="99">
        <v>73349.0</v>
      </c>
    </row>
    <row r="69" ht="15.75" customHeight="1">
      <c r="A69" s="95" t="s">
        <v>975</v>
      </c>
      <c r="B69" s="95" t="s">
        <v>22</v>
      </c>
      <c r="C69" s="96" t="s">
        <v>976</v>
      </c>
      <c r="D69" s="95" t="s">
        <v>39</v>
      </c>
      <c r="E69" s="95" t="s">
        <v>39</v>
      </c>
      <c r="F69" s="95" t="s">
        <v>19</v>
      </c>
      <c r="G69" s="95" t="s">
        <v>19</v>
      </c>
      <c r="H69" s="95" t="s">
        <v>21</v>
      </c>
      <c r="I69" s="95" t="s">
        <v>567</v>
      </c>
      <c r="J69" s="97">
        <v>45975.6793321412</v>
      </c>
      <c r="K69" s="96" t="s">
        <v>977</v>
      </c>
      <c r="L69" s="96" t="s">
        <v>978</v>
      </c>
      <c r="M69" s="95" t="s">
        <v>503</v>
      </c>
      <c r="N69" s="95" t="s">
        <v>979</v>
      </c>
      <c r="O69" s="95" t="s">
        <v>979</v>
      </c>
      <c r="P69" s="95" t="s">
        <v>980</v>
      </c>
      <c r="Q69" s="98">
        <v>3.0</v>
      </c>
      <c r="R69" s="97">
        <v>45815.05793981482</v>
      </c>
      <c r="S69" s="99">
        <v>0.0</v>
      </c>
      <c r="T69" s="99">
        <v>50.0</v>
      </c>
      <c r="U69" s="99">
        <v>48.0</v>
      </c>
      <c r="V69" s="99">
        <v>57.0</v>
      </c>
      <c r="W69" s="99">
        <v>18735.0</v>
      </c>
    </row>
    <row r="70" ht="15.75" customHeight="1">
      <c r="A70" s="95" t="s">
        <v>981</v>
      </c>
      <c r="B70" s="95" t="s">
        <v>22</v>
      </c>
      <c r="C70" s="96" t="s">
        <v>982</v>
      </c>
      <c r="D70" s="95" t="s">
        <v>124</v>
      </c>
      <c r="E70" s="95" t="s">
        <v>983</v>
      </c>
      <c r="F70" s="95" t="s">
        <v>19</v>
      </c>
      <c r="G70" s="95" t="s">
        <v>19</v>
      </c>
      <c r="H70" s="95" t="s">
        <v>21</v>
      </c>
      <c r="I70" s="95" t="s">
        <v>567</v>
      </c>
      <c r="J70" s="97">
        <v>46021.50930244213</v>
      </c>
      <c r="K70" s="95" t="s">
        <v>984</v>
      </c>
      <c r="L70" s="96" t="s">
        <v>985</v>
      </c>
      <c r="M70" s="95" t="s">
        <v>74</v>
      </c>
      <c r="N70" s="95" t="s">
        <v>986</v>
      </c>
      <c r="O70" s="95" t="s">
        <v>986</v>
      </c>
      <c r="P70" s="95" t="s">
        <v>987</v>
      </c>
      <c r="Q70" s="98">
        <v>3.0</v>
      </c>
      <c r="R70" s="97">
        <v>45950.53122685185</v>
      </c>
      <c r="S70" s="99">
        <v>2937.0</v>
      </c>
      <c r="T70" s="99">
        <v>158.0</v>
      </c>
      <c r="U70" s="99">
        <v>7.0</v>
      </c>
      <c r="V70" s="99">
        <v>47.0</v>
      </c>
      <c r="W70" s="99">
        <v>458501.0</v>
      </c>
    </row>
    <row r="71" ht="15.75" customHeight="1">
      <c r="A71" s="95" t="s">
        <v>988</v>
      </c>
      <c r="B71" s="95" t="s">
        <v>22</v>
      </c>
      <c r="C71" s="96" t="s">
        <v>989</v>
      </c>
      <c r="D71" s="95" t="s">
        <v>59</v>
      </c>
      <c r="E71" s="95" t="s">
        <v>665</v>
      </c>
      <c r="F71" s="95" t="s">
        <v>19</v>
      </c>
      <c r="G71" s="95" t="s">
        <v>574</v>
      </c>
      <c r="H71" s="95" t="s">
        <v>21</v>
      </c>
      <c r="I71" s="95" t="s">
        <v>567</v>
      </c>
      <c r="J71" s="97">
        <v>46008.62901142361</v>
      </c>
      <c r="K71" s="96" t="s">
        <v>990</v>
      </c>
      <c r="L71" s="96" t="s">
        <v>991</v>
      </c>
      <c r="M71" s="95" t="s">
        <v>17</v>
      </c>
      <c r="N71" s="95" t="s">
        <v>992</v>
      </c>
      <c r="O71" s="95" t="s">
        <v>992</v>
      </c>
      <c r="P71" s="95" t="s">
        <v>993</v>
      </c>
      <c r="Q71" s="98">
        <v>3.0</v>
      </c>
      <c r="R71" s="97">
        <v>45880.51667824074</v>
      </c>
      <c r="S71" s="99">
        <v>67.0</v>
      </c>
      <c r="T71" s="99">
        <v>9.0</v>
      </c>
      <c r="U71" s="99">
        <v>2.0</v>
      </c>
      <c r="V71" s="99">
        <v>1609.0</v>
      </c>
      <c r="W71" s="99">
        <v>31471.0</v>
      </c>
    </row>
    <row r="72" ht="15.75" customHeight="1">
      <c r="A72" s="95" t="s">
        <v>994</v>
      </c>
      <c r="B72" s="95" t="s">
        <v>69</v>
      </c>
      <c r="C72" s="96" t="s">
        <v>995</v>
      </c>
      <c r="D72" s="95" t="s">
        <v>20</v>
      </c>
      <c r="E72" s="95" t="s">
        <v>996</v>
      </c>
      <c r="F72" s="95" t="s">
        <v>19</v>
      </c>
      <c r="G72" s="95" t="s">
        <v>997</v>
      </c>
      <c r="H72" s="95" t="s">
        <v>21</v>
      </c>
      <c r="I72" s="95" t="s">
        <v>998</v>
      </c>
      <c r="J72" s="97">
        <v>45986.53189861111</v>
      </c>
      <c r="K72" s="95" t="s">
        <v>999</v>
      </c>
      <c r="L72" s="95"/>
      <c r="M72" s="95" t="s">
        <v>17</v>
      </c>
      <c r="N72" s="95" t="s">
        <v>1000</v>
      </c>
      <c r="O72" s="95" t="s">
        <v>1000</v>
      </c>
      <c r="P72" s="95" t="s">
        <v>1001</v>
      </c>
      <c r="Q72" s="98">
        <v>3.0</v>
      </c>
      <c r="R72" s="97">
        <v>45613.9308912037</v>
      </c>
      <c r="S72" s="99">
        <v>15269.0</v>
      </c>
      <c r="T72" s="99">
        <v>2920.0</v>
      </c>
      <c r="U72" s="99">
        <v>427.0</v>
      </c>
      <c r="V72" s="99">
        <v>145.0</v>
      </c>
      <c r="W72" s="99">
        <v>55670.0</v>
      </c>
    </row>
    <row r="73" ht="15.75" customHeight="1">
      <c r="A73" s="95" t="s">
        <v>1002</v>
      </c>
      <c r="B73" s="95" t="s">
        <v>69</v>
      </c>
      <c r="C73" s="96" t="s">
        <v>1003</v>
      </c>
      <c r="D73" s="95" t="s">
        <v>20</v>
      </c>
      <c r="E73" s="95" t="s">
        <v>996</v>
      </c>
      <c r="F73" s="95" t="s">
        <v>19</v>
      </c>
      <c r="G73" s="95" t="s">
        <v>1004</v>
      </c>
      <c r="H73" s="95" t="s">
        <v>21</v>
      </c>
      <c r="I73" s="95" t="s">
        <v>1005</v>
      </c>
      <c r="J73" s="97">
        <v>45975.6793321412</v>
      </c>
      <c r="K73" s="96" t="s">
        <v>1006</v>
      </c>
      <c r="L73" s="95"/>
      <c r="M73" s="95" t="s">
        <v>17</v>
      </c>
      <c r="N73" s="95" t="s">
        <v>1000</v>
      </c>
      <c r="O73" s="95" t="s">
        <v>1000</v>
      </c>
      <c r="P73" s="95" t="s">
        <v>1001</v>
      </c>
      <c r="Q73" s="98">
        <v>3.0</v>
      </c>
      <c r="R73" s="97">
        <v>45604.96267361111</v>
      </c>
      <c r="S73" s="99">
        <v>15269.0</v>
      </c>
      <c r="T73" s="99">
        <v>3290.0</v>
      </c>
      <c r="U73" s="99">
        <v>135.0</v>
      </c>
      <c r="V73" s="99">
        <v>85.0</v>
      </c>
      <c r="W73" s="99">
        <v>55670.0</v>
      </c>
    </row>
    <row r="74" ht="15.75" customHeight="1">
      <c r="A74" s="95" t="s">
        <v>1007</v>
      </c>
      <c r="B74" s="95" t="s">
        <v>22</v>
      </c>
      <c r="C74" s="96" t="s">
        <v>1008</v>
      </c>
      <c r="D74" s="95" t="s">
        <v>20</v>
      </c>
      <c r="E74" s="95" t="s">
        <v>996</v>
      </c>
      <c r="F74" s="95" t="s">
        <v>19</v>
      </c>
      <c r="G74" s="95" t="s">
        <v>19</v>
      </c>
      <c r="H74" s="95" t="s">
        <v>21</v>
      </c>
      <c r="I74" s="95" t="s">
        <v>567</v>
      </c>
      <c r="J74" s="97">
        <v>45978.4619984375</v>
      </c>
      <c r="K74" s="95" t="s">
        <v>1009</v>
      </c>
      <c r="L74" s="95"/>
      <c r="M74" s="95" t="s">
        <v>17</v>
      </c>
      <c r="N74" s="95" t="s">
        <v>1000</v>
      </c>
      <c r="O74" s="95" t="s">
        <v>1000</v>
      </c>
      <c r="P74" s="95" t="s">
        <v>1001</v>
      </c>
      <c r="Q74" s="98">
        <v>3.0</v>
      </c>
      <c r="R74" s="97">
        <v>45685.91548611111</v>
      </c>
      <c r="S74" s="99">
        <v>15269.0</v>
      </c>
      <c r="T74" s="99">
        <v>7051.0</v>
      </c>
      <c r="U74" s="99">
        <v>3.0</v>
      </c>
      <c r="V74" s="99">
        <v>31.0</v>
      </c>
      <c r="W74" s="99">
        <v>55670.0</v>
      </c>
    </row>
    <row r="75" ht="15.75" customHeight="1">
      <c r="A75" s="95" t="s">
        <v>1010</v>
      </c>
      <c r="B75" s="95" t="s">
        <v>22</v>
      </c>
      <c r="C75" s="96" t="s">
        <v>1011</v>
      </c>
      <c r="D75" s="95" t="s">
        <v>20</v>
      </c>
      <c r="E75" s="95" t="s">
        <v>996</v>
      </c>
      <c r="F75" s="95" t="s">
        <v>19</v>
      </c>
      <c r="G75" s="95" t="s">
        <v>19</v>
      </c>
      <c r="H75" s="95" t="s">
        <v>21</v>
      </c>
      <c r="I75" s="95" t="s">
        <v>567</v>
      </c>
      <c r="J75" s="97">
        <v>45986.53189861111</v>
      </c>
      <c r="K75" s="95" t="s">
        <v>1012</v>
      </c>
      <c r="L75" s="95"/>
      <c r="M75" s="95" t="s">
        <v>17</v>
      </c>
      <c r="N75" s="95" t="s">
        <v>1000</v>
      </c>
      <c r="O75" s="95" t="s">
        <v>1000</v>
      </c>
      <c r="P75" s="95" t="s">
        <v>1001</v>
      </c>
      <c r="Q75" s="98">
        <v>3.0</v>
      </c>
      <c r="R75" s="97">
        <v>45606.06773148148</v>
      </c>
      <c r="S75" s="99">
        <v>15269.0</v>
      </c>
      <c r="T75" s="99">
        <v>3072.0</v>
      </c>
      <c r="U75" s="99">
        <v>459.0</v>
      </c>
      <c r="V75" s="99">
        <v>470.0</v>
      </c>
      <c r="W75" s="99">
        <v>55670.0</v>
      </c>
    </row>
    <row r="76" ht="15.75" customHeight="1">
      <c r="A76" s="95" t="s">
        <v>1013</v>
      </c>
      <c r="B76" s="95" t="s">
        <v>22</v>
      </c>
      <c r="C76" s="96" t="s">
        <v>1014</v>
      </c>
      <c r="D76" s="95" t="s">
        <v>20</v>
      </c>
      <c r="E76" s="95" t="s">
        <v>996</v>
      </c>
      <c r="F76" s="95" t="s">
        <v>19</v>
      </c>
      <c r="G76" s="95" t="s">
        <v>19</v>
      </c>
      <c r="H76" s="95" t="s">
        <v>21</v>
      </c>
      <c r="I76" s="95" t="s">
        <v>567</v>
      </c>
      <c r="J76" s="97">
        <v>45986.53189861111</v>
      </c>
      <c r="K76" s="95" t="s">
        <v>1015</v>
      </c>
      <c r="L76" s="95"/>
      <c r="M76" s="95" t="s">
        <v>17</v>
      </c>
      <c r="N76" s="95" t="s">
        <v>1000</v>
      </c>
      <c r="O76" s="95" t="s">
        <v>1000</v>
      </c>
      <c r="P76" s="95" t="s">
        <v>1001</v>
      </c>
      <c r="Q76" s="98">
        <v>3.0</v>
      </c>
      <c r="R76" s="97">
        <v>45604.87304398148</v>
      </c>
      <c r="S76" s="99">
        <v>15269.0</v>
      </c>
      <c r="T76" s="99">
        <v>2551.0</v>
      </c>
      <c r="U76" s="99">
        <v>63.0</v>
      </c>
      <c r="V76" s="99">
        <v>44.0</v>
      </c>
      <c r="W76" s="99">
        <v>55670.0</v>
      </c>
    </row>
    <row r="77" ht="15.75" customHeight="1">
      <c r="A77" s="95" t="s">
        <v>1016</v>
      </c>
      <c r="B77" s="95" t="s">
        <v>22</v>
      </c>
      <c r="C77" s="96" t="s">
        <v>1017</v>
      </c>
      <c r="D77" s="95" t="s">
        <v>39</v>
      </c>
      <c r="E77" s="95" t="s">
        <v>39</v>
      </c>
      <c r="F77" s="95" t="s">
        <v>19</v>
      </c>
      <c r="G77" s="95" t="s">
        <v>1018</v>
      </c>
      <c r="H77" s="95" t="s">
        <v>21</v>
      </c>
      <c r="I77" s="95" t="s">
        <v>567</v>
      </c>
      <c r="J77" s="97">
        <v>46021.50510549769</v>
      </c>
      <c r="K77" s="95" t="s">
        <v>1019</v>
      </c>
      <c r="L77" s="96" t="s">
        <v>1020</v>
      </c>
      <c r="M77" s="95" t="s">
        <v>38</v>
      </c>
      <c r="N77" s="95" t="s">
        <v>1021</v>
      </c>
      <c r="O77" s="95" t="s">
        <v>1021</v>
      </c>
      <c r="P77" s="95" t="s">
        <v>1022</v>
      </c>
      <c r="Q77" s="98">
        <v>3.0</v>
      </c>
      <c r="R77" s="97">
        <v>45944.10706018518</v>
      </c>
      <c r="S77" s="99">
        <v>1596.0</v>
      </c>
      <c r="T77" s="99">
        <v>509.0</v>
      </c>
      <c r="U77" s="99">
        <v>9.0</v>
      </c>
      <c r="V77" s="99">
        <v>165.0</v>
      </c>
      <c r="W77" s="99">
        <v>9072.0</v>
      </c>
    </row>
    <row r="78" ht="15.75" customHeight="1">
      <c r="A78" s="95" t="s">
        <v>1023</v>
      </c>
      <c r="B78" s="95" t="s">
        <v>22</v>
      </c>
      <c r="C78" s="96" t="s">
        <v>1024</v>
      </c>
      <c r="D78" s="95" t="s">
        <v>130</v>
      </c>
      <c r="E78" s="95" t="s">
        <v>1025</v>
      </c>
      <c r="F78" s="95" t="s">
        <v>19</v>
      </c>
      <c r="G78" s="95" t="s">
        <v>19</v>
      </c>
      <c r="H78" s="95" t="s">
        <v>21</v>
      </c>
      <c r="I78" s="95" t="s">
        <v>1026</v>
      </c>
      <c r="J78" s="97">
        <v>45986.53189861111</v>
      </c>
      <c r="K78" s="95" t="s">
        <v>1027</v>
      </c>
      <c r="L78" s="95"/>
      <c r="M78" s="95" t="s">
        <v>17</v>
      </c>
      <c r="N78" s="95" t="s">
        <v>1028</v>
      </c>
      <c r="O78" s="95" t="s">
        <v>1028</v>
      </c>
      <c r="P78" s="95" t="s">
        <v>1029</v>
      </c>
      <c r="Q78" s="98">
        <v>3.0</v>
      </c>
      <c r="R78" s="97">
        <v>45609.55581018519</v>
      </c>
      <c r="S78" s="99">
        <v>203.0</v>
      </c>
      <c r="T78" s="99">
        <v>25.0</v>
      </c>
      <c r="U78" s="99">
        <v>2.0</v>
      </c>
      <c r="V78" s="99">
        <v>29.0</v>
      </c>
      <c r="W78" s="99">
        <v>700939.0</v>
      </c>
    </row>
    <row r="79" ht="15.75" customHeight="1">
      <c r="A79" s="95" t="s">
        <v>1030</v>
      </c>
      <c r="B79" s="95" t="s">
        <v>22</v>
      </c>
      <c r="C79" s="96" t="s">
        <v>1031</v>
      </c>
      <c r="D79" s="95" t="s">
        <v>130</v>
      </c>
      <c r="E79" s="95" t="s">
        <v>130</v>
      </c>
      <c r="F79" s="95" t="s">
        <v>19</v>
      </c>
      <c r="G79" s="95" t="s">
        <v>19</v>
      </c>
      <c r="H79" s="95" t="s">
        <v>21</v>
      </c>
      <c r="I79" s="95" t="s">
        <v>567</v>
      </c>
      <c r="J79" s="97">
        <v>46008.62901141203</v>
      </c>
      <c r="K79" s="96" t="s">
        <v>1032</v>
      </c>
      <c r="L79" s="96" t="s">
        <v>1033</v>
      </c>
      <c r="M79" s="95" t="s">
        <v>17</v>
      </c>
      <c r="N79" s="95" t="s">
        <v>1034</v>
      </c>
      <c r="O79" s="95" t="s">
        <v>1034</v>
      </c>
      <c r="P79" s="95" t="s">
        <v>1035</v>
      </c>
      <c r="Q79" s="98">
        <v>3.0</v>
      </c>
      <c r="R79" s="97">
        <v>45601.03248842592</v>
      </c>
      <c r="S79" s="99">
        <v>95.0</v>
      </c>
      <c r="T79" s="99">
        <v>35.0</v>
      </c>
      <c r="U79" s="99">
        <v>5.0</v>
      </c>
      <c r="V79" s="99">
        <v>292.0</v>
      </c>
      <c r="W79" s="99">
        <v>118937.0</v>
      </c>
    </row>
    <row r="80" ht="15.75" customHeight="1">
      <c r="A80" s="95" t="s">
        <v>1036</v>
      </c>
      <c r="B80" s="95" t="s">
        <v>131</v>
      </c>
      <c r="C80" s="96" t="s">
        <v>1037</v>
      </c>
      <c r="D80" s="95" t="s">
        <v>39</v>
      </c>
      <c r="E80" s="95" t="s">
        <v>39</v>
      </c>
      <c r="F80" s="95" t="s">
        <v>88</v>
      </c>
      <c r="G80" s="95" t="s">
        <v>639</v>
      </c>
      <c r="H80" s="95" t="s">
        <v>89</v>
      </c>
      <c r="I80" s="95" t="s">
        <v>726</v>
      </c>
      <c r="J80" s="97">
        <v>45993.7854622338</v>
      </c>
      <c r="K80" s="96" t="s">
        <v>1038</v>
      </c>
      <c r="L80" s="96" t="s">
        <v>1039</v>
      </c>
      <c r="M80" s="95" t="s">
        <v>17</v>
      </c>
      <c r="N80" s="95" t="s">
        <v>1040</v>
      </c>
      <c r="O80" s="95" t="s">
        <v>1040</v>
      </c>
      <c r="P80" s="95" t="s">
        <v>1041</v>
      </c>
      <c r="Q80" s="98">
        <v>3.0</v>
      </c>
      <c r="R80" s="97">
        <v>45889.88417824074</v>
      </c>
      <c r="S80" s="99">
        <v>365.0</v>
      </c>
      <c r="T80" s="99">
        <v>186.0</v>
      </c>
      <c r="U80" s="99">
        <v>5.0</v>
      </c>
      <c r="V80" s="99">
        <v>174.0</v>
      </c>
      <c r="W80" s="99">
        <v>619399.0</v>
      </c>
    </row>
    <row r="81" ht="15.75" customHeight="1">
      <c r="A81" s="95" t="s">
        <v>1042</v>
      </c>
      <c r="B81" s="95" t="s">
        <v>69</v>
      </c>
      <c r="C81" s="96" t="s">
        <v>1043</v>
      </c>
      <c r="D81" s="95" t="s">
        <v>39</v>
      </c>
      <c r="E81" s="95" t="s">
        <v>718</v>
      </c>
      <c r="F81" s="95" t="s">
        <v>19</v>
      </c>
      <c r="G81" s="95" t="s">
        <v>19</v>
      </c>
      <c r="H81" s="95" t="s">
        <v>21</v>
      </c>
      <c r="I81" s="95" t="s">
        <v>1044</v>
      </c>
      <c r="J81" s="97">
        <v>46021.50510549769</v>
      </c>
      <c r="K81" s="95" t="s">
        <v>1045</v>
      </c>
      <c r="L81" s="96" t="s">
        <v>1046</v>
      </c>
      <c r="M81" s="95" t="s">
        <v>74</v>
      </c>
      <c r="N81" s="95" t="s">
        <v>1047</v>
      </c>
      <c r="O81" s="95" t="s">
        <v>1047</v>
      </c>
      <c r="P81" s="95" t="s">
        <v>1048</v>
      </c>
      <c r="Q81" s="98">
        <v>3.0</v>
      </c>
      <c r="R81" s="97">
        <v>45915.71866898148</v>
      </c>
      <c r="S81" s="99">
        <v>82.0</v>
      </c>
      <c r="T81" s="99">
        <v>64.0</v>
      </c>
      <c r="U81" s="99">
        <v>18.0</v>
      </c>
      <c r="V81" s="99">
        <v>96.0</v>
      </c>
      <c r="W81" s="99">
        <v>15995.0</v>
      </c>
    </row>
    <row r="82" ht="15.75" customHeight="1">
      <c r="A82" s="95" t="s">
        <v>1049</v>
      </c>
      <c r="B82" s="95" t="s">
        <v>22</v>
      </c>
      <c r="C82" s="96" t="s">
        <v>1050</v>
      </c>
      <c r="D82" s="95" t="s">
        <v>20</v>
      </c>
      <c r="E82" s="95" t="s">
        <v>638</v>
      </c>
      <c r="F82" s="95" t="s">
        <v>19</v>
      </c>
      <c r="G82" s="95" t="s">
        <v>588</v>
      </c>
      <c r="H82" s="95" t="s">
        <v>21</v>
      </c>
      <c r="I82" s="95" t="s">
        <v>589</v>
      </c>
      <c r="J82" s="97">
        <v>45975.67937189815</v>
      </c>
      <c r="K82" s="96" t="s">
        <v>1051</v>
      </c>
      <c r="L82" s="96" t="s">
        <v>1052</v>
      </c>
      <c r="M82" s="95" t="s">
        <v>67</v>
      </c>
      <c r="N82" s="95" t="s">
        <v>1053</v>
      </c>
      <c r="O82" s="95" t="s">
        <v>1053</v>
      </c>
      <c r="P82" s="95" t="s">
        <v>1054</v>
      </c>
      <c r="Q82" s="98">
        <v>3.0</v>
      </c>
      <c r="R82" s="97">
        <v>45898.61913194445</v>
      </c>
      <c r="S82" s="99">
        <v>3192.0</v>
      </c>
      <c r="T82" s="99">
        <v>143.0</v>
      </c>
      <c r="U82" s="99">
        <v>11.0</v>
      </c>
      <c r="V82" s="99">
        <v>35.0</v>
      </c>
      <c r="W82" s="99">
        <v>68430.0</v>
      </c>
    </row>
    <row r="83" ht="15.75" customHeight="1">
      <c r="A83" s="95" t="s">
        <v>1055</v>
      </c>
      <c r="B83" s="95" t="s">
        <v>22</v>
      </c>
      <c r="C83" s="96" t="s">
        <v>1056</v>
      </c>
      <c r="D83" s="95" t="s">
        <v>39</v>
      </c>
      <c r="E83" s="95" t="s">
        <v>39</v>
      </c>
      <c r="F83" s="95" t="s">
        <v>19</v>
      </c>
      <c r="G83" s="95" t="s">
        <v>588</v>
      </c>
      <c r="H83" s="95" t="s">
        <v>21</v>
      </c>
      <c r="I83" s="95" t="s">
        <v>677</v>
      </c>
      <c r="J83" s="97">
        <v>46021.49354603009</v>
      </c>
      <c r="K83" s="95" t="s">
        <v>1057</v>
      </c>
      <c r="L83" s="96" t="s">
        <v>1058</v>
      </c>
      <c r="M83" s="95" t="s">
        <v>105</v>
      </c>
      <c r="N83" s="95" t="s">
        <v>1059</v>
      </c>
      <c r="O83" s="95" t="s">
        <v>1059</v>
      </c>
      <c r="P83" s="95" t="s">
        <v>1060</v>
      </c>
      <c r="Q83" s="98">
        <v>3.0</v>
      </c>
      <c r="R83" s="97">
        <v>45279.45644675926</v>
      </c>
      <c r="S83" s="99">
        <v>2052.0</v>
      </c>
      <c r="T83" s="99">
        <v>2.0</v>
      </c>
      <c r="U83" s="99">
        <v>4.0</v>
      </c>
      <c r="V83" s="99">
        <v>187.0</v>
      </c>
      <c r="W83" s="99">
        <v>240343.0</v>
      </c>
    </row>
    <row r="84" ht="15.75" customHeight="1">
      <c r="A84" s="95" t="s">
        <v>1061</v>
      </c>
      <c r="B84" s="95" t="s">
        <v>131</v>
      </c>
      <c r="C84" s="96" t="s">
        <v>1062</v>
      </c>
      <c r="D84" s="95" t="s">
        <v>20</v>
      </c>
      <c r="E84" s="95" t="s">
        <v>879</v>
      </c>
      <c r="F84" s="95" t="s">
        <v>58</v>
      </c>
      <c r="G84" s="95" t="s">
        <v>58</v>
      </c>
      <c r="H84" s="95" t="s">
        <v>60</v>
      </c>
      <c r="I84" s="95" t="s">
        <v>1063</v>
      </c>
      <c r="J84" s="97">
        <v>45975.6793321412</v>
      </c>
      <c r="K84" s="96" t="s">
        <v>1064</v>
      </c>
      <c r="L84" s="96" t="s">
        <v>1065</v>
      </c>
      <c r="M84" s="95" t="s">
        <v>17</v>
      </c>
      <c r="N84" s="95" t="s">
        <v>1066</v>
      </c>
      <c r="O84" s="95" t="s">
        <v>1066</v>
      </c>
      <c r="P84" s="95" t="s">
        <v>1067</v>
      </c>
      <c r="Q84" s="98">
        <v>3.0</v>
      </c>
      <c r="R84" s="97">
        <v>45834.48586805556</v>
      </c>
      <c r="S84" s="99">
        <v>64385.0</v>
      </c>
      <c r="T84" s="99">
        <v>57.0</v>
      </c>
      <c r="U84" s="99">
        <v>1.0</v>
      </c>
      <c r="V84" s="99">
        <v>149.0</v>
      </c>
      <c r="W84" s="99">
        <v>312123.0</v>
      </c>
    </row>
    <row r="85" ht="15.75" customHeight="1">
      <c r="A85" s="95" t="s">
        <v>1068</v>
      </c>
      <c r="B85" s="95" t="s">
        <v>22</v>
      </c>
      <c r="C85" s="96" t="s">
        <v>1069</v>
      </c>
      <c r="D85" s="95" t="s">
        <v>124</v>
      </c>
      <c r="E85" s="95" t="s">
        <v>124</v>
      </c>
      <c r="F85" s="95" t="s">
        <v>19</v>
      </c>
      <c r="G85" s="95" t="s">
        <v>574</v>
      </c>
      <c r="H85" s="95" t="s">
        <v>21</v>
      </c>
      <c r="I85" s="95" t="s">
        <v>567</v>
      </c>
      <c r="J85" s="97">
        <v>46021.50930244213</v>
      </c>
      <c r="K85" s="95" t="s">
        <v>1070</v>
      </c>
      <c r="L85" s="96" t="s">
        <v>1071</v>
      </c>
      <c r="M85" s="95" t="s">
        <v>93</v>
      </c>
      <c r="N85" s="95" t="s">
        <v>1072</v>
      </c>
      <c r="O85" s="95" t="s">
        <v>1072</v>
      </c>
      <c r="P85" s="95" t="s">
        <v>1073</v>
      </c>
      <c r="Q85" s="98">
        <v>3.0</v>
      </c>
      <c r="R85" s="97">
        <v>45716.28222222222</v>
      </c>
      <c r="S85" s="99">
        <v>295.0</v>
      </c>
      <c r="T85" s="99">
        <v>208.0</v>
      </c>
      <c r="U85" s="99">
        <v>2.0</v>
      </c>
      <c r="V85" s="99">
        <v>1629.0</v>
      </c>
      <c r="W85" s="99">
        <v>343077.0</v>
      </c>
    </row>
    <row r="86" ht="15.75" customHeight="1">
      <c r="A86" s="95" t="s">
        <v>1074</v>
      </c>
      <c r="B86" s="95" t="s">
        <v>22</v>
      </c>
      <c r="C86" s="96" t="s">
        <v>1075</v>
      </c>
      <c r="D86" s="95" t="s">
        <v>124</v>
      </c>
      <c r="E86" s="95" t="s">
        <v>625</v>
      </c>
      <c r="F86" s="95" t="s">
        <v>19</v>
      </c>
      <c r="G86" s="95" t="s">
        <v>19</v>
      </c>
      <c r="H86" s="95" t="s">
        <v>21</v>
      </c>
      <c r="I86" s="95" t="s">
        <v>943</v>
      </c>
      <c r="J86" s="97">
        <v>46076.6316190162</v>
      </c>
      <c r="K86" s="95" t="s">
        <v>1076</v>
      </c>
      <c r="L86" s="96" t="s">
        <v>1077</v>
      </c>
      <c r="M86" s="95" t="s">
        <v>74</v>
      </c>
      <c r="N86" s="95" t="s">
        <v>1078</v>
      </c>
      <c r="O86" s="95" t="s">
        <v>1078</v>
      </c>
      <c r="P86" s="95" t="s">
        <v>1079</v>
      </c>
      <c r="Q86" s="98">
        <v>3.0</v>
      </c>
      <c r="R86" s="97">
        <v>46055.88033564815</v>
      </c>
      <c r="S86" s="99">
        <v>217.0</v>
      </c>
      <c r="T86" s="99">
        <v>656.0</v>
      </c>
      <c r="U86" s="99">
        <v>37.0</v>
      </c>
      <c r="V86" s="99">
        <v>804.0</v>
      </c>
      <c r="W86" s="99">
        <v>37908.0</v>
      </c>
    </row>
    <row r="87" ht="15.75" customHeight="1">
      <c r="A87" s="95" t="s">
        <v>1080</v>
      </c>
      <c r="B87" s="95" t="s">
        <v>22</v>
      </c>
      <c r="C87" s="96" t="s">
        <v>1081</v>
      </c>
      <c r="D87" s="95" t="s">
        <v>49</v>
      </c>
      <c r="E87" s="95" t="s">
        <v>1082</v>
      </c>
      <c r="F87" s="95" t="s">
        <v>19</v>
      </c>
      <c r="G87" s="95" t="s">
        <v>19</v>
      </c>
      <c r="H87" s="95" t="s">
        <v>21</v>
      </c>
      <c r="I87" s="95" t="s">
        <v>711</v>
      </c>
      <c r="J87" s="97">
        <v>45975.6793321412</v>
      </c>
      <c r="K87" s="96" t="s">
        <v>1083</v>
      </c>
      <c r="L87" s="96" t="s">
        <v>1084</v>
      </c>
      <c r="M87" s="95" t="s">
        <v>17</v>
      </c>
      <c r="N87" s="95" t="s">
        <v>1085</v>
      </c>
      <c r="O87" s="95" t="s">
        <v>1085</v>
      </c>
      <c r="P87" s="95" t="s">
        <v>1086</v>
      </c>
      <c r="Q87" s="98">
        <v>3.0</v>
      </c>
      <c r="R87" s="97">
        <v>45677.65746527778</v>
      </c>
      <c r="S87" s="99">
        <v>1139.0</v>
      </c>
      <c r="T87" s="99">
        <v>16.0</v>
      </c>
      <c r="U87" s="99">
        <v>2.0</v>
      </c>
      <c r="V87" s="99">
        <v>126.0</v>
      </c>
      <c r="W87" s="99">
        <v>37462.0</v>
      </c>
    </row>
    <row r="88" ht="15.75" customHeight="1">
      <c r="A88" s="95" t="s">
        <v>1087</v>
      </c>
      <c r="B88" s="95" t="s">
        <v>69</v>
      </c>
      <c r="C88" s="96" t="s">
        <v>1088</v>
      </c>
      <c r="D88" s="95" t="s">
        <v>168</v>
      </c>
      <c r="E88" s="95" t="s">
        <v>780</v>
      </c>
      <c r="F88" s="95" t="s">
        <v>19</v>
      </c>
      <c r="G88" s="95" t="s">
        <v>574</v>
      </c>
      <c r="H88" s="95" t="s">
        <v>21</v>
      </c>
      <c r="I88" s="95" t="s">
        <v>719</v>
      </c>
      <c r="J88" s="97">
        <v>46021.49354603009</v>
      </c>
      <c r="K88" s="95" t="s">
        <v>1089</v>
      </c>
      <c r="L88" s="96" t="s">
        <v>1090</v>
      </c>
      <c r="M88" s="95" t="s">
        <v>105</v>
      </c>
      <c r="N88" s="95" t="s">
        <v>1091</v>
      </c>
      <c r="O88" s="95" t="s">
        <v>1091</v>
      </c>
      <c r="P88" s="95" t="s">
        <v>1092</v>
      </c>
      <c r="Q88" s="98">
        <v>3.0</v>
      </c>
      <c r="R88" s="97">
        <v>45398.33604166667</v>
      </c>
      <c r="S88" s="99">
        <v>396.0</v>
      </c>
      <c r="T88" s="99">
        <v>18.0</v>
      </c>
      <c r="U88" s="99">
        <v>11.0</v>
      </c>
      <c r="V88" s="99">
        <v>432.0</v>
      </c>
      <c r="W88" s="99">
        <v>240275.0</v>
      </c>
    </row>
    <row r="89" ht="15.75" customHeight="1">
      <c r="A89" s="95" t="s">
        <v>1093</v>
      </c>
      <c r="B89" s="95" t="s">
        <v>131</v>
      </c>
      <c r="C89" s="96" t="s">
        <v>1094</v>
      </c>
      <c r="D89" s="95" t="s">
        <v>124</v>
      </c>
      <c r="E89" s="95" t="s">
        <v>794</v>
      </c>
      <c r="F89" s="95" t="s">
        <v>58</v>
      </c>
      <c r="G89" s="95" t="s">
        <v>1095</v>
      </c>
      <c r="H89" s="95" t="s">
        <v>60</v>
      </c>
      <c r="I89" s="95" t="s">
        <v>1096</v>
      </c>
      <c r="J89" s="97">
        <v>46021.50350939815</v>
      </c>
      <c r="K89" s="95" t="s">
        <v>1097</v>
      </c>
      <c r="L89" s="96" t="s">
        <v>1098</v>
      </c>
      <c r="M89" s="95" t="s">
        <v>67</v>
      </c>
      <c r="N89" s="95" t="s">
        <v>1099</v>
      </c>
      <c r="O89" s="95" t="s">
        <v>1099</v>
      </c>
      <c r="P89" s="95" t="s">
        <v>1100</v>
      </c>
      <c r="Q89" s="98">
        <v>3.0</v>
      </c>
      <c r="R89" s="97">
        <v>45730.38414351852</v>
      </c>
      <c r="S89" s="99">
        <v>977.0</v>
      </c>
      <c r="T89" s="99">
        <v>97.0</v>
      </c>
      <c r="U89" s="99">
        <v>7.0</v>
      </c>
      <c r="V89" s="99">
        <v>99.0</v>
      </c>
      <c r="W89" s="99">
        <v>134701.0</v>
      </c>
    </row>
    <row r="90" ht="15.75" customHeight="1">
      <c r="A90" s="95" t="s">
        <v>1101</v>
      </c>
      <c r="B90" s="95" t="s">
        <v>22</v>
      </c>
      <c r="C90" s="96" t="s">
        <v>1102</v>
      </c>
      <c r="D90" s="95" t="s">
        <v>39</v>
      </c>
      <c r="E90" s="95" t="s">
        <v>39</v>
      </c>
      <c r="F90" s="95" t="s">
        <v>19</v>
      </c>
      <c r="G90" s="95" t="s">
        <v>588</v>
      </c>
      <c r="H90" s="95" t="s">
        <v>21</v>
      </c>
      <c r="I90" s="95" t="s">
        <v>589</v>
      </c>
      <c r="J90" s="97">
        <v>46076.6316190162</v>
      </c>
      <c r="K90" s="95" t="s">
        <v>1103</v>
      </c>
      <c r="L90" s="96" t="s">
        <v>1104</v>
      </c>
      <c r="M90" s="95" t="s">
        <v>74</v>
      </c>
      <c r="N90" s="95" t="s">
        <v>1105</v>
      </c>
      <c r="O90" s="95" t="s">
        <v>1105</v>
      </c>
      <c r="P90" s="95" t="s">
        <v>1106</v>
      </c>
      <c r="Q90" s="98">
        <v>3.0</v>
      </c>
      <c r="R90" s="97">
        <v>46056.38578703703</v>
      </c>
      <c r="S90" s="99">
        <v>1480.0</v>
      </c>
      <c r="T90" s="99">
        <v>29.0</v>
      </c>
      <c r="U90" s="99">
        <v>7.0</v>
      </c>
      <c r="V90" s="99">
        <v>48.0</v>
      </c>
      <c r="W90" s="99">
        <v>19446.0</v>
      </c>
    </row>
    <row r="91" ht="15.75" customHeight="1">
      <c r="A91" s="95" t="s">
        <v>1107</v>
      </c>
      <c r="B91" s="95" t="s">
        <v>22</v>
      </c>
      <c r="C91" s="96" t="s">
        <v>1108</v>
      </c>
      <c r="D91" s="95" t="s">
        <v>29</v>
      </c>
      <c r="E91" s="95" t="s">
        <v>29</v>
      </c>
      <c r="F91" s="95" t="s">
        <v>19</v>
      </c>
      <c r="G91" s="95" t="s">
        <v>19</v>
      </c>
      <c r="H91" s="95" t="s">
        <v>21</v>
      </c>
      <c r="I91" s="95" t="s">
        <v>567</v>
      </c>
      <c r="J91" s="97">
        <v>46042.73600210648</v>
      </c>
      <c r="K91" s="95" t="s">
        <v>1109</v>
      </c>
      <c r="L91" s="95"/>
      <c r="M91" s="95" t="s">
        <v>74</v>
      </c>
      <c r="N91" s="95" t="s">
        <v>1110</v>
      </c>
      <c r="O91" s="95" t="s">
        <v>1110</v>
      </c>
      <c r="P91" s="95" t="s">
        <v>1111</v>
      </c>
      <c r="Q91" s="98">
        <v>3.0</v>
      </c>
      <c r="R91" s="97">
        <v>45709.75439814815</v>
      </c>
      <c r="S91" s="99">
        <v>4115.0</v>
      </c>
      <c r="T91" s="99">
        <v>723.0</v>
      </c>
      <c r="U91" s="99">
        <v>11.0</v>
      </c>
      <c r="V91" s="99">
        <v>214.0</v>
      </c>
      <c r="W91" s="99">
        <v>40425.0</v>
      </c>
    </row>
    <row r="92" ht="15.75" customHeight="1">
      <c r="A92" s="95" t="s">
        <v>1112</v>
      </c>
      <c r="B92" s="95" t="s">
        <v>22</v>
      </c>
      <c r="C92" s="96" t="s">
        <v>1113</v>
      </c>
      <c r="D92" s="95" t="s">
        <v>39</v>
      </c>
      <c r="E92" s="95" t="s">
        <v>39</v>
      </c>
      <c r="F92" s="95" t="s">
        <v>19</v>
      </c>
      <c r="G92" s="95" t="s">
        <v>574</v>
      </c>
      <c r="H92" s="95" t="s">
        <v>21</v>
      </c>
      <c r="I92" s="95" t="s">
        <v>567</v>
      </c>
      <c r="J92" s="97">
        <v>46021.50510549769</v>
      </c>
      <c r="K92" s="95" t="s">
        <v>1114</v>
      </c>
      <c r="L92" s="96" t="s">
        <v>1115</v>
      </c>
      <c r="M92" s="95" t="s">
        <v>67</v>
      </c>
      <c r="N92" s="95" t="s">
        <v>1116</v>
      </c>
      <c r="O92" s="95" t="s">
        <v>1116</v>
      </c>
      <c r="P92" s="95" t="s">
        <v>1117</v>
      </c>
      <c r="Q92" s="98">
        <v>3.0</v>
      </c>
      <c r="R92" s="97">
        <v>45799.59983796296</v>
      </c>
      <c r="S92" s="99">
        <v>846.0</v>
      </c>
      <c r="T92" s="99">
        <v>66.0</v>
      </c>
      <c r="U92" s="99">
        <v>7.0</v>
      </c>
      <c r="V92" s="99">
        <v>62.0</v>
      </c>
      <c r="W92" s="99">
        <v>10544.0</v>
      </c>
    </row>
    <row r="93" ht="15.75" customHeight="1">
      <c r="A93" s="95" t="s">
        <v>1118</v>
      </c>
      <c r="B93" s="95" t="s">
        <v>22</v>
      </c>
      <c r="C93" s="96" t="s">
        <v>1119</v>
      </c>
      <c r="D93" s="95" t="s">
        <v>59</v>
      </c>
      <c r="E93" s="95" t="s">
        <v>738</v>
      </c>
      <c r="F93" s="95" t="s">
        <v>19</v>
      </c>
      <c r="G93" s="95" t="s">
        <v>19</v>
      </c>
      <c r="H93" s="95" t="s">
        <v>21</v>
      </c>
      <c r="I93" s="95" t="s">
        <v>567</v>
      </c>
      <c r="J93" s="97">
        <v>45975.6793321412</v>
      </c>
      <c r="K93" s="96" t="s">
        <v>1120</v>
      </c>
      <c r="L93" s="96" t="s">
        <v>1121</v>
      </c>
      <c r="M93" s="95" t="s">
        <v>17</v>
      </c>
      <c r="N93" s="95" t="s">
        <v>1122</v>
      </c>
      <c r="O93" s="95" t="s">
        <v>1122</v>
      </c>
      <c r="P93" s="95" t="s">
        <v>1123</v>
      </c>
      <c r="Q93" s="98">
        <v>3.0</v>
      </c>
      <c r="R93" s="97">
        <v>45757.52964120371</v>
      </c>
      <c r="S93" s="99">
        <v>295.0</v>
      </c>
      <c r="T93" s="99">
        <v>114.0</v>
      </c>
      <c r="U93" s="99">
        <v>1.0</v>
      </c>
      <c r="V93" s="99">
        <v>71.0</v>
      </c>
      <c r="W93" s="99">
        <v>3193.0</v>
      </c>
    </row>
    <row r="94" ht="15.75" customHeight="1">
      <c r="A94" s="95" t="s">
        <v>1124</v>
      </c>
      <c r="B94" s="95" t="s">
        <v>22</v>
      </c>
      <c r="C94" s="96" t="s">
        <v>1125</v>
      </c>
      <c r="D94" s="95" t="s">
        <v>59</v>
      </c>
      <c r="E94" s="95" t="s">
        <v>738</v>
      </c>
      <c r="F94" s="95" t="s">
        <v>19</v>
      </c>
      <c r="G94" s="95" t="s">
        <v>19</v>
      </c>
      <c r="H94" s="95" t="s">
        <v>21</v>
      </c>
      <c r="I94" s="95" t="s">
        <v>567</v>
      </c>
      <c r="J94" s="97">
        <v>45993.7854622338</v>
      </c>
      <c r="K94" s="96" t="s">
        <v>1126</v>
      </c>
      <c r="L94" s="96" t="s">
        <v>1127</v>
      </c>
      <c r="M94" s="95" t="s">
        <v>17</v>
      </c>
      <c r="N94" s="95" t="s">
        <v>1128</v>
      </c>
      <c r="O94" s="95" t="s">
        <v>1128</v>
      </c>
      <c r="P94" s="95" t="s">
        <v>1129</v>
      </c>
      <c r="Q94" s="98">
        <v>3.0</v>
      </c>
      <c r="R94" s="97">
        <v>45923.3857175926</v>
      </c>
      <c r="S94" s="99">
        <v>73.0</v>
      </c>
      <c r="T94" s="99">
        <v>33.0</v>
      </c>
      <c r="U94" s="99">
        <v>1.0</v>
      </c>
      <c r="V94" s="99">
        <v>24.0</v>
      </c>
      <c r="W94" s="99">
        <v>4475.0</v>
      </c>
    </row>
    <row r="95" ht="15.75" customHeight="1">
      <c r="A95" s="95" t="s">
        <v>1130</v>
      </c>
      <c r="B95" s="95" t="s">
        <v>22</v>
      </c>
      <c r="C95" s="96" t="s">
        <v>1131</v>
      </c>
      <c r="D95" s="95" t="s">
        <v>39</v>
      </c>
      <c r="E95" s="95" t="s">
        <v>39</v>
      </c>
      <c r="F95" s="95" t="s">
        <v>19</v>
      </c>
      <c r="G95" s="95" t="s">
        <v>19</v>
      </c>
      <c r="H95" s="95" t="s">
        <v>21</v>
      </c>
      <c r="I95" s="95" t="s">
        <v>567</v>
      </c>
      <c r="J95" s="97">
        <v>46021.50510549769</v>
      </c>
      <c r="K95" s="95" t="s">
        <v>1132</v>
      </c>
      <c r="L95" s="96" t="s">
        <v>1133</v>
      </c>
      <c r="M95" s="95" t="s">
        <v>38</v>
      </c>
      <c r="N95" s="95" t="s">
        <v>1134</v>
      </c>
      <c r="O95" s="95" t="s">
        <v>1134</v>
      </c>
      <c r="P95" s="95" t="s">
        <v>1135</v>
      </c>
      <c r="Q95" s="98">
        <v>3.0</v>
      </c>
      <c r="R95" s="97">
        <v>45881.66765046296</v>
      </c>
      <c r="S95" s="99">
        <v>95.0</v>
      </c>
      <c r="T95" s="99">
        <v>19.0</v>
      </c>
      <c r="U95" s="99">
        <v>2.0</v>
      </c>
      <c r="V95" s="99">
        <v>871.0</v>
      </c>
      <c r="W95" s="99">
        <v>10229.0</v>
      </c>
    </row>
    <row r="96" ht="15.75" customHeight="1">
      <c r="A96" s="95" t="s">
        <v>1136</v>
      </c>
      <c r="B96" s="95" t="s">
        <v>22</v>
      </c>
      <c r="C96" s="96" t="s">
        <v>1137</v>
      </c>
      <c r="D96" s="95" t="s">
        <v>124</v>
      </c>
      <c r="E96" s="95" t="s">
        <v>1138</v>
      </c>
      <c r="F96" s="95" t="s">
        <v>19</v>
      </c>
      <c r="G96" s="95" t="s">
        <v>19</v>
      </c>
      <c r="H96" s="95" t="s">
        <v>21</v>
      </c>
      <c r="I96" s="95" t="s">
        <v>567</v>
      </c>
      <c r="J96" s="97">
        <v>45975.6793321412</v>
      </c>
      <c r="K96" s="96" t="s">
        <v>1139</v>
      </c>
      <c r="L96" s="96" t="s">
        <v>1140</v>
      </c>
      <c r="M96" s="95" t="s">
        <v>17</v>
      </c>
      <c r="N96" s="95" t="s">
        <v>1141</v>
      </c>
      <c r="O96" s="95" t="s">
        <v>1141</v>
      </c>
      <c r="P96" s="95" t="s">
        <v>1142</v>
      </c>
      <c r="Q96" s="98">
        <v>3.0</v>
      </c>
      <c r="R96" s="97">
        <v>45763.38168981481</v>
      </c>
      <c r="S96" s="99">
        <v>71.0</v>
      </c>
      <c r="T96" s="99">
        <v>67.0</v>
      </c>
      <c r="U96" s="99">
        <v>2.0</v>
      </c>
      <c r="V96" s="99">
        <v>89.0</v>
      </c>
      <c r="W96" s="99">
        <v>40252.0</v>
      </c>
    </row>
    <row r="97" ht="15.75" customHeight="1">
      <c r="A97" s="95" t="s">
        <v>1143</v>
      </c>
      <c r="B97" s="95" t="s">
        <v>22</v>
      </c>
      <c r="C97" s="96" t="s">
        <v>1144</v>
      </c>
      <c r="D97" s="95" t="s">
        <v>547</v>
      </c>
      <c r="E97" s="95" t="s">
        <v>710</v>
      </c>
      <c r="F97" s="95" t="s">
        <v>19</v>
      </c>
      <c r="G97" s="95" t="s">
        <v>19</v>
      </c>
      <c r="H97" s="95" t="s">
        <v>21</v>
      </c>
      <c r="I97" s="95" t="s">
        <v>567</v>
      </c>
      <c r="J97" s="97">
        <v>46069.1361972338</v>
      </c>
      <c r="K97" s="95" t="s">
        <v>1145</v>
      </c>
      <c r="L97" s="96" t="s">
        <v>1146</v>
      </c>
      <c r="M97" s="95" t="s">
        <v>93</v>
      </c>
      <c r="N97" s="95" t="s">
        <v>1147</v>
      </c>
      <c r="O97" s="95" t="s">
        <v>1147</v>
      </c>
      <c r="P97" s="95" t="s">
        <v>1148</v>
      </c>
      <c r="Q97" s="98">
        <v>3.0</v>
      </c>
      <c r="R97" s="97">
        <v>45670.50717592592</v>
      </c>
      <c r="S97" s="99">
        <v>2678.0</v>
      </c>
      <c r="T97" s="99">
        <v>8802.0</v>
      </c>
      <c r="U97" s="99">
        <v>1.0</v>
      </c>
      <c r="V97" s="99">
        <v>397.0</v>
      </c>
      <c r="W97" s="95"/>
    </row>
    <row r="98" ht="15.75" customHeight="1">
      <c r="A98" s="95" t="s">
        <v>1149</v>
      </c>
      <c r="B98" s="95" t="s">
        <v>22</v>
      </c>
      <c r="C98" s="96" t="s">
        <v>1150</v>
      </c>
      <c r="D98" s="95" t="s">
        <v>59</v>
      </c>
      <c r="E98" s="95" t="s">
        <v>1151</v>
      </c>
      <c r="F98" s="95" t="s">
        <v>19</v>
      </c>
      <c r="G98" s="95" t="s">
        <v>19</v>
      </c>
      <c r="H98" s="95" t="s">
        <v>21</v>
      </c>
      <c r="I98" s="95" t="s">
        <v>567</v>
      </c>
      <c r="J98" s="97">
        <v>45975.67930844907</v>
      </c>
      <c r="K98" s="96" t="s">
        <v>1152</v>
      </c>
      <c r="L98" s="96" t="s">
        <v>1153</v>
      </c>
      <c r="M98" s="95" t="s">
        <v>54</v>
      </c>
      <c r="N98" s="95" t="s">
        <v>1154</v>
      </c>
      <c r="O98" s="95" t="s">
        <v>1154</v>
      </c>
      <c r="P98" s="95" t="s">
        <v>1155</v>
      </c>
      <c r="Q98" s="98">
        <v>3.0</v>
      </c>
      <c r="R98" s="97">
        <v>45711.24622685185</v>
      </c>
      <c r="S98" s="99">
        <v>2077.0</v>
      </c>
      <c r="T98" s="99">
        <v>188.0</v>
      </c>
      <c r="U98" s="99">
        <v>7.0</v>
      </c>
      <c r="V98" s="99">
        <v>148.0</v>
      </c>
      <c r="W98" s="99">
        <v>18559.0</v>
      </c>
    </row>
    <row r="99" ht="15.75" customHeight="1">
      <c r="A99" s="95" t="s">
        <v>1156</v>
      </c>
      <c r="B99" s="95" t="s">
        <v>22</v>
      </c>
      <c r="C99" s="96" t="s">
        <v>1157</v>
      </c>
      <c r="D99" s="95" t="s">
        <v>29</v>
      </c>
      <c r="E99" s="95" t="s">
        <v>29</v>
      </c>
      <c r="F99" s="95" t="s">
        <v>19</v>
      </c>
      <c r="G99" s="95" t="s">
        <v>19</v>
      </c>
      <c r="H99" s="95" t="s">
        <v>21</v>
      </c>
      <c r="I99" s="95" t="s">
        <v>567</v>
      </c>
      <c r="J99" s="97">
        <v>46042.73634230324</v>
      </c>
      <c r="K99" s="95" t="s">
        <v>1158</v>
      </c>
      <c r="L99" s="96" t="s">
        <v>1159</v>
      </c>
      <c r="M99" s="95" t="s">
        <v>74</v>
      </c>
      <c r="N99" s="95" t="s">
        <v>1160</v>
      </c>
      <c r="O99" s="95" t="s">
        <v>1160</v>
      </c>
      <c r="P99" s="95" t="s">
        <v>1161</v>
      </c>
      <c r="Q99" s="98">
        <v>3.0</v>
      </c>
      <c r="R99" s="97">
        <v>45797.36069444445</v>
      </c>
      <c r="S99" s="99">
        <v>232.0</v>
      </c>
      <c r="T99" s="99">
        <v>12.0</v>
      </c>
      <c r="U99" s="99">
        <v>2.0</v>
      </c>
      <c r="V99" s="99">
        <v>147.0</v>
      </c>
      <c r="W99" s="99">
        <v>3495.0</v>
      </c>
    </row>
    <row r="100" ht="15.75" customHeight="1">
      <c r="A100" s="95" t="s">
        <v>1162</v>
      </c>
      <c r="B100" s="95" t="s">
        <v>22</v>
      </c>
      <c r="C100" s="96" t="s">
        <v>1163</v>
      </c>
      <c r="D100" s="95" t="s">
        <v>20</v>
      </c>
      <c r="E100" s="95" t="s">
        <v>638</v>
      </c>
      <c r="F100" s="95" t="s">
        <v>19</v>
      </c>
      <c r="G100" s="95" t="s">
        <v>588</v>
      </c>
      <c r="H100" s="95" t="s">
        <v>21</v>
      </c>
      <c r="I100" s="95" t="s">
        <v>684</v>
      </c>
      <c r="J100" s="97">
        <v>46076.6316190162</v>
      </c>
      <c r="K100" s="95" t="s">
        <v>1164</v>
      </c>
      <c r="L100" s="96" t="s">
        <v>1165</v>
      </c>
      <c r="M100" s="95" t="s">
        <v>74</v>
      </c>
      <c r="N100" s="95" t="s">
        <v>1166</v>
      </c>
      <c r="O100" s="95" t="s">
        <v>1166</v>
      </c>
      <c r="P100" s="95" t="s">
        <v>1167</v>
      </c>
      <c r="Q100" s="98">
        <v>3.0</v>
      </c>
      <c r="R100" s="97">
        <v>46035.80670138889</v>
      </c>
      <c r="S100" s="99">
        <v>100545.0</v>
      </c>
      <c r="T100" s="99">
        <v>659.0</v>
      </c>
      <c r="U100" s="99">
        <v>1.0</v>
      </c>
      <c r="V100" s="99">
        <v>44.0</v>
      </c>
      <c r="W100" s="99">
        <v>536296.0</v>
      </c>
    </row>
    <row r="101" ht="15.75" customHeight="1">
      <c r="A101" s="95" t="s">
        <v>1168</v>
      </c>
      <c r="B101" s="95" t="s">
        <v>22</v>
      </c>
      <c r="C101" s="96" t="s">
        <v>1169</v>
      </c>
      <c r="D101" s="95" t="s">
        <v>39</v>
      </c>
      <c r="E101" s="95" t="s">
        <v>960</v>
      </c>
      <c r="F101" s="95" t="s">
        <v>19</v>
      </c>
      <c r="G101" s="95" t="s">
        <v>19</v>
      </c>
      <c r="H101" s="95" t="s">
        <v>21</v>
      </c>
      <c r="I101" s="95" t="s">
        <v>567</v>
      </c>
      <c r="J101" s="97">
        <v>46008.62901138889</v>
      </c>
      <c r="K101" s="96" t="s">
        <v>1170</v>
      </c>
      <c r="L101" s="96" t="s">
        <v>1171</v>
      </c>
      <c r="M101" s="95" t="s">
        <v>17</v>
      </c>
      <c r="N101" s="95" t="s">
        <v>1172</v>
      </c>
      <c r="O101" s="95" t="s">
        <v>1172</v>
      </c>
      <c r="P101" s="95" t="s">
        <v>1173</v>
      </c>
      <c r="Q101" s="98">
        <v>3.0</v>
      </c>
      <c r="R101" s="97">
        <v>45733.74380787037</v>
      </c>
      <c r="S101" s="99">
        <v>4069.0</v>
      </c>
      <c r="T101" s="99">
        <v>22.0</v>
      </c>
      <c r="U101" s="99">
        <v>1.0</v>
      </c>
      <c r="V101" s="99">
        <v>198.0</v>
      </c>
      <c r="W101" s="99">
        <v>26402.0</v>
      </c>
    </row>
    <row r="102" ht="15.75" customHeight="1">
      <c r="A102" s="95" t="s">
        <v>1174</v>
      </c>
      <c r="B102" s="95" t="s">
        <v>22</v>
      </c>
      <c r="C102" s="96" t="s">
        <v>1175</v>
      </c>
      <c r="D102" s="95" t="s">
        <v>29</v>
      </c>
      <c r="E102" s="95" t="s">
        <v>598</v>
      </c>
      <c r="F102" s="95" t="s">
        <v>19</v>
      </c>
      <c r="G102" s="95" t="s">
        <v>997</v>
      </c>
      <c r="H102" s="95" t="s">
        <v>21</v>
      </c>
      <c r="I102" s="95" t="s">
        <v>567</v>
      </c>
      <c r="J102" s="97">
        <v>46042.7362822338</v>
      </c>
      <c r="K102" s="95" t="s">
        <v>1176</v>
      </c>
      <c r="L102" s="96" t="s">
        <v>1177</v>
      </c>
      <c r="M102" s="95" t="s">
        <v>74</v>
      </c>
      <c r="N102" s="95" t="s">
        <v>1178</v>
      </c>
      <c r="O102" s="95" t="s">
        <v>1178</v>
      </c>
      <c r="P102" s="95" t="s">
        <v>1179</v>
      </c>
      <c r="Q102" s="98">
        <v>3.0</v>
      </c>
      <c r="R102" s="97">
        <v>45848.32649305555</v>
      </c>
      <c r="S102" s="99">
        <v>97536.0</v>
      </c>
      <c r="T102" s="99">
        <v>35.0</v>
      </c>
      <c r="U102" s="99">
        <v>3.0</v>
      </c>
      <c r="V102" s="99">
        <v>109.0</v>
      </c>
      <c r="W102" s="99">
        <v>259891.0</v>
      </c>
    </row>
    <row r="103" ht="15.75" customHeight="1">
      <c r="A103" s="95" t="s">
        <v>1180</v>
      </c>
      <c r="B103" s="95" t="s">
        <v>22</v>
      </c>
      <c r="C103" s="96" t="s">
        <v>1181</v>
      </c>
      <c r="D103" s="95" t="s">
        <v>29</v>
      </c>
      <c r="E103" s="95" t="s">
        <v>29</v>
      </c>
      <c r="F103" s="95" t="s">
        <v>19</v>
      </c>
      <c r="G103" s="95" t="s">
        <v>19</v>
      </c>
      <c r="H103" s="95" t="s">
        <v>21</v>
      </c>
      <c r="I103" s="95" t="s">
        <v>589</v>
      </c>
      <c r="J103" s="97">
        <v>46042.73592857639</v>
      </c>
      <c r="K103" s="95" t="s">
        <v>1182</v>
      </c>
      <c r="L103" s="95"/>
      <c r="M103" s="95" t="s">
        <v>74</v>
      </c>
      <c r="N103" s="95" t="s">
        <v>1178</v>
      </c>
      <c r="O103" s="95" t="s">
        <v>1178</v>
      </c>
      <c r="P103" s="95" t="s">
        <v>1179</v>
      </c>
      <c r="Q103" s="98">
        <v>3.0</v>
      </c>
      <c r="R103" s="97">
        <v>45888.33971064815</v>
      </c>
      <c r="S103" s="99">
        <v>97536.0</v>
      </c>
      <c r="T103" s="99">
        <v>25.0</v>
      </c>
      <c r="U103" s="99">
        <v>10.0</v>
      </c>
      <c r="V103" s="99">
        <v>72.0</v>
      </c>
      <c r="W103" s="99">
        <v>259891.0</v>
      </c>
    </row>
    <row r="104" ht="15.75" customHeight="1">
      <c r="A104" s="95" t="s">
        <v>1183</v>
      </c>
      <c r="B104" s="95" t="s">
        <v>22</v>
      </c>
      <c r="C104" s="96" t="s">
        <v>1184</v>
      </c>
      <c r="D104" s="95" t="s">
        <v>29</v>
      </c>
      <c r="E104" s="95" t="s">
        <v>29</v>
      </c>
      <c r="F104" s="95" t="s">
        <v>19</v>
      </c>
      <c r="G104" s="95" t="s">
        <v>19</v>
      </c>
      <c r="H104" s="95" t="s">
        <v>21</v>
      </c>
      <c r="I104" s="95" t="s">
        <v>567</v>
      </c>
      <c r="J104" s="97">
        <v>46076.6316190162</v>
      </c>
      <c r="K104" s="95" t="s">
        <v>1185</v>
      </c>
      <c r="L104" s="96" t="s">
        <v>1186</v>
      </c>
      <c r="M104" s="95" t="s">
        <v>74</v>
      </c>
      <c r="N104" s="95" t="s">
        <v>1178</v>
      </c>
      <c r="O104" s="95" t="s">
        <v>1178</v>
      </c>
      <c r="P104" s="95" t="s">
        <v>1179</v>
      </c>
      <c r="Q104" s="98">
        <v>3.0</v>
      </c>
      <c r="R104" s="97">
        <v>46048.26702546296</v>
      </c>
      <c r="S104" s="99">
        <v>97536.0</v>
      </c>
      <c r="T104" s="99">
        <v>4.0</v>
      </c>
      <c r="U104" s="99">
        <v>2.0</v>
      </c>
      <c r="V104" s="99">
        <v>51.0</v>
      </c>
      <c r="W104" s="99">
        <v>259891.0</v>
      </c>
    </row>
    <row r="105" ht="15.75" customHeight="1">
      <c r="A105" s="95" t="s">
        <v>1187</v>
      </c>
      <c r="B105" s="95" t="s">
        <v>22</v>
      </c>
      <c r="C105" s="96" t="s">
        <v>1188</v>
      </c>
      <c r="D105" s="95" t="s">
        <v>124</v>
      </c>
      <c r="E105" s="95" t="s">
        <v>983</v>
      </c>
      <c r="F105" s="95" t="s">
        <v>19</v>
      </c>
      <c r="G105" s="95" t="s">
        <v>19</v>
      </c>
      <c r="H105" s="95" t="s">
        <v>21</v>
      </c>
      <c r="I105" s="95" t="s">
        <v>567</v>
      </c>
      <c r="J105" s="97">
        <v>46057.09172366898</v>
      </c>
      <c r="K105" s="95" t="s">
        <v>1189</v>
      </c>
      <c r="L105" s="96" t="s">
        <v>1190</v>
      </c>
      <c r="M105" s="95" t="s">
        <v>93</v>
      </c>
      <c r="N105" s="95" t="s">
        <v>1191</v>
      </c>
      <c r="O105" s="95" t="s">
        <v>1191</v>
      </c>
      <c r="P105" s="95" t="s">
        <v>1192</v>
      </c>
      <c r="Q105" s="98">
        <v>3.0</v>
      </c>
      <c r="R105" s="97">
        <v>45777.84591435185</v>
      </c>
      <c r="S105" s="99">
        <v>7659.0</v>
      </c>
      <c r="T105" s="99">
        <v>27.0</v>
      </c>
      <c r="U105" s="99">
        <v>3.0</v>
      </c>
      <c r="V105" s="99">
        <v>197.0</v>
      </c>
      <c r="W105" s="99">
        <v>112691.0</v>
      </c>
    </row>
    <row r="106" ht="15.75" customHeight="1">
      <c r="A106" s="95" t="s">
        <v>1193</v>
      </c>
      <c r="B106" s="95" t="s">
        <v>69</v>
      </c>
      <c r="C106" s="96" t="s">
        <v>1194</v>
      </c>
      <c r="D106" s="95" t="s">
        <v>39</v>
      </c>
      <c r="E106" s="95" t="s">
        <v>39</v>
      </c>
      <c r="F106" s="95" t="s">
        <v>19</v>
      </c>
      <c r="G106" s="95" t="s">
        <v>19</v>
      </c>
      <c r="H106" s="95" t="s">
        <v>21</v>
      </c>
      <c r="I106" s="95" t="s">
        <v>719</v>
      </c>
      <c r="J106" s="97">
        <v>46021.50930244213</v>
      </c>
      <c r="K106" s="95" t="s">
        <v>1195</v>
      </c>
      <c r="L106" s="96" t="s">
        <v>1196</v>
      </c>
      <c r="M106" s="95" t="s">
        <v>74</v>
      </c>
      <c r="N106" s="95" t="s">
        <v>1197</v>
      </c>
      <c r="O106" s="95" t="s">
        <v>1197</v>
      </c>
      <c r="P106" s="95" t="s">
        <v>1198</v>
      </c>
      <c r="Q106" s="98">
        <v>3.0</v>
      </c>
      <c r="R106" s="97">
        <v>45692.62730324074</v>
      </c>
      <c r="S106" s="99">
        <v>4055.0</v>
      </c>
      <c r="T106" s="99">
        <v>36.0</v>
      </c>
      <c r="U106" s="99">
        <v>2.0</v>
      </c>
      <c r="V106" s="99">
        <v>130.0</v>
      </c>
      <c r="W106" s="99">
        <v>5021.0</v>
      </c>
    </row>
    <row r="107" ht="15.75" customHeight="1">
      <c r="A107" s="95" t="s">
        <v>1199</v>
      </c>
      <c r="B107" s="95" t="s">
        <v>22</v>
      </c>
      <c r="C107" s="96" t="s">
        <v>1200</v>
      </c>
      <c r="D107" s="95" t="s">
        <v>39</v>
      </c>
      <c r="E107" s="95" t="s">
        <v>1201</v>
      </c>
      <c r="F107" s="95" t="s">
        <v>19</v>
      </c>
      <c r="G107" s="95" t="s">
        <v>588</v>
      </c>
      <c r="H107" s="95" t="s">
        <v>21</v>
      </c>
      <c r="I107" s="95" t="s">
        <v>589</v>
      </c>
      <c r="J107" s="97">
        <v>46008.629085</v>
      </c>
      <c r="K107" s="96" t="s">
        <v>1202</v>
      </c>
      <c r="L107" s="96" t="s">
        <v>1203</v>
      </c>
      <c r="M107" s="95" t="s">
        <v>74</v>
      </c>
      <c r="N107" s="95" t="s">
        <v>1204</v>
      </c>
      <c r="O107" s="95" t="s">
        <v>1204</v>
      </c>
      <c r="P107" s="95" t="s">
        <v>1205</v>
      </c>
      <c r="Q107" s="98">
        <v>3.0</v>
      </c>
      <c r="R107" s="97">
        <v>45877.04399305556</v>
      </c>
      <c r="S107" s="99">
        <v>5700.0</v>
      </c>
      <c r="T107" s="99">
        <v>358.0</v>
      </c>
      <c r="U107" s="99">
        <v>7.0</v>
      </c>
      <c r="V107" s="99">
        <v>31.0</v>
      </c>
      <c r="W107" s="99">
        <v>24130.0</v>
      </c>
    </row>
    <row r="108" ht="15.75" customHeight="1">
      <c r="A108" s="95" t="s">
        <v>1206</v>
      </c>
      <c r="B108" s="95" t="s">
        <v>22</v>
      </c>
      <c r="C108" s="96" t="s">
        <v>1207</v>
      </c>
      <c r="D108" s="95" t="s">
        <v>39</v>
      </c>
      <c r="E108" s="95" t="s">
        <v>1208</v>
      </c>
      <c r="F108" s="95" t="s">
        <v>19</v>
      </c>
      <c r="G108" s="95" t="s">
        <v>19</v>
      </c>
      <c r="H108" s="95" t="s">
        <v>21</v>
      </c>
      <c r="I108" s="95" t="s">
        <v>589</v>
      </c>
      <c r="J108" s="97">
        <v>46056.931625</v>
      </c>
      <c r="K108" s="95" t="s">
        <v>1209</v>
      </c>
      <c r="L108" s="96" t="s">
        <v>1210</v>
      </c>
      <c r="M108" s="95" t="s">
        <v>503</v>
      </c>
      <c r="N108" s="95" t="s">
        <v>1211</v>
      </c>
      <c r="O108" s="95" t="s">
        <v>1211</v>
      </c>
      <c r="P108" s="95" t="s">
        <v>1212</v>
      </c>
      <c r="Q108" s="98">
        <v>3.0</v>
      </c>
      <c r="R108" s="97">
        <v>45916.77900462963</v>
      </c>
      <c r="S108" s="99">
        <v>78412.0</v>
      </c>
      <c r="T108" s="99">
        <v>33.0</v>
      </c>
      <c r="U108" s="99">
        <v>1.0</v>
      </c>
      <c r="V108" s="99">
        <v>148.0</v>
      </c>
      <c r="W108" s="99">
        <v>14882.0</v>
      </c>
    </row>
    <row r="109" ht="15.75" customHeight="1">
      <c r="A109" s="95" t="s">
        <v>1213</v>
      </c>
      <c r="B109" s="95" t="s">
        <v>22</v>
      </c>
      <c r="C109" s="96" t="s">
        <v>1214</v>
      </c>
      <c r="D109" s="95" t="s">
        <v>49</v>
      </c>
      <c r="E109" s="95" t="s">
        <v>1215</v>
      </c>
      <c r="F109" s="95" t="s">
        <v>19</v>
      </c>
      <c r="G109" s="95" t="s">
        <v>588</v>
      </c>
      <c r="H109" s="95" t="s">
        <v>21</v>
      </c>
      <c r="I109" s="95" t="s">
        <v>1026</v>
      </c>
      <c r="J109" s="97">
        <v>46076.6316190162</v>
      </c>
      <c r="K109" s="95" t="s">
        <v>1216</v>
      </c>
      <c r="L109" s="96" t="s">
        <v>1217</v>
      </c>
      <c r="M109" s="95" t="s">
        <v>74</v>
      </c>
      <c r="N109" s="95" t="s">
        <v>1218</v>
      </c>
      <c r="O109" s="95" t="s">
        <v>1218</v>
      </c>
      <c r="P109" s="95" t="s">
        <v>1219</v>
      </c>
      <c r="Q109" s="98">
        <v>3.0</v>
      </c>
      <c r="R109" s="97">
        <v>46030.74703703704</v>
      </c>
      <c r="S109" s="99">
        <v>658.0</v>
      </c>
      <c r="T109" s="99">
        <v>53.0</v>
      </c>
      <c r="U109" s="99">
        <v>7.0</v>
      </c>
      <c r="V109" s="99">
        <v>195.0</v>
      </c>
      <c r="W109" s="99">
        <v>143859.0</v>
      </c>
    </row>
    <row r="110" ht="15.75" customHeight="1">
      <c r="A110" s="95" t="s">
        <v>1220</v>
      </c>
      <c r="B110" s="95" t="s">
        <v>22</v>
      </c>
      <c r="C110" s="96" t="s">
        <v>1221</v>
      </c>
      <c r="D110" s="95" t="s">
        <v>130</v>
      </c>
      <c r="E110" s="95" t="s">
        <v>917</v>
      </c>
      <c r="F110" s="95" t="s">
        <v>19</v>
      </c>
      <c r="G110" s="95" t="s">
        <v>19</v>
      </c>
      <c r="H110" s="95" t="s">
        <v>21</v>
      </c>
      <c r="I110" s="95" t="s">
        <v>567</v>
      </c>
      <c r="J110" s="97">
        <v>46021.50930244213</v>
      </c>
      <c r="K110" s="95" t="s">
        <v>1222</v>
      </c>
      <c r="L110" s="96" t="s">
        <v>1223</v>
      </c>
      <c r="M110" s="95" t="s">
        <v>93</v>
      </c>
      <c r="N110" s="95" t="s">
        <v>1224</v>
      </c>
      <c r="O110" s="95" t="s">
        <v>1224</v>
      </c>
      <c r="P110" s="95" t="s">
        <v>1225</v>
      </c>
      <c r="Q110" s="98">
        <v>3.0</v>
      </c>
      <c r="R110" s="97">
        <v>45876.72863425926</v>
      </c>
      <c r="S110" s="99">
        <v>1137.0</v>
      </c>
      <c r="T110" s="99">
        <v>1805.0</v>
      </c>
      <c r="U110" s="99">
        <v>2.0</v>
      </c>
      <c r="V110" s="99">
        <v>129.0</v>
      </c>
      <c r="W110" s="99">
        <v>509102.0</v>
      </c>
    </row>
    <row r="111" ht="15.75" customHeight="1">
      <c r="A111" s="95" t="s">
        <v>1226</v>
      </c>
      <c r="B111" s="95" t="s">
        <v>22</v>
      </c>
      <c r="C111" s="96" t="s">
        <v>1227</v>
      </c>
      <c r="D111" s="95" t="s">
        <v>168</v>
      </c>
      <c r="E111" s="95" t="s">
        <v>1228</v>
      </c>
      <c r="F111" s="95" t="s">
        <v>19</v>
      </c>
      <c r="G111" s="95" t="s">
        <v>19</v>
      </c>
      <c r="H111" s="95" t="s">
        <v>21</v>
      </c>
      <c r="I111" s="95" t="s">
        <v>567</v>
      </c>
      <c r="J111" s="97">
        <v>45994.67262503472</v>
      </c>
      <c r="K111" s="95" t="s">
        <v>1229</v>
      </c>
      <c r="L111" s="96" t="s">
        <v>1230</v>
      </c>
      <c r="M111" s="95" t="s">
        <v>105</v>
      </c>
      <c r="N111" s="95" t="s">
        <v>1231</v>
      </c>
      <c r="O111" s="95" t="s">
        <v>1231</v>
      </c>
      <c r="P111" s="95" t="s">
        <v>1232</v>
      </c>
      <c r="Q111" s="98">
        <v>3.0</v>
      </c>
      <c r="R111" s="97">
        <v>45838.06784722222</v>
      </c>
      <c r="S111" s="99">
        <v>16235.0</v>
      </c>
      <c r="T111" s="99">
        <v>1312.0</v>
      </c>
      <c r="U111" s="99">
        <v>4.0</v>
      </c>
      <c r="V111" s="99">
        <v>57.0</v>
      </c>
      <c r="W111" s="99">
        <v>1021976.0</v>
      </c>
    </row>
    <row r="112" ht="15.75" customHeight="1">
      <c r="A112" s="95" t="s">
        <v>1233</v>
      </c>
      <c r="B112" s="95" t="s">
        <v>22</v>
      </c>
      <c r="C112" s="96" t="s">
        <v>1234</v>
      </c>
      <c r="D112" s="95" t="s">
        <v>130</v>
      </c>
      <c r="E112" s="95" t="s">
        <v>1025</v>
      </c>
      <c r="F112" s="95" t="s">
        <v>19</v>
      </c>
      <c r="G112" s="95"/>
      <c r="H112" s="95" t="s">
        <v>21</v>
      </c>
      <c r="I112" s="95" t="s">
        <v>677</v>
      </c>
      <c r="J112" s="97">
        <v>46021.49516895833</v>
      </c>
      <c r="K112" s="95" t="s">
        <v>1235</v>
      </c>
      <c r="L112" s="96" t="s">
        <v>1236</v>
      </c>
      <c r="M112" s="95" t="s">
        <v>105</v>
      </c>
      <c r="N112" s="95" t="s">
        <v>1231</v>
      </c>
      <c r="O112" s="95" t="s">
        <v>1231</v>
      </c>
      <c r="P112" s="95" t="s">
        <v>1232</v>
      </c>
      <c r="Q112" s="98">
        <v>3.0</v>
      </c>
      <c r="R112" s="97">
        <v>45791.59864583334</v>
      </c>
      <c r="S112" s="99">
        <v>16235.0</v>
      </c>
      <c r="T112" s="99">
        <v>114.0</v>
      </c>
      <c r="U112" s="99">
        <v>119.0</v>
      </c>
      <c r="V112" s="99">
        <v>259.0</v>
      </c>
      <c r="W112" s="99">
        <v>1021976.0</v>
      </c>
    </row>
    <row r="113" ht="15.75" customHeight="1">
      <c r="A113" s="95" t="s">
        <v>1237</v>
      </c>
      <c r="B113" s="95" t="s">
        <v>22</v>
      </c>
      <c r="C113" s="96" t="s">
        <v>1238</v>
      </c>
      <c r="D113" s="95" t="s">
        <v>168</v>
      </c>
      <c r="E113" s="95" t="s">
        <v>1228</v>
      </c>
      <c r="F113" s="95" t="s">
        <v>19</v>
      </c>
      <c r="G113" s="95" t="s">
        <v>19</v>
      </c>
      <c r="H113" s="95" t="s">
        <v>21</v>
      </c>
      <c r="I113" s="95" t="s">
        <v>567</v>
      </c>
      <c r="J113" s="97">
        <v>46021.49516895833</v>
      </c>
      <c r="K113" s="95" t="s">
        <v>1239</v>
      </c>
      <c r="L113" s="96" t="s">
        <v>1240</v>
      </c>
      <c r="M113" s="95" t="s">
        <v>105</v>
      </c>
      <c r="N113" s="95" t="s">
        <v>1231</v>
      </c>
      <c r="O113" s="95" t="s">
        <v>1231</v>
      </c>
      <c r="P113" s="95" t="s">
        <v>1232</v>
      </c>
      <c r="Q113" s="98">
        <v>3.0</v>
      </c>
      <c r="R113" s="97">
        <v>45723.84571759259</v>
      </c>
      <c r="S113" s="99">
        <v>16235.0</v>
      </c>
      <c r="T113" s="99">
        <v>847.0</v>
      </c>
      <c r="U113" s="99">
        <v>6.0</v>
      </c>
      <c r="V113" s="99">
        <v>832.0</v>
      </c>
      <c r="W113" s="99">
        <v>1021976.0</v>
      </c>
    </row>
    <row r="114" ht="15.75" customHeight="1">
      <c r="A114" s="95" t="s">
        <v>1241</v>
      </c>
      <c r="B114" s="95" t="s">
        <v>22</v>
      </c>
      <c r="C114" s="96" t="s">
        <v>1242</v>
      </c>
      <c r="D114" s="95" t="s">
        <v>130</v>
      </c>
      <c r="E114" s="95" t="s">
        <v>1025</v>
      </c>
      <c r="F114" s="95" t="s">
        <v>19</v>
      </c>
      <c r="G114" s="95" t="s">
        <v>19</v>
      </c>
      <c r="H114" s="95" t="s">
        <v>21</v>
      </c>
      <c r="I114" s="95" t="s">
        <v>567</v>
      </c>
      <c r="J114" s="97">
        <v>46021.49516895833</v>
      </c>
      <c r="K114" s="95" t="s">
        <v>1243</v>
      </c>
      <c r="L114" s="96" t="s">
        <v>1244</v>
      </c>
      <c r="M114" s="95" t="s">
        <v>105</v>
      </c>
      <c r="N114" s="95" t="s">
        <v>1231</v>
      </c>
      <c r="O114" s="95" t="s">
        <v>1231</v>
      </c>
      <c r="P114" s="95" t="s">
        <v>1232</v>
      </c>
      <c r="Q114" s="98">
        <v>3.0</v>
      </c>
      <c r="R114" s="97">
        <v>45680.81421296296</v>
      </c>
      <c r="S114" s="99">
        <v>16235.0</v>
      </c>
      <c r="T114" s="99">
        <v>274.0</v>
      </c>
      <c r="U114" s="99">
        <v>5.0</v>
      </c>
      <c r="V114" s="99">
        <v>365.0</v>
      </c>
      <c r="W114" s="99">
        <v>1021976.0</v>
      </c>
    </row>
    <row r="115" ht="15.75" customHeight="1">
      <c r="A115" s="95" t="s">
        <v>1245</v>
      </c>
      <c r="B115" s="95" t="s">
        <v>101</v>
      </c>
      <c r="C115" s="96" t="s">
        <v>1246</v>
      </c>
      <c r="D115" s="95" t="s">
        <v>130</v>
      </c>
      <c r="E115" s="95" t="s">
        <v>917</v>
      </c>
      <c r="F115" s="95" t="s">
        <v>19</v>
      </c>
      <c r="G115" s="95" t="s">
        <v>19</v>
      </c>
      <c r="H115" s="95" t="s">
        <v>21</v>
      </c>
      <c r="I115" s="95" t="s">
        <v>607</v>
      </c>
      <c r="J115" s="97">
        <v>46021.49354603009</v>
      </c>
      <c r="K115" s="95" t="s">
        <v>1247</v>
      </c>
      <c r="L115" s="96" t="s">
        <v>1248</v>
      </c>
      <c r="M115" s="95" t="s">
        <v>54</v>
      </c>
      <c r="N115" s="95" t="s">
        <v>1249</v>
      </c>
      <c r="O115" s="95" t="s">
        <v>1249</v>
      </c>
      <c r="P115" s="95" t="s">
        <v>1250</v>
      </c>
      <c r="Q115" s="98">
        <v>3.0</v>
      </c>
      <c r="R115" s="97">
        <v>45909.4393287037</v>
      </c>
      <c r="S115" s="99">
        <v>896.0</v>
      </c>
      <c r="T115" s="99">
        <v>145.0</v>
      </c>
      <c r="U115" s="99">
        <v>3.0</v>
      </c>
      <c r="V115" s="99">
        <v>82.0</v>
      </c>
      <c r="W115" s="99">
        <v>218666.0</v>
      </c>
    </row>
    <row r="116" ht="15.75" customHeight="1">
      <c r="A116" s="95" t="s">
        <v>1251</v>
      </c>
      <c r="B116" s="95" t="s">
        <v>22</v>
      </c>
      <c r="C116" s="96" t="s">
        <v>1252</v>
      </c>
      <c r="D116" s="95" t="s">
        <v>130</v>
      </c>
      <c r="E116" s="95" t="s">
        <v>1253</v>
      </c>
      <c r="F116" s="95" t="s">
        <v>19</v>
      </c>
      <c r="G116" s="95" t="s">
        <v>574</v>
      </c>
      <c r="H116" s="95" t="s">
        <v>21</v>
      </c>
      <c r="I116" s="95" t="s">
        <v>567</v>
      </c>
      <c r="J116" s="97">
        <v>46057.09133766204</v>
      </c>
      <c r="K116" s="95" t="s">
        <v>1254</v>
      </c>
      <c r="L116" s="96" t="s">
        <v>1255</v>
      </c>
      <c r="M116" s="95" t="s">
        <v>93</v>
      </c>
      <c r="N116" s="95" t="s">
        <v>1256</v>
      </c>
      <c r="O116" s="95" t="s">
        <v>1256</v>
      </c>
      <c r="P116" s="95" t="s">
        <v>1257</v>
      </c>
      <c r="Q116" s="98">
        <v>3.0</v>
      </c>
      <c r="R116" s="97">
        <v>46041.58297453704</v>
      </c>
      <c r="S116" s="99">
        <v>285.0</v>
      </c>
      <c r="T116" s="99">
        <v>8.0</v>
      </c>
      <c r="U116" s="99">
        <v>1.0</v>
      </c>
      <c r="V116" s="99">
        <v>69.0</v>
      </c>
      <c r="W116" s="99">
        <v>792856.0</v>
      </c>
    </row>
    <row r="117" ht="15.75" customHeight="1">
      <c r="A117" s="95" t="s">
        <v>1258</v>
      </c>
      <c r="B117" s="95" t="s">
        <v>22</v>
      </c>
      <c r="C117" s="96" t="s">
        <v>1259</v>
      </c>
      <c r="D117" s="95" t="s">
        <v>130</v>
      </c>
      <c r="E117" s="95" t="s">
        <v>1253</v>
      </c>
      <c r="F117" s="95" t="s">
        <v>19</v>
      </c>
      <c r="G117" s="95" t="s">
        <v>19</v>
      </c>
      <c r="H117" s="95" t="s">
        <v>21</v>
      </c>
      <c r="I117" s="95" t="s">
        <v>589</v>
      </c>
      <c r="J117" s="97">
        <v>46021.50930244213</v>
      </c>
      <c r="K117" s="95" t="s">
        <v>1260</v>
      </c>
      <c r="L117" s="96" t="s">
        <v>1261</v>
      </c>
      <c r="M117" s="95" t="s">
        <v>93</v>
      </c>
      <c r="N117" s="95" t="s">
        <v>1256</v>
      </c>
      <c r="O117" s="95" t="s">
        <v>1256</v>
      </c>
      <c r="P117" s="95" t="s">
        <v>1257</v>
      </c>
      <c r="Q117" s="98">
        <v>3.0</v>
      </c>
      <c r="R117" s="97">
        <v>45979.58689814815</v>
      </c>
      <c r="S117" s="99">
        <v>285.0</v>
      </c>
      <c r="T117" s="99">
        <v>79.0</v>
      </c>
      <c r="U117" s="99">
        <v>3.0</v>
      </c>
      <c r="V117" s="99">
        <v>78.0</v>
      </c>
      <c r="W117" s="99">
        <v>792856.0</v>
      </c>
    </row>
    <row r="118" ht="15.75" customHeight="1">
      <c r="A118" s="95" t="s">
        <v>1262</v>
      </c>
      <c r="B118" s="95" t="s">
        <v>22</v>
      </c>
      <c r="C118" s="96" t="s">
        <v>1263</v>
      </c>
      <c r="D118" s="95" t="s">
        <v>130</v>
      </c>
      <c r="E118" s="95" t="s">
        <v>1264</v>
      </c>
      <c r="F118" s="95" t="s">
        <v>19</v>
      </c>
      <c r="G118" s="95" t="s">
        <v>574</v>
      </c>
      <c r="H118" s="95" t="s">
        <v>21</v>
      </c>
      <c r="I118" s="95" t="s">
        <v>677</v>
      </c>
      <c r="J118" s="97">
        <v>46039.60542217593</v>
      </c>
      <c r="K118" s="95" t="s">
        <v>1265</v>
      </c>
      <c r="L118" s="96" t="s">
        <v>1266</v>
      </c>
      <c r="M118" s="95" t="s">
        <v>93</v>
      </c>
      <c r="N118" s="95" t="s">
        <v>1256</v>
      </c>
      <c r="O118" s="95" t="s">
        <v>1256</v>
      </c>
      <c r="P118" s="95" t="s">
        <v>1257</v>
      </c>
      <c r="Q118" s="98">
        <v>3.0</v>
      </c>
      <c r="R118" s="97">
        <v>45751.76274305556</v>
      </c>
      <c r="S118" s="99">
        <v>285.0</v>
      </c>
      <c r="T118" s="99">
        <v>59.0</v>
      </c>
      <c r="U118" s="99">
        <v>5.0</v>
      </c>
      <c r="V118" s="99">
        <v>122.0</v>
      </c>
      <c r="W118" s="99">
        <v>792856.0</v>
      </c>
    </row>
    <row r="119" ht="15.75" customHeight="1">
      <c r="A119" s="95" t="s">
        <v>1267</v>
      </c>
      <c r="B119" s="95" t="s">
        <v>22</v>
      </c>
      <c r="C119" s="96" t="s">
        <v>1268</v>
      </c>
      <c r="D119" s="95" t="s">
        <v>39</v>
      </c>
      <c r="E119" s="95" t="s">
        <v>1269</v>
      </c>
      <c r="F119" s="95" t="s">
        <v>19</v>
      </c>
      <c r="G119" s="95" t="s">
        <v>19</v>
      </c>
      <c r="H119" s="95" t="s">
        <v>21</v>
      </c>
      <c r="I119" s="95" t="s">
        <v>567</v>
      </c>
      <c r="J119" s="97">
        <v>45977.67502017361</v>
      </c>
      <c r="K119" s="95" t="s">
        <v>1270</v>
      </c>
      <c r="L119" s="95"/>
      <c r="M119" s="95" t="s">
        <v>38</v>
      </c>
      <c r="N119" s="95" t="s">
        <v>1271</v>
      </c>
      <c r="O119" s="95" t="s">
        <v>1271</v>
      </c>
      <c r="P119" s="95" t="s">
        <v>1272</v>
      </c>
      <c r="Q119" s="98">
        <v>3.0</v>
      </c>
      <c r="R119" s="97">
        <v>45812.74244212963</v>
      </c>
      <c r="S119" s="99">
        <v>3254.0</v>
      </c>
      <c r="T119" s="99">
        <v>1082.0</v>
      </c>
      <c r="U119" s="99">
        <v>1.0</v>
      </c>
      <c r="V119" s="99">
        <v>68.0</v>
      </c>
      <c r="W119" s="99">
        <v>100549.0</v>
      </c>
    </row>
    <row r="120" ht="15.75" customHeight="1">
      <c r="A120" s="95" t="s">
        <v>1273</v>
      </c>
      <c r="B120" s="95" t="s">
        <v>22</v>
      </c>
      <c r="C120" s="96" t="s">
        <v>1274</v>
      </c>
      <c r="D120" s="95" t="s">
        <v>130</v>
      </c>
      <c r="E120" s="95" t="s">
        <v>130</v>
      </c>
      <c r="F120" s="95" t="s">
        <v>19</v>
      </c>
      <c r="G120" s="95" t="s">
        <v>19</v>
      </c>
      <c r="H120" s="95" t="s">
        <v>21</v>
      </c>
      <c r="I120" s="95" t="s">
        <v>677</v>
      </c>
      <c r="J120" s="97">
        <v>46069.65883778935</v>
      </c>
      <c r="K120" s="95" t="s">
        <v>1275</v>
      </c>
      <c r="L120" s="95"/>
      <c r="M120" s="95" t="s">
        <v>93</v>
      </c>
      <c r="N120" s="95" t="s">
        <v>1276</v>
      </c>
      <c r="O120" s="95" t="s">
        <v>1276</v>
      </c>
      <c r="P120" s="95" t="s">
        <v>1277</v>
      </c>
      <c r="Q120" s="98">
        <v>3.0</v>
      </c>
      <c r="R120" s="97">
        <v>45840.14325231482</v>
      </c>
      <c r="S120" s="99">
        <v>14157.0</v>
      </c>
      <c r="T120" s="99">
        <v>68.0</v>
      </c>
      <c r="U120" s="99">
        <v>3.0</v>
      </c>
      <c r="V120" s="99">
        <v>95.0</v>
      </c>
      <c r="W120" s="99">
        <v>355093.0</v>
      </c>
    </row>
    <row r="121" ht="15.75" customHeight="1">
      <c r="A121" s="95" t="s">
        <v>1278</v>
      </c>
      <c r="B121" s="95" t="s">
        <v>22</v>
      </c>
      <c r="C121" s="96" t="s">
        <v>1279</v>
      </c>
      <c r="D121" s="95" t="s">
        <v>130</v>
      </c>
      <c r="E121" s="95" t="s">
        <v>917</v>
      </c>
      <c r="F121" s="95" t="s">
        <v>19</v>
      </c>
      <c r="G121" s="95" t="s">
        <v>574</v>
      </c>
      <c r="H121" s="95" t="s">
        <v>21</v>
      </c>
      <c r="I121" s="95" t="s">
        <v>633</v>
      </c>
      <c r="J121" s="97">
        <v>45993.78544196759</v>
      </c>
      <c r="K121" s="96" t="s">
        <v>1280</v>
      </c>
      <c r="L121" s="96" t="s">
        <v>1281</v>
      </c>
      <c r="M121" s="95" t="s">
        <v>93</v>
      </c>
      <c r="N121" s="95" t="s">
        <v>1276</v>
      </c>
      <c r="O121" s="95" t="s">
        <v>1276</v>
      </c>
      <c r="P121" s="95" t="s">
        <v>1277</v>
      </c>
      <c r="Q121" s="98">
        <v>3.0</v>
      </c>
      <c r="R121" s="97">
        <v>45454.12318287037</v>
      </c>
      <c r="S121" s="99">
        <v>14157.0</v>
      </c>
      <c r="T121" s="99">
        <v>115.0</v>
      </c>
      <c r="U121" s="99">
        <v>2.0</v>
      </c>
      <c r="V121" s="99">
        <v>324.0</v>
      </c>
      <c r="W121" s="99">
        <v>355093.0</v>
      </c>
    </row>
    <row r="122" ht="15.75" customHeight="1">
      <c r="A122" s="95" t="s">
        <v>1282</v>
      </c>
      <c r="B122" s="95" t="s">
        <v>22</v>
      </c>
      <c r="C122" s="96" t="s">
        <v>1283</v>
      </c>
      <c r="D122" s="95" t="s">
        <v>130</v>
      </c>
      <c r="E122" s="95" t="s">
        <v>1025</v>
      </c>
      <c r="F122" s="95" t="s">
        <v>19</v>
      </c>
      <c r="G122" s="95" t="s">
        <v>19</v>
      </c>
      <c r="H122" s="95" t="s">
        <v>21</v>
      </c>
      <c r="I122" s="95" t="s">
        <v>677</v>
      </c>
      <c r="J122" s="97">
        <v>46069.13581600694</v>
      </c>
      <c r="K122" s="95" t="s">
        <v>1284</v>
      </c>
      <c r="L122" s="96" t="s">
        <v>1285</v>
      </c>
      <c r="M122" s="95" t="s">
        <v>93</v>
      </c>
      <c r="N122" s="95" t="s">
        <v>1286</v>
      </c>
      <c r="O122" s="95" t="s">
        <v>1286</v>
      </c>
      <c r="P122" s="95" t="s">
        <v>1287</v>
      </c>
      <c r="Q122" s="98">
        <v>3.0</v>
      </c>
      <c r="R122" s="97">
        <v>45862.90858796296</v>
      </c>
      <c r="S122" s="99">
        <v>13939.0</v>
      </c>
      <c r="T122" s="99">
        <v>69.0</v>
      </c>
      <c r="U122" s="99">
        <v>10.0</v>
      </c>
      <c r="V122" s="99">
        <v>565.0</v>
      </c>
      <c r="W122" s="99">
        <v>2977172.0</v>
      </c>
    </row>
    <row r="123" ht="15.75" customHeight="1">
      <c r="A123" s="95" t="s">
        <v>1288</v>
      </c>
      <c r="B123" s="95" t="s">
        <v>22</v>
      </c>
      <c r="C123" s="96" t="s">
        <v>1289</v>
      </c>
      <c r="D123" s="95" t="s">
        <v>39</v>
      </c>
      <c r="E123" s="95" t="s">
        <v>1269</v>
      </c>
      <c r="F123" s="95" t="s">
        <v>19</v>
      </c>
      <c r="G123" s="95" t="s">
        <v>19</v>
      </c>
      <c r="H123" s="95" t="s">
        <v>21</v>
      </c>
      <c r="I123" s="95" t="s">
        <v>567</v>
      </c>
      <c r="J123" s="97">
        <v>45975.6793321412</v>
      </c>
      <c r="K123" s="96" t="s">
        <v>1290</v>
      </c>
      <c r="L123" s="95"/>
      <c r="M123" s="95" t="s">
        <v>93</v>
      </c>
      <c r="N123" s="95" t="s">
        <v>1291</v>
      </c>
      <c r="O123" s="95" t="s">
        <v>1291</v>
      </c>
      <c r="P123" s="95" t="s">
        <v>1292</v>
      </c>
      <c r="Q123" s="98">
        <v>3.0</v>
      </c>
      <c r="R123" s="97">
        <v>45910.49122685185</v>
      </c>
      <c r="S123" s="99">
        <v>5813.0</v>
      </c>
      <c r="T123" s="99">
        <v>230.0</v>
      </c>
      <c r="U123" s="99">
        <v>5.0</v>
      </c>
      <c r="V123" s="99">
        <v>272.0</v>
      </c>
      <c r="W123" s="99">
        <v>50200.0</v>
      </c>
    </row>
    <row r="124" ht="15.75" customHeight="1">
      <c r="A124" s="95" t="s">
        <v>1293</v>
      </c>
      <c r="B124" s="95" t="s">
        <v>22</v>
      </c>
      <c r="C124" s="96" t="s">
        <v>1294</v>
      </c>
      <c r="D124" s="95" t="s">
        <v>130</v>
      </c>
      <c r="E124" s="95" t="s">
        <v>917</v>
      </c>
      <c r="F124" s="95" t="s">
        <v>19</v>
      </c>
      <c r="G124" s="95" t="s">
        <v>19</v>
      </c>
      <c r="H124" s="95" t="s">
        <v>21</v>
      </c>
      <c r="I124" s="95" t="s">
        <v>567</v>
      </c>
      <c r="J124" s="97">
        <v>46040.56561972222</v>
      </c>
      <c r="K124" s="95" t="s">
        <v>1295</v>
      </c>
      <c r="L124" s="96" t="s">
        <v>1296</v>
      </c>
      <c r="M124" s="95" t="s">
        <v>93</v>
      </c>
      <c r="N124" s="95" t="s">
        <v>1297</v>
      </c>
      <c r="O124" s="95" t="s">
        <v>1297</v>
      </c>
      <c r="P124" s="95" t="s">
        <v>1298</v>
      </c>
      <c r="Q124" s="98">
        <v>3.0</v>
      </c>
      <c r="R124" s="97">
        <v>45818.15309027778</v>
      </c>
      <c r="S124" s="99">
        <v>1795.0</v>
      </c>
      <c r="T124" s="99">
        <v>4.0</v>
      </c>
      <c r="U124" s="99">
        <v>2.0</v>
      </c>
      <c r="V124" s="99">
        <v>54.0</v>
      </c>
      <c r="W124" s="99">
        <v>272096.0</v>
      </c>
    </row>
    <row r="125" ht="15.75" customHeight="1">
      <c r="A125" s="95" t="s">
        <v>1299</v>
      </c>
      <c r="B125" s="95" t="s">
        <v>22</v>
      </c>
      <c r="C125" s="96" t="s">
        <v>1300</v>
      </c>
      <c r="D125" s="95" t="s">
        <v>130</v>
      </c>
      <c r="E125" s="95" t="s">
        <v>917</v>
      </c>
      <c r="F125" s="95" t="s">
        <v>19</v>
      </c>
      <c r="G125" s="95" t="s">
        <v>19</v>
      </c>
      <c r="H125" s="95" t="s">
        <v>21</v>
      </c>
      <c r="I125" s="95" t="s">
        <v>567</v>
      </c>
      <c r="J125" s="97">
        <v>46039.60542217593</v>
      </c>
      <c r="K125" s="95" t="s">
        <v>1301</v>
      </c>
      <c r="L125" s="96" t="s">
        <v>1302</v>
      </c>
      <c r="M125" s="95" t="s">
        <v>93</v>
      </c>
      <c r="N125" s="95" t="s">
        <v>1297</v>
      </c>
      <c r="O125" s="95" t="s">
        <v>1297</v>
      </c>
      <c r="P125" s="95" t="s">
        <v>1298</v>
      </c>
      <c r="Q125" s="98">
        <v>3.0</v>
      </c>
      <c r="R125" s="97">
        <v>45921.31972222222</v>
      </c>
      <c r="S125" s="99">
        <v>1795.0</v>
      </c>
      <c r="T125" s="99">
        <v>1330.0</v>
      </c>
      <c r="U125" s="99">
        <v>6.0</v>
      </c>
      <c r="V125" s="99">
        <v>483.0</v>
      </c>
      <c r="W125" s="99">
        <v>272096.0</v>
      </c>
    </row>
    <row r="126" ht="15.75" customHeight="1">
      <c r="A126" s="95" t="s">
        <v>1303</v>
      </c>
      <c r="B126" s="95" t="s">
        <v>22</v>
      </c>
      <c r="C126" s="96" t="s">
        <v>1304</v>
      </c>
      <c r="D126" s="95" t="s">
        <v>130</v>
      </c>
      <c r="E126" s="95" t="s">
        <v>917</v>
      </c>
      <c r="F126" s="95" t="s">
        <v>19</v>
      </c>
      <c r="G126" s="95" t="s">
        <v>19</v>
      </c>
      <c r="H126" s="95" t="s">
        <v>21</v>
      </c>
      <c r="I126" s="95" t="s">
        <v>567</v>
      </c>
      <c r="J126" s="97">
        <v>46061.0174950463</v>
      </c>
      <c r="K126" s="95" t="s">
        <v>1305</v>
      </c>
      <c r="L126" s="96" t="s">
        <v>1306</v>
      </c>
      <c r="M126" s="95" t="s">
        <v>93</v>
      </c>
      <c r="N126" s="95" t="s">
        <v>1297</v>
      </c>
      <c r="O126" s="95" t="s">
        <v>1297</v>
      </c>
      <c r="P126" s="95" t="s">
        <v>1298</v>
      </c>
      <c r="Q126" s="98">
        <v>3.0</v>
      </c>
      <c r="R126" s="97">
        <v>46054.32480324074</v>
      </c>
      <c r="S126" s="99">
        <v>1795.0</v>
      </c>
      <c r="T126" s="99">
        <v>2227.0</v>
      </c>
      <c r="U126" s="99">
        <v>2.0</v>
      </c>
      <c r="V126" s="99">
        <v>170.0</v>
      </c>
      <c r="W126" s="99">
        <v>272096.0</v>
      </c>
    </row>
    <row r="127" ht="15.75" customHeight="1">
      <c r="A127" s="95" t="s">
        <v>1307</v>
      </c>
      <c r="B127" s="95" t="s">
        <v>22</v>
      </c>
      <c r="C127" s="96" t="s">
        <v>1308</v>
      </c>
      <c r="D127" s="95" t="s">
        <v>130</v>
      </c>
      <c r="E127" s="95" t="s">
        <v>917</v>
      </c>
      <c r="F127" s="95" t="s">
        <v>19</v>
      </c>
      <c r="G127" s="95" t="s">
        <v>19</v>
      </c>
      <c r="H127" s="95" t="s">
        <v>21</v>
      </c>
      <c r="I127" s="95" t="s">
        <v>943</v>
      </c>
      <c r="J127" s="97">
        <v>46069.65739892361</v>
      </c>
      <c r="K127" s="95" t="s">
        <v>1309</v>
      </c>
      <c r="L127" s="95"/>
      <c r="M127" s="95" t="s">
        <v>93</v>
      </c>
      <c r="N127" s="95" t="s">
        <v>1297</v>
      </c>
      <c r="O127" s="95" t="s">
        <v>1297</v>
      </c>
      <c r="P127" s="95" t="s">
        <v>1298</v>
      </c>
      <c r="Q127" s="98">
        <v>3.0</v>
      </c>
      <c r="R127" s="97">
        <v>46012.46782407408</v>
      </c>
      <c r="S127" s="99">
        <v>1795.0</v>
      </c>
      <c r="T127" s="99">
        <v>1749.0</v>
      </c>
      <c r="U127" s="99">
        <v>1.0</v>
      </c>
      <c r="V127" s="99">
        <v>456.0</v>
      </c>
      <c r="W127" s="99">
        <v>272096.0</v>
      </c>
    </row>
    <row r="128" ht="15.75" customHeight="1">
      <c r="A128" s="95" t="s">
        <v>1310</v>
      </c>
      <c r="B128" s="95" t="s">
        <v>69</v>
      </c>
      <c r="C128" s="96" t="s">
        <v>1311</v>
      </c>
      <c r="D128" s="95" t="s">
        <v>130</v>
      </c>
      <c r="E128" s="95" t="s">
        <v>1312</v>
      </c>
      <c r="F128" s="95" t="s">
        <v>19</v>
      </c>
      <c r="G128" s="95" t="s">
        <v>19</v>
      </c>
      <c r="H128" s="95" t="s">
        <v>21</v>
      </c>
      <c r="I128" s="95" t="s">
        <v>998</v>
      </c>
      <c r="J128" s="97">
        <v>45975.6793321412</v>
      </c>
      <c r="K128" s="96" t="s">
        <v>1313</v>
      </c>
      <c r="L128" s="96" t="s">
        <v>1314</v>
      </c>
      <c r="M128" s="95" t="s">
        <v>93</v>
      </c>
      <c r="N128" s="95" t="s">
        <v>162</v>
      </c>
      <c r="O128" s="95" t="s">
        <v>162</v>
      </c>
      <c r="P128" s="95" t="s">
        <v>1315</v>
      </c>
      <c r="Q128" s="98">
        <v>3.0</v>
      </c>
      <c r="R128" s="97">
        <v>45874.07920138889</v>
      </c>
      <c r="S128" s="99">
        <v>2853.0</v>
      </c>
      <c r="T128" s="99">
        <v>56.0</v>
      </c>
      <c r="U128" s="99">
        <v>33.0</v>
      </c>
      <c r="V128" s="99">
        <v>481.0</v>
      </c>
      <c r="W128" s="99">
        <v>497894.0</v>
      </c>
    </row>
    <row r="129" ht="15.75" customHeight="1">
      <c r="A129" s="95" t="s">
        <v>1316</v>
      </c>
      <c r="B129" s="95" t="s">
        <v>22</v>
      </c>
      <c r="C129" s="96" t="s">
        <v>1317</v>
      </c>
      <c r="D129" s="95" t="s">
        <v>130</v>
      </c>
      <c r="E129" s="95" t="s">
        <v>1318</v>
      </c>
      <c r="F129" s="95" t="s">
        <v>19</v>
      </c>
      <c r="G129" s="95" t="s">
        <v>574</v>
      </c>
      <c r="H129" s="95" t="s">
        <v>21</v>
      </c>
      <c r="I129" s="95" t="s">
        <v>567</v>
      </c>
      <c r="J129" s="97">
        <v>45993.78544196759</v>
      </c>
      <c r="K129" s="96" t="s">
        <v>1319</v>
      </c>
      <c r="L129" s="96" t="s">
        <v>1320</v>
      </c>
      <c r="M129" s="95" t="s">
        <v>93</v>
      </c>
      <c r="N129" s="95" t="s">
        <v>162</v>
      </c>
      <c r="O129" s="95" t="s">
        <v>162</v>
      </c>
      <c r="P129" s="95" t="s">
        <v>1315</v>
      </c>
      <c r="Q129" s="98">
        <v>3.0</v>
      </c>
      <c r="R129" s="97">
        <v>45729.11810185185</v>
      </c>
      <c r="S129" s="99">
        <v>2853.0</v>
      </c>
      <c r="T129" s="99">
        <v>521.0</v>
      </c>
      <c r="U129" s="99">
        <v>23.0</v>
      </c>
      <c r="V129" s="99">
        <v>726.0</v>
      </c>
      <c r="W129" s="99">
        <v>497894.0</v>
      </c>
    </row>
    <row r="130" ht="15.75" customHeight="1">
      <c r="A130" s="95" t="s">
        <v>1321</v>
      </c>
      <c r="B130" s="95" t="s">
        <v>22</v>
      </c>
      <c r="C130" s="96" t="s">
        <v>1322</v>
      </c>
      <c r="D130" s="95" t="s">
        <v>130</v>
      </c>
      <c r="E130" s="95" t="s">
        <v>1323</v>
      </c>
      <c r="F130" s="95" t="s">
        <v>19</v>
      </c>
      <c r="G130" s="95" t="s">
        <v>588</v>
      </c>
      <c r="H130" s="95" t="s">
        <v>21</v>
      </c>
      <c r="I130" s="95" t="s">
        <v>567</v>
      </c>
      <c r="J130" s="97">
        <v>45993.78544196759</v>
      </c>
      <c r="K130" s="96" t="s">
        <v>1324</v>
      </c>
      <c r="L130" s="96" t="s">
        <v>1325</v>
      </c>
      <c r="M130" s="95" t="s">
        <v>93</v>
      </c>
      <c r="N130" s="95" t="s">
        <v>162</v>
      </c>
      <c r="O130" s="95" t="s">
        <v>162</v>
      </c>
      <c r="P130" s="95" t="s">
        <v>1315</v>
      </c>
      <c r="Q130" s="98">
        <v>3.0</v>
      </c>
      <c r="R130" s="97">
        <v>45859.30383101852</v>
      </c>
      <c r="S130" s="99">
        <v>2853.0</v>
      </c>
      <c r="T130" s="99">
        <v>736.0</v>
      </c>
      <c r="U130" s="99">
        <v>6.0</v>
      </c>
      <c r="V130" s="99">
        <v>744.0</v>
      </c>
      <c r="W130" s="99">
        <v>497894.0</v>
      </c>
    </row>
    <row r="131" ht="15.75" customHeight="1">
      <c r="A131" s="95" t="s">
        <v>1326</v>
      </c>
      <c r="B131" s="95" t="s">
        <v>22</v>
      </c>
      <c r="C131" s="96" t="s">
        <v>1327</v>
      </c>
      <c r="D131" s="95" t="s">
        <v>130</v>
      </c>
      <c r="E131" s="95" t="s">
        <v>1323</v>
      </c>
      <c r="F131" s="95" t="s">
        <v>19</v>
      </c>
      <c r="G131" s="95" t="s">
        <v>19</v>
      </c>
      <c r="H131" s="95" t="s">
        <v>21</v>
      </c>
      <c r="I131" s="95" t="s">
        <v>567</v>
      </c>
      <c r="J131" s="97">
        <v>46039.60542217593</v>
      </c>
      <c r="K131" s="95" t="s">
        <v>1328</v>
      </c>
      <c r="L131" s="96" t="s">
        <v>1329</v>
      </c>
      <c r="M131" s="95" t="s">
        <v>93</v>
      </c>
      <c r="N131" s="95" t="s">
        <v>162</v>
      </c>
      <c r="O131" s="95" t="s">
        <v>162</v>
      </c>
      <c r="P131" s="95" t="s">
        <v>1315</v>
      </c>
      <c r="Q131" s="98">
        <v>3.0</v>
      </c>
      <c r="R131" s="97">
        <v>45812.29663194445</v>
      </c>
      <c r="S131" s="99">
        <v>2853.0</v>
      </c>
      <c r="T131" s="99">
        <v>141.0</v>
      </c>
      <c r="U131" s="99">
        <v>3.0</v>
      </c>
      <c r="V131" s="99">
        <v>483.0</v>
      </c>
      <c r="W131" s="99">
        <v>497894.0</v>
      </c>
    </row>
    <row r="132" ht="15.75" customHeight="1">
      <c r="A132" s="95" t="s">
        <v>1330</v>
      </c>
      <c r="B132" s="95" t="s">
        <v>22</v>
      </c>
      <c r="C132" s="96" t="s">
        <v>1331</v>
      </c>
      <c r="D132" s="95" t="s">
        <v>130</v>
      </c>
      <c r="E132" s="95" t="s">
        <v>1323</v>
      </c>
      <c r="F132" s="95" t="s">
        <v>19</v>
      </c>
      <c r="G132" s="95" t="s">
        <v>588</v>
      </c>
      <c r="H132" s="95" t="s">
        <v>21</v>
      </c>
      <c r="I132" s="95" t="s">
        <v>567</v>
      </c>
      <c r="J132" s="97">
        <v>46039.71515172454</v>
      </c>
      <c r="K132" s="95" t="s">
        <v>1332</v>
      </c>
      <c r="L132" s="96" t="s">
        <v>1333</v>
      </c>
      <c r="M132" s="95" t="s">
        <v>93</v>
      </c>
      <c r="N132" s="95" t="s">
        <v>162</v>
      </c>
      <c r="O132" s="95" t="s">
        <v>162</v>
      </c>
      <c r="P132" s="95" t="s">
        <v>1315</v>
      </c>
      <c r="Q132" s="98">
        <v>3.0</v>
      </c>
      <c r="R132" s="97">
        <v>45884.295</v>
      </c>
      <c r="S132" s="99">
        <v>2853.0</v>
      </c>
      <c r="T132" s="99">
        <v>106.0</v>
      </c>
      <c r="U132" s="99">
        <v>4.0</v>
      </c>
      <c r="V132" s="99">
        <v>94.0</v>
      </c>
      <c r="W132" s="99">
        <v>497894.0</v>
      </c>
    </row>
    <row r="133" ht="15.75" customHeight="1">
      <c r="A133" s="95" t="s">
        <v>1334</v>
      </c>
      <c r="B133" s="95" t="s">
        <v>22</v>
      </c>
      <c r="C133" s="96" t="s">
        <v>1335</v>
      </c>
      <c r="D133" s="95" t="s">
        <v>130</v>
      </c>
      <c r="E133" s="95" t="s">
        <v>1323</v>
      </c>
      <c r="F133" s="95" t="s">
        <v>19</v>
      </c>
      <c r="G133" s="95" t="s">
        <v>19</v>
      </c>
      <c r="H133" s="95" t="s">
        <v>21</v>
      </c>
      <c r="I133" s="95" t="s">
        <v>677</v>
      </c>
      <c r="J133" s="97">
        <v>46039.71515172454</v>
      </c>
      <c r="K133" s="95" t="s">
        <v>1336</v>
      </c>
      <c r="L133" s="96" t="s">
        <v>1337</v>
      </c>
      <c r="M133" s="95" t="s">
        <v>93</v>
      </c>
      <c r="N133" s="95" t="s">
        <v>162</v>
      </c>
      <c r="O133" s="95" t="s">
        <v>162</v>
      </c>
      <c r="P133" s="95" t="s">
        <v>1315</v>
      </c>
      <c r="Q133" s="98">
        <v>3.0</v>
      </c>
      <c r="R133" s="97">
        <v>45923.3012962963</v>
      </c>
      <c r="S133" s="99">
        <v>2853.0</v>
      </c>
      <c r="T133" s="99">
        <v>1151.0</v>
      </c>
      <c r="U133" s="99">
        <v>8.0</v>
      </c>
      <c r="V133" s="99">
        <v>173.0</v>
      </c>
      <c r="W133" s="99">
        <v>497894.0</v>
      </c>
    </row>
    <row r="134" ht="15.75" customHeight="1">
      <c r="A134" s="95" t="s">
        <v>1338</v>
      </c>
      <c r="B134" s="95" t="s">
        <v>22</v>
      </c>
      <c r="C134" s="96" t="s">
        <v>1339</v>
      </c>
      <c r="D134" s="95" t="s">
        <v>130</v>
      </c>
      <c r="E134" s="95" t="s">
        <v>1323</v>
      </c>
      <c r="F134" s="95" t="s">
        <v>19</v>
      </c>
      <c r="G134" s="95" t="s">
        <v>19</v>
      </c>
      <c r="H134" s="95" t="s">
        <v>21</v>
      </c>
      <c r="I134" s="95" t="s">
        <v>677</v>
      </c>
      <c r="J134" s="97">
        <v>46069.65883778935</v>
      </c>
      <c r="K134" s="95" t="s">
        <v>1340</v>
      </c>
      <c r="L134" s="95"/>
      <c r="M134" s="95" t="s">
        <v>93</v>
      </c>
      <c r="N134" s="95" t="s">
        <v>162</v>
      </c>
      <c r="O134" s="95" t="s">
        <v>162</v>
      </c>
      <c r="P134" s="95" t="s">
        <v>1315</v>
      </c>
      <c r="Q134" s="98">
        <v>3.0</v>
      </c>
      <c r="R134" s="97">
        <v>46056.89091435185</v>
      </c>
      <c r="S134" s="99">
        <v>2853.0</v>
      </c>
      <c r="T134" s="99">
        <v>989.0</v>
      </c>
      <c r="U134" s="99">
        <v>28.0</v>
      </c>
      <c r="V134" s="99">
        <v>632.0</v>
      </c>
      <c r="W134" s="99">
        <v>497894.0</v>
      </c>
    </row>
    <row r="135" ht="15.75" customHeight="1">
      <c r="A135" s="95" t="s">
        <v>1341</v>
      </c>
      <c r="B135" s="95" t="s">
        <v>22</v>
      </c>
      <c r="C135" s="96" t="s">
        <v>1342</v>
      </c>
      <c r="D135" s="95" t="s">
        <v>130</v>
      </c>
      <c r="E135" s="95" t="s">
        <v>1318</v>
      </c>
      <c r="F135" s="95" t="s">
        <v>19</v>
      </c>
      <c r="G135" s="95" t="s">
        <v>19</v>
      </c>
      <c r="H135" s="95" t="s">
        <v>21</v>
      </c>
      <c r="I135" s="95" t="s">
        <v>567</v>
      </c>
      <c r="J135" s="97">
        <v>46075.71565079861</v>
      </c>
      <c r="K135" s="95" t="s">
        <v>1343</v>
      </c>
      <c r="L135" s="96" t="s">
        <v>1344</v>
      </c>
      <c r="M135" s="95" t="s">
        <v>93</v>
      </c>
      <c r="N135" s="95" t="s">
        <v>162</v>
      </c>
      <c r="O135" s="95" t="s">
        <v>162</v>
      </c>
      <c r="P135" s="95" t="s">
        <v>1315</v>
      </c>
      <c r="Q135" s="98">
        <v>3.0</v>
      </c>
      <c r="R135" s="97">
        <v>45845.09821759259</v>
      </c>
      <c r="S135" s="99">
        <v>2853.0</v>
      </c>
      <c r="T135" s="99">
        <v>731.0</v>
      </c>
      <c r="U135" s="99">
        <v>1.0</v>
      </c>
      <c r="V135" s="99">
        <v>349.0</v>
      </c>
      <c r="W135" s="99">
        <v>497894.0</v>
      </c>
    </row>
    <row r="136" ht="15.75" customHeight="1">
      <c r="A136" s="95" t="s">
        <v>1345</v>
      </c>
      <c r="B136" s="95" t="s">
        <v>22</v>
      </c>
      <c r="C136" s="96" t="s">
        <v>1346</v>
      </c>
      <c r="D136" s="95" t="s">
        <v>59</v>
      </c>
      <c r="E136" s="95" t="s">
        <v>1347</v>
      </c>
      <c r="F136" s="95" t="s">
        <v>19</v>
      </c>
      <c r="G136" s="95" t="s">
        <v>19</v>
      </c>
      <c r="H136" s="95" t="s">
        <v>21</v>
      </c>
      <c r="I136" s="95" t="s">
        <v>567</v>
      </c>
      <c r="J136" s="97">
        <v>46039.71515172454</v>
      </c>
      <c r="K136" s="95" t="s">
        <v>1348</v>
      </c>
      <c r="L136" s="96" t="s">
        <v>1349</v>
      </c>
      <c r="M136" s="95" t="s">
        <v>93</v>
      </c>
      <c r="N136" s="95" t="s">
        <v>1350</v>
      </c>
      <c r="O136" s="95" t="s">
        <v>1350</v>
      </c>
      <c r="P136" s="95" t="s">
        <v>1351</v>
      </c>
      <c r="Q136" s="98">
        <v>3.0</v>
      </c>
      <c r="R136" s="97">
        <v>45691.86253472222</v>
      </c>
      <c r="S136" s="99">
        <v>494.0</v>
      </c>
      <c r="T136" s="99">
        <v>53.0</v>
      </c>
      <c r="U136" s="99">
        <v>3.0</v>
      </c>
      <c r="V136" s="99">
        <v>294.0</v>
      </c>
      <c r="W136" s="99">
        <v>321444.0</v>
      </c>
    </row>
    <row r="137" ht="15.75" customHeight="1">
      <c r="A137" s="95" t="s">
        <v>1352</v>
      </c>
      <c r="B137" s="95" t="s">
        <v>131</v>
      </c>
      <c r="C137" s="96" t="s">
        <v>1353</v>
      </c>
      <c r="D137" s="95" t="s">
        <v>130</v>
      </c>
      <c r="E137" s="95" t="s">
        <v>917</v>
      </c>
      <c r="F137" s="95" t="s">
        <v>58</v>
      </c>
      <c r="G137" s="95" t="s">
        <v>58</v>
      </c>
      <c r="H137" s="95" t="s">
        <v>60</v>
      </c>
      <c r="I137" s="95" t="s">
        <v>1354</v>
      </c>
      <c r="J137" s="97">
        <v>46056.94379803241</v>
      </c>
      <c r="K137" s="95" t="s">
        <v>1355</v>
      </c>
      <c r="L137" s="96" t="s">
        <v>1356</v>
      </c>
      <c r="M137" s="95" t="s">
        <v>93</v>
      </c>
      <c r="N137" s="95" t="s">
        <v>1357</v>
      </c>
      <c r="O137" s="95" t="s">
        <v>1357</v>
      </c>
      <c r="P137" s="95" t="s">
        <v>1358</v>
      </c>
      <c r="Q137" s="98">
        <v>3.0</v>
      </c>
      <c r="R137" s="97">
        <v>46015.76260416667</v>
      </c>
      <c r="S137" s="99">
        <v>6092.0</v>
      </c>
      <c r="T137" s="99">
        <v>143.0</v>
      </c>
      <c r="U137" s="99">
        <v>17.0</v>
      </c>
      <c r="V137" s="99">
        <v>407.0</v>
      </c>
      <c r="W137" s="99">
        <v>999999.0</v>
      </c>
    </row>
    <row r="138" ht="15.75" customHeight="1">
      <c r="A138" s="95" t="s">
        <v>1359</v>
      </c>
      <c r="B138" s="95" t="s">
        <v>22</v>
      </c>
      <c r="C138" s="96" t="s">
        <v>1360</v>
      </c>
      <c r="D138" s="95" t="s">
        <v>130</v>
      </c>
      <c r="E138" s="95" t="s">
        <v>1025</v>
      </c>
      <c r="F138" s="95" t="s">
        <v>19</v>
      </c>
      <c r="G138" s="95" t="s">
        <v>588</v>
      </c>
      <c r="H138" s="95" t="s">
        <v>21</v>
      </c>
      <c r="I138" s="95" t="s">
        <v>567</v>
      </c>
      <c r="J138" s="97">
        <v>45975.6793321412</v>
      </c>
      <c r="K138" s="96" t="s">
        <v>1361</v>
      </c>
      <c r="L138" s="96" t="s">
        <v>1362</v>
      </c>
      <c r="M138" s="95" t="s">
        <v>17</v>
      </c>
      <c r="N138" s="95" t="s">
        <v>1363</v>
      </c>
      <c r="O138" s="95" t="s">
        <v>1363</v>
      </c>
      <c r="P138" s="95" t="s">
        <v>1364</v>
      </c>
      <c r="Q138" s="98">
        <v>3.0</v>
      </c>
      <c r="R138" s="97">
        <v>45702.73300925926</v>
      </c>
      <c r="S138" s="99">
        <v>908.0</v>
      </c>
      <c r="T138" s="99">
        <v>60.0</v>
      </c>
      <c r="U138" s="99">
        <v>6.0</v>
      </c>
      <c r="V138" s="99">
        <v>79.0</v>
      </c>
      <c r="W138" s="99">
        <v>174652.0</v>
      </c>
    </row>
    <row r="139" ht="15.75" customHeight="1">
      <c r="A139" s="95" t="s">
        <v>1365</v>
      </c>
      <c r="B139" s="95" t="s">
        <v>157</v>
      </c>
      <c r="C139" s="96" t="s">
        <v>1366</v>
      </c>
      <c r="D139" s="95" t="s">
        <v>130</v>
      </c>
      <c r="E139" s="95" t="s">
        <v>130</v>
      </c>
      <c r="F139" s="95" t="s">
        <v>19</v>
      </c>
      <c r="G139" s="95" t="s">
        <v>1367</v>
      </c>
      <c r="H139" s="95" t="s">
        <v>89</v>
      </c>
      <c r="I139" s="95" t="s">
        <v>859</v>
      </c>
      <c r="J139" s="97">
        <v>45975.67932418981</v>
      </c>
      <c r="K139" s="96" t="s">
        <v>1368</v>
      </c>
      <c r="L139" s="96" t="s">
        <v>1369</v>
      </c>
      <c r="M139" s="95" t="s">
        <v>93</v>
      </c>
      <c r="N139" s="95" t="s">
        <v>1370</v>
      </c>
      <c r="O139" s="95" t="s">
        <v>1370</v>
      </c>
      <c r="P139" s="95" t="s">
        <v>1371</v>
      </c>
      <c r="Q139" s="98">
        <v>3.0</v>
      </c>
      <c r="R139" s="97">
        <v>45420.56381944445</v>
      </c>
      <c r="S139" s="99">
        <v>1483.0</v>
      </c>
      <c r="T139" s="99">
        <v>14.0</v>
      </c>
      <c r="U139" s="99">
        <v>2.0</v>
      </c>
      <c r="V139" s="99">
        <v>108.0</v>
      </c>
      <c r="W139" s="99">
        <v>849147.0</v>
      </c>
    </row>
    <row r="140" ht="15.75" customHeight="1">
      <c r="A140" s="95" t="s">
        <v>1372</v>
      </c>
      <c r="B140" s="95" t="s">
        <v>22</v>
      </c>
      <c r="C140" s="96" t="s">
        <v>1373</v>
      </c>
      <c r="D140" s="95" t="s">
        <v>130</v>
      </c>
      <c r="E140" s="95" t="s">
        <v>1253</v>
      </c>
      <c r="F140" s="95" t="s">
        <v>19</v>
      </c>
      <c r="G140" s="95" t="s">
        <v>19</v>
      </c>
      <c r="H140" s="95" t="s">
        <v>21</v>
      </c>
      <c r="I140" s="95" t="s">
        <v>567</v>
      </c>
      <c r="J140" s="97">
        <v>46057.09172366898</v>
      </c>
      <c r="K140" s="95" t="s">
        <v>1374</v>
      </c>
      <c r="L140" s="96" t="s">
        <v>1375</v>
      </c>
      <c r="M140" s="95" t="s">
        <v>93</v>
      </c>
      <c r="N140" s="95" t="s">
        <v>1376</v>
      </c>
      <c r="O140" s="95" t="s">
        <v>1376</v>
      </c>
      <c r="P140" s="95" t="s">
        <v>1377</v>
      </c>
      <c r="Q140" s="98">
        <v>3.0</v>
      </c>
      <c r="R140" s="97">
        <v>45003.87818287037</v>
      </c>
      <c r="S140" s="99">
        <v>1279.0</v>
      </c>
      <c r="T140" s="99">
        <v>303.0</v>
      </c>
      <c r="U140" s="99">
        <v>3.0</v>
      </c>
      <c r="V140" s="99">
        <v>262.0</v>
      </c>
      <c r="W140" s="99">
        <v>705363.0</v>
      </c>
    </row>
    <row r="141" ht="15.75" customHeight="1">
      <c r="A141" s="95" t="s">
        <v>1378</v>
      </c>
      <c r="B141" s="95" t="s">
        <v>131</v>
      </c>
      <c r="C141" s="96" t="s">
        <v>1379</v>
      </c>
      <c r="D141" s="95" t="s">
        <v>39</v>
      </c>
      <c r="E141" s="95" t="s">
        <v>39</v>
      </c>
      <c r="F141" s="95" t="s">
        <v>88</v>
      </c>
      <c r="G141" s="95" t="s">
        <v>88</v>
      </c>
      <c r="H141" s="95" t="s">
        <v>89</v>
      </c>
      <c r="I141" s="95" t="s">
        <v>726</v>
      </c>
      <c r="J141" s="97">
        <v>45978.45764863426</v>
      </c>
      <c r="K141" s="95" t="s">
        <v>1380</v>
      </c>
      <c r="L141" s="96" t="s">
        <v>1381</v>
      </c>
      <c r="M141" s="95" t="s">
        <v>105</v>
      </c>
      <c r="N141" s="95" t="s">
        <v>1382</v>
      </c>
      <c r="O141" s="95" t="s">
        <v>1382</v>
      </c>
      <c r="P141" s="95" t="s">
        <v>1383</v>
      </c>
      <c r="Q141" s="98">
        <v>3.0</v>
      </c>
      <c r="R141" s="97">
        <v>45639.06150462963</v>
      </c>
      <c r="S141" s="99">
        <v>295.0</v>
      </c>
      <c r="T141" s="99">
        <v>62.0</v>
      </c>
      <c r="U141" s="99">
        <v>1.0</v>
      </c>
      <c r="V141" s="99">
        <v>566.0</v>
      </c>
      <c r="W141" s="99">
        <v>66193.0</v>
      </c>
    </row>
    <row r="142" ht="15.75" customHeight="1">
      <c r="A142" s="95" t="s">
        <v>1384</v>
      </c>
      <c r="B142" s="95" t="s">
        <v>69</v>
      </c>
      <c r="C142" s="96" t="s">
        <v>1385</v>
      </c>
      <c r="D142" s="95" t="s">
        <v>39</v>
      </c>
      <c r="E142" s="95" t="s">
        <v>960</v>
      </c>
      <c r="F142" s="95" t="s">
        <v>88</v>
      </c>
      <c r="G142" s="95" t="s">
        <v>88</v>
      </c>
      <c r="H142" s="95" t="s">
        <v>89</v>
      </c>
      <c r="I142" s="95" t="s">
        <v>640</v>
      </c>
      <c r="J142" s="97">
        <v>46041.42270692129</v>
      </c>
      <c r="K142" s="95" t="s">
        <v>1386</v>
      </c>
      <c r="L142" s="96" t="s">
        <v>1387</v>
      </c>
      <c r="M142" s="95" t="s">
        <v>93</v>
      </c>
      <c r="N142" s="95" t="s">
        <v>1388</v>
      </c>
      <c r="O142" s="95" t="s">
        <v>1388</v>
      </c>
      <c r="P142" s="95" t="s">
        <v>1389</v>
      </c>
      <c r="Q142" s="98">
        <v>3.0</v>
      </c>
      <c r="R142" s="97">
        <v>45205.78795138889</v>
      </c>
      <c r="S142" s="99">
        <v>3580.0</v>
      </c>
      <c r="T142" s="99">
        <v>6.0</v>
      </c>
      <c r="U142" s="99">
        <v>2.0</v>
      </c>
      <c r="V142" s="99">
        <v>3.0</v>
      </c>
      <c r="W142" s="99">
        <v>287366.0</v>
      </c>
    </row>
    <row r="143" ht="15.75" customHeight="1">
      <c r="A143" s="95" t="s">
        <v>1390</v>
      </c>
      <c r="B143" s="95" t="s">
        <v>69</v>
      </c>
      <c r="C143" s="96" t="s">
        <v>1391</v>
      </c>
      <c r="D143" s="95" t="s">
        <v>39</v>
      </c>
      <c r="E143" s="95" t="s">
        <v>39</v>
      </c>
      <c r="F143" s="95" t="s">
        <v>19</v>
      </c>
      <c r="G143" s="95" t="s">
        <v>1367</v>
      </c>
      <c r="H143" s="95" t="s">
        <v>21</v>
      </c>
      <c r="I143" s="95" t="s">
        <v>998</v>
      </c>
      <c r="J143" s="97">
        <v>46021.50915592592</v>
      </c>
      <c r="K143" s="95" t="s">
        <v>1392</v>
      </c>
      <c r="L143" s="96" t="s">
        <v>1393</v>
      </c>
      <c r="M143" s="95" t="s">
        <v>93</v>
      </c>
      <c r="N143" s="95" t="s">
        <v>1394</v>
      </c>
      <c r="O143" s="95" t="s">
        <v>1394</v>
      </c>
      <c r="P143" s="95" t="s">
        <v>1395</v>
      </c>
      <c r="Q143" s="98">
        <v>3.0</v>
      </c>
      <c r="R143" s="97">
        <v>45948.90460648148</v>
      </c>
      <c r="S143" s="99">
        <v>148.0</v>
      </c>
      <c r="T143" s="99">
        <v>70.0</v>
      </c>
      <c r="U143" s="99">
        <v>2.0</v>
      </c>
      <c r="V143" s="99">
        <v>112.0</v>
      </c>
      <c r="W143" s="99">
        <v>14333.0</v>
      </c>
    </row>
    <row r="144" ht="15.75" customHeight="1">
      <c r="A144" s="95" t="s">
        <v>1396</v>
      </c>
      <c r="B144" s="95" t="s">
        <v>101</v>
      </c>
      <c r="C144" s="96" t="s">
        <v>1397</v>
      </c>
      <c r="D144" s="95" t="s">
        <v>39</v>
      </c>
      <c r="E144" s="95" t="s">
        <v>39</v>
      </c>
      <c r="F144" s="95" t="s">
        <v>19</v>
      </c>
      <c r="G144" s="95" t="s">
        <v>19</v>
      </c>
      <c r="H144" s="95" t="s">
        <v>21</v>
      </c>
      <c r="I144" s="95" t="s">
        <v>745</v>
      </c>
      <c r="J144" s="97">
        <v>46039.60634708333</v>
      </c>
      <c r="K144" s="95" t="s">
        <v>1398</v>
      </c>
      <c r="L144" s="96" t="s">
        <v>1399</v>
      </c>
      <c r="M144" s="95" t="s">
        <v>93</v>
      </c>
      <c r="N144" s="95" t="s">
        <v>1400</v>
      </c>
      <c r="O144" s="95" t="s">
        <v>1400</v>
      </c>
      <c r="P144" s="95" t="s">
        <v>1401</v>
      </c>
      <c r="Q144" s="98">
        <v>3.0</v>
      </c>
      <c r="R144" s="97">
        <v>45819.84070601852</v>
      </c>
      <c r="S144" s="99">
        <v>156.0</v>
      </c>
      <c r="T144" s="99">
        <v>234.0</v>
      </c>
      <c r="U144" s="99">
        <v>2.0</v>
      </c>
      <c r="V144" s="99">
        <v>18.0</v>
      </c>
      <c r="W144" s="99">
        <v>18659.0</v>
      </c>
    </row>
    <row r="145" ht="15.75" customHeight="1">
      <c r="A145" s="95" t="s">
        <v>1402</v>
      </c>
      <c r="B145" s="95" t="s">
        <v>22</v>
      </c>
      <c r="C145" s="96" t="s">
        <v>1403</v>
      </c>
      <c r="D145" s="95" t="s">
        <v>39</v>
      </c>
      <c r="E145" s="95" t="s">
        <v>1404</v>
      </c>
      <c r="F145" s="95" t="s">
        <v>19</v>
      </c>
      <c r="G145" s="95" t="s">
        <v>19</v>
      </c>
      <c r="H145" s="95" t="s">
        <v>21</v>
      </c>
      <c r="I145" s="95" t="s">
        <v>567</v>
      </c>
      <c r="J145" s="97">
        <v>46039.71414675926</v>
      </c>
      <c r="K145" s="95" t="s">
        <v>1405</v>
      </c>
      <c r="L145" s="96" t="s">
        <v>1406</v>
      </c>
      <c r="M145" s="95" t="s">
        <v>93</v>
      </c>
      <c r="N145" s="95" t="s">
        <v>1407</v>
      </c>
      <c r="O145" s="95" t="s">
        <v>1407</v>
      </c>
      <c r="P145" s="95" t="s">
        <v>1408</v>
      </c>
      <c r="Q145" s="98">
        <v>3.0</v>
      </c>
      <c r="R145" s="97">
        <v>45291.90572916667</v>
      </c>
      <c r="S145" s="99">
        <v>3013.0</v>
      </c>
      <c r="T145" s="99">
        <v>103.0</v>
      </c>
      <c r="U145" s="99">
        <v>24.0</v>
      </c>
      <c r="V145" s="99">
        <v>402.0</v>
      </c>
      <c r="W145" s="99">
        <v>999999.0</v>
      </c>
    </row>
    <row r="146" ht="15.75" customHeight="1">
      <c r="A146" s="95" t="s">
        <v>1409</v>
      </c>
      <c r="B146" s="95" t="s">
        <v>22</v>
      </c>
      <c r="C146" s="96" t="s">
        <v>1410</v>
      </c>
      <c r="D146" s="95" t="s">
        <v>130</v>
      </c>
      <c r="E146" s="95" t="s">
        <v>917</v>
      </c>
      <c r="F146" s="95" t="s">
        <v>19</v>
      </c>
      <c r="G146" s="95" t="s">
        <v>19</v>
      </c>
      <c r="H146" s="95" t="s">
        <v>21</v>
      </c>
      <c r="I146" s="95" t="s">
        <v>567</v>
      </c>
      <c r="J146" s="97">
        <v>46039.71414675926</v>
      </c>
      <c r="K146" s="95" t="s">
        <v>1411</v>
      </c>
      <c r="L146" s="96" t="s">
        <v>1412</v>
      </c>
      <c r="M146" s="95" t="s">
        <v>93</v>
      </c>
      <c r="N146" s="95" t="s">
        <v>1413</v>
      </c>
      <c r="O146" s="95" t="s">
        <v>1413</v>
      </c>
      <c r="P146" s="95" t="s">
        <v>1414</v>
      </c>
      <c r="Q146" s="98">
        <v>3.0</v>
      </c>
      <c r="R146" s="97">
        <v>45700.54105324074</v>
      </c>
      <c r="S146" s="99">
        <v>3184.0</v>
      </c>
      <c r="T146" s="99">
        <v>4.0</v>
      </c>
      <c r="U146" s="99">
        <v>2.0</v>
      </c>
      <c r="V146" s="99">
        <v>42.0</v>
      </c>
      <c r="W146" s="99">
        <v>568817.0</v>
      </c>
    </row>
    <row r="147" ht="15.75" customHeight="1">
      <c r="A147" s="95" t="s">
        <v>1415</v>
      </c>
      <c r="B147" s="95" t="s">
        <v>22</v>
      </c>
      <c r="C147" s="96" t="s">
        <v>1416</v>
      </c>
      <c r="D147" s="95" t="s">
        <v>130</v>
      </c>
      <c r="E147" s="95" t="s">
        <v>917</v>
      </c>
      <c r="F147" s="95" t="s">
        <v>19</v>
      </c>
      <c r="G147" s="95" t="s">
        <v>19</v>
      </c>
      <c r="H147" s="95" t="s">
        <v>21</v>
      </c>
      <c r="I147" s="95" t="s">
        <v>589</v>
      </c>
      <c r="J147" s="97">
        <v>46069.65883778935</v>
      </c>
      <c r="K147" s="95" t="s">
        <v>1417</v>
      </c>
      <c r="L147" s="95"/>
      <c r="M147" s="95" t="s">
        <v>93</v>
      </c>
      <c r="N147" s="95" t="s">
        <v>1413</v>
      </c>
      <c r="O147" s="95" t="s">
        <v>1413</v>
      </c>
      <c r="P147" s="95" t="s">
        <v>1414</v>
      </c>
      <c r="Q147" s="98">
        <v>3.0</v>
      </c>
      <c r="R147" s="97">
        <v>45743.40879629629</v>
      </c>
      <c r="S147" s="99">
        <v>3184.0</v>
      </c>
      <c r="T147" s="99">
        <v>2296.0</v>
      </c>
      <c r="U147" s="99">
        <v>1.0</v>
      </c>
      <c r="V147" s="99">
        <v>86.0</v>
      </c>
      <c r="W147" s="99">
        <v>568817.0</v>
      </c>
    </row>
    <row r="148" ht="15.75" customHeight="1">
      <c r="A148" s="95" t="s">
        <v>1418</v>
      </c>
      <c r="B148" s="95" t="s">
        <v>101</v>
      </c>
      <c r="C148" s="96" t="s">
        <v>1419</v>
      </c>
      <c r="D148" s="95" t="s">
        <v>130</v>
      </c>
      <c r="E148" s="95" t="s">
        <v>1420</v>
      </c>
      <c r="F148" s="95" t="s">
        <v>19</v>
      </c>
      <c r="G148" s="95" t="s">
        <v>19</v>
      </c>
      <c r="H148" s="95" t="s">
        <v>21</v>
      </c>
      <c r="I148" s="95" t="s">
        <v>955</v>
      </c>
      <c r="J148" s="97">
        <v>46021.50510549769</v>
      </c>
      <c r="K148" s="95" t="s">
        <v>1421</v>
      </c>
      <c r="L148" s="96" t="s">
        <v>1422</v>
      </c>
      <c r="M148" s="95" t="s">
        <v>93</v>
      </c>
      <c r="N148" s="95" t="s">
        <v>1423</v>
      </c>
      <c r="O148" s="95" t="s">
        <v>1423</v>
      </c>
      <c r="P148" s="95" t="s">
        <v>1424</v>
      </c>
      <c r="Q148" s="98">
        <v>3.0</v>
      </c>
      <c r="R148" s="97">
        <v>45793.84635416666</v>
      </c>
      <c r="S148" s="99">
        <v>1834.0</v>
      </c>
      <c r="T148" s="99">
        <v>119.0</v>
      </c>
      <c r="U148" s="99">
        <v>313.0</v>
      </c>
      <c r="V148" s="99">
        <v>79.0</v>
      </c>
      <c r="W148" s="99">
        <v>188270.0</v>
      </c>
    </row>
    <row r="149" ht="15.75" customHeight="1">
      <c r="A149" s="95" t="s">
        <v>1425</v>
      </c>
      <c r="B149" s="95" t="s">
        <v>22</v>
      </c>
      <c r="C149" s="96" t="s">
        <v>1426</v>
      </c>
      <c r="D149" s="95" t="s">
        <v>59</v>
      </c>
      <c r="E149" s="95" t="s">
        <v>1347</v>
      </c>
      <c r="F149" s="95" t="s">
        <v>19</v>
      </c>
      <c r="G149" s="95" t="s">
        <v>1427</v>
      </c>
      <c r="H149" s="95" t="s">
        <v>21</v>
      </c>
      <c r="I149" s="95" t="s">
        <v>633</v>
      </c>
      <c r="J149" s="97">
        <v>46061.0174950463</v>
      </c>
      <c r="K149" s="95" t="s">
        <v>1428</v>
      </c>
      <c r="L149" s="96" t="s">
        <v>1429</v>
      </c>
      <c r="M149" s="95" t="s">
        <v>93</v>
      </c>
      <c r="N149" s="95" t="s">
        <v>1430</v>
      </c>
      <c r="O149" s="95" t="s">
        <v>1430</v>
      </c>
      <c r="P149" s="95" t="s">
        <v>1431</v>
      </c>
      <c r="Q149" s="98">
        <v>3.0</v>
      </c>
      <c r="R149" s="97">
        <v>45646.52598379629</v>
      </c>
      <c r="S149" s="99">
        <v>22335.0</v>
      </c>
      <c r="T149" s="99">
        <v>527.0</v>
      </c>
      <c r="U149" s="99">
        <v>17.0</v>
      </c>
      <c r="V149" s="99">
        <v>2026.0</v>
      </c>
      <c r="W149" s="99">
        <v>290503.0</v>
      </c>
    </row>
    <row r="150" ht="15.75" customHeight="1">
      <c r="A150" s="95" t="s">
        <v>1432</v>
      </c>
      <c r="B150" s="95" t="s">
        <v>22</v>
      </c>
      <c r="C150" s="96" t="s">
        <v>1433</v>
      </c>
      <c r="D150" s="95" t="s">
        <v>130</v>
      </c>
      <c r="E150" s="95" t="s">
        <v>130</v>
      </c>
      <c r="F150" s="95" t="s">
        <v>19</v>
      </c>
      <c r="G150" s="95" t="s">
        <v>588</v>
      </c>
      <c r="H150" s="95" t="s">
        <v>21</v>
      </c>
      <c r="I150" s="95" t="s">
        <v>567</v>
      </c>
      <c r="J150" s="97">
        <v>46008.6289933912</v>
      </c>
      <c r="K150" s="96" t="s">
        <v>1434</v>
      </c>
      <c r="L150" s="95"/>
      <c r="M150" s="95" t="s">
        <v>93</v>
      </c>
      <c r="N150" s="95" t="s">
        <v>1435</v>
      </c>
      <c r="O150" s="95" t="s">
        <v>1435</v>
      </c>
      <c r="P150" s="95" t="s">
        <v>1436</v>
      </c>
      <c r="Q150" s="98">
        <v>3.0</v>
      </c>
      <c r="R150" s="97">
        <v>45768.09450231482</v>
      </c>
      <c r="S150" s="99">
        <v>9121.0</v>
      </c>
      <c r="T150" s="99">
        <v>62.0</v>
      </c>
      <c r="U150" s="99">
        <v>5.0</v>
      </c>
      <c r="V150" s="99">
        <v>139.0</v>
      </c>
      <c r="W150" s="99">
        <v>552195.0</v>
      </c>
    </row>
    <row r="151" ht="15.75" customHeight="1">
      <c r="A151" s="95" t="s">
        <v>1437</v>
      </c>
      <c r="B151" s="95" t="s">
        <v>69</v>
      </c>
      <c r="C151" s="96" t="s">
        <v>1438</v>
      </c>
      <c r="D151" s="95" t="s">
        <v>130</v>
      </c>
      <c r="E151" s="95" t="s">
        <v>1323</v>
      </c>
      <c r="F151" s="95" t="s">
        <v>19</v>
      </c>
      <c r="G151" s="95" t="s">
        <v>19</v>
      </c>
      <c r="H151" s="95" t="s">
        <v>21</v>
      </c>
      <c r="I151" s="95" t="s">
        <v>998</v>
      </c>
      <c r="J151" s="97">
        <v>46039.71515172454</v>
      </c>
      <c r="K151" s="95" t="s">
        <v>1439</v>
      </c>
      <c r="L151" s="96" t="s">
        <v>1440</v>
      </c>
      <c r="M151" s="95" t="s">
        <v>93</v>
      </c>
      <c r="N151" s="95" t="s">
        <v>1435</v>
      </c>
      <c r="O151" s="95" t="s">
        <v>1435</v>
      </c>
      <c r="P151" s="95" t="s">
        <v>1436</v>
      </c>
      <c r="Q151" s="98">
        <v>3.0</v>
      </c>
      <c r="R151" s="97">
        <v>45622.47614583333</v>
      </c>
      <c r="S151" s="99">
        <v>9121.0</v>
      </c>
      <c r="T151" s="99">
        <v>376.0</v>
      </c>
      <c r="U151" s="99">
        <v>2.0</v>
      </c>
      <c r="V151" s="99">
        <v>347.0</v>
      </c>
      <c r="W151" s="99">
        <v>552195.0</v>
      </c>
    </row>
    <row r="152" ht="15.75" customHeight="1">
      <c r="A152" s="95" t="s">
        <v>1441</v>
      </c>
      <c r="B152" s="95" t="s">
        <v>22</v>
      </c>
      <c r="C152" s="96" t="s">
        <v>1442</v>
      </c>
      <c r="D152" s="95" t="s">
        <v>130</v>
      </c>
      <c r="E152" s="95" t="s">
        <v>1443</v>
      </c>
      <c r="F152" s="95" t="s">
        <v>19</v>
      </c>
      <c r="G152" s="95" t="s">
        <v>19</v>
      </c>
      <c r="H152" s="95" t="s">
        <v>21</v>
      </c>
      <c r="I152" s="95" t="s">
        <v>567</v>
      </c>
      <c r="J152" s="97">
        <v>46057.09172366898</v>
      </c>
      <c r="K152" s="95" t="s">
        <v>1444</v>
      </c>
      <c r="L152" s="96" t="s">
        <v>1445</v>
      </c>
      <c r="M152" s="95" t="s">
        <v>93</v>
      </c>
      <c r="N152" s="95" t="s">
        <v>1446</v>
      </c>
      <c r="O152" s="95" t="s">
        <v>1446</v>
      </c>
      <c r="P152" s="95" t="s">
        <v>1447</v>
      </c>
      <c r="Q152" s="98">
        <v>3.0</v>
      </c>
      <c r="R152" s="97">
        <v>45886.18768518518</v>
      </c>
      <c r="S152" s="99">
        <v>2116.0</v>
      </c>
      <c r="T152" s="99">
        <v>633.0</v>
      </c>
      <c r="U152" s="99">
        <v>39.0</v>
      </c>
      <c r="V152" s="99">
        <v>220.0</v>
      </c>
      <c r="W152" s="95"/>
    </row>
    <row r="153" ht="15.75" customHeight="1">
      <c r="A153" s="95" t="s">
        <v>1448</v>
      </c>
      <c r="B153" s="95" t="s">
        <v>22</v>
      </c>
      <c r="C153" s="96" t="s">
        <v>1449</v>
      </c>
      <c r="D153" s="95" t="s">
        <v>59</v>
      </c>
      <c r="E153" s="95" t="s">
        <v>1347</v>
      </c>
      <c r="F153" s="95" t="s">
        <v>58</v>
      </c>
      <c r="G153" s="95" t="s">
        <v>1450</v>
      </c>
      <c r="H153" s="95" t="s">
        <v>21</v>
      </c>
      <c r="I153" s="95" t="s">
        <v>567</v>
      </c>
      <c r="J153" s="97">
        <v>45975.67932418981</v>
      </c>
      <c r="K153" s="96" t="s">
        <v>1451</v>
      </c>
      <c r="L153" s="96" t="s">
        <v>1452</v>
      </c>
      <c r="M153" s="95" t="s">
        <v>93</v>
      </c>
      <c r="N153" s="95" t="s">
        <v>1453</v>
      </c>
      <c r="O153" s="95" t="s">
        <v>1453</v>
      </c>
      <c r="P153" s="95" t="s">
        <v>1454</v>
      </c>
      <c r="Q153" s="98">
        <v>3.0</v>
      </c>
      <c r="R153" s="97">
        <v>45811.08071759259</v>
      </c>
      <c r="S153" s="99">
        <v>20678.0</v>
      </c>
      <c r="T153" s="99">
        <v>254.0</v>
      </c>
      <c r="U153" s="99">
        <v>3.0</v>
      </c>
      <c r="V153" s="99">
        <v>344.0</v>
      </c>
      <c r="W153" s="99">
        <v>999999.0</v>
      </c>
    </row>
    <row r="154" ht="15.75" customHeight="1">
      <c r="A154" s="95" t="s">
        <v>1455</v>
      </c>
      <c r="B154" s="95" t="s">
        <v>22</v>
      </c>
      <c r="C154" s="96" t="s">
        <v>1456</v>
      </c>
      <c r="D154" s="95" t="s">
        <v>59</v>
      </c>
      <c r="E154" s="95" t="s">
        <v>1457</v>
      </c>
      <c r="F154" s="95" t="s">
        <v>19</v>
      </c>
      <c r="G154" s="95" t="s">
        <v>574</v>
      </c>
      <c r="H154" s="95" t="s">
        <v>21</v>
      </c>
      <c r="I154" s="95" t="s">
        <v>567</v>
      </c>
      <c r="J154" s="97">
        <v>46011.73367328704</v>
      </c>
      <c r="K154" s="95" t="s">
        <v>1458</v>
      </c>
      <c r="L154" s="96" t="s">
        <v>1459</v>
      </c>
      <c r="M154" s="95" t="s">
        <v>93</v>
      </c>
      <c r="N154" s="95" t="s">
        <v>1460</v>
      </c>
      <c r="O154" s="95" t="s">
        <v>1460</v>
      </c>
      <c r="P154" s="95" t="s">
        <v>1461</v>
      </c>
      <c r="Q154" s="98">
        <v>3.0</v>
      </c>
      <c r="R154" s="97">
        <v>45629.40732638889</v>
      </c>
      <c r="S154" s="99">
        <v>24698.0</v>
      </c>
      <c r="T154" s="99">
        <v>272.0</v>
      </c>
      <c r="U154" s="99">
        <v>1.0</v>
      </c>
      <c r="V154" s="99">
        <v>151.0</v>
      </c>
      <c r="W154" s="99">
        <v>299462.0</v>
      </c>
    </row>
    <row r="155" ht="15.75" customHeight="1">
      <c r="A155" s="95" t="s">
        <v>1462</v>
      </c>
      <c r="B155" s="95" t="s">
        <v>22</v>
      </c>
      <c r="C155" s="96" t="s">
        <v>1463</v>
      </c>
      <c r="D155" s="95" t="s">
        <v>39</v>
      </c>
      <c r="E155" s="95" t="s">
        <v>614</v>
      </c>
      <c r="F155" s="95" t="s">
        <v>19</v>
      </c>
      <c r="G155" s="95" t="s">
        <v>19</v>
      </c>
      <c r="H155" s="95" t="s">
        <v>21</v>
      </c>
      <c r="I155" s="95" t="s">
        <v>589</v>
      </c>
      <c r="J155" s="97">
        <v>46021.50350939815</v>
      </c>
      <c r="K155" s="95" t="s">
        <v>1464</v>
      </c>
      <c r="L155" s="96" t="s">
        <v>1465</v>
      </c>
      <c r="M155" s="95" t="s">
        <v>74</v>
      </c>
      <c r="N155" s="95" t="s">
        <v>1466</v>
      </c>
      <c r="O155" s="95" t="s">
        <v>1466</v>
      </c>
      <c r="P155" s="95" t="s">
        <v>1467</v>
      </c>
      <c r="Q155" s="98">
        <v>3.0</v>
      </c>
      <c r="R155" s="97">
        <v>45685.92149305555</v>
      </c>
      <c r="S155" s="99">
        <v>1093.0</v>
      </c>
      <c r="T155" s="99">
        <v>271.0</v>
      </c>
      <c r="U155" s="99">
        <v>1.0</v>
      </c>
      <c r="V155" s="99">
        <v>28.0</v>
      </c>
      <c r="W155" s="99">
        <v>20014.0</v>
      </c>
    </row>
    <row r="156" ht="15.75" customHeight="1">
      <c r="A156" s="95" t="s">
        <v>1468</v>
      </c>
      <c r="B156" s="95" t="s">
        <v>69</v>
      </c>
      <c r="C156" s="96" t="s">
        <v>1469</v>
      </c>
      <c r="D156" s="95" t="s">
        <v>130</v>
      </c>
      <c r="E156" s="95" t="s">
        <v>1470</v>
      </c>
      <c r="F156" s="95" t="s">
        <v>19</v>
      </c>
      <c r="G156" s="95" t="s">
        <v>19</v>
      </c>
      <c r="H156" s="95" t="s">
        <v>21</v>
      </c>
      <c r="I156" s="95" t="s">
        <v>998</v>
      </c>
      <c r="J156" s="97">
        <v>46021.50915592592</v>
      </c>
      <c r="K156" s="95" t="s">
        <v>1471</v>
      </c>
      <c r="L156" s="96" t="s">
        <v>1472</v>
      </c>
      <c r="M156" s="95" t="s">
        <v>74</v>
      </c>
      <c r="N156" s="95" t="s">
        <v>1473</v>
      </c>
      <c r="O156" s="95" t="s">
        <v>1473</v>
      </c>
      <c r="P156" s="95" t="s">
        <v>1474</v>
      </c>
      <c r="Q156" s="98">
        <v>3.0</v>
      </c>
      <c r="R156" s="97">
        <v>45763.491875</v>
      </c>
      <c r="S156" s="99">
        <v>787.0</v>
      </c>
      <c r="T156" s="99">
        <v>10.0</v>
      </c>
      <c r="U156" s="99">
        <v>2.0</v>
      </c>
      <c r="V156" s="99">
        <v>40.0</v>
      </c>
      <c r="W156" s="99">
        <v>24601.0</v>
      </c>
    </row>
    <row r="157" ht="15.75" customHeight="1">
      <c r="A157" s="95" t="s">
        <v>1475</v>
      </c>
      <c r="B157" s="95" t="s">
        <v>69</v>
      </c>
      <c r="C157" s="96" t="s">
        <v>1476</v>
      </c>
      <c r="D157" s="95" t="s">
        <v>39</v>
      </c>
      <c r="E157" s="95" t="s">
        <v>39</v>
      </c>
      <c r="F157" s="95" t="s">
        <v>88</v>
      </c>
      <c r="G157" s="95" t="s">
        <v>639</v>
      </c>
      <c r="H157" s="95" t="s">
        <v>89</v>
      </c>
      <c r="I157" s="95" t="s">
        <v>1477</v>
      </c>
      <c r="J157" s="97">
        <v>45992.53253118056</v>
      </c>
      <c r="K157" s="95" t="s">
        <v>1478</v>
      </c>
      <c r="L157" s="95"/>
      <c r="M157" s="95" t="s">
        <v>503</v>
      </c>
      <c r="N157" s="95" t="s">
        <v>1479</v>
      </c>
      <c r="O157" s="95" t="s">
        <v>1479</v>
      </c>
      <c r="P157" s="95" t="s">
        <v>1480</v>
      </c>
      <c r="Q157" s="98">
        <v>3.0</v>
      </c>
      <c r="R157" s="97">
        <v>45751.8533912037</v>
      </c>
      <c r="S157" s="99">
        <v>21093.0</v>
      </c>
      <c r="T157" s="99">
        <v>101.0</v>
      </c>
      <c r="U157" s="99">
        <v>5.0</v>
      </c>
      <c r="V157" s="99">
        <v>319.0</v>
      </c>
      <c r="W157" s="99">
        <v>78229.0</v>
      </c>
    </row>
    <row r="158" ht="15.75" customHeight="1">
      <c r="A158" s="95" t="s">
        <v>1481</v>
      </c>
      <c r="B158" s="95" t="s">
        <v>22</v>
      </c>
      <c r="C158" s="96" t="s">
        <v>1482</v>
      </c>
      <c r="D158" s="95" t="s">
        <v>39</v>
      </c>
      <c r="E158" s="95" t="s">
        <v>1201</v>
      </c>
      <c r="F158" s="95" t="s">
        <v>19</v>
      </c>
      <c r="G158" s="95" t="s">
        <v>19</v>
      </c>
      <c r="H158" s="95" t="s">
        <v>21</v>
      </c>
      <c r="I158" s="95" t="s">
        <v>567</v>
      </c>
      <c r="J158" s="97">
        <v>46021.49354603009</v>
      </c>
      <c r="K158" s="95" t="s">
        <v>1483</v>
      </c>
      <c r="L158" s="96" t="s">
        <v>1484</v>
      </c>
      <c r="M158" s="95" t="s">
        <v>54</v>
      </c>
      <c r="N158" s="95" t="s">
        <v>1485</v>
      </c>
      <c r="O158" s="95" t="s">
        <v>1485</v>
      </c>
      <c r="P158" s="95" t="s">
        <v>1486</v>
      </c>
      <c r="Q158" s="98">
        <v>3.0</v>
      </c>
      <c r="R158" s="97">
        <v>45715.65368055556</v>
      </c>
      <c r="S158" s="99">
        <v>1476.0</v>
      </c>
      <c r="T158" s="99">
        <v>22.0</v>
      </c>
      <c r="U158" s="99">
        <v>1.0</v>
      </c>
      <c r="V158" s="99">
        <v>114.0</v>
      </c>
      <c r="W158" s="99">
        <v>7779.0</v>
      </c>
    </row>
    <row r="159" ht="15.75" customHeight="1">
      <c r="A159" s="95" t="s">
        <v>1487</v>
      </c>
      <c r="B159" s="95" t="s">
        <v>22</v>
      </c>
      <c r="C159" s="96" t="s">
        <v>1488</v>
      </c>
      <c r="D159" s="95" t="s">
        <v>68</v>
      </c>
      <c r="E159" s="95" t="s">
        <v>1489</v>
      </c>
      <c r="F159" s="95" t="s">
        <v>19</v>
      </c>
      <c r="G159" s="95" t="s">
        <v>19</v>
      </c>
      <c r="H159" s="95" t="s">
        <v>21</v>
      </c>
      <c r="I159" s="95" t="s">
        <v>567</v>
      </c>
      <c r="J159" s="97">
        <v>45992.53175320602</v>
      </c>
      <c r="K159" s="95" t="s">
        <v>1490</v>
      </c>
      <c r="L159" s="96" t="s">
        <v>1491</v>
      </c>
      <c r="M159" s="95" t="s">
        <v>54</v>
      </c>
      <c r="N159" s="95" t="s">
        <v>1492</v>
      </c>
      <c r="O159" s="95" t="s">
        <v>1492</v>
      </c>
      <c r="P159" s="95" t="s">
        <v>1493</v>
      </c>
      <c r="Q159" s="98">
        <v>3.0</v>
      </c>
      <c r="R159" s="97">
        <v>45951.78071759259</v>
      </c>
      <c r="S159" s="99">
        <v>29683.0</v>
      </c>
      <c r="T159" s="99">
        <v>8.0</v>
      </c>
      <c r="U159" s="99">
        <v>4.0</v>
      </c>
      <c r="V159" s="99">
        <v>67.0</v>
      </c>
      <c r="W159" s="99">
        <v>999999.0</v>
      </c>
    </row>
    <row r="160" ht="15.75" customHeight="1">
      <c r="A160" s="95" t="s">
        <v>1494</v>
      </c>
      <c r="B160" s="95" t="s">
        <v>101</v>
      </c>
      <c r="C160" s="96" t="s">
        <v>1495</v>
      </c>
      <c r="D160" s="95" t="s">
        <v>68</v>
      </c>
      <c r="E160" s="95" t="s">
        <v>1496</v>
      </c>
      <c r="F160" s="95" t="s">
        <v>19</v>
      </c>
      <c r="G160" s="95" t="s">
        <v>19</v>
      </c>
      <c r="H160" s="95" t="s">
        <v>21</v>
      </c>
      <c r="I160" s="95" t="s">
        <v>1497</v>
      </c>
      <c r="J160" s="97">
        <v>45993.78544196759</v>
      </c>
      <c r="K160" s="96" t="s">
        <v>1498</v>
      </c>
      <c r="L160" s="96" t="s">
        <v>1499</v>
      </c>
      <c r="M160" s="95" t="s">
        <v>54</v>
      </c>
      <c r="N160" s="95" t="s">
        <v>1492</v>
      </c>
      <c r="O160" s="95" t="s">
        <v>1492</v>
      </c>
      <c r="P160" s="95" t="s">
        <v>1493</v>
      </c>
      <c r="Q160" s="98">
        <v>3.0</v>
      </c>
      <c r="R160" s="97">
        <v>45761.37634259259</v>
      </c>
      <c r="S160" s="99">
        <v>29683.0</v>
      </c>
      <c r="T160" s="99">
        <v>14.0</v>
      </c>
      <c r="U160" s="99">
        <v>4.0</v>
      </c>
      <c r="V160" s="99">
        <v>66.0</v>
      </c>
      <c r="W160" s="99">
        <v>999999.0</v>
      </c>
    </row>
    <row r="161" ht="15.75" customHeight="1">
      <c r="A161" s="95" t="s">
        <v>1500</v>
      </c>
      <c r="B161" s="95" t="s">
        <v>22</v>
      </c>
      <c r="C161" s="96" t="s">
        <v>1501</v>
      </c>
      <c r="D161" s="95" t="s">
        <v>68</v>
      </c>
      <c r="E161" s="95" t="s">
        <v>1496</v>
      </c>
      <c r="F161" s="95" t="s">
        <v>19</v>
      </c>
      <c r="G161" s="95" t="s">
        <v>19</v>
      </c>
      <c r="H161" s="95" t="s">
        <v>21</v>
      </c>
      <c r="I161" s="95" t="s">
        <v>567</v>
      </c>
      <c r="J161" s="97">
        <v>46008.62897547454</v>
      </c>
      <c r="K161" s="96" t="s">
        <v>1502</v>
      </c>
      <c r="L161" s="96" t="s">
        <v>1503</v>
      </c>
      <c r="M161" s="95" t="s">
        <v>54</v>
      </c>
      <c r="N161" s="95" t="s">
        <v>1492</v>
      </c>
      <c r="O161" s="95" t="s">
        <v>1492</v>
      </c>
      <c r="P161" s="95" t="s">
        <v>1493</v>
      </c>
      <c r="Q161" s="98">
        <v>3.0</v>
      </c>
      <c r="R161" s="97">
        <v>45777.63238425926</v>
      </c>
      <c r="S161" s="99">
        <v>29683.0</v>
      </c>
      <c r="T161" s="99">
        <v>49.0</v>
      </c>
      <c r="U161" s="99">
        <v>8.0</v>
      </c>
      <c r="V161" s="99">
        <v>158.0</v>
      </c>
      <c r="W161" s="99">
        <v>999999.0</v>
      </c>
    </row>
    <row r="162" ht="15.75" customHeight="1">
      <c r="A162" s="95" t="s">
        <v>116</v>
      </c>
      <c r="B162" s="95" t="s">
        <v>101</v>
      </c>
      <c r="C162" s="96" t="s">
        <v>120</v>
      </c>
      <c r="D162" s="95" t="s">
        <v>20</v>
      </c>
      <c r="E162" s="95" t="s">
        <v>762</v>
      </c>
      <c r="F162" s="95" t="s">
        <v>19</v>
      </c>
      <c r="G162" s="95" t="s">
        <v>588</v>
      </c>
      <c r="H162" s="95" t="s">
        <v>21</v>
      </c>
      <c r="I162" s="95" t="s">
        <v>1504</v>
      </c>
      <c r="J162" s="97">
        <v>46021.50510549769</v>
      </c>
      <c r="K162" s="95" t="s">
        <v>119</v>
      </c>
      <c r="L162" s="96" t="s">
        <v>118</v>
      </c>
      <c r="M162" s="95" t="s">
        <v>74</v>
      </c>
      <c r="N162" s="95" t="s">
        <v>117</v>
      </c>
      <c r="O162" s="95" t="s">
        <v>117</v>
      </c>
      <c r="P162" s="95" t="s">
        <v>1505</v>
      </c>
      <c r="Q162" s="98">
        <v>3.0</v>
      </c>
      <c r="R162" s="97">
        <v>45758.59256944444</v>
      </c>
      <c r="S162" s="99">
        <v>1041.0</v>
      </c>
      <c r="T162" s="99">
        <v>8.0</v>
      </c>
      <c r="U162" s="99">
        <v>2.0</v>
      </c>
      <c r="V162" s="99">
        <v>74.0</v>
      </c>
      <c r="W162" s="99">
        <v>56112.0</v>
      </c>
    </row>
    <row r="163" ht="15.75" customHeight="1">
      <c r="A163" s="95" t="s">
        <v>1506</v>
      </c>
      <c r="B163" s="95" t="s">
        <v>22</v>
      </c>
      <c r="C163" s="96" t="s">
        <v>1507</v>
      </c>
      <c r="D163" s="95" t="s">
        <v>20</v>
      </c>
      <c r="E163" s="95" t="s">
        <v>1508</v>
      </c>
      <c r="F163" s="95" t="s">
        <v>19</v>
      </c>
      <c r="G163" s="95" t="s">
        <v>588</v>
      </c>
      <c r="H163" s="95" t="s">
        <v>21</v>
      </c>
      <c r="I163" s="95" t="s">
        <v>567</v>
      </c>
      <c r="J163" s="97">
        <v>46021.50510549769</v>
      </c>
      <c r="K163" s="95" t="s">
        <v>1509</v>
      </c>
      <c r="L163" s="96" t="s">
        <v>1510</v>
      </c>
      <c r="M163" s="95" t="s">
        <v>74</v>
      </c>
      <c r="N163" s="95" t="s">
        <v>117</v>
      </c>
      <c r="O163" s="95" t="s">
        <v>117</v>
      </c>
      <c r="P163" s="95" t="s">
        <v>1505</v>
      </c>
      <c r="Q163" s="98">
        <v>3.0</v>
      </c>
      <c r="R163" s="97">
        <v>45920.7841087963</v>
      </c>
      <c r="S163" s="99">
        <v>1041.0</v>
      </c>
      <c r="T163" s="99">
        <v>81.0</v>
      </c>
      <c r="U163" s="99">
        <v>2.0</v>
      </c>
      <c r="V163" s="99">
        <v>406.0</v>
      </c>
      <c r="W163" s="99">
        <v>56112.0</v>
      </c>
    </row>
    <row r="164" ht="15.75" customHeight="1">
      <c r="A164" s="95" t="s">
        <v>1511</v>
      </c>
      <c r="B164" s="95" t="s">
        <v>22</v>
      </c>
      <c r="C164" s="96" t="s">
        <v>1512</v>
      </c>
      <c r="D164" s="95" t="s">
        <v>130</v>
      </c>
      <c r="E164" s="95" t="s">
        <v>1323</v>
      </c>
      <c r="F164" s="95" t="s">
        <v>19</v>
      </c>
      <c r="G164" s="95" t="s">
        <v>19</v>
      </c>
      <c r="H164" s="95" t="s">
        <v>21</v>
      </c>
      <c r="I164" s="95" t="s">
        <v>684</v>
      </c>
      <c r="J164" s="97">
        <v>46076.6316190162</v>
      </c>
      <c r="K164" s="95" t="s">
        <v>1513</v>
      </c>
      <c r="L164" s="96" t="s">
        <v>1514</v>
      </c>
      <c r="M164" s="95" t="s">
        <v>74</v>
      </c>
      <c r="N164" s="95" t="s">
        <v>117</v>
      </c>
      <c r="O164" s="95" t="s">
        <v>117</v>
      </c>
      <c r="P164" s="95" t="s">
        <v>1505</v>
      </c>
      <c r="Q164" s="98">
        <v>3.0</v>
      </c>
      <c r="R164" s="97">
        <v>46034.00092592592</v>
      </c>
      <c r="S164" s="99">
        <v>1041.0</v>
      </c>
      <c r="T164" s="99">
        <v>23.0</v>
      </c>
      <c r="U164" s="99">
        <v>4.0</v>
      </c>
      <c r="V164" s="99">
        <v>64.0</v>
      </c>
      <c r="W164" s="99">
        <v>56112.0</v>
      </c>
    </row>
    <row r="165" ht="15.75" customHeight="1">
      <c r="A165" s="95" t="s">
        <v>1515</v>
      </c>
      <c r="B165" s="95" t="s">
        <v>69</v>
      </c>
      <c r="C165" s="96" t="s">
        <v>1516</v>
      </c>
      <c r="D165" s="95" t="s">
        <v>20</v>
      </c>
      <c r="E165" s="95" t="s">
        <v>638</v>
      </c>
      <c r="F165" s="95" t="s">
        <v>88</v>
      </c>
      <c r="G165" s="95" t="s">
        <v>88</v>
      </c>
      <c r="H165" s="95" t="s">
        <v>89</v>
      </c>
      <c r="I165" s="95" t="s">
        <v>640</v>
      </c>
      <c r="J165" s="97">
        <v>46076.6316190162</v>
      </c>
      <c r="K165" s="95" t="s">
        <v>1517</v>
      </c>
      <c r="L165" s="96" t="s">
        <v>1518</v>
      </c>
      <c r="M165" s="95" t="s">
        <v>74</v>
      </c>
      <c r="N165" s="95" t="s">
        <v>117</v>
      </c>
      <c r="O165" s="95" t="s">
        <v>117</v>
      </c>
      <c r="P165" s="95" t="s">
        <v>1505</v>
      </c>
      <c r="Q165" s="98">
        <v>3.0</v>
      </c>
      <c r="R165" s="97">
        <v>46054.13766203704</v>
      </c>
      <c r="S165" s="99">
        <v>1041.0</v>
      </c>
      <c r="T165" s="99">
        <v>14.0</v>
      </c>
      <c r="U165" s="99">
        <v>1.0</v>
      </c>
      <c r="V165" s="99">
        <v>36.0</v>
      </c>
      <c r="W165" s="99">
        <v>56112.0</v>
      </c>
    </row>
    <row r="166" ht="15.75" customHeight="1">
      <c r="A166" s="95" t="s">
        <v>1519</v>
      </c>
      <c r="B166" s="95" t="s">
        <v>22</v>
      </c>
      <c r="C166" s="96" t="s">
        <v>1520</v>
      </c>
      <c r="D166" s="95" t="s">
        <v>130</v>
      </c>
      <c r="E166" s="95" t="s">
        <v>1521</v>
      </c>
      <c r="F166" s="95" t="s">
        <v>19</v>
      </c>
      <c r="G166" s="95" t="s">
        <v>839</v>
      </c>
      <c r="H166" s="95" t="s">
        <v>21</v>
      </c>
      <c r="I166" s="95" t="s">
        <v>677</v>
      </c>
      <c r="J166" s="97">
        <v>46076.6316190162</v>
      </c>
      <c r="K166" s="95" t="s">
        <v>1522</v>
      </c>
      <c r="L166" s="96" t="s">
        <v>1523</v>
      </c>
      <c r="M166" s="95" t="s">
        <v>74</v>
      </c>
      <c r="N166" s="95" t="s">
        <v>117</v>
      </c>
      <c r="O166" s="95" t="s">
        <v>117</v>
      </c>
      <c r="P166" s="95" t="s">
        <v>1505</v>
      </c>
      <c r="Q166" s="98">
        <v>3.0</v>
      </c>
      <c r="R166" s="97">
        <v>46055.65354166667</v>
      </c>
      <c r="S166" s="99">
        <v>1041.0</v>
      </c>
      <c r="T166" s="99">
        <v>123.0</v>
      </c>
      <c r="U166" s="99">
        <v>30.0</v>
      </c>
      <c r="V166" s="99">
        <v>259.0</v>
      </c>
      <c r="W166" s="99">
        <v>56112.0</v>
      </c>
    </row>
    <row r="167" ht="15.75" customHeight="1">
      <c r="A167" s="95" t="s">
        <v>1524</v>
      </c>
      <c r="B167" s="95" t="s">
        <v>22</v>
      </c>
      <c r="C167" s="96" t="s">
        <v>1525</v>
      </c>
      <c r="D167" s="95" t="s">
        <v>168</v>
      </c>
      <c r="E167" s="95" t="s">
        <v>1228</v>
      </c>
      <c r="F167" s="95" t="s">
        <v>19</v>
      </c>
      <c r="G167" s="95" t="s">
        <v>574</v>
      </c>
      <c r="H167" s="95" t="s">
        <v>21</v>
      </c>
      <c r="I167" s="95" t="s">
        <v>567</v>
      </c>
      <c r="J167" s="97">
        <v>45978.4619984375</v>
      </c>
      <c r="K167" s="95" t="s">
        <v>1526</v>
      </c>
      <c r="L167" s="96" t="s">
        <v>1527</v>
      </c>
      <c r="M167" s="95" t="s">
        <v>17</v>
      </c>
      <c r="N167" s="95" t="s">
        <v>1528</v>
      </c>
      <c r="O167" s="95" t="s">
        <v>1528</v>
      </c>
      <c r="P167" s="95" t="s">
        <v>1529</v>
      </c>
      <c r="Q167" s="98">
        <v>3.0</v>
      </c>
      <c r="R167" s="97">
        <v>45741.63164351852</v>
      </c>
      <c r="S167" s="99">
        <v>262.0</v>
      </c>
      <c r="T167" s="99">
        <v>147.0</v>
      </c>
      <c r="U167" s="99">
        <v>3.0</v>
      </c>
      <c r="V167" s="99">
        <v>95.0</v>
      </c>
      <c r="W167" s="99">
        <v>68210.0</v>
      </c>
    </row>
    <row r="168" ht="15.75" customHeight="1">
      <c r="A168" s="95" t="s">
        <v>1530</v>
      </c>
      <c r="B168" s="95" t="s">
        <v>69</v>
      </c>
      <c r="C168" s="96" t="s">
        <v>1531</v>
      </c>
      <c r="D168" s="95" t="s">
        <v>39</v>
      </c>
      <c r="E168" s="95" t="s">
        <v>614</v>
      </c>
      <c r="F168" s="95" t="s">
        <v>517</v>
      </c>
      <c r="G168" s="95" t="s">
        <v>1532</v>
      </c>
      <c r="H168" s="95" t="s">
        <v>536</v>
      </c>
      <c r="I168" s="95" t="s">
        <v>949</v>
      </c>
      <c r="J168" s="97">
        <v>46021.50963746528</v>
      </c>
      <c r="K168" s="95" t="s">
        <v>1533</v>
      </c>
      <c r="L168" s="96" t="s">
        <v>1534</v>
      </c>
      <c r="M168" s="95" t="s">
        <v>28</v>
      </c>
      <c r="N168" s="95" t="s">
        <v>1535</v>
      </c>
      <c r="O168" s="95" t="s">
        <v>1535</v>
      </c>
      <c r="P168" s="95" t="s">
        <v>1536</v>
      </c>
      <c r="Q168" s="98">
        <v>3.0</v>
      </c>
      <c r="R168" s="97">
        <v>45714.81483796296</v>
      </c>
      <c r="S168" s="99">
        <v>2153.0</v>
      </c>
      <c r="T168" s="99">
        <v>198.0</v>
      </c>
      <c r="U168" s="99">
        <v>1.0</v>
      </c>
      <c r="V168" s="99">
        <v>164.0</v>
      </c>
      <c r="W168" s="99">
        <v>15077.0</v>
      </c>
    </row>
    <row r="169" ht="15.75" customHeight="1">
      <c r="A169" s="95" t="s">
        <v>1537</v>
      </c>
      <c r="B169" s="95" t="s">
        <v>22</v>
      </c>
      <c r="C169" s="96" t="s">
        <v>1538</v>
      </c>
      <c r="D169" s="95" t="s">
        <v>39</v>
      </c>
      <c r="E169" s="95" t="s">
        <v>39</v>
      </c>
      <c r="F169" s="95" t="s">
        <v>19</v>
      </c>
      <c r="G169" s="95" t="s">
        <v>1539</v>
      </c>
      <c r="H169" s="95" t="s">
        <v>21</v>
      </c>
      <c r="I169" s="95" t="s">
        <v>567</v>
      </c>
      <c r="J169" s="97">
        <v>46021.50963746528</v>
      </c>
      <c r="K169" s="95" t="s">
        <v>1540</v>
      </c>
      <c r="L169" s="96" t="s">
        <v>1541</v>
      </c>
      <c r="M169" s="95" t="s">
        <v>105</v>
      </c>
      <c r="N169" s="95" t="s">
        <v>1542</v>
      </c>
      <c r="O169" s="95" t="s">
        <v>1542</v>
      </c>
      <c r="P169" s="95" t="s">
        <v>1543</v>
      </c>
      <c r="Q169" s="98">
        <v>3.0</v>
      </c>
      <c r="R169" s="97">
        <v>45532.53957175926</v>
      </c>
      <c r="S169" s="99">
        <v>306.0</v>
      </c>
      <c r="T169" s="99">
        <v>107.0</v>
      </c>
      <c r="U169" s="99">
        <v>14.0</v>
      </c>
      <c r="V169" s="99">
        <v>999.0</v>
      </c>
      <c r="W169" s="99">
        <v>304656.0</v>
      </c>
    </row>
    <row r="170" ht="15.75" customHeight="1">
      <c r="A170" s="95" t="s">
        <v>1544</v>
      </c>
      <c r="B170" s="95" t="s">
        <v>101</v>
      </c>
      <c r="C170" s="96" t="s">
        <v>1545</v>
      </c>
      <c r="D170" s="95" t="s">
        <v>39</v>
      </c>
      <c r="E170" s="95" t="s">
        <v>39</v>
      </c>
      <c r="F170" s="95" t="s">
        <v>19</v>
      </c>
      <c r="G170" s="95" t="s">
        <v>574</v>
      </c>
      <c r="H170" s="95" t="s">
        <v>21</v>
      </c>
      <c r="I170" s="95" t="s">
        <v>955</v>
      </c>
      <c r="J170" s="97">
        <v>46003.08169572917</v>
      </c>
      <c r="K170" s="95" t="s">
        <v>1546</v>
      </c>
      <c r="L170" s="96" t="s">
        <v>1547</v>
      </c>
      <c r="M170" s="95" t="s">
        <v>105</v>
      </c>
      <c r="N170" s="95" t="s">
        <v>1542</v>
      </c>
      <c r="O170" s="95" t="s">
        <v>1542</v>
      </c>
      <c r="P170" s="95" t="s">
        <v>1543</v>
      </c>
      <c r="Q170" s="98">
        <v>3.0</v>
      </c>
      <c r="R170" s="97">
        <v>45636.97287037037</v>
      </c>
      <c r="S170" s="99">
        <v>306.0</v>
      </c>
      <c r="T170" s="99">
        <v>36.0</v>
      </c>
      <c r="U170" s="99">
        <v>6.0</v>
      </c>
      <c r="V170" s="99">
        <v>409.0</v>
      </c>
      <c r="W170" s="99">
        <v>304656.0</v>
      </c>
    </row>
    <row r="171" ht="15.75" customHeight="1">
      <c r="A171" s="95" t="s">
        <v>1548</v>
      </c>
      <c r="B171" s="95" t="s">
        <v>101</v>
      </c>
      <c r="C171" s="96" t="s">
        <v>1549</v>
      </c>
      <c r="D171" s="95" t="s">
        <v>39</v>
      </c>
      <c r="E171" s="95" t="s">
        <v>39</v>
      </c>
      <c r="F171" s="95" t="s">
        <v>19</v>
      </c>
      <c r="G171" s="95" t="s">
        <v>574</v>
      </c>
      <c r="H171" s="95" t="s">
        <v>21</v>
      </c>
      <c r="I171" s="95" t="s">
        <v>955</v>
      </c>
      <c r="J171" s="97">
        <v>46021.50915592592</v>
      </c>
      <c r="K171" s="95" t="s">
        <v>1550</v>
      </c>
      <c r="L171" s="96" t="s">
        <v>1551</v>
      </c>
      <c r="M171" s="95" t="s">
        <v>105</v>
      </c>
      <c r="N171" s="95" t="s">
        <v>1542</v>
      </c>
      <c r="O171" s="95" t="s">
        <v>1542</v>
      </c>
      <c r="P171" s="95" t="s">
        <v>1543</v>
      </c>
      <c r="Q171" s="98">
        <v>3.0</v>
      </c>
      <c r="R171" s="97">
        <v>45567.93540509259</v>
      </c>
      <c r="S171" s="99">
        <v>306.0</v>
      </c>
      <c r="T171" s="99">
        <v>348.0</v>
      </c>
      <c r="U171" s="99">
        <v>2.0</v>
      </c>
      <c r="V171" s="99">
        <v>30.0</v>
      </c>
      <c r="W171" s="99">
        <v>304656.0</v>
      </c>
    </row>
    <row r="172" ht="15.75" customHeight="1">
      <c r="A172" s="95" t="s">
        <v>1552</v>
      </c>
      <c r="B172" s="95" t="s">
        <v>131</v>
      </c>
      <c r="C172" s="96" t="s">
        <v>1553</v>
      </c>
      <c r="D172" s="95" t="s">
        <v>59</v>
      </c>
      <c r="E172" s="95" t="s">
        <v>738</v>
      </c>
      <c r="F172" s="95" t="s">
        <v>19</v>
      </c>
      <c r="G172" s="95" t="s">
        <v>19</v>
      </c>
      <c r="H172" s="95" t="s">
        <v>60</v>
      </c>
      <c r="I172" s="95" t="s">
        <v>1354</v>
      </c>
      <c r="J172" s="97">
        <v>46021.50963746528</v>
      </c>
      <c r="K172" s="95" t="s">
        <v>1554</v>
      </c>
      <c r="L172" s="96" t="s">
        <v>1555</v>
      </c>
      <c r="M172" s="95" t="s">
        <v>54</v>
      </c>
      <c r="N172" s="95" t="s">
        <v>1556</v>
      </c>
      <c r="O172" s="95" t="s">
        <v>1556</v>
      </c>
      <c r="P172" s="95" t="s">
        <v>1557</v>
      </c>
      <c r="Q172" s="98">
        <v>3.0</v>
      </c>
      <c r="R172" s="97">
        <v>45613.85591435185</v>
      </c>
      <c r="S172" s="99">
        <v>314.0</v>
      </c>
      <c r="T172" s="99">
        <v>1.0</v>
      </c>
      <c r="U172" s="99">
        <v>1.0</v>
      </c>
      <c r="V172" s="99">
        <v>342.0</v>
      </c>
      <c r="W172" s="99">
        <v>36881.0</v>
      </c>
    </row>
    <row r="173" ht="15.75" customHeight="1">
      <c r="A173" s="95" t="s">
        <v>1558</v>
      </c>
      <c r="B173" s="95" t="s">
        <v>22</v>
      </c>
      <c r="C173" s="96" t="s">
        <v>1559</v>
      </c>
      <c r="D173" s="95" t="s">
        <v>59</v>
      </c>
      <c r="E173" s="95" t="s">
        <v>59</v>
      </c>
      <c r="F173" s="95" t="s">
        <v>19</v>
      </c>
      <c r="G173" s="95" t="s">
        <v>19</v>
      </c>
      <c r="H173" s="95" t="s">
        <v>21</v>
      </c>
      <c r="I173" s="95" t="s">
        <v>711</v>
      </c>
      <c r="J173" s="97">
        <v>46021.49354603009</v>
      </c>
      <c r="K173" s="95" t="s">
        <v>1560</v>
      </c>
      <c r="L173" s="96" t="s">
        <v>1561</v>
      </c>
      <c r="M173" s="95" t="s">
        <v>54</v>
      </c>
      <c r="N173" s="95" t="s">
        <v>1562</v>
      </c>
      <c r="O173" s="95" t="s">
        <v>1562</v>
      </c>
      <c r="P173" s="95" t="s">
        <v>1563</v>
      </c>
      <c r="Q173" s="98">
        <v>3.0</v>
      </c>
      <c r="R173" s="97">
        <v>45912.56775462963</v>
      </c>
      <c r="S173" s="99">
        <v>128.0</v>
      </c>
      <c r="T173" s="99">
        <v>17.0</v>
      </c>
      <c r="U173" s="99">
        <v>1.0</v>
      </c>
      <c r="V173" s="99">
        <v>217.0</v>
      </c>
      <c r="W173" s="99">
        <v>17504.0</v>
      </c>
    </row>
    <row r="174" ht="15.75" customHeight="1">
      <c r="A174" s="95" t="s">
        <v>1564</v>
      </c>
      <c r="B174" s="95" t="s">
        <v>22</v>
      </c>
      <c r="C174" s="96" t="s">
        <v>1565</v>
      </c>
      <c r="D174" s="95" t="s">
        <v>59</v>
      </c>
      <c r="E174" s="95" t="s">
        <v>738</v>
      </c>
      <c r="F174" s="95" t="s">
        <v>19</v>
      </c>
      <c r="G174" s="95" t="s">
        <v>19</v>
      </c>
      <c r="H174" s="95" t="s">
        <v>21</v>
      </c>
      <c r="I174" s="95" t="s">
        <v>589</v>
      </c>
      <c r="J174" s="97">
        <v>45975.67931630787</v>
      </c>
      <c r="K174" s="96" t="s">
        <v>1566</v>
      </c>
      <c r="L174" s="96" t="s">
        <v>1567</v>
      </c>
      <c r="M174" s="95" t="s">
        <v>54</v>
      </c>
      <c r="N174" s="95" t="s">
        <v>1568</v>
      </c>
      <c r="O174" s="95" t="s">
        <v>1568</v>
      </c>
      <c r="P174" s="95" t="s">
        <v>1569</v>
      </c>
      <c r="Q174" s="98">
        <v>3.0</v>
      </c>
      <c r="R174" s="97">
        <v>45896.59284722222</v>
      </c>
      <c r="S174" s="99">
        <v>21116.0</v>
      </c>
      <c r="T174" s="99">
        <v>89.0</v>
      </c>
      <c r="U174" s="99">
        <v>13.0</v>
      </c>
      <c r="V174" s="99">
        <v>48.0</v>
      </c>
      <c r="W174" s="99">
        <v>886906.0</v>
      </c>
    </row>
    <row r="175" ht="15.75" customHeight="1">
      <c r="A175" s="95" t="s">
        <v>1570</v>
      </c>
      <c r="B175" s="95" t="s">
        <v>69</v>
      </c>
      <c r="C175" s="96" t="s">
        <v>1571</v>
      </c>
      <c r="D175" s="95" t="s">
        <v>59</v>
      </c>
      <c r="E175" s="95" t="s">
        <v>1347</v>
      </c>
      <c r="F175" s="95" t="s">
        <v>58</v>
      </c>
      <c r="G175" s="95" t="s">
        <v>58</v>
      </c>
      <c r="H175" s="95" t="s">
        <v>77</v>
      </c>
      <c r="I175" s="95" t="s">
        <v>1572</v>
      </c>
      <c r="J175" s="97">
        <v>45993.78544196759</v>
      </c>
      <c r="K175" s="96" t="s">
        <v>1573</v>
      </c>
      <c r="L175" s="96" t="s">
        <v>1574</v>
      </c>
      <c r="M175" s="95" t="s">
        <v>54</v>
      </c>
      <c r="N175" s="95" t="s">
        <v>1575</v>
      </c>
      <c r="O175" s="95" t="s">
        <v>1575</v>
      </c>
      <c r="P175" s="95" t="s">
        <v>1576</v>
      </c>
      <c r="Q175" s="98">
        <v>3.0</v>
      </c>
      <c r="R175" s="97">
        <v>45632.58356481481</v>
      </c>
      <c r="S175" s="99">
        <v>16155.0</v>
      </c>
      <c r="T175" s="99">
        <v>2036.0</v>
      </c>
      <c r="U175" s="99">
        <v>3.0</v>
      </c>
      <c r="V175" s="99">
        <v>88.0</v>
      </c>
      <c r="W175" s="99">
        <v>1102188.0</v>
      </c>
    </row>
    <row r="176" ht="15.75" customHeight="1">
      <c r="A176" s="95" t="s">
        <v>1577</v>
      </c>
      <c r="B176" s="95" t="s">
        <v>22</v>
      </c>
      <c r="C176" s="96" t="s">
        <v>1578</v>
      </c>
      <c r="D176" s="95" t="s">
        <v>59</v>
      </c>
      <c r="E176" s="95" t="s">
        <v>665</v>
      </c>
      <c r="F176" s="95" t="s">
        <v>19</v>
      </c>
      <c r="G176" s="95" t="s">
        <v>19</v>
      </c>
      <c r="H176" s="95" t="s">
        <v>21</v>
      </c>
      <c r="I176" s="95" t="s">
        <v>589</v>
      </c>
      <c r="J176" s="97">
        <v>45978.46212528935</v>
      </c>
      <c r="K176" s="95" t="s">
        <v>1579</v>
      </c>
      <c r="L176" s="96" t="s">
        <v>1580</v>
      </c>
      <c r="M176" s="95" t="s">
        <v>17</v>
      </c>
      <c r="N176" s="95" t="s">
        <v>1581</v>
      </c>
      <c r="O176" s="95" t="s">
        <v>1581</v>
      </c>
      <c r="P176" s="95" t="s">
        <v>1582</v>
      </c>
      <c r="Q176" s="98">
        <v>3.0</v>
      </c>
      <c r="R176" s="97">
        <v>45811.444375</v>
      </c>
      <c r="S176" s="99">
        <v>359.0</v>
      </c>
      <c r="T176" s="99">
        <v>72.0</v>
      </c>
      <c r="U176" s="99">
        <v>8.0</v>
      </c>
      <c r="V176" s="99">
        <v>53.0</v>
      </c>
      <c r="W176" s="99">
        <v>999472.0</v>
      </c>
    </row>
    <row r="177" ht="15.75" customHeight="1">
      <c r="A177" s="95" t="s">
        <v>1583</v>
      </c>
      <c r="B177" s="95" t="s">
        <v>22</v>
      </c>
      <c r="C177" s="96" t="s">
        <v>1584</v>
      </c>
      <c r="D177" s="95" t="s">
        <v>59</v>
      </c>
      <c r="E177" s="95" t="s">
        <v>665</v>
      </c>
      <c r="F177" s="95" t="s">
        <v>19</v>
      </c>
      <c r="G177" s="95" t="s">
        <v>19</v>
      </c>
      <c r="H177" s="95" t="s">
        <v>21</v>
      </c>
      <c r="I177" s="95" t="s">
        <v>589</v>
      </c>
      <c r="J177" s="97">
        <v>46008.62901355324</v>
      </c>
      <c r="K177" s="96" t="s">
        <v>1585</v>
      </c>
      <c r="L177" s="96" t="s">
        <v>1586</v>
      </c>
      <c r="M177" s="95" t="s">
        <v>17</v>
      </c>
      <c r="N177" s="95" t="s">
        <v>1581</v>
      </c>
      <c r="O177" s="95" t="s">
        <v>1581</v>
      </c>
      <c r="P177" s="95" t="s">
        <v>1582</v>
      </c>
      <c r="Q177" s="98">
        <v>3.0</v>
      </c>
      <c r="R177" s="97">
        <v>45846.58017361111</v>
      </c>
      <c r="S177" s="99">
        <v>359.0</v>
      </c>
      <c r="T177" s="99">
        <v>88.0</v>
      </c>
      <c r="U177" s="99">
        <v>8.0</v>
      </c>
      <c r="V177" s="99">
        <v>55.0</v>
      </c>
      <c r="W177" s="99">
        <v>999472.0</v>
      </c>
    </row>
    <row r="178" ht="15.75" customHeight="1">
      <c r="A178" s="95" t="s">
        <v>1587</v>
      </c>
      <c r="B178" s="95" t="s">
        <v>101</v>
      </c>
      <c r="C178" s="96" t="s">
        <v>1588</v>
      </c>
      <c r="D178" s="95" t="s">
        <v>39</v>
      </c>
      <c r="E178" s="95" t="s">
        <v>960</v>
      </c>
      <c r="F178" s="95" t="s">
        <v>19</v>
      </c>
      <c r="G178" s="95" t="s">
        <v>19</v>
      </c>
      <c r="H178" s="95" t="s">
        <v>21</v>
      </c>
      <c r="I178" s="95" t="s">
        <v>1589</v>
      </c>
      <c r="J178" s="97">
        <v>46075.71565079861</v>
      </c>
      <c r="K178" s="95" t="s">
        <v>1590</v>
      </c>
      <c r="L178" s="96" t="s">
        <v>1591</v>
      </c>
      <c r="M178" s="95" t="s">
        <v>93</v>
      </c>
      <c r="N178" s="95" t="s">
        <v>1592</v>
      </c>
      <c r="O178" s="95" t="s">
        <v>1592</v>
      </c>
      <c r="P178" s="95" t="s">
        <v>1593</v>
      </c>
      <c r="Q178" s="98">
        <v>3.0</v>
      </c>
      <c r="R178" s="97">
        <v>45885.15530092592</v>
      </c>
      <c r="S178" s="99">
        <v>120.0</v>
      </c>
      <c r="T178" s="99">
        <v>732.0</v>
      </c>
      <c r="U178" s="99">
        <v>6.0</v>
      </c>
      <c r="V178" s="99">
        <v>25.0</v>
      </c>
      <c r="W178" s="99">
        <v>27486.0</v>
      </c>
    </row>
    <row r="179" ht="15.75" customHeight="1">
      <c r="A179" s="95" t="s">
        <v>1594</v>
      </c>
      <c r="B179" s="95" t="s">
        <v>22</v>
      </c>
      <c r="C179" s="96" t="s">
        <v>1595</v>
      </c>
      <c r="D179" s="95" t="s">
        <v>124</v>
      </c>
      <c r="E179" s="95" t="s">
        <v>983</v>
      </c>
      <c r="F179" s="95" t="s">
        <v>19</v>
      </c>
      <c r="G179" s="95" t="s">
        <v>19</v>
      </c>
      <c r="H179" s="95" t="s">
        <v>21</v>
      </c>
      <c r="I179" s="95" t="s">
        <v>567</v>
      </c>
      <c r="J179" s="97">
        <v>45975.67930055556</v>
      </c>
      <c r="K179" s="96" t="s">
        <v>1596</v>
      </c>
      <c r="L179" s="96" t="s">
        <v>1597</v>
      </c>
      <c r="M179" s="95" t="s">
        <v>105</v>
      </c>
      <c r="N179" s="95" t="s">
        <v>1598</v>
      </c>
      <c r="O179" s="95" t="s">
        <v>1598</v>
      </c>
      <c r="P179" s="95" t="s">
        <v>1599</v>
      </c>
      <c r="Q179" s="98">
        <v>3.0</v>
      </c>
      <c r="R179" s="97">
        <v>45329.6433912037</v>
      </c>
      <c r="S179" s="99">
        <v>34801.0</v>
      </c>
      <c r="T179" s="99">
        <v>295.0</v>
      </c>
      <c r="U179" s="99">
        <v>12.0</v>
      </c>
      <c r="V179" s="99">
        <v>638.0</v>
      </c>
      <c r="W179" s="99">
        <v>214709.0</v>
      </c>
    </row>
    <row r="180" ht="15.75" customHeight="1">
      <c r="A180" s="95" t="s">
        <v>1600</v>
      </c>
      <c r="B180" s="95" t="s">
        <v>22</v>
      </c>
      <c r="C180" s="96" t="s">
        <v>1601</v>
      </c>
      <c r="D180" s="95" t="s">
        <v>124</v>
      </c>
      <c r="E180" s="95" t="s">
        <v>983</v>
      </c>
      <c r="F180" s="95" t="s">
        <v>19</v>
      </c>
      <c r="G180" s="95" t="s">
        <v>19</v>
      </c>
      <c r="H180" s="95" t="s">
        <v>21</v>
      </c>
      <c r="I180" s="95" t="s">
        <v>567</v>
      </c>
      <c r="J180" s="97">
        <v>45975.67930055556</v>
      </c>
      <c r="K180" s="96" t="s">
        <v>1602</v>
      </c>
      <c r="L180" s="96" t="s">
        <v>1603</v>
      </c>
      <c r="M180" s="95" t="s">
        <v>105</v>
      </c>
      <c r="N180" s="95" t="s">
        <v>1598</v>
      </c>
      <c r="O180" s="95" t="s">
        <v>1598</v>
      </c>
      <c r="P180" s="95" t="s">
        <v>1599</v>
      </c>
      <c r="Q180" s="98">
        <v>3.0</v>
      </c>
      <c r="R180" s="97">
        <v>45555.85079861111</v>
      </c>
      <c r="S180" s="99">
        <v>34801.0</v>
      </c>
      <c r="T180" s="99">
        <v>65.0</v>
      </c>
      <c r="U180" s="99">
        <v>2.0</v>
      </c>
      <c r="V180" s="99">
        <v>173.0</v>
      </c>
      <c r="W180" s="99">
        <v>214709.0</v>
      </c>
    </row>
    <row r="181" ht="15.75" customHeight="1">
      <c r="A181" s="95" t="s">
        <v>1604</v>
      </c>
      <c r="B181" s="95" t="s">
        <v>69</v>
      </c>
      <c r="C181" s="96" t="s">
        <v>1605</v>
      </c>
      <c r="D181" s="95" t="s">
        <v>68</v>
      </c>
      <c r="E181" s="95" t="s">
        <v>68</v>
      </c>
      <c r="F181" s="95" t="s">
        <v>19</v>
      </c>
      <c r="G181" s="95" t="s">
        <v>574</v>
      </c>
      <c r="H181" s="95" t="s">
        <v>60</v>
      </c>
      <c r="I181" s="95" t="s">
        <v>1606</v>
      </c>
      <c r="J181" s="97">
        <v>46021.49354603009</v>
      </c>
      <c r="K181" s="95" t="s">
        <v>1607</v>
      </c>
      <c r="L181" s="96" t="s">
        <v>1608</v>
      </c>
      <c r="M181" s="95" t="s">
        <v>54</v>
      </c>
      <c r="N181" s="95" t="s">
        <v>1609</v>
      </c>
      <c r="O181" s="95" t="s">
        <v>1609</v>
      </c>
      <c r="P181" s="95" t="s">
        <v>1610</v>
      </c>
      <c r="Q181" s="98">
        <v>3.0</v>
      </c>
      <c r="R181" s="97">
        <v>45856.39921296296</v>
      </c>
      <c r="S181" s="99">
        <v>60.0</v>
      </c>
      <c r="T181" s="99">
        <v>236.0</v>
      </c>
      <c r="U181" s="99">
        <v>14.0</v>
      </c>
      <c r="V181" s="99">
        <v>1476.0</v>
      </c>
      <c r="W181" s="99">
        <v>399244.0</v>
      </c>
    </row>
    <row r="182" ht="15.75" customHeight="1">
      <c r="A182" s="95" t="s">
        <v>1611</v>
      </c>
      <c r="B182" s="95" t="s">
        <v>131</v>
      </c>
      <c r="C182" s="96" t="s">
        <v>1612</v>
      </c>
      <c r="D182" s="95" t="s">
        <v>39</v>
      </c>
      <c r="E182" s="95" t="s">
        <v>39</v>
      </c>
      <c r="F182" s="95" t="s">
        <v>19</v>
      </c>
      <c r="G182" s="95" t="s">
        <v>19</v>
      </c>
      <c r="H182" s="95" t="s">
        <v>21</v>
      </c>
      <c r="I182" s="95" t="s">
        <v>647</v>
      </c>
      <c r="J182" s="97">
        <v>45993.7854622338</v>
      </c>
      <c r="K182" s="96" t="s">
        <v>1613</v>
      </c>
      <c r="L182" s="95"/>
      <c r="M182" s="95" t="s">
        <v>38</v>
      </c>
      <c r="N182" s="95" t="s">
        <v>1614</v>
      </c>
      <c r="O182" s="95" t="s">
        <v>1614</v>
      </c>
      <c r="P182" s="95" t="s">
        <v>1615</v>
      </c>
      <c r="Q182" s="98">
        <v>3.0</v>
      </c>
      <c r="R182" s="97">
        <v>45647.76652777778</v>
      </c>
      <c r="S182" s="99">
        <v>857.0</v>
      </c>
      <c r="T182" s="99">
        <v>368.0</v>
      </c>
      <c r="U182" s="99">
        <v>16.0</v>
      </c>
      <c r="V182" s="99">
        <v>820.0</v>
      </c>
      <c r="W182" s="99">
        <v>49693.0</v>
      </c>
    </row>
    <row r="183" ht="15.75" customHeight="1">
      <c r="A183" s="95" t="s">
        <v>1616</v>
      </c>
      <c r="B183" s="95" t="s">
        <v>131</v>
      </c>
      <c r="C183" s="96" t="s">
        <v>1617</v>
      </c>
      <c r="D183" s="95" t="s">
        <v>29</v>
      </c>
      <c r="E183" s="95" t="s">
        <v>598</v>
      </c>
      <c r="F183" s="95" t="s">
        <v>19</v>
      </c>
      <c r="G183" s="95" t="s">
        <v>19</v>
      </c>
      <c r="H183" s="95" t="s">
        <v>21</v>
      </c>
      <c r="I183" s="95" t="s">
        <v>647</v>
      </c>
      <c r="J183" s="97">
        <v>46003.09185423611</v>
      </c>
      <c r="K183" s="95" t="s">
        <v>1618</v>
      </c>
      <c r="L183" s="96" t="s">
        <v>1619</v>
      </c>
      <c r="M183" s="95" t="s">
        <v>38</v>
      </c>
      <c r="N183" s="95" t="s">
        <v>1614</v>
      </c>
      <c r="O183" s="95" t="s">
        <v>1614</v>
      </c>
      <c r="P183" s="95" t="s">
        <v>1615</v>
      </c>
      <c r="Q183" s="98">
        <v>3.0</v>
      </c>
      <c r="R183" s="97">
        <v>45683.80761574074</v>
      </c>
      <c r="S183" s="99">
        <v>857.0</v>
      </c>
      <c r="T183" s="99">
        <v>396.0</v>
      </c>
      <c r="U183" s="99">
        <v>3.0</v>
      </c>
      <c r="V183" s="99">
        <v>429.0</v>
      </c>
      <c r="W183" s="99">
        <v>49693.0</v>
      </c>
    </row>
    <row r="184" ht="15.75" customHeight="1">
      <c r="A184" s="95" t="s">
        <v>1620</v>
      </c>
      <c r="B184" s="95" t="s">
        <v>157</v>
      </c>
      <c r="C184" s="96" t="s">
        <v>1621</v>
      </c>
      <c r="D184" s="95" t="s">
        <v>39</v>
      </c>
      <c r="E184" s="95" t="s">
        <v>39</v>
      </c>
      <c r="F184" s="95" t="s">
        <v>19</v>
      </c>
      <c r="G184" s="95" t="s">
        <v>19</v>
      </c>
      <c r="H184" s="95" t="s">
        <v>89</v>
      </c>
      <c r="I184" s="95" t="s">
        <v>897</v>
      </c>
      <c r="J184" s="97">
        <v>46069.65903020834</v>
      </c>
      <c r="K184" s="95" t="s">
        <v>1622</v>
      </c>
      <c r="L184" s="96" t="s">
        <v>1623</v>
      </c>
      <c r="M184" s="95" t="s">
        <v>93</v>
      </c>
      <c r="N184" s="95" t="s">
        <v>1624</v>
      </c>
      <c r="O184" s="95" t="s">
        <v>1624</v>
      </c>
      <c r="P184" s="95" t="s">
        <v>1625</v>
      </c>
      <c r="Q184" s="98">
        <v>3.0</v>
      </c>
      <c r="R184" s="97">
        <v>46050.53993055555</v>
      </c>
      <c r="S184" s="99">
        <v>2807.0</v>
      </c>
      <c r="T184" s="99">
        <v>14528.0</v>
      </c>
      <c r="U184" s="99">
        <v>8.0</v>
      </c>
      <c r="V184" s="99">
        <v>38.0</v>
      </c>
      <c r="W184" s="99">
        <v>234646.0</v>
      </c>
    </row>
    <row r="185" ht="15.75" customHeight="1">
      <c r="A185" s="95" t="s">
        <v>1626</v>
      </c>
      <c r="B185" s="95" t="s">
        <v>131</v>
      </c>
      <c r="C185" s="96" t="s">
        <v>1627</v>
      </c>
      <c r="D185" s="95" t="s">
        <v>168</v>
      </c>
      <c r="E185" s="95" t="s">
        <v>168</v>
      </c>
      <c r="F185" s="95" t="s">
        <v>88</v>
      </c>
      <c r="G185" s="95" t="s">
        <v>858</v>
      </c>
      <c r="H185" s="95" t="s">
        <v>89</v>
      </c>
      <c r="I185" s="95" t="s">
        <v>1628</v>
      </c>
      <c r="J185" s="97">
        <v>45975.6793321412</v>
      </c>
      <c r="K185" s="96" t="s">
        <v>1629</v>
      </c>
      <c r="L185" s="95"/>
      <c r="M185" s="95" t="s">
        <v>17</v>
      </c>
      <c r="N185" s="95" t="s">
        <v>1630</v>
      </c>
      <c r="O185" s="95" t="s">
        <v>1630</v>
      </c>
      <c r="P185" s="95" t="s">
        <v>1631</v>
      </c>
      <c r="Q185" s="98">
        <v>3.0</v>
      </c>
      <c r="R185" s="97">
        <v>45740.80549768519</v>
      </c>
      <c r="S185" s="99">
        <v>0.0</v>
      </c>
      <c r="T185" s="99">
        <v>685.0</v>
      </c>
      <c r="U185" s="99">
        <v>7.0</v>
      </c>
      <c r="V185" s="99">
        <v>35.0</v>
      </c>
      <c r="W185" s="99">
        <v>528984.0</v>
      </c>
    </row>
    <row r="186" ht="15.75" customHeight="1">
      <c r="A186" s="95" t="s">
        <v>1632</v>
      </c>
      <c r="B186" s="95" t="s">
        <v>22</v>
      </c>
      <c r="C186" s="96" t="s">
        <v>1633</v>
      </c>
      <c r="D186" s="95" t="s">
        <v>39</v>
      </c>
      <c r="E186" s="95" t="s">
        <v>697</v>
      </c>
      <c r="F186" s="95" t="s">
        <v>19</v>
      </c>
      <c r="G186" s="95" t="s">
        <v>19</v>
      </c>
      <c r="H186" s="95" t="s">
        <v>21</v>
      </c>
      <c r="I186" s="95" t="s">
        <v>1634</v>
      </c>
      <c r="J186" s="97">
        <v>45993.78544196759</v>
      </c>
      <c r="K186" s="96" t="s">
        <v>1635</v>
      </c>
      <c r="L186" s="96" t="s">
        <v>1636</v>
      </c>
      <c r="M186" s="95" t="s">
        <v>105</v>
      </c>
      <c r="N186" s="95" t="s">
        <v>1637</v>
      </c>
      <c r="O186" s="95" t="s">
        <v>1637</v>
      </c>
      <c r="P186" s="95" t="s">
        <v>1638</v>
      </c>
      <c r="Q186" s="98">
        <v>3.0</v>
      </c>
      <c r="R186" s="97">
        <v>45693.51458333333</v>
      </c>
      <c r="S186" s="99">
        <v>8700.0</v>
      </c>
      <c r="T186" s="99">
        <v>7.0</v>
      </c>
      <c r="U186" s="99">
        <v>1.0</v>
      </c>
      <c r="V186" s="99">
        <v>17.0</v>
      </c>
      <c r="W186" s="99">
        <v>40406.0</v>
      </c>
    </row>
    <row r="187" ht="15.75" customHeight="1">
      <c r="A187" s="95" t="s">
        <v>1639</v>
      </c>
      <c r="B187" s="95" t="s">
        <v>22</v>
      </c>
      <c r="C187" s="96" t="s">
        <v>1640</v>
      </c>
      <c r="D187" s="95" t="s">
        <v>39</v>
      </c>
      <c r="E187" s="95" t="s">
        <v>39</v>
      </c>
      <c r="F187" s="95" t="s">
        <v>19</v>
      </c>
      <c r="G187" s="95" t="s">
        <v>19</v>
      </c>
      <c r="H187" s="95" t="s">
        <v>21</v>
      </c>
      <c r="I187" s="95" t="s">
        <v>567</v>
      </c>
      <c r="J187" s="97">
        <v>45975.6793321412</v>
      </c>
      <c r="K187" s="96" t="s">
        <v>1641</v>
      </c>
      <c r="L187" s="96" t="s">
        <v>1642</v>
      </c>
      <c r="M187" s="95" t="s">
        <v>503</v>
      </c>
      <c r="N187" s="95" t="s">
        <v>1643</v>
      </c>
      <c r="O187" s="95" t="s">
        <v>1643</v>
      </c>
      <c r="P187" s="95" t="s">
        <v>1644</v>
      </c>
      <c r="Q187" s="98">
        <v>3.0</v>
      </c>
      <c r="R187" s="97">
        <v>45775.57512731481</v>
      </c>
      <c r="S187" s="99">
        <v>1016.0</v>
      </c>
      <c r="T187" s="99">
        <v>2.0</v>
      </c>
      <c r="U187" s="99">
        <v>1.0</v>
      </c>
      <c r="V187" s="99">
        <v>27.0</v>
      </c>
      <c r="W187" s="99">
        <v>21249.0</v>
      </c>
    </row>
    <row r="188" ht="15.75" customHeight="1">
      <c r="A188" s="95" t="s">
        <v>1645</v>
      </c>
      <c r="B188" s="95" t="s">
        <v>22</v>
      </c>
      <c r="C188" s="96" t="s">
        <v>1646</v>
      </c>
      <c r="D188" s="95" t="s">
        <v>39</v>
      </c>
      <c r="E188" s="95" t="s">
        <v>614</v>
      </c>
      <c r="F188" s="95" t="s">
        <v>19</v>
      </c>
      <c r="G188" s="95" t="s">
        <v>574</v>
      </c>
      <c r="H188" s="95" t="s">
        <v>21</v>
      </c>
      <c r="I188" s="95" t="s">
        <v>567</v>
      </c>
      <c r="J188" s="97">
        <v>46021.50524950231</v>
      </c>
      <c r="K188" s="95" t="s">
        <v>1647</v>
      </c>
      <c r="L188" s="96" t="s">
        <v>1648</v>
      </c>
      <c r="M188" s="95" t="s">
        <v>503</v>
      </c>
      <c r="N188" s="95" t="s">
        <v>1643</v>
      </c>
      <c r="O188" s="95" t="s">
        <v>1643</v>
      </c>
      <c r="P188" s="95" t="s">
        <v>1644</v>
      </c>
      <c r="Q188" s="98">
        <v>3.0</v>
      </c>
      <c r="R188" s="97">
        <v>45807.71253472222</v>
      </c>
      <c r="S188" s="99">
        <v>1016.0</v>
      </c>
      <c r="T188" s="99">
        <v>13.0</v>
      </c>
      <c r="U188" s="99">
        <v>4.0</v>
      </c>
      <c r="V188" s="99">
        <v>41.0</v>
      </c>
      <c r="W188" s="99">
        <v>21249.0</v>
      </c>
    </row>
    <row r="189" ht="15.75" customHeight="1">
      <c r="A189" s="95" t="s">
        <v>1649</v>
      </c>
      <c r="B189" s="95" t="s">
        <v>22</v>
      </c>
      <c r="C189" s="96" t="s">
        <v>1650</v>
      </c>
      <c r="D189" s="95" t="s">
        <v>29</v>
      </c>
      <c r="E189" s="95" t="s">
        <v>29</v>
      </c>
      <c r="F189" s="95" t="s">
        <v>19</v>
      </c>
      <c r="G189" s="95" t="s">
        <v>588</v>
      </c>
      <c r="H189" s="95" t="s">
        <v>21</v>
      </c>
      <c r="I189" s="95" t="s">
        <v>589</v>
      </c>
      <c r="J189" s="97">
        <v>46042.73634230324</v>
      </c>
      <c r="K189" s="95" t="s">
        <v>1651</v>
      </c>
      <c r="L189" s="96" t="s">
        <v>1652</v>
      </c>
      <c r="M189" s="95" t="s">
        <v>74</v>
      </c>
      <c r="N189" s="95" t="s">
        <v>1653</v>
      </c>
      <c r="O189" s="95" t="s">
        <v>1653</v>
      </c>
      <c r="P189" s="95" t="s">
        <v>1654</v>
      </c>
      <c r="Q189" s="98">
        <v>3.0</v>
      </c>
      <c r="R189" s="97">
        <v>45762.48539351852</v>
      </c>
      <c r="S189" s="99">
        <v>1499.0</v>
      </c>
      <c r="T189" s="99">
        <v>8.0</v>
      </c>
      <c r="U189" s="99">
        <v>57.0</v>
      </c>
      <c r="V189" s="99">
        <v>32.0</v>
      </c>
      <c r="W189" s="99">
        <v>388233.0</v>
      </c>
    </row>
    <row r="190" ht="15.75" customHeight="1">
      <c r="A190" s="95" t="s">
        <v>1655</v>
      </c>
      <c r="B190" s="95" t="s">
        <v>22</v>
      </c>
      <c r="C190" s="96" t="s">
        <v>1656</v>
      </c>
      <c r="D190" s="95" t="s">
        <v>39</v>
      </c>
      <c r="E190" s="95" t="s">
        <v>39</v>
      </c>
      <c r="F190" s="95" t="s">
        <v>19</v>
      </c>
      <c r="G190" s="95" t="s">
        <v>19</v>
      </c>
      <c r="H190" s="95" t="s">
        <v>21</v>
      </c>
      <c r="I190" s="95" t="s">
        <v>567</v>
      </c>
      <c r="J190" s="97">
        <v>46021.50915592592</v>
      </c>
      <c r="K190" s="95" t="s">
        <v>1657</v>
      </c>
      <c r="L190" s="96" t="s">
        <v>1658</v>
      </c>
      <c r="M190" s="95" t="s">
        <v>504</v>
      </c>
      <c r="N190" s="95" t="s">
        <v>1659</v>
      </c>
      <c r="O190" s="95" t="s">
        <v>1659</v>
      </c>
      <c r="P190" s="95" t="s">
        <v>1660</v>
      </c>
      <c r="Q190" s="98">
        <v>3.0</v>
      </c>
      <c r="R190" s="97">
        <v>45627.47145833333</v>
      </c>
      <c r="S190" s="99">
        <v>418.0</v>
      </c>
      <c r="T190" s="99">
        <v>584.0</v>
      </c>
      <c r="U190" s="99">
        <v>2.0</v>
      </c>
      <c r="V190" s="99">
        <v>187.0</v>
      </c>
      <c r="W190" s="99">
        <v>19936.0</v>
      </c>
    </row>
    <row r="191" ht="15.75" customHeight="1">
      <c r="A191" s="95" t="s">
        <v>1661</v>
      </c>
      <c r="B191" s="95" t="s">
        <v>69</v>
      </c>
      <c r="C191" s="96" t="s">
        <v>1662</v>
      </c>
      <c r="D191" s="95" t="s">
        <v>68</v>
      </c>
      <c r="E191" s="95" t="s">
        <v>1663</v>
      </c>
      <c r="F191" s="95" t="s">
        <v>19</v>
      </c>
      <c r="G191" s="95" t="s">
        <v>588</v>
      </c>
      <c r="H191" s="95" t="s">
        <v>21</v>
      </c>
      <c r="I191" s="95" t="s">
        <v>1664</v>
      </c>
      <c r="J191" s="97">
        <v>46042.73634230324</v>
      </c>
      <c r="K191" s="95" t="s">
        <v>1665</v>
      </c>
      <c r="L191" s="96" t="s">
        <v>1666</v>
      </c>
      <c r="M191" s="95" t="s">
        <v>74</v>
      </c>
      <c r="N191" s="95" t="s">
        <v>1667</v>
      </c>
      <c r="O191" s="95" t="s">
        <v>1667</v>
      </c>
      <c r="P191" s="95" t="s">
        <v>1668</v>
      </c>
      <c r="Q191" s="98">
        <v>3.0</v>
      </c>
      <c r="R191" s="97">
        <v>45903.26303240741</v>
      </c>
      <c r="S191" s="99">
        <v>79.0</v>
      </c>
      <c r="T191" s="99">
        <v>233.0</v>
      </c>
      <c r="U191" s="99">
        <v>9.0</v>
      </c>
      <c r="V191" s="99">
        <v>136.0</v>
      </c>
      <c r="W191" s="99">
        <v>10702.0</v>
      </c>
    </row>
    <row r="192" ht="15.75" customHeight="1">
      <c r="A192" s="95" t="s">
        <v>1669</v>
      </c>
      <c r="B192" s="95" t="s">
        <v>22</v>
      </c>
      <c r="C192" s="96" t="s">
        <v>1670</v>
      </c>
      <c r="D192" s="95" t="s">
        <v>68</v>
      </c>
      <c r="E192" s="95" t="s">
        <v>1671</v>
      </c>
      <c r="F192" s="95" t="s">
        <v>19</v>
      </c>
      <c r="G192" s="95" t="s">
        <v>588</v>
      </c>
      <c r="H192" s="95" t="s">
        <v>21</v>
      </c>
      <c r="I192" s="95" t="s">
        <v>711</v>
      </c>
      <c r="J192" s="97">
        <v>45975.67937972222</v>
      </c>
      <c r="K192" s="96" t="s">
        <v>1672</v>
      </c>
      <c r="L192" s="96" t="s">
        <v>1673</v>
      </c>
      <c r="M192" s="95" t="s">
        <v>74</v>
      </c>
      <c r="N192" s="95" t="s">
        <v>1674</v>
      </c>
      <c r="O192" s="95" t="s">
        <v>1674</v>
      </c>
      <c r="P192" s="95" t="s">
        <v>1675</v>
      </c>
      <c r="Q192" s="98">
        <v>3.0</v>
      </c>
      <c r="R192" s="97">
        <v>45852.57847222222</v>
      </c>
      <c r="S192" s="99">
        <v>2281.0</v>
      </c>
      <c r="T192" s="99">
        <v>247.0</v>
      </c>
      <c r="U192" s="99">
        <v>15.0</v>
      </c>
      <c r="V192" s="99">
        <v>284.0</v>
      </c>
      <c r="W192" s="99">
        <v>43421.0</v>
      </c>
    </row>
    <row r="193" ht="15.75" customHeight="1">
      <c r="A193" s="95" t="s">
        <v>1676</v>
      </c>
      <c r="B193" s="95" t="s">
        <v>22</v>
      </c>
      <c r="C193" s="96" t="s">
        <v>1677</v>
      </c>
      <c r="D193" s="95" t="s">
        <v>68</v>
      </c>
      <c r="E193" s="95" t="s">
        <v>1671</v>
      </c>
      <c r="F193" s="95" t="s">
        <v>19</v>
      </c>
      <c r="G193" s="95" t="s">
        <v>1678</v>
      </c>
      <c r="H193" s="95" t="s">
        <v>21</v>
      </c>
      <c r="I193" s="95" t="s">
        <v>589</v>
      </c>
      <c r="J193" s="97">
        <v>46069.66215004629</v>
      </c>
      <c r="K193" s="95" t="s">
        <v>1679</v>
      </c>
      <c r="L193" s="96" t="s">
        <v>1680</v>
      </c>
      <c r="M193" s="95" t="s">
        <v>74</v>
      </c>
      <c r="N193" s="95" t="s">
        <v>1681</v>
      </c>
      <c r="O193" s="95" t="s">
        <v>1681</v>
      </c>
      <c r="P193" s="95" t="s">
        <v>1682</v>
      </c>
      <c r="Q193" s="98">
        <v>3.0</v>
      </c>
      <c r="R193" s="97">
        <v>45695.3162962963</v>
      </c>
      <c r="S193" s="99">
        <v>540.0</v>
      </c>
      <c r="T193" s="99">
        <v>82.0</v>
      </c>
      <c r="U193" s="99">
        <v>3.0</v>
      </c>
      <c r="V193" s="99">
        <v>48.0</v>
      </c>
      <c r="W193" s="99">
        <v>19846.0</v>
      </c>
    </row>
    <row r="194" ht="15.75" customHeight="1">
      <c r="A194" s="95" t="s">
        <v>1683</v>
      </c>
      <c r="B194" s="95" t="s">
        <v>22</v>
      </c>
      <c r="C194" s="96" t="s">
        <v>1684</v>
      </c>
      <c r="D194" s="95" t="s">
        <v>68</v>
      </c>
      <c r="E194" s="95" t="s">
        <v>1671</v>
      </c>
      <c r="F194" s="95" t="s">
        <v>19</v>
      </c>
      <c r="G194" s="95" t="s">
        <v>19</v>
      </c>
      <c r="H194" s="95" t="s">
        <v>21</v>
      </c>
      <c r="I194" s="95" t="s">
        <v>567</v>
      </c>
      <c r="J194" s="97">
        <v>45975.67934009259</v>
      </c>
      <c r="K194" s="96" t="s">
        <v>1685</v>
      </c>
      <c r="L194" s="95"/>
      <c r="M194" s="95" t="s">
        <v>17</v>
      </c>
      <c r="N194" s="95" t="s">
        <v>1686</v>
      </c>
      <c r="O194" s="95" t="s">
        <v>1686</v>
      </c>
      <c r="P194" s="95" t="s">
        <v>1687</v>
      </c>
      <c r="Q194" s="98">
        <v>3.0</v>
      </c>
      <c r="R194" s="97">
        <v>45708.35041666667</v>
      </c>
      <c r="S194" s="99">
        <v>5206.0</v>
      </c>
      <c r="T194" s="99">
        <v>674.0</v>
      </c>
      <c r="U194" s="99">
        <v>5.0</v>
      </c>
      <c r="V194" s="99">
        <v>450.0</v>
      </c>
      <c r="W194" s="99">
        <v>37815.0</v>
      </c>
    </row>
    <row r="195" ht="15.75" customHeight="1">
      <c r="A195" s="95" t="s">
        <v>1688</v>
      </c>
      <c r="B195" s="95" t="s">
        <v>22</v>
      </c>
      <c r="C195" s="96" t="s">
        <v>1689</v>
      </c>
      <c r="D195" s="95" t="s">
        <v>68</v>
      </c>
      <c r="E195" s="95" t="s">
        <v>68</v>
      </c>
      <c r="F195" s="95" t="s">
        <v>19</v>
      </c>
      <c r="G195" s="95" t="s">
        <v>19</v>
      </c>
      <c r="H195" s="95" t="s">
        <v>21</v>
      </c>
      <c r="I195" s="95" t="s">
        <v>567</v>
      </c>
      <c r="J195" s="97">
        <v>45975.67934009259</v>
      </c>
      <c r="K195" s="96" t="s">
        <v>1690</v>
      </c>
      <c r="L195" s="96" t="s">
        <v>1691</v>
      </c>
      <c r="M195" s="95" t="s">
        <v>17</v>
      </c>
      <c r="N195" s="95" t="s">
        <v>1686</v>
      </c>
      <c r="O195" s="95" t="s">
        <v>1686</v>
      </c>
      <c r="P195" s="95" t="s">
        <v>1687</v>
      </c>
      <c r="Q195" s="98">
        <v>3.0</v>
      </c>
      <c r="R195" s="97">
        <v>45795.81365740741</v>
      </c>
      <c r="S195" s="99">
        <v>5206.0</v>
      </c>
      <c r="T195" s="99">
        <v>697.0</v>
      </c>
      <c r="U195" s="99">
        <v>17.0</v>
      </c>
      <c r="V195" s="99">
        <v>711.0</v>
      </c>
      <c r="W195" s="99">
        <v>37815.0</v>
      </c>
    </row>
    <row r="196" ht="15.75" customHeight="1">
      <c r="A196" s="95" t="s">
        <v>1692</v>
      </c>
      <c r="B196" s="95" t="s">
        <v>69</v>
      </c>
      <c r="C196" s="96" t="s">
        <v>1693</v>
      </c>
      <c r="D196" s="95" t="s">
        <v>39</v>
      </c>
      <c r="E196" s="95" t="s">
        <v>1269</v>
      </c>
      <c r="F196" s="95" t="s">
        <v>58</v>
      </c>
      <c r="G196" s="95" t="s">
        <v>58</v>
      </c>
      <c r="H196" s="95" t="s">
        <v>77</v>
      </c>
      <c r="I196" s="95" t="s">
        <v>599</v>
      </c>
      <c r="J196" s="97">
        <v>46021.50963746528</v>
      </c>
      <c r="K196" s="95" t="s">
        <v>1694</v>
      </c>
      <c r="L196" s="96" t="s">
        <v>1695</v>
      </c>
      <c r="M196" s="95" t="s">
        <v>93</v>
      </c>
      <c r="N196" s="95" t="s">
        <v>1696</v>
      </c>
      <c r="O196" s="95" t="s">
        <v>1696</v>
      </c>
      <c r="P196" s="95" t="s">
        <v>1697</v>
      </c>
      <c r="Q196" s="98">
        <v>3.0</v>
      </c>
      <c r="R196" s="97">
        <v>45783.49277777778</v>
      </c>
      <c r="S196" s="99">
        <v>992.0</v>
      </c>
      <c r="T196" s="99">
        <v>394.0</v>
      </c>
      <c r="U196" s="99">
        <v>5.0</v>
      </c>
      <c r="V196" s="99">
        <v>189.0</v>
      </c>
      <c r="W196" s="99">
        <v>35257.0</v>
      </c>
    </row>
    <row r="197" ht="15.75" customHeight="1">
      <c r="A197" s="95" t="s">
        <v>1698</v>
      </c>
      <c r="B197" s="95" t="s">
        <v>22</v>
      </c>
      <c r="C197" s="96" t="s">
        <v>1699</v>
      </c>
      <c r="D197" s="95" t="s">
        <v>124</v>
      </c>
      <c r="E197" s="95" t="s">
        <v>794</v>
      </c>
      <c r="F197" s="95" t="s">
        <v>19</v>
      </c>
      <c r="G197" s="95" t="s">
        <v>19</v>
      </c>
      <c r="H197" s="95" t="s">
        <v>21</v>
      </c>
      <c r="I197" s="95" t="s">
        <v>567</v>
      </c>
      <c r="J197" s="97">
        <v>45975.67937972222</v>
      </c>
      <c r="K197" s="96" t="s">
        <v>1700</v>
      </c>
      <c r="L197" s="96" t="s">
        <v>1701</v>
      </c>
      <c r="M197" s="95" t="s">
        <v>74</v>
      </c>
      <c r="N197" s="95" t="s">
        <v>1702</v>
      </c>
      <c r="O197" s="95" t="s">
        <v>1702</v>
      </c>
      <c r="P197" s="95" t="s">
        <v>1703</v>
      </c>
      <c r="Q197" s="98">
        <v>3.0</v>
      </c>
      <c r="R197" s="97">
        <v>45663.6156712963</v>
      </c>
      <c r="S197" s="99">
        <v>12567.0</v>
      </c>
      <c r="T197" s="99">
        <v>16.0</v>
      </c>
      <c r="U197" s="99">
        <v>1.0</v>
      </c>
      <c r="V197" s="99">
        <v>76.0</v>
      </c>
      <c r="W197" s="99">
        <v>999999.0</v>
      </c>
    </row>
    <row r="198" ht="15.75" customHeight="1">
      <c r="A198" s="95" t="s">
        <v>1704</v>
      </c>
      <c r="B198" s="95" t="s">
        <v>22</v>
      </c>
      <c r="C198" s="96" t="s">
        <v>1705</v>
      </c>
      <c r="D198" s="95" t="s">
        <v>130</v>
      </c>
      <c r="E198" s="95" t="s">
        <v>130</v>
      </c>
      <c r="F198" s="95" t="s">
        <v>19</v>
      </c>
      <c r="G198" s="95" t="s">
        <v>588</v>
      </c>
      <c r="H198" s="95" t="s">
        <v>21</v>
      </c>
      <c r="I198" s="95" t="s">
        <v>589</v>
      </c>
      <c r="J198" s="97">
        <v>45977.14561378472</v>
      </c>
      <c r="K198" s="95" t="s">
        <v>1706</v>
      </c>
      <c r="L198" s="96" t="s">
        <v>1707</v>
      </c>
      <c r="M198" s="95" t="s">
        <v>17</v>
      </c>
      <c r="N198" s="95" t="s">
        <v>1708</v>
      </c>
      <c r="O198" s="95" t="s">
        <v>1708</v>
      </c>
      <c r="P198" s="95" t="s">
        <v>1709</v>
      </c>
      <c r="Q198" s="98">
        <v>3.0</v>
      </c>
      <c r="R198" s="97">
        <v>45752.72366898148</v>
      </c>
      <c r="S198" s="99">
        <v>6532.0</v>
      </c>
      <c r="T198" s="99">
        <v>31.0</v>
      </c>
      <c r="U198" s="99">
        <v>7.0</v>
      </c>
      <c r="V198" s="99">
        <v>242.0</v>
      </c>
      <c r="W198" s="99">
        <v>110186.0</v>
      </c>
    </row>
    <row r="199" ht="15.75" customHeight="1">
      <c r="A199" s="95" t="s">
        <v>1710</v>
      </c>
      <c r="B199" s="95" t="s">
        <v>22</v>
      </c>
      <c r="C199" s="96" t="s">
        <v>1711</v>
      </c>
      <c r="D199" s="95" t="s">
        <v>49</v>
      </c>
      <c r="E199" s="95" t="s">
        <v>948</v>
      </c>
      <c r="F199" s="95" t="s">
        <v>88</v>
      </c>
      <c r="G199" s="95" t="s">
        <v>858</v>
      </c>
      <c r="H199" s="95" t="s">
        <v>21</v>
      </c>
      <c r="I199" s="95" t="s">
        <v>567</v>
      </c>
      <c r="J199" s="97">
        <v>45992.53175320602</v>
      </c>
      <c r="K199" s="95" t="s">
        <v>1712</v>
      </c>
      <c r="L199" s="96" t="s">
        <v>1713</v>
      </c>
      <c r="M199" s="95" t="s">
        <v>54</v>
      </c>
      <c r="N199" s="95" t="s">
        <v>1714</v>
      </c>
      <c r="O199" s="95" t="s">
        <v>1714</v>
      </c>
      <c r="P199" s="95" t="s">
        <v>1715</v>
      </c>
      <c r="Q199" s="98">
        <v>3.0</v>
      </c>
      <c r="R199" s="97">
        <v>45950.59484953704</v>
      </c>
      <c r="S199" s="99">
        <v>2308.0</v>
      </c>
      <c r="T199" s="99">
        <v>1476.0</v>
      </c>
      <c r="U199" s="99">
        <v>7.0</v>
      </c>
      <c r="V199" s="99">
        <v>204.0</v>
      </c>
      <c r="W199" s="99">
        <v>744119.0</v>
      </c>
    </row>
    <row r="200" ht="15.75" customHeight="1">
      <c r="A200" s="95" t="s">
        <v>1716</v>
      </c>
      <c r="B200" s="95" t="s">
        <v>22</v>
      </c>
      <c r="C200" s="96" t="s">
        <v>1717</v>
      </c>
      <c r="D200" s="95" t="s">
        <v>39</v>
      </c>
      <c r="E200" s="95" t="s">
        <v>39</v>
      </c>
      <c r="F200" s="95" t="s">
        <v>19</v>
      </c>
      <c r="G200" s="95"/>
      <c r="H200" s="95" t="s">
        <v>21</v>
      </c>
      <c r="I200" s="95" t="s">
        <v>567</v>
      </c>
      <c r="J200" s="97">
        <v>46021.50524950231</v>
      </c>
      <c r="K200" s="95" t="s">
        <v>1718</v>
      </c>
      <c r="L200" s="96" t="s">
        <v>1719</v>
      </c>
      <c r="M200" s="95" t="s">
        <v>93</v>
      </c>
      <c r="N200" s="95" t="s">
        <v>1720</v>
      </c>
      <c r="O200" s="95" t="s">
        <v>1720</v>
      </c>
      <c r="P200" s="95" t="s">
        <v>1721</v>
      </c>
      <c r="Q200" s="98">
        <v>3.0</v>
      </c>
      <c r="R200" s="97">
        <v>45664.07319444444</v>
      </c>
      <c r="S200" s="99">
        <v>300.0</v>
      </c>
      <c r="T200" s="99">
        <v>110.0</v>
      </c>
      <c r="U200" s="99">
        <v>1.0</v>
      </c>
      <c r="V200" s="99">
        <v>159.0</v>
      </c>
      <c r="W200" s="99">
        <v>27292.0</v>
      </c>
    </row>
    <row r="201" ht="15.75" customHeight="1">
      <c r="A201" s="95" t="s">
        <v>1722</v>
      </c>
      <c r="B201" s="95" t="s">
        <v>131</v>
      </c>
      <c r="C201" s="96" t="s">
        <v>1723</v>
      </c>
      <c r="D201" s="95" t="s">
        <v>39</v>
      </c>
      <c r="E201" s="95" t="s">
        <v>614</v>
      </c>
      <c r="F201" s="95" t="s">
        <v>19</v>
      </c>
      <c r="G201" s="95" t="s">
        <v>19</v>
      </c>
      <c r="H201" s="95" t="s">
        <v>21</v>
      </c>
      <c r="I201" s="95" t="s">
        <v>1724</v>
      </c>
      <c r="J201" s="97">
        <v>46039.71515172454</v>
      </c>
      <c r="K201" s="95" t="s">
        <v>1725</v>
      </c>
      <c r="L201" s="96" t="s">
        <v>1726</v>
      </c>
      <c r="M201" s="95" t="s">
        <v>93</v>
      </c>
      <c r="N201" s="95" t="s">
        <v>1727</v>
      </c>
      <c r="O201" s="95" t="s">
        <v>1727</v>
      </c>
      <c r="P201" s="95" t="s">
        <v>1728</v>
      </c>
      <c r="Q201" s="98">
        <v>3.0</v>
      </c>
      <c r="R201" s="97">
        <v>45705.30575231482</v>
      </c>
      <c r="S201" s="99">
        <v>53.0</v>
      </c>
      <c r="T201" s="99">
        <v>418.0</v>
      </c>
      <c r="U201" s="99">
        <v>4.0</v>
      </c>
      <c r="V201" s="99">
        <v>232.0</v>
      </c>
      <c r="W201" s="99">
        <v>16341.0</v>
      </c>
    </row>
    <row r="202" ht="15.75" customHeight="1">
      <c r="A202" s="95" t="s">
        <v>1729</v>
      </c>
      <c r="B202" s="95" t="s">
        <v>22</v>
      </c>
      <c r="C202" s="96" t="s">
        <v>1730</v>
      </c>
      <c r="D202" s="95" t="s">
        <v>124</v>
      </c>
      <c r="E202" s="95" t="s">
        <v>1731</v>
      </c>
      <c r="F202" s="95" t="s">
        <v>19</v>
      </c>
      <c r="G202" s="95" t="s">
        <v>19</v>
      </c>
      <c r="H202" s="95" t="s">
        <v>21</v>
      </c>
      <c r="I202" s="95" t="s">
        <v>567</v>
      </c>
      <c r="J202" s="97">
        <v>45975.67928111111</v>
      </c>
      <c r="K202" s="96" t="s">
        <v>1732</v>
      </c>
      <c r="L202" s="95"/>
      <c r="M202" s="95" t="s">
        <v>28</v>
      </c>
      <c r="N202" s="95" t="s">
        <v>1733</v>
      </c>
      <c r="O202" s="95" t="s">
        <v>1733</v>
      </c>
      <c r="P202" s="95" t="s">
        <v>1734</v>
      </c>
      <c r="Q202" s="98">
        <v>3.0</v>
      </c>
      <c r="R202" s="97">
        <v>45730.28267361111</v>
      </c>
      <c r="S202" s="99">
        <v>29102.0</v>
      </c>
      <c r="T202" s="99">
        <v>4682.0</v>
      </c>
      <c r="U202" s="99">
        <v>55.0</v>
      </c>
      <c r="V202" s="99">
        <v>176.0</v>
      </c>
      <c r="W202" s="99">
        <v>425651.0</v>
      </c>
    </row>
    <row r="203" ht="15.75" customHeight="1">
      <c r="A203" s="95" t="s">
        <v>1735</v>
      </c>
      <c r="B203" s="95" t="s">
        <v>131</v>
      </c>
      <c r="C203" s="96" t="s">
        <v>1736</v>
      </c>
      <c r="D203" s="95" t="s">
        <v>39</v>
      </c>
      <c r="E203" s="95" t="s">
        <v>39</v>
      </c>
      <c r="F203" s="95" t="s">
        <v>88</v>
      </c>
      <c r="G203" s="95" t="s">
        <v>1737</v>
      </c>
      <c r="H203" s="95" t="s">
        <v>89</v>
      </c>
      <c r="I203" s="95" t="s">
        <v>1628</v>
      </c>
      <c r="J203" s="97">
        <v>46069.66372851852</v>
      </c>
      <c r="K203" s="95" t="s">
        <v>1738</v>
      </c>
      <c r="L203" s="96" t="s">
        <v>1739</v>
      </c>
      <c r="M203" s="95" t="s">
        <v>503</v>
      </c>
      <c r="N203" s="95" t="s">
        <v>1740</v>
      </c>
      <c r="O203" s="95" t="s">
        <v>1740</v>
      </c>
      <c r="P203" s="95" t="s">
        <v>1741</v>
      </c>
      <c r="Q203" s="98">
        <v>3.0</v>
      </c>
      <c r="R203" s="97">
        <v>46057.41560185186</v>
      </c>
      <c r="S203" s="99">
        <v>369.0</v>
      </c>
      <c r="T203" s="99">
        <v>39.0</v>
      </c>
      <c r="U203" s="99">
        <v>7.0</v>
      </c>
      <c r="V203" s="99">
        <v>137.0</v>
      </c>
      <c r="W203" s="99">
        <v>331627.0</v>
      </c>
    </row>
    <row r="204" ht="15.75" customHeight="1">
      <c r="A204" s="95" t="s">
        <v>1742</v>
      </c>
      <c r="B204" s="95" t="s">
        <v>22</v>
      </c>
      <c r="C204" s="96" t="s">
        <v>1743</v>
      </c>
      <c r="D204" s="95" t="s">
        <v>59</v>
      </c>
      <c r="E204" s="95" t="s">
        <v>738</v>
      </c>
      <c r="F204" s="95" t="s">
        <v>19</v>
      </c>
      <c r="G204" s="95" t="s">
        <v>19</v>
      </c>
      <c r="H204" s="95" t="s">
        <v>21</v>
      </c>
      <c r="I204" s="95" t="s">
        <v>1634</v>
      </c>
      <c r="J204" s="97">
        <v>46021.50963746528</v>
      </c>
      <c r="K204" s="95" t="s">
        <v>1744</v>
      </c>
      <c r="L204" s="96" t="s">
        <v>1745</v>
      </c>
      <c r="M204" s="95" t="s">
        <v>54</v>
      </c>
      <c r="N204" s="95" t="s">
        <v>1746</v>
      </c>
      <c r="O204" s="95" t="s">
        <v>1746</v>
      </c>
      <c r="P204" s="95" t="s">
        <v>1747</v>
      </c>
      <c r="Q204" s="98">
        <v>3.0</v>
      </c>
      <c r="R204" s="97">
        <v>45835.69590277778</v>
      </c>
      <c r="S204" s="99">
        <v>1204.0</v>
      </c>
      <c r="T204" s="99">
        <v>333.0</v>
      </c>
      <c r="U204" s="99">
        <v>10.0</v>
      </c>
      <c r="V204" s="99">
        <v>538.0</v>
      </c>
      <c r="W204" s="99">
        <v>29169.0</v>
      </c>
    </row>
    <row r="205" ht="15.75" customHeight="1">
      <c r="A205" s="95" t="s">
        <v>1748</v>
      </c>
      <c r="B205" s="95" t="s">
        <v>22</v>
      </c>
      <c r="C205" s="96" t="s">
        <v>1749</v>
      </c>
      <c r="D205" s="95" t="s">
        <v>59</v>
      </c>
      <c r="E205" s="95" t="s">
        <v>738</v>
      </c>
      <c r="F205" s="95" t="s">
        <v>19</v>
      </c>
      <c r="G205" s="95" t="s">
        <v>19</v>
      </c>
      <c r="H205" s="95" t="s">
        <v>21</v>
      </c>
      <c r="I205" s="95" t="s">
        <v>567</v>
      </c>
      <c r="J205" s="97">
        <v>46021.50963746528</v>
      </c>
      <c r="K205" s="95" t="s">
        <v>1750</v>
      </c>
      <c r="L205" s="96" t="s">
        <v>1751</v>
      </c>
      <c r="M205" s="95" t="s">
        <v>54</v>
      </c>
      <c r="N205" s="95" t="s">
        <v>1746</v>
      </c>
      <c r="O205" s="95" t="s">
        <v>1746</v>
      </c>
      <c r="P205" s="95" t="s">
        <v>1747</v>
      </c>
      <c r="Q205" s="98">
        <v>3.0</v>
      </c>
      <c r="R205" s="97">
        <v>45600.46425925926</v>
      </c>
      <c r="S205" s="99">
        <v>1204.0</v>
      </c>
      <c r="T205" s="99">
        <v>146.0</v>
      </c>
      <c r="U205" s="99">
        <v>5.0</v>
      </c>
      <c r="V205" s="99">
        <v>543.0</v>
      </c>
      <c r="W205" s="99">
        <v>29169.0</v>
      </c>
    </row>
    <row r="206" ht="15.75" customHeight="1">
      <c r="A206" s="95" t="s">
        <v>1752</v>
      </c>
      <c r="B206" s="95" t="s">
        <v>101</v>
      </c>
      <c r="C206" s="96" t="s">
        <v>1753</v>
      </c>
      <c r="D206" s="95" t="s">
        <v>39</v>
      </c>
      <c r="E206" s="95" t="s">
        <v>39</v>
      </c>
      <c r="F206" s="95" t="s">
        <v>19</v>
      </c>
      <c r="G206" s="95" t="s">
        <v>19</v>
      </c>
      <c r="H206" s="95" t="s">
        <v>21</v>
      </c>
      <c r="I206" s="95" t="s">
        <v>607</v>
      </c>
      <c r="J206" s="97">
        <v>46021.50524950231</v>
      </c>
      <c r="K206" s="95" t="s">
        <v>1754</v>
      </c>
      <c r="L206" s="96" t="s">
        <v>1755</v>
      </c>
      <c r="M206" s="95" t="s">
        <v>503</v>
      </c>
      <c r="N206" s="95" t="s">
        <v>1756</v>
      </c>
      <c r="O206" s="95" t="s">
        <v>1756</v>
      </c>
      <c r="P206" s="95" t="s">
        <v>1757</v>
      </c>
      <c r="Q206" s="98">
        <v>3.0</v>
      </c>
      <c r="R206" s="97">
        <v>45794.00703703704</v>
      </c>
      <c r="S206" s="99">
        <v>171.0</v>
      </c>
      <c r="T206" s="99">
        <v>32.0</v>
      </c>
      <c r="U206" s="99">
        <v>3.0</v>
      </c>
      <c r="V206" s="99">
        <v>113.0</v>
      </c>
      <c r="W206" s="99">
        <v>5159.0</v>
      </c>
    </row>
    <row r="207" ht="15.75" customHeight="1">
      <c r="A207" s="95" t="s">
        <v>1758</v>
      </c>
      <c r="B207" s="95" t="s">
        <v>101</v>
      </c>
      <c r="C207" s="96" t="s">
        <v>1759</v>
      </c>
      <c r="D207" s="95" t="s">
        <v>29</v>
      </c>
      <c r="E207" s="95" t="s">
        <v>658</v>
      </c>
      <c r="F207" s="95" t="s">
        <v>19</v>
      </c>
      <c r="G207" s="95" t="s">
        <v>588</v>
      </c>
      <c r="H207" s="95" t="s">
        <v>21</v>
      </c>
      <c r="I207" s="95" t="s">
        <v>1760</v>
      </c>
      <c r="J207" s="97">
        <v>45975.67937972222</v>
      </c>
      <c r="K207" s="96" t="s">
        <v>1761</v>
      </c>
      <c r="L207" s="96" t="s">
        <v>1762</v>
      </c>
      <c r="M207" s="95" t="s">
        <v>74</v>
      </c>
      <c r="N207" s="95" t="s">
        <v>1763</v>
      </c>
      <c r="O207" s="95" t="s">
        <v>1763</v>
      </c>
      <c r="P207" s="95" t="s">
        <v>1764</v>
      </c>
      <c r="Q207" s="98">
        <v>3.0</v>
      </c>
      <c r="R207" s="97">
        <v>45743.71966435185</v>
      </c>
      <c r="S207" s="99">
        <v>141.0</v>
      </c>
      <c r="T207" s="99">
        <v>14.0</v>
      </c>
      <c r="U207" s="99">
        <v>1.0</v>
      </c>
      <c r="V207" s="99">
        <v>62.0</v>
      </c>
      <c r="W207" s="99">
        <v>28750.0</v>
      </c>
    </row>
    <row r="208" ht="15.75" customHeight="1">
      <c r="A208" s="95" t="s">
        <v>1765</v>
      </c>
      <c r="B208" s="95" t="s">
        <v>22</v>
      </c>
      <c r="C208" s="96" t="s">
        <v>1766</v>
      </c>
      <c r="D208" s="95" t="s">
        <v>39</v>
      </c>
      <c r="E208" s="95" t="s">
        <v>960</v>
      </c>
      <c r="F208" s="95" t="s">
        <v>19</v>
      </c>
      <c r="G208" s="95" t="s">
        <v>19</v>
      </c>
      <c r="H208" s="95" t="s">
        <v>21</v>
      </c>
      <c r="I208" s="95" t="s">
        <v>567</v>
      </c>
      <c r="J208" s="97">
        <v>46021.49354603009</v>
      </c>
      <c r="K208" s="95" t="s">
        <v>1767</v>
      </c>
      <c r="L208" s="96" t="s">
        <v>1768</v>
      </c>
      <c r="M208" s="95" t="s">
        <v>28</v>
      </c>
      <c r="N208" s="95" t="s">
        <v>1769</v>
      </c>
      <c r="O208" s="95" t="s">
        <v>1769</v>
      </c>
      <c r="P208" s="95" t="s">
        <v>1770</v>
      </c>
      <c r="Q208" s="98">
        <v>3.0</v>
      </c>
      <c r="R208" s="97">
        <v>45828.75635416667</v>
      </c>
      <c r="S208" s="99">
        <v>178.0</v>
      </c>
      <c r="T208" s="99">
        <v>75.0</v>
      </c>
      <c r="U208" s="99">
        <v>14.0</v>
      </c>
      <c r="V208" s="99">
        <v>244.0</v>
      </c>
      <c r="W208" s="99">
        <v>99491.0</v>
      </c>
    </row>
    <row r="209" ht="15.75" customHeight="1">
      <c r="A209" s="95" t="s">
        <v>1771</v>
      </c>
      <c r="B209" s="95" t="s">
        <v>101</v>
      </c>
      <c r="C209" s="96" t="s">
        <v>1772</v>
      </c>
      <c r="D209" s="95" t="s">
        <v>59</v>
      </c>
      <c r="E209" s="95" t="s">
        <v>738</v>
      </c>
      <c r="F209" s="95" t="s">
        <v>19</v>
      </c>
      <c r="G209" s="95" t="s">
        <v>19</v>
      </c>
      <c r="H209" s="95" t="s">
        <v>21</v>
      </c>
      <c r="I209" s="95" t="s">
        <v>607</v>
      </c>
      <c r="J209" s="97">
        <v>46021.49354603009</v>
      </c>
      <c r="K209" s="95" t="s">
        <v>1773</v>
      </c>
      <c r="L209" s="96" t="s">
        <v>1774</v>
      </c>
      <c r="M209" s="95" t="s">
        <v>28</v>
      </c>
      <c r="N209" s="95" t="s">
        <v>1769</v>
      </c>
      <c r="O209" s="95" t="s">
        <v>1769</v>
      </c>
      <c r="P209" s="95" t="s">
        <v>1770</v>
      </c>
      <c r="Q209" s="98">
        <v>3.0</v>
      </c>
      <c r="R209" s="97">
        <v>45715.63298611111</v>
      </c>
      <c r="S209" s="99">
        <v>178.0</v>
      </c>
      <c r="T209" s="99">
        <v>68.0</v>
      </c>
      <c r="U209" s="99">
        <v>8.0</v>
      </c>
      <c r="V209" s="99">
        <v>25.0</v>
      </c>
      <c r="W209" s="99">
        <v>99491.0</v>
      </c>
    </row>
    <row r="210" ht="15.75" customHeight="1">
      <c r="A210" s="95" t="s">
        <v>1775</v>
      </c>
      <c r="B210" s="95" t="s">
        <v>101</v>
      </c>
      <c r="C210" s="96" t="s">
        <v>1776</v>
      </c>
      <c r="D210" s="95" t="s">
        <v>39</v>
      </c>
      <c r="E210" s="95" t="s">
        <v>960</v>
      </c>
      <c r="F210" s="95" t="s">
        <v>19</v>
      </c>
      <c r="G210" s="95" t="s">
        <v>574</v>
      </c>
      <c r="H210" s="95" t="s">
        <v>21</v>
      </c>
      <c r="I210" s="95" t="s">
        <v>745</v>
      </c>
      <c r="J210" s="97">
        <v>46021.50524950231</v>
      </c>
      <c r="K210" s="95" t="s">
        <v>1777</v>
      </c>
      <c r="L210" s="96" t="s">
        <v>1778</v>
      </c>
      <c r="M210" s="95" t="s">
        <v>93</v>
      </c>
      <c r="N210" s="95" t="s">
        <v>1779</v>
      </c>
      <c r="O210" s="95" t="s">
        <v>1779</v>
      </c>
      <c r="P210" s="95" t="s">
        <v>1780</v>
      </c>
      <c r="Q210" s="98">
        <v>3.0</v>
      </c>
      <c r="R210" s="97">
        <v>45827.54811342592</v>
      </c>
      <c r="S210" s="99">
        <v>310.0</v>
      </c>
      <c r="T210" s="99">
        <v>204.0</v>
      </c>
      <c r="U210" s="99">
        <v>2.0</v>
      </c>
      <c r="V210" s="99">
        <v>141.0</v>
      </c>
      <c r="W210" s="99">
        <v>91295.0</v>
      </c>
    </row>
    <row r="211" ht="15.75" customHeight="1">
      <c r="A211" s="95" t="s">
        <v>1781</v>
      </c>
      <c r="B211" s="95" t="s">
        <v>22</v>
      </c>
      <c r="C211" s="96" t="s">
        <v>1782</v>
      </c>
      <c r="D211" s="95" t="s">
        <v>29</v>
      </c>
      <c r="E211" s="95" t="s">
        <v>1783</v>
      </c>
      <c r="F211" s="95" t="s">
        <v>19</v>
      </c>
      <c r="G211" s="95" t="s">
        <v>19</v>
      </c>
      <c r="H211" s="95" t="s">
        <v>21</v>
      </c>
      <c r="I211" s="95" t="s">
        <v>677</v>
      </c>
      <c r="J211" s="97">
        <v>45993.7854622338</v>
      </c>
      <c r="K211" s="96" t="s">
        <v>1784</v>
      </c>
      <c r="L211" s="96" t="s">
        <v>1785</v>
      </c>
      <c r="M211" s="95" t="s">
        <v>17</v>
      </c>
      <c r="N211" s="95" t="s">
        <v>1786</v>
      </c>
      <c r="O211" s="95" t="s">
        <v>1786</v>
      </c>
      <c r="P211" s="95" t="s">
        <v>1787</v>
      </c>
      <c r="Q211" s="98">
        <v>3.0</v>
      </c>
      <c r="R211" s="97">
        <v>45866.38901620371</v>
      </c>
      <c r="S211" s="99">
        <v>3224.0</v>
      </c>
      <c r="T211" s="99">
        <v>71.0</v>
      </c>
      <c r="U211" s="99">
        <v>3.0</v>
      </c>
      <c r="V211" s="99">
        <v>98.0</v>
      </c>
      <c r="W211" s="99">
        <v>117430.0</v>
      </c>
    </row>
    <row r="212" ht="15.75" customHeight="1">
      <c r="A212" s="95" t="s">
        <v>1788</v>
      </c>
      <c r="B212" s="95" t="s">
        <v>22</v>
      </c>
      <c r="C212" s="96" t="s">
        <v>1789</v>
      </c>
      <c r="D212" s="95" t="s">
        <v>39</v>
      </c>
      <c r="E212" s="95" t="s">
        <v>960</v>
      </c>
      <c r="F212" s="95" t="s">
        <v>19</v>
      </c>
      <c r="G212" s="95" t="s">
        <v>19</v>
      </c>
      <c r="H212" s="95" t="s">
        <v>21</v>
      </c>
      <c r="I212" s="95" t="s">
        <v>589</v>
      </c>
      <c r="J212" s="97">
        <v>45975.67934009259</v>
      </c>
      <c r="K212" s="96" t="s">
        <v>1790</v>
      </c>
      <c r="L212" s="96" t="s">
        <v>1791</v>
      </c>
      <c r="M212" s="95" t="s">
        <v>17</v>
      </c>
      <c r="N212" s="95" t="s">
        <v>1786</v>
      </c>
      <c r="O212" s="95" t="s">
        <v>1786</v>
      </c>
      <c r="P212" s="95" t="s">
        <v>1787</v>
      </c>
      <c r="Q212" s="98">
        <v>3.0</v>
      </c>
      <c r="R212" s="97">
        <v>45678.60273148148</v>
      </c>
      <c r="S212" s="99">
        <v>3224.0</v>
      </c>
      <c r="T212" s="99">
        <v>58.0</v>
      </c>
      <c r="U212" s="99">
        <v>5.0</v>
      </c>
      <c r="V212" s="99">
        <v>63.0</v>
      </c>
      <c r="W212" s="99">
        <v>117430.0</v>
      </c>
    </row>
    <row r="213" ht="15.75" customHeight="1">
      <c r="A213" s="95" t="s">
        <v>1792</v>
      </c>
      <c r="B213" s="95" t="s">
        <v>22</v>
      </c>
      <c r="C213" s="96" t="s">
        <v>1793</v>
      </c>
      <c r="D213" s="95" t="s">
        <v>59</v>
      </c>
      <c r="E213" s="95" t="s">
        <v>738</v>
      </c>
      <c r="F213" s="95" t="s">
        <v>19</v>
      </c>
      <c r="G213" s="95" t="s">
        <v>19</v>
      </c>
      <c r="H213" s="95" t="s">
        <v>21</v>
      </c>
      <c r="I213" s="95" t="s">
        <v>589</v>
      </c>
      <c r="J213" s="97">
        <v>45975.67934009259</v>
      </c>
      <c r="K213" s="96" t="s">
        <v>1794</v>
      </c>
      <c r="L213" s="96" t="s">
        <v>1795</v>
      </c>
      <c r="M213" s="95" t="s">
        <v>17</v>
      </c>
      <c r="N213" s="95" t="s">
        <v>1786</v>
      </c>
      <c r="O213" s="95" t="s">
        <v>1786</v>
      </c>
      <c r="P213" s="95" t="s">
        <v>1787</v>
      </c>
      <c r="Q213" s="98">
        <v>3.0</v>
      </c>
      <c r="R213" s="97">
        <v>45688.93258101852</v>
      </c>
      <c r="S213" s="99">
        <v>3224.0</v>
      </c>
      <c r="T213" s="99">
        <v>64.0</v>
      </c>
      <c r="U213" s="99">
        <v>3.0</v>
      </c>
      <c r="V213" s="99">
        <v>18.0</v>
      </c>
      <c r="W213" s="99">
        <v>117430.0</v>
      </c>
    </row>
    <row r="214" ht="15.75" customHeight="1">
      <c r="A214" s="95" t="s">
        <v>1796</v>
      </c>
      <c r="B214" s="95" t="s">
        <v>22</v>
      </c>
      <c r="C214" s="96" t="s">
        <v>1797</v>
      </c>
      <c r="D214" s="95" t="s">
        <v>59</v>
      </c>
      <c r="E214" s="95" t="s">
        <v>738</v>
      </c>
      <c r="F214" s="95" t="s">
        <v>19</v>
      </c>
      <c r="G214" s="95" t="s">
        <v>19</v>
      </c>
      <c r="H214" s="95" t="s">
        <v>21</v>
      </c>
      <c r="I214" s="95" t="s">
        <v>589</v>
      </c>
      <c r="J214" s="97">
        <v>45975.67934009259</v>
      </c>
      <c r="K214" s="96" t="s">
        <v>1798</v>
      </c>
      <c r="L214" s="96" t="s">
        <v>1799</v>
      </c>
      <c r="M214" s="95" t="s">
        <v>17</v>
      </c>
      <c r="N214" s="95" t="s">
        <v>1786</v>
      </c>
      <c r="O214" s="95" t="s">
        <v>1786</v>
      </c>
      <c r="P214" s="95" t="s">
        <v>1787</v>
      </c>
      <c r="Q214" s="98">
        <v>3.0</v>
      </c>
      <c r="R214" s="97">
        <v>45869.65653935185</v>
      </c>
      <c r="S214" s="99">
        <v>3224.0</v>
      </c>
      <c r="T214" s="99">
        <v>109.0</v>
      </c>
      <c r="U214" s="99">
        <v>13.0</v>
      </c>
      <c r="V214" s="99">
        <v>253.0</v>
      </c>
      <c r="W214" s="99">
        <v>117430.0</v>
      </c>
    </row>
    <row r="215" ht="15.75" customHeight="1">
      <c r="A215" s="95" t="s">
        <v>1800</v>
      </c>
      <c r="B215" s="95" t="s">
        <v>22</v>
      </c>
      <c r="C215" s="96" t="s">
        <v>1801</v>
      </c>
      <c r="D215" s="95" t="s">
        <v>59</v>
      </c>
      <c r="E215" s="95" t="s">
        <v>1151</v>
      </c>
      <c r="F215" s="95" t="s">
        <v>19</v>
      </c>
      <c r="G215" s="95" t="s">
        <v>588</v>
      </c>
      <c r="H215" s="95" t="s">
        <v>21</v>
      </c>
      <c r="I215" s="95" t="s">
        <v>589</v>
      </c>
      <c r="J215" s="97">
        <v>46008.62901365741</v>
      </c>
      <c r="K215" s="96" t="s">
        <v>1802</v>
      </c>
      <c r="L215" s="96" t="s">
        <v>1803</v>
      </c>
      <c r="M215" s="95" t="s">
        <v>17</v>
      </c>
      <c r="N215" s="95" t="s">
        <v>1786</v>
      </c>
      <c r="O215" s="95" t="s">
        <v>1786</v>
      </c>
      <c r="P215" s="95" t="s">
        <v>1787</v>
      </c>
      <c r="Q215" s="98">
        <v>3.0</v>
      </c>
      <c r="R215" s="97">
        <v>45758.61984953703</v>
      </c>
      <c r="S215" s="99">
        <v>3224.0</v>
      </c>
      <c r="T215" s="99">
        <v>65.0</v>
      </c>
      <c r="U215" s="99">
        <v>15.0</v>
      </c>
      <c r="V215" s="99">
        <v>62.0</v>
      </c>
      <c r="W215" s="99">
        <v>117430.0</v>
      </c>
    </row>
    <row r="216" ht="15.75" customHeight="1">
      <c r="A216" s="95" t="s">
        <v>1804</v>
      </c>
      <c r="B216" s="95" t="s">
        <v>22</v>
      </c>
      <c r="C216" s="96" t="s">
        <v>1805</v>
      </c>
      <c r="D216" s="95" t="s">
        <v>39</v>
      </c>
      <c r="E216" s="95" t="s">
        <v>960</v>
      </c>
      <c r="F216" s="95" t="s">
        <v>19</v>
      </c>
      <c r="G216" s="95" t="s">
        <v>19</v>
      </c>
      <c r="H216" s="95" t="s">
        <v>21</v>
      </c>
      <c r="I216" s="95" t="s">
        <v>677</v>
      </c>
      <c r="J216" s="97">
        <v>46008.62901362268</v>
      </c>
      <c r="K216" s="96" t="s">
        <v>1806</v>
      </c>
      <c r="L216" s="96" t="s">
        <v>1807</v>
      </c>
      <c r="M216" s="95" t="s">
        <v>17</v>
      </c>
      <c r="N216" s="95" t="s">
        <v>1786</v>
      </c>
      <c r="O216" s="95" t="s">
        <v>1786</v>
      </c>
      <c r="P216" s="95" t="s">
        <v>1787</v>
      </c>
      <c r="Q216" s="98">
        <v>3.0</v>
      </c>
      <c r="R216" s="97">
        <v>45733.55445601852</v>
      </c>
      <c r="S216" s="99">
        <v>3224.0</v>
      </c>
      <c r="T216" s="99">
        <v>59.0</v>
      </c>
      <c r="U216" s="99">
        <v>13.0</v>
      </c>
      <c r="V216" s="99">
        <v>187.0</v>
      </c>
      <c r="W216" s="99">
        <v>117430.0</v>
      </c>
    </row>
    <row r="217" ht="15.75" customHeight="1">
      <c r="A217" s="95" t="s">
        <v>1808</v>
      </c>
      <c r="B217" s="95" t="s">
        <v>22</v>
      </c>
      <c r="C217" s="96" t="s">
        <v>1809</v>
      </c>
      <c r="D217" s="95" t="s">
        <v>39</v>
      </c>
      <c r="E217" s="95" t="s">
        <v>960</v>
      </c>
      <c r="F217" s="95" t="s">
        <v>19</v>
      </c>
      <c r="G217" s="95" t="s">
        <v>19</v>
      </c>
      <c r="H217" s="95" t="s">
        <v>21</v>
      </c>
      <c r="I217" s="95" t="s">
        <v>567</v>
      </c>
      <c r="J217" s="97">
        <v>46008.62901361111</v>
      </c>
      <c r="K217" s="96" t="s">
        <v>1810</v>
      </c>
      <c r="L217" s="96" t="s">
        <v>1811</v>
      </c>
      <c r="M217" s="95" t="s">
        <v>17</v>
      </c>
      <c r="N217" s="95" t="s">
        <v>1786</v>
      </c>
      <c r="O217" s="95" t="s">
        <v>1786</v>
      </c>
      <c r="P217" s="95" t="s">
        <v>1787</v>
      </c>
      <c r="Q217" s="98">
        <v>3.0</v>
      </c>
      <c r="R217" s="97">
        <v>45777.6353125</v>
      </c>
      <c r="S217" s="99">
        <v>3224.0</v>
      </c>
      <c r="T217" s="99">
        <v>8.0</v>
      </c>
      <c r="U217" s="99">
        <v>5.0</v>
      </c>
      <c r="V217" s="99">
        <v>100.0</v>
      </c>
      <c r="W217" s="99">
        <v>117430.0</v>
      </c>
    </row>
    <row r="218" ht="15.75" customHeight="1">
      <c r="A218" s="95" t="s">
        <v>1812</v>
      </c>
      <c r="B218" s="95" t="s">
        <v>22</v>
      </c>
      <c r="C218" s="96" t="s">
        <v>1813</v>
      </c>
      <c r="D218" s="95" t="s">
        <v>29</v>
      </c>
      <c r="E218" s="95" t="s">
        <v>658</v>
      </c>
      <c r="F218" s="95" t="s">
        <v>19</v>
      </c>
      <c r="G218" s="95" t="s">
        <v>1427</v>
      </c>
      <c r="H218" s="95" t="s">
        <v>21</v>
      </c>
      <c r="I218" s="95" t="s">
        <v>677</v>
      </c>
      <c r="J218" s="97">
        <v>46021.50524950231</v>
      </c>
      <c r="K218" s="95" t="s">
        <v>1814</v>
      </c>
      <c r="L218" s="96" t="s">
        <v>1815</v>
      </c>
      <c r="M218" s="95" t="s">
        <v>67</v>
      </c>
      <c r="N218" s="95" t="s">
        <v>1816</v>
      </c>
      <c r="O218" s="95" t="s">
        <v>1816</v>
      </c>
      <c r="P218" s="95" t="s">
        <v>1817</v>
      </c>
      <c r="Q218" s="98">
        <v>3.0</v>
      </c>
      <c r="R218" s="97">
        <v>45631.03243055556</v>
      </c>
      <c r="S218" s="99">
        <v>614.0</v>
      </c>
      <c r="T218" s="99">
        <v>79.0</v>
      </c>
      <c r="U218" s="99">
        <v>4.0</v>
      </c>
      <c r="V218" s="99">
        <v>87.0</v>
      </c>
      <c r="W218" s="99">
        <v>2462.0</v>
      </c>
    </row>
    <row r="219" ht="15.75" customHeight="1">
      <c r="A219" s="95" t="s">
        <v>1818</v>
      </c>
      <c r="B219" s="95" t="s">
        <v>22</v>
      </c>
      <c r="C219" s="96" t="s">
        <v>1819</v>
      </c>
      <c r="D219" s="95" t="s">
        <v>130</v>
      </c>
      <c r="E219" s="95" t="s">
        <v>917</v>
      </c>
      <c r="F219" s="95" t="s">
        <v>19</v>
      </c>
      <c r="G219" s="95" t="s">
        <v>574</v>
      </c>
      <c r="H219" s="95" t="s">
        <v>21</v>
      </c>
      <c r="I219" s="95" t="s">
        <v>589</v>
      </c>
      <c r="J219" s="97">
        <v>46021.50524950231</v>
      </c>
      <c r="K219" s="95" t="s">
        <v>1820</v>
      </c>
      <c r="L219" s="96" t="s">
        <v>1821</v>
      </c>
      <c r="M219" s="95" t="s">
        <v>93</v>
      </c>
      <c r="N219" s="95" t="s">
        <v>1822</v>
      </c>
      <c r="O219" s="95" t="s">
        <v>1822</v>
      </c>
      <c r="P219" s="95" t="s">
        <v>1823</v>
      </c>
      <c r="Q219" s="98">
        <v>3.0</v>
      </c>
      <c r="R219" s="97">
        <v>45660.67853009259</v>
      </c>
      <c r="S219" s="99">
        <v>76.0</v>
      </c>
      <c r="T219" s="99">
        <v>155.0</v>
      </c>
      <c r="U219" s="99">
        <v>8.0</v>
      </c>
      <c r="V219" s="99">
        <v>128.0</v>
      </c>
      <c r="W219" s="99">
        <v>6856.0</v>
      </c>
    </row>
    <row r="220" ht="15.75" customHeight="1">
      <c r="A220" s="95" t="s">
        <v>1824</v>
      </c>
      <c r="B220" s="95" t="s">
        <v>22</v>
      </c>
      <c r="C220" s="96" t="s">
        <v>1825</v>
      </c>
      <c r="D220" s="95" t="s">
        <v>59</v>
      </c>
      <c r="E220" s="95" t="s">
        <v>1826</v>
      </c>
      <c r="F220" s="95" t="s">
        <v>19</v>
      </c>
      <c r="G220" s="95" t="s">
        <v>19</v>
      </c>
      <c r="H220" s="95" t="s">
        <v>21</v>
      </c>
      <c r="I220" s="95" t="s">
        <v>567</v>
      </c>
      <c r="J220" s="97">
        <v>46021.50963746528</v>
      </c>
      <c r="K220" s="95" t="s">
        <v>1827</v>
      </c>
      <c r="L220" s="96" t="s">
        <v>1828</v>
      </c>
      <c r="M220" s="95" t="s">
        <v>93</v>
      </c>
      <c r="N220" s="95" t="s">
        <v>1829</v>
      </c>
      <c r="O220" s="95" t="s">
        <v>1829</v>
      </c>
      <c r="P220" s="95" t="s">
        <v>1830</v>
      </c>
      <c r="Q220" s="98">
        <v>3.0</v>
      </c>
      <c r="R220" s="97">
        <v>42838.85524305556</v>
      </c>
      <c r="S220" s="99">
        <v>1550.0</v>
      </c>
      <c r="T220" s="99">
        <v>67.0</v>
      </c>
      <c r="U220" s="99">
        <v>12.0</v>
      </c>
      <c r="V220" s="99">
        <v>1345.0</v>
      </c>
      <c r="W220" s="99">
        <v>24159.0</v>
      </c>
    </row>
    <row r="221" ht="15.75" customHeight="1">
      <c r="A221" s="95" t="s">
        <v>1831</v>
      </c>
      <c r="B221" s="95" t="s">
        <v>22</v>
      </c>
      <c r="C221" s="96" t="s">
        <v>1832</v>
      </c>
      <c r="D221" s="95" t="s">
        <v>59</v>
      </c>
      <c r="E221" s="95" t="s">
        <v>738</v>
      </c>
      <c r="F221" s="95" t="s">
        <v>19</v>
      </c>
      <c r="G221" s="95" t="s">
        <v>19</v>
      </c>
      <c r="H221" s="95" t="s">
        <v>21</v>
      </c>
      <c r="I221" s="95" t="s">
        <v>567</v>
      </c>
      <c r="J221" s="97">
        <v>46080.66232241898</v>
      </c>
      <c r="K221" s="95" t="s">
        <v>1833</v>
      </c>
      <c r="L221" s="96" t="s">
        <v>1834</v>
      </c>
      <c r="M221" s="95" t="s">
        <v>93</v>
      </c>
      <c r="N221" s="95" t="s">
        <v>1835</v>
      </c>
      <c r="O221" s="95" t="s">
        <v>1835</v>
      </c>
      <c r="P221" s="95" t="s">
        <v>1836</v>
      </c>
      <c r="Q221" s="98">
        <v>3.0</v>
      </c>
      <c r="R221" s="97">
        <v>46064.76519675926</v>
      </c>
      <c r="S221" s="99">
        <v>1072.0</v>
      </c>
      <c r="T221" s="99">
        <v>784.0</v>
      </c>
      <c r="U221" s="99">
        <v>17.0</v>
      </c>
      <c r="V221" s="99">
        <v>724.0</v>
      </c>
      <c r="W221" s="99">
        <v>68454.0</v>
      </c>
    </row>
    <row r="222" ht="15.75" customHeight="1">
      <c r="A222" s="95" t="s">
        <v>1837</v>
      </c>
      <c r="B222" s="95" t="s">
        <v>22</v>
      </c>
      <c r="C222" s="96" t="s">
        <v>1838</v>
      </c>
      <c r="D222" s="95" t="s">
        <v>29</v>
      </c>
      <c r="E222" s="95" t="s">
        <v>29</v>
      </c>
      <c r="F222" s="95" t="s">
        <v>19</v>
      </c>
      <c r="G222" s="95" t="s">
        <v>19</v>
      </c>
      <c r="H222" s="95" t="s">
        <v>21</v>
      </c>
      <c r="I222" s="95" t="s">
        <v>567</v>
      </c>
      <c r="J222" s="97">
        <v>45975.67932418981</v>
      </c>
      <c r="K222" s="96" t="s">
        <v>1839</v>
      </c>
      <c r="L222" s="96" t="s">
        <v>1840</v>
      </c>
      <c r="M222" s="95" t="s">
        <v>93</v>
      </c>
      <c r="N222" s="95" t="s">
        <v>1841</v>
      </c>
      <c r="O222" s="95" t="s">
        <v>1841</v>
      </c>
      <c r="P222" s="95" t="s">
        <v>1842</v>
      </c>
      <c r="Q222" s="98">
        <v>3.0</v>
      </c>
      <c r="R222" s="97">
        <v>45069.61950231482</v>
      </c>
      <c r="S222" s="99">
        <v>3546.0</v>
      </c>
      <c r="T222" s="99">
        <v>118.0</v>
      </c>
      <c r="U222" s="99">
        <v>3.0</v>
      </c>
      <c r="V222" s="99">
        <v>72.0</v>
      </c>
      <c r="W222" s="99">
        <v>209094.0</v>
      </c>
    </row>
    <row r="223" ht="15.75" customHeight="1">
      <c r="A223" s="95" t="s">
        <v>1843</v>
      </c>
      <c r="B223" s="95" t="s">
        <v>22</v>
      </c>
      <c r="C223" s="96" t="s">
        <v>1844</v>
      </c>
      <c r="D223" s="95" t="s">
        <v>29</v>
      </c>
      <c r="E223" s="95" t="s">
        <v>658</v>
      </c>
      <c r="F223" s="95" t="s">
        <v>19</v>
      </c>
      <c r="G223" s="95" t="s">
        <v>19</v>
      </c>
      <c r="H223" s="95" t="s">
        <v>21</v>
      </c>
      <c r="I223" s="95" t="s">
        <v>567</v>
      </c>
      <c r="J223" s="97">
        <v>45993.78544196759</v>
      </c>
      <c r="K223" s="96" t="s">
        <v>1845</v>
      </c>
      <c r="L223" s="96" t="s">
        <v>1846</v>
      </c>
      <c r="M223" s="95" t="s">
        <v>93</v>
      </c>
      <c r="N223" s="95" t="s">
        <v>1841</v>
      </c>
      <c r="O223" s="95" t="s">
        <v>1841</v>
      </c>
      <c r="P223" s="95" t="s">
        <v>1842</v>
      </c>
      <c r="Q223" s="98">
        <v>3.0</v>
      </c>
      <c r="R223" s="97">
        <v>44672.45084490741</v>
      </c>
      <c r="S223" s="99">
        <v>3546.0</v>
      </c>
      <c r="T223" s="99">
        <v>1273.0</v>
      </c>
      <c r="U223" s="99">
        <v>4.0</v>
      </c>
      <c r="V223" s="99">
        <v>106.0</v>
      </c>
      <c r="W223" s="99">
        <v>209094.0</v>
      </c>
    </row>
    <row r="224" ht="15.75" customHeight="1">
      <c r="A224" s="95" t="s">
        <v>1847</v>
      </c>
      <c r="B224" s="95" t="s">
        <v>131</v>
      </c>
      <c r="C224" s="96" t="s">
        <v>1848</v>
      </c>
      <c r="D224" s="95" t="s">
        <v>59</v>
      </c>
      <c r="E224" s="95" t="s">
        <v>738</v>
      </c>
      <c r="F224" s="95" t="s">
        <v>58</v>
      </c>
      <c r="G224" s="95" t="s">
        <v>58</v>
      </c>
      <c r="H224" s="95" t="s">
        <v>60</v>
      </c>
      <c r="I224" s="95" t="s">
        <v>795</v>
      </c>
      <c r="J224" s="97">
        <v>45993.7854622338</v>
      </c>
      <c r="K224" s="96" t="s">
        <v>1849</v>
      </c>
      <c r="L224" s="96" t="s">
        <v>1850</v>
      </c>
      <c r="M224" s="95" t="s">
        <v>17</v>
      </c>
      <c r="N224" s="95" t="s">
        <v>1851</v>
      </c>
      <c r="O224" s="95" t="s">
        <v>1851</v>
      </c>
      <c r="P224" s="95" t="s">
        <v>1852</v>
      </c>
      <c r="Q224" s="98">
        <v>3.0</v>
      </c>
      <c r="R224" s="97">
        <v>45876.14002314815</v>
      </c>
      <c r="S224" s="99">
        <v>71.0</v>
      </c>
      <c r="T224" s="99">
        <v>283.0</v>
      </c>
      <c r="U224" s="99">
        <v>37.0</v>
      </c>
      <c r="V224" s="99">
        <v>1028.0</v>
      </c>
      <c r="W224" s="99">
        <v>33919.0</v>
      </c>
    </row>
    <row r="225" ht="15.75" customHeight="1">
      <c r="A225" s="95" t="s">
        <v>1853</v>
      </c>
      <c r="B225" s="95" t="s">
        <v>22</v>
      </c>
      <c r="C225" s="96" t="s">
        <v>1854</v>
      </c>
      <c r="D225" s="95" t="s">
        <v>59</v>
      </c>
      <c r="E225" s="95" t="s">
        <v>738</v>
      </c>
      <c r="F225" s="95" t="s">
        <v>19</v>
      </c>
      <c r="G225" s="95" t="s">
        <v>19</v>
      </c>
      <c r="H225" s="95" t="s">
        <v>21</v>
      </c>
      <c r="I225" s="95" t="s">
        <v>567</v>
      </c>
      <c r="J225" s="97">
        <v>45993.7854622338</v>
      </c>
      <c r="K225" s="96" t="s">
        <v>1855</v>
      </c>
      <c r="L225" s="95"/>
      <c r="M225" s="95" t="s">
        <v>17</v>
      </c>
      <c r="N225" s="95" t="s">
        <v>1856</v>
      </c>
      <c r="O225" s="95" t="s">
        <v>1856</v>
      </c>
      <c r="P225" s="95" t="s">
        <v>1857</v>
      </c>
      <c r="Q225" s="98">
        <v>3.0</v>
      </c>
      <c r="R225" s="97">
        <v>45679.32060185185</v>
      </c>
      <c r="S225" s="99">
        <v>4429.0</v>
      </c>
      <c r="T225" s="99">
        <v>49.0</v>
      </c>
      <c r="U225" s="99">
        <v>3.0</v>
      </c>
      <c r="V225" s="99">
        <v>49.0</v>
      </c>
      <c r="W225" s="99">
        <v>999999.0</v>
      </c>
    </row>
    <row r="226" ht="15.75" customHeight="1">
      <c r="A226" s="95" t="s">
        <v>1858</v>
      </c>
      <c r="B226" s="95" t="s">
        <v>22</v>
      </c>
      <c r="C226" s="96" t="s">
        <v>1859</v>
      </c>
      <c r="D226" s="95" t="s">
        <v>59</v>
      </c>
      <c r="E226" s="95" t="s">
        <v>59</v>
      </c>
      <c r="F226" s="95" t="s">
        <v>19</v>
      </c>
      <c r="G226" s="95" t="s">
        <v>19</v>
      </c>
      <c r="H226" s="95" t="s">
        <v>21</v>
      </c>
      <c r="I226" s="95" t="s">
        <v>567</v>
      </c>
      <c r="J226" s="97">
        <v>46021.50915592592</v>
      </c>
      <c r="K226" s="95" t="s">
        <v>1860</v>
      </c>
      <c r="L226" s="96" t="s">
        <v>1861</v>
      </c>
      <c r="M226" s="95" t="s">
        <v>28</v>
      </c>
      <c r="N226" s="95" t="s">
        <v>1862</v>
      </c>
      <c r="O226" s="95" t="s">
        <v>1862</v>
      </c>
      <c r="P226" s="95" t="s">
        <v>1863</v>
      </c>
      <c r="Q226" s="98">
        <v>3.0</v>
      </c>
      <c r="R226" s="97">
        <v>45792.87577546296</v>
      </c>
      <c r="S226" s="99">
        <v>1998.0</v>
      </c>
      <c r="T226" s="99">
        <v>89.0</v>
      </c>
      <c r="U226" s="99">
        <v>4.0</v>
      </c>
      <c r="V226" s="99">
        <v>112.0</v>
      </c>
      <c r="W226" s="99">
        <v>157402.0</v>
      </c>
    </row>
    <row r="227" ht="15.75" customHeight="1">
      <c r="A227" s="95" t="s">
        <v>1864</v>
      </c>
      <c r="B227" s="95" t="s">
        <v>22</v>
      </c>
      <c r="C227" s="96" t="s">
        <v>1865</v>
      </c>
      <c r="D227" s="95" t="s">
        <v>20</v>
      </c>
      <c r="E227" s="95" t="s">
        <v>872</v>
      </c>
      <c r="F227" s="95" t="s">
        <v>19</v>
      </c>
      <c r="G227" s="95" t="s">
        <v>1427</v>
      </c>
      <c r="H227" s="95" t="s">
        <v>21</v>
      </c>
      <c r="I227" s="95" t="s">
        <v>1866</v>
      </c>
      <c r="J227" s="97">
        <v>46021.50524950231</v>
      </c>
      <c r="K227" s="95" t="s">
        <v>1867</v>
      </c>
      <c r="L227" s="96" t="s">
        <v>1868</v>
      </c>
      <c r="M227" s="95" t="s">
        <v>28</v>
      </c>
      <c r="N227" s="95" t="s">
        <v>1869</v>
      </c>
      <c r="O227" s="95" t="s">
        <v>1869</v>
      </c>
      <c r="P227" s="95" t="s">
        <v>1870</v>
      </c>
      <c r="Q227" s="98">
        <v>3.0</v>
      </c>
      <c r="R227" s="97">
        <v>45862.04142361111</v>
      </c>
      <c r="S227" s="99">
        <v>1206.0</v>
      </c>
      <c r="T227" s="99">
        <v>257.0</v>
      </c>
      <c r="U227" s="99">
        <v>2.0</v>
      </c>
      <c r="V227" s="99">
        <v>22.0</v>
      </c>
      <c r="W227" s="99">
        <v>183140.0</v>
      </c>
    </row>
    <row r="228" ht="15.75" customHeight="1">
      <c r="A228" s="95" t="s">
        <v>1871</v>
      </c>
      <c r="B228" s="95" t="s">
        <v>22</v>
      </c>
      <c r="C228" s="96" t="s">
        <v>1872</v>
      </c>
      <c r="D228" s="95" t="s">
        <v>59</v>
      </c>
      <c r="E228" s="95" t="s">
        <v>1873</v>
      </c>
      <c r="F228" s="95" t="s">
        <v>19</v>
      </c>
      <c r="G228" s="95" t="s">
        <v>19</v>
      </c>
      <c r="H228" s="95" t="s">
        <v>21</v>
      </c>
      <c r="I228" s="95" t="s">
        <v>684</v>
      </c>
      <c r="J228" s="97">
        <v>46021.50963746528</v>
      </c>
      <c r="K228" s="95" t="s">
        <v>1874</v>
      </c>
      <c r="L228" s="96" t="s">
        <v>1875</v>
      </c>
      <c r="M228" s="95" t="s">
        <v>28</v>
      </c>
      <c r="N228" s="95" t="s">
        <v>1869</v>
      </c>
      <c r="O228" s="95" t="s">
        <v>1869</v>
      </c>
      <c r="P228" s="95" t="s">
        <v>1870</v>
      </c>
      <c r="Q228" s="98">
        <v>3.0</v>
      </c>
      <c r="R228" s="97">
        <v>45869.53384259259</v>
      </c>
      <c r="S228" s="99">
        <v>1206.0</v>
      </c>
      <c r="T228" s="99">
        <v>28.0</v>
      </c>
      <c r="U228" s="99">
        <v>10.0</v>
      </c>
      <c r="V228" s="99">
        <v>171.0</v>
      </c>
      <c r="W228" s="99">
        <v>183140.0</v>
      </c>
    </row>
    <row r="229" ht="15.75" customHeight="1">
      <c r="A229" s="95" t="s">
        <v>1876</v>
      </c>
      <c r="B229" s="95" t="s">
        <v>101</v>
      </c>
      <c r="C229" s="96" t="s">
        <v>1877</v>
      </c>
      <c r="D229" s="95" t="s">
        <v>59</v>
      </c>
      <c r="E229" s="95" t="s">
        <v>665</v>
      </c>
      <c r="F229" s="95" t="s">
        <v>19</v>
      </c>
      <c r="G229" s="95" t="s">
        <v>574</v>
      </c>
      <c r="H229" s="95" t="s">
        <v>21</v>
      </c>
      <c r="I229" s="95" t="s">
        <v>1504</v>
      </c>
      <c r="J229" s="97">
        <v>46021.50963746528</v>
      </c>
      <c r="K229" s="95" t="s">
        <v>1878</v>
      </c>
      <c r="L229" s="96" t="s">
        <v>1879</v>
      </c>
      <c r="M229" s="95" t="s">
        <v>105</v>
      </c>
      <c r="N229" s="95" t="s">
        <v>1880</v>
      </c>
      <c r="O229" s="95" t="s">
        <v>1880</v>
      </c>
      <c r="P229" s="95" t="s">
        <v>1881</v>
      </c>
      <c r="Q229" s="98">
        <v>3.0</v>
      </c>
      <c r="R229" s="97">
        <v>45464.17327546296</v>
      </c>
      <c r="S229" s="99">
        <v>191.0</v>
      </c>
      <c r="T229" s="99">
        <v>125.0</v>
      </c>
      <c r="U229" s="99">
        <v>8.0</v>
      </c>
      <c r="V229" s="99">
        <v>310.0</v>
      </c>
      <c r="W229" s="99">
        <v>389370.0</v>
      </c>
    </row>
    <row r="230" ht="15.75" customHeight="1">
      <c r="A230" s="95" t="s">
        <v>1882</v>
      </c>
      <c r="B230" s="95" t="s">
        <v>69</v>
      </c>
      <c r="C230" s="96" t="s">
        <v>1883</v>
      </c>
      <c r="D230" s="95" t="s">
        <v>59</v>
      </c>
      <c r="E230" s="95" t="s">
        <v>665</v>
      </c>
      <c r="F230" s="95" t="s">
        <v>19</v>
      </c>
      <c r="G230" s="95" t="s">
        <v>19</v>
      </c>
      <c r="H230" s="95" t="s">
        <v>21</v>
      </c>
      <c r="I230" s="95" t="s">
        <v>719</v>
      </c>
      <c r="J230" s="97">
        <v>46057.09195101852</v>
      </c>
      <c r="K230" s="95" t="s">
        <v>1884</v>
      </c>
      <c r="L230" s="96" t="s">
        <v>1885</v>
      </c>
      <c r="M230" s="95" t="s">
        <v>93</v>
      </c>
      <c r="N230" s="95" t="s">
        <v>1886</v>
      </c>
      <c r="O230" s="95" t="s">
        <v>1886</v>
      </c>
      <c r="P230" s="95" t="s">
        <v>1887</v>
      </c>
      <c r="Q230" s="98">
        <v>3.0</v>
      </c>
      <c r="R230" s="97">
        <v>45750.88827546296</v>
      </c>
      <c r="S230" s="99">
        <v>2556.0</v>
      </c>
      <c r="T230" s="99">
        <v>6270.0</v>
      </c>
      <c r="U230" s="99">
        <v>8.0</v>
      </c>
      <c r="V230" s="99">
        <v>2168.0</v>
      </c>
      <c r="W230" s="95"/>
    </row>
    <row r="231" ht="15.75" customHeight="1">
      <c r="A231" s="95" t="s">
        <v>1888</v>
      </c>
      <c r="B231" s="95" t="s">
        <v>69</v>
      </c>
      <c r="C231" s="96" t="s">
        <v>1889</v>
      </c>
      <c r="D231" s="95" t="s">
        <v>59</v>
      </c>
      <c r="E231" s="95" t="s">
        <v>738</v>
      </c>
      <c r="F231" s="95" t="s">
        <v>58</v>
      </c>
      <c r="G231" s="95" t="s">
        <v>58</v>
      </c>
      <c r="H231" s="95" t="s">
        <v>77</v>
      </c>
      <c r="I231" s="95" t="s">
        <v>599</v>
      </c>
      <c r="J231" s="97">
        <v>45978.46212528935</v>
      </c>
      <c r="K231" s="95" t="s">
        <v>1890</v>
      </c>
      <c r="L231" s="95"/>
      <c r="M231" s="95" t="s">
        <v>17</v>
      </c>
      <c r="N231" s="95" t="s">
        <v>1891</v>
      </c>
      <c r="O231" s="95" t="s">
        <v>1891</v>
      </c>
      <c r="P231" s="95" t="s">
        <v>1892</v>
      </c>
      <c r="Q231" s="98">
        <v>3.0</v>
      </c>
      <c r="R231" s="97">
        <v>45833.78688657407</v>
      </c>
      <c r="S231" s="99">
        <v>5473.0</v>
      </c>
      <c r="T231" s="99">
        <v>7.0</v>
      </c>
      <c r="U231" s="99">
        <v>2.0</v>
      </c>
      <c r="V231" s="99">
        <v>91.0</v>
      </c>
      <c r="W231" s="99">
        <v>999999.0</v>
      </c>
    </row>
    <row r="232" ht="15.75" customHeight="1">
      <c r="A232" s="95" t="s">
        <v>1893</v>
      </c>
      <c r="B232" s="95" t="s">
        <v>22</v>
      </c>
      <c r="C232" s="96" t="s">
        <v>1894</v>
      </c>
      <c r="D232" s="95" t="s">
        <v>59</v>
      </c>
      <c r="E232" s="95" t="s">
        <v>59</v>
      </c>
      <c r="F232" s="95" t="s">
        <v>19</v>
      </c>
      <c r="G232" s="95" t="s">
        <v>19</v>
      </c>
      <c r="H232" s="95" t="s">
        <v>21</v>
      </c>
      <c r="I232" s="95" t="s">
        <v>567</v>
      </c>
      <c r="J232" s="97">
        <v>46021.49354603009</v>
      </c>
      <c r="K232" s="95" t="s">
        <v>1895</v>
      </c>
      <c r="L232" s="96" t="s">
        <v>1896</v>
      </c>
      <c r="M232" s="95" t="s">
        <v>54</v>
      </c>
      <c r="N232" s="95" t="s">
        <v>1897</v>
      </c>
      <c r="O232" s="95" t="s">
        <v>1897</v>
      </c>
      <c r="P232" s="95" t="s">
        <v>1898</v>
      </c>
      <c r="Q232" s="98">
        <v>3.0</v>
      </c>
      <c r="R232" s="97">
        <v>45813.71622685185</v>
      </c>
      <c r="S232" s="99">
        <v>880.0</v>
      </c>
      <c r="T232" s="99">
        <v>13.0</v>
      </c>
      <c r="U232" s="99">
        <v>13.0</v>
      </c>
      <c r="V232" s="99">
        <v>166.0</v>
      </c>
      <c r="W232" s="99">
        <v>5114354.0</v>
      </c>
    </row>
    <row r="233" ht="15.75" customHeight="1">
      <c r="A233" s="95" t="s">
        <v>1899</v>
      </c>
      <c r="B233" s="95" t="s">
        <v>22</v>
      </c>
      <c r="C233" s="96" t="s">
        <v>1900</v>
      </c>
      <c r="D233" s="95" t="s">
        <v>68</v>
      </c>
      <c r="E233" s="95" t="s">
        <v>1901</v>
      </c>
      <c r="F233" s="95" t="s">
        <v>19</v>
      </c>
      <c r="G233" s="95" t="s">
        <v>19</v>
      </c>
      <c r="H233" s="95" t="s">
        <v>21</v>
      </c>
      <c r="I233" s="95" t="s">
        <v>589</v>
      </c>
      <c r="J233" s="97">
        <v>46021.49287208333</v>
      </c>
      <c r="K233" s="95" t="s">
        <v>1902</v>
      </c>
      <c r="L233" s="96" t="s">
        <v>1903</v>
      </c>
      <c r="M233" s="95" t="s">
        <v>54</v>
      </c>
      <c r="N233" s="95" t="s">
        <v>1904</v>
      </c>
      <c r="O233" s="95" t="s">
        <v>1904</v>
      </c>
      <c r="P233" s="95" t="s">
        <v>1905</v>
      </c>
      <c r="Q233" s="98">
        <v>3.0</v>
      </c>
      <c r="R233" s="97">
        <v>45784.81689814815</v>
      </c>
      <c r="S233" s="99">
        <v>554.0</v>
      </c>
      <c r="T233" s="99">
        <v>66.0</v>
      </c>
      <c r="U233" s="99">
        <v>1.0</v>
      </c>
      <c r="V233" s="99">
        <v>18.0</v>
      </c>
      <c r="W233" s="99">
        <v>14374.0</v>
      </c>
    </row>
    <row r="234" ht="15.75" customHeight="1">
      <c r="A234" s="95" t="s">
        <v>1906</v>
      </c>
      <c r="B234" s="95" t="s">
        <v>22</v>
      </c>
      <c r="C234" s="96" t="s">
        <v>1907</v>
      </c>
      <c r="D234" s="95" t="s">
        <v>68</v>
      </c>
      <c r="E234" s="95" t="s">
        <v>1901</v>
      </c>
      <c r="F234" s="95" t="s">
        <v>19</v>
      </c>
      <c r="G234" s="95" t="s">
        <v>19</v>
      </c>
      <c r="H234" s="95" t="s">
        <v>21</v>
      </c>
      <c r="I234" s="95" t="s">
        <v>589</v>
      </c>
      <c r="J234" s="97">
        <v>46003.09668672454</v>
      </c>
      <c r="K234" s="95" t="s">
        <v>1908</v>
      </c>
      <c r="L234" s="96" t="s">
        <v>1909</v>
      </c>
      <c r="M234" s="95" t="s">
        <v>54</v>
      </c>
      <c r="N234" s="95" t="s">
        <v>1904</v>
      </c>
      <c r="O234" s="95" t="s">
        <v>1904</v>
      </c>
      <c r="P234" s="95" t="s">
        <v>1905</v>
      </c>
      <c r="Q234" s="98">
        <v>3.0</v>
      </c>
      <c r="R234" s="97">
        <v>45773.03574074074</v>
      </c>
      <c r="S234" s="99">
        <v>554.0</v>
      </c>
      <c r="T234" s="99">
        <v>231.0</v>
      </c>
      <c r="U234" s="99">
        <v>1.0</v>
      </c>
      <c r="V234" s="99">
        <v>54.0</v>
      </c>
      <c r="W234" s="99">
        <v>14374.0</v>
      </c>
    </row>
    <row r="235" ht="15.75" customHeight="1">
      <c r="A235" s="95" t="s">
        <v>1910</v>
      </c>
      <c r="B235" s="95" t="s">
        <v>22</v>
      </c>
      <c r="C235" s="96" t="s">
        <v>1911</v>
      </c>
      <c r="D235" s="95" t="s">
        <v>59</v>
      </c>
      <c r="E235" s="95" t="s">
        <v>1151</v>
      </c>
      <c r="F235" s="95" t="s">
        <v>19</v>
      </c>
      <c r="G235" s="95" t="s">
        <v>19</v>
      </c>
      <c r="H235" s="95" t="s">
        <v>21</v>
      </c>
      <c r="I235" s="95" t="s">
        <v>589</v>
      </c>
      <c r="J235" s="97">
        <v>46021.50915592592</v>
      </c>
      <c r="K235" s="95" t="s">
        <v>1912</v>
      </c>
      <c r="L235" s="96" t="s">
        <v>1913</v>
      </c>
      <c r="M235" s="95" t="s">
        <v>54</v>
      </c>
      <c r="N235" s="95" t="s">
        <v>1914</v>
      </c>
      <c r="O235" s="95" t="s">
        <v>1914</v>
      </c>
      <c r="P235" s="95" t="s">
        <v>1915</v>
      </c>
      <c r="Q235" s="98">
        <v>3.0</v>
      </c>
      <c r="R235" s="97">
        <v>45722.91113425926</v>
      </c>
      <c r="S235" s="99">
        <v>51.0</v>
      </c>
      <c r="T235" s="99">
        <v>41.0</v>
      </c>
      <c r="U235" s="99">
        <v>8.0</v>
      </c>
      <c r="V235" s="99">
        <v>29.0</v>
      </c>
      <c r="W235" s="99">
        <v>12837.0</v>
      </c>
    </row>
    <row r="236" ht="15.75" customHeight="1">
      <c r="A236" s="95" t="s">
        <v>1916</v>
      </c>
      <c r="B236" s="95" t="s">
        <v>22</v>
      </c>
      <c r="C236" s="96" t="s">
        <v>1917</v>
      </c>
      <c r="D236" s="95" t="s">
        <v>20</v>
      </c>
      <c r="E236" s="95" t="s">
        <v>1918</v>
      </c>
      <c r="F236" s="95" t="s">
        <v>19</v>
      </c>
      <c r="G236" s="95" t="s">
        <v>19</v>
      </c>
      <c r="H236" s="95" t="s">
        <v>21</v>
      </c>
      <c r="I236" s="95" t="s">
        <v>567</v>
      </c>
      <c r="J236" s="97">
        <v>45993.7854622338</v>
      </c>
      <c r="K236" s="96" t="s">
        <v>1919</v>
      </c>
      <c r="L236" s="95"/>
      <c r="M236" s="95" t="s">
        <v>17</v>
      </c>
      <c r="N236" s="95" t="s">
        <v>1920</v>
      </c>
      <c r="O236" s="95" t="s">
        <v>1920</v>
      </c>
      <c r="P236" s="95" t="s">
        <v>1921</v>
      </c>
      <c r="Q236" s="98">
        <v>3.0</v>
      </c>
      <c r="R236" s="97">
        <v>45713.03178240741</v>
      </c>
      <c r="S236" s="99">
        <v>3404.0</v>
      </c>
      <c r="T236" s="99">
        <v>18.0</v>
      </c>
      <c r="U236" s="99">
        <v>1.0</v>
      </c>
      <c r="V236" s="99">
        <v>32.0</v>
      </c>
      <c r="W236" s="99">
        <v>165516.0</v>
      </c>
    </row>
    <row r="237" ht="15.75" customHeight="1">
      <c r="A237" s="95" t="s">
        <v>86</v>
      </c>
      <c r="B237" s="95" t="s">
        <v>69</v>
      </c>
      <c r="C237" s="96" t="s">
        <v>92</v>
      </c>
      <c r="D237" s="95" t="s">
        <v>68</v>
      </c>
      <c r="E237" s="95" t="s">
        <v>1489</v>
      </c>
      <c r="F237" s="95" t="s">
        <v>88</v>
      </c>
      <c r="G237" s="95" t="s">
        <v>639</v>
      </c>
      <c r="H237" s="95" t="s">
        <v>89</v>
      </c>
      <c r="I237" s="95" t="s">
        <v>1922</v>
      </c>
      <c r="J237" s="97">
        <v>45986.53542238426</v>
      </c>
      <c r="K237" s="96" t="s">
        <v>1923</v>
      </c>
      <c r="L237" s="96" t="s">
        <v>1924</v>
      </c>
      <c r="M237" s="95" t="s">
        <v>28</v>
      </c>
      <c r="N237" s="95" t="s">
        <v>87</v>
      </c>
      <c r="O237" s="95" t="s">
        <v>87</v>
      </c>
      <c r="P237" s="95" t="s">
        <v>1925</v>
      </c>
      <c r="Q237" s="98">
        <v>3.0</v>
      </c>
      <c r="R237" s="97">
        <v>45882.74670138889</v>
      </c>
      <c r="S237" s="99">
        <v>136.0</v>
      </c>
      <c r="T237" s="99">
        <v>24.0</v>
      </c>
      <c r="U237" s="99">
        <v>7.0</v>
      </c>
      <c r="V237" s="99">
        <v>169.0</v>
      </c>
      <c r="W237" s="99">
        <v>25741.0</v>
      </c>
    </row>
    <row r="238" ht="15.75" customHeight="1">
      <c r="A238" s="95" t="s">
        <v>1926</v>
      </c>
      <c r="B238" s="95" t="s">
        <v>22</v>
      </c>
      <c r="C238" s="96" t="s">
        <v>1927</v>
      </c>
      <c r="D238" s="95" t="s">
        <v>68</v>
      </c>
      <c r="E238" s="95" t="s">
        <v>1901</v>
      </c>
      <c r="F238" s="95" t="s">
        <v>19</v>
      </c>
      <c r="G238" s="95" t="s">
        <v>19</v>
      </c>
      <c r="H238" s="95" t="s">
        <v>21</v>
      </c>
      <c r="I238" s="95" t="s">
        <v>567</v>
      </c>
      <c r="J238" s="97">
        <v>46021.49354603009</v>
      </c>
      <c r="K238" s="95" t="s">
        <v>1928</v>
      </c>
      <c r="L238" s="96" t="s">
        <v>1929</v>
      </c>
      <c r="M238" s="95" t="s">
        <v>28</v>
      </c>
      <c r="N238" s="95" t="s">
        <v>1930</v>
      </c>
      <c r="O238" s="95" t="s">
        <v>1930</v>
      </c>
      <c r="P238" s="95" t="s">
        <v>1931</v>
      </c>
      <c r="Q238" s="98">
        <v>3.0</v>
      </c>
      <c r="R238" s="97">
        <v>45702.56076388889</v>
      </c>
      <c r="S238" s="99">
        <v>1476.0</v>
      </c>
      <c r="T238" s="99">
        <v>1287.0</v>
      </c>
      <c r="U238" s="99">
        <v>8.0</v>
      </c>
      <c r="V238" s="99">
        <v>38.0</v>
      </c>
      <c r="W238" s="99">
        <v>187075.0</v>
      </c>
    </row>
    <row r="239" ht="15.75" customHeight="1">
      <c r="A239" s="95" t="s">
        <v>1932</v>
      </c>
      <c r="B239" s="95" t="s">
        <v>22</v>
      </c>
      <c r="C239" s="96" t="s">
        <v>1933</v>
      </c>
      <c r="D239" s="95" t="s">
        <v>68</v>
      </c>
      <c r="E239" s="95" t="s">
        <v>68</v>
      </c>
      <c r="F239" s="95" t="s">
        <v>19</v>
      </c>
      <c r="G239" s="95" t="s">
        <v>574</v>
      </c>
      <c r="H239" s="95" t="s">
        <v>21</v>
      </c>
      <c r="I239" s="95" t="s">
        <v>567</v>
      </c>
      <c r="J239" s="97">
        <v>46021.49354603009</v>
      </c>
      <c r="K239" s="95" t="s">
        <v>1934</v>
      </c>
      <c r="L239" s="96" t="s">
        <v>1935</v>
      </c>
      <c r="M239" s="95" t="s">
        <v>28</v>
      </c>
      <c r="N239" s="95" t="s">
        <v>1930</v>
      </c>
      <c r="O239" s="95" t="s">
        <v>1930</v>
      </c>
      <c r="P239" s="95" t="s">
        <v>1931</v>
      </c>
      <c r="Q239" s="98">
        <v>3.0</v>
      </c>
      <c r="R239" s="97">
        <v>45701.80398148148</v>
      </c>
      <c r="S239" s="99">
        <v>1476.0</v>
      </c>
      <c r="T239" s="99">
        <v>1266.0</v>
      </c>
      <c r="U239" s="99">
        <v>13.0</v>
      </c>
      <c r="V239" s="99">
        <v>263.0</v>
      </c>
      <c r="W239" s="99">
        <v>187075.0</v>
      </c>
    </row>
    <row r="240" ht="15.75" customHeight="1">
      <c r="A240" s="95" t="s">
        <v>1936</v>
      </c>
      <c r="B240" s="95" t="s">
        <v>69</v>
      </c>
      <c r="C240" s="96" t="s">
        <v>1937</v>
      </c>
      <c r="D240" s="95" t="s">
        <v>68</v>
      </c>
      <c r="E240" s="95" t="s">
        <v>769</v>
      </c>
      <c r="F240" s="95" t="s">
        <v>58</v>
      </c>
      <c r="G240" s="95" t="s">
        <v>58</v>
      </c>
      <c r="H240" s="95" t="s">
        <v>77</v>
      </c>
      <c r="I240" s="95" t="s">
        <v>599</v>
      </c>
      <c r="J240" s="97">
        <v>46069.65739892361</v>
      </c>
      <c r="K240" s="96" t="s">
        <v>1938</v>
      </c>
      <c r="L240" s="96" t="s">
        <v>1939</v>
      </c>
      <c r="M240" s="95" t="s">
        <v>93</v>
      </c>
      <c r="N240" s="95" t="s">
        <v>1940</v>
      </c>
      <c r="O240" s="95" t="s">
        <v>1940</v>
      </c>
      <c r="P240" s="95" t="s">
        <v>1941</v>
      </c>
      <c r="Q240" s="98">
        <v>3.0</v>
      </c>
      <c r="R240" s="97">
        <v>45784.87142361111</v>
      </c>
      <c r="S240" s="99">
        <v>320.0</v>
      </c>
      <c r="T240" s="99">
        <v>205.0</v>
      </c>
      <c r="U240" s="99">
        <v>1.0</v>
      </c>
      <c r="V240" s="99">
        <v>194.0</v>
      </c>
      <c r="W240" s="99">
        <v>29124.0</v>
      </c>
    </row>
    <row r="241" ht="15.75" customHeight="1">
      <c r="A241" s="95" t="s">
        <v>1942</v>
      </c>
      <c r="B241" s="95" t="s">
        <v>22</v>
      </c>
      <c r="C241" s="96" t="s">
        <v>1943</v>
      </c>
      <c r="D241" s="95" t="s">
        <v>124</v>
      </c>
      <c r="E241" s="95" t="s">
        <v>1944</v>
      </c>
      <c r="F241" s="95" t="s">
        <v>19</v>
      </c>
      <c r="G241" s="95" t="s">
        <v>1367</v>
      </c>
      <c r="H241" s="95" t="s">
        <v>21</v>
      </c>
      <c r="I241" s="95" t="s">
        <v>567</v>
      </c>
      <c r="J241" s="97">
        <v>46008.62908275463</v>
      </c>
      <c r="K241" s="96" t="s">
        <v>1945</v>
      </c>
      <c r="L241" s="95"/>
      <c r="M241" s="95" t="s">
        <v>74</v>
      </c>
      <c r="N241" s="95" t="s">
        <v>1946</v>
      </c>
      <c r="O241" s="95" t="s">
        <v>1946</v>
      </c>
      <c r="P241" s="95" t="s">
        <v>1947</v>
      </c>
      <c r="Q241" s="98">
        <v>3.0</v>
      </c>
      <c r="R241" s="97">
        <v>45694.43255787037</v>
      </c>
      <c r="S241" s="99">
        <v>32621.0</v>
      </c>
      <c r="T241" s="99">
        <v>120.0</v>
      </c>
      <c r="U241" s="99">
        <v>13.0</v>
      </c>
      <c r="V241" s="99">
        <v>480.0</v>
      </c>
      <c r="W241" s="99">
        <v>999999.0</v>
      </c>
    </row>
    <row r="242" ht="15.75" customHeight="1">
      <c r="A242" s="95" t="s">
        <v>1948</v>
      </c>
      <c r="B242" s="95" t="s">
        <v>22</v>
      </c>
      <c r="C242" s="96" t="s">
        <v>1949</v>
      </c>
      <c r="D242" s="95" t="s">
        <v>124</v>
      </c>
      <c r="E242" s="95" t="s">
        <v>1950</v>
      </c>
      <c r="F242" s="95" t="s">
        <v>19</v>
      </c>
      <c r="G242" s="95" t="s">
        <v>19</v>
      </c>
      <c r="H242" s="95" t="s">
        <v>21</v>
      </c>
      <c r="I242" s="95" t="s">
        <v>567</v>
      </c>
      <c r="J242" s="97">
        <v>46069.66215004629</v>
      </c>
      <c r="K242" s="95" t="s">
        <v>1951</v>
      </c>
      <c r="L242" s="96" t="s">
        <v>1952</v>
      </c>
      <c r="M242" s="95" t="s">
        <v>74</v>
      </c>
      <c r="N242" s="95" t="s">
        <v>1946</v>
      </c>
      <c r="O242" s="95" t="s">
        <v>1946</v>
      </c>
      <c r="P242" s="95" t="s">
        <v>1947</v>
      </c>
      <c r="Q242" s="98">
        <v>3.0</v>
      </c>
      <c r="R242" s="97">
        <v>45692.50714120371</v>
      </c>
      <c r="S242" s="99">
        <v>32621.0</v>
      </c>
      <c r="T242" s="99">
        <v>35.0</v>
      </c>
      <c r="U242" s="99">
        <v>5.0</v>
      </c>
      <c r="V242" s="99">
        <v>441.0</v>
      </c>
      <c r="W242" s="99">
        <v>999999.0</v>
      </c>
    </row>
    <row r="243" ht="15.75" customHeight="1">
      <c r="A243" s="95" t="s">
        <v>1953</v>
      </c>
      <c r="B243" s="95" t="s">
        <v>131</v>
      </c>
      <c r="C243" s="96" t="s">
        <v>1954</v>
      </c>
      <c r="D243" s="95" t="s">
        <v>124</v>
      </c>
      <c r="E243" s="95" t="s">
        <v>794</v>
      </c>
      <c r="F243" s="95" t="s">
        <v>58</v>
      </c>
      <c r="G243" s="95" t="s">
        <v>58</v>
      </c>
      <c r="H243" s="95" t="s">
        <v>60</v>
      </c>
      <c r="I243" s="95" t="s">
        <v>1955</v>
      </c>
      <c r="J243" s="97">
        <v>45975.67934009259</v>
      </c>
      <c r="K243" s="96" t="s">
        <v>1956</v>
      </c>
      <c r="L243" s="96" t="s">
        <v>1957</v>
      </c>
      <c r="M243" s="95" t="s">
        <v>17</v>
      </c>
      <c r="N243" s="95" t="s">
        <v>1958</v>
      </c>
      <c r="O243" s="95" t="s">
        <v>1958</v>
      </c>
      <c r="P243" s="95" t="s">
        <v>1959</v>
      </c>
      <c r="Q243" s="98">
        <v>3.0</v>
      </c>
      <c r="R243" s="97">
        <v>45729.99833333334</v>
      </c>
      <c r="S243" s="99">
        <v>105.0</v>
      </c>
      <c r="T243" s="99">
        <v>32.0</v>
      </c>
      <c r="U243" s="99">
        <v>1.0</v>
      </c>
      <c r="V243" s="99">
        <v>101.0</v>
      </c>
      <c r="W243" s="99">
        <v>71193.0</v>
      </c>
    </row>
    <row r="244" ht="15.75" customHeight="1">
      <c r="A244" s="95" t="s">
        <v>1960</v>
      </c>
      <c r="B244" s="95" t="s">
        <v>22</v>
      </c>
      <c r="C244" s="96" t="s">
        <v>1961</v>
      </c>
      <c r="D244" s="95" t="s">
        <v>124</v>
      </c>
      <c r="E244" s="95" t="s">
        <v>124</v>
      </c>
      <c r="F244" s="95" t="s">
        <v>19</v>
      </c>
      <c r="G244" s="95" t="s">
        <v>19</v>
      </c>
      <c r="H244" s="95" t="s">
        <v>21</v>
      </c>
      <c r="I244" s="95" t="s">
        <v>567</v>
      </c>
      <c r="J244" s="97">
        <v>45975.67934009259</v>
      </c>
      <c r="K244" s="96" t="s">
        <v>1962</v>
      </c>
      <c r="L244" s="96" t="s">
        <v>1963</v>
      </c>
      <c r="M244" s="95" t="s">
        <v>17</v>
      </c>
      <c r="N244" s="95" t="s">
        <v>1958</v>
      </c>
      <c r="O244" s="95" t="s">
        <v>1958</v>
      </c>
      <c r="P244" s="95" t="s">
        <v>1959</v>
      </c>
      <c r="Q244" s="98">
        <v>3.0</v>
      </c>
      <c r="R244" s="97">
        <v>45722.79134259259</v>
      </c>
      <c r="S244" s="99">
        <v>105.0</v>
      </c>
      <c r="T244" s="99">
        <v>136.0</v>
      </c>
      <c r="U244" s="99">
        <v>7.0</v>
      </c>
      <c r="V244" s="99">
        <v>111.0</v>
      </c>
      <c r="W244" s="99">
        <v>71193.0</v>
      </c>
    </row>
    <row r="245" ht="15.75" customHeight="1">
      <c r="A245" s="95" t="s">
        <v>1964</v>
      </c>
      <c r="B245" s="95" t="s">
        <v>22</v>
      </c>
      <c r="C245" s="96" t="s">
        <v>1965</v>
      </c>
      <c r="D245" s="95" t="s">
        <v>124</v>
      </c>
      <c r="E245" s="95" t="s">
        <v>1966</v>
      </c>
      <c r="F245" s="95" t="s">
        <v>19</v>
      </c>
      <c r="G245" s="95" t="s">
        <v>574</v>
      </c>
      <c r="H245" s="95" t="s">
        <v>21</v>
      </c>
      <c r="I245" s="95" t="s">
        <v>567</v>
      </c>
      <c r="J245" s="97">
        <v>45975.67934009259</v>
      </c>
      <c r="K245" s="96" t="s">
        <v>1967</v>
      </c>
      <c r="L245" s="96" t="s">
        <v>1968</v>
      </c>
      <c r="M245" s="95" t="s">
        <v>17</v>
      </c>
      <c r="N245" s="95" t="s">
        <v>1958</v>
      </c>
      <c r="O245" s="95" t="s">
        <v>1958</v>
      </c>
      <c r="P245" s="95" t="s">
        <v>1959</v>
      </c>
      <c r="Q245" s="98">
        <v>3.0</v>
      </c>
      <c r="R245" s="97">
        <v>45896.90462962963</v>
      </c>
      <c r="S245" s="99">
        <v>105.0</v>
      </c>
      <c r="T245" s="99">
        <v>82.0</v>
      </c>
      <c r="U245" s="99">
        <v>19.0</v>
      </c>
      <c r="V245" s="99">
        <v>200.0</v>
      </c>
      <c r="W245" s="99">
        <v>71193.0</v>
      </c>
    </row>
    <row r="246" ht="15.75" customHeight="1">
      <c r="A246" s="95" t="s">
        <v>1969</v>
      </c>
      <c r="B246" s="95" t="s">
        <v>69</v>
      </c>
      <c r="C246" s="96" t="s">
        <v>1970</v>
      </c>
      <c r="D246" s="95" t="s">
        <v>168</v>
      </c>
      <c r="E246" s="95" t="s">
        <v>168</v>
      </c>
      <c r="F246" s="95" t="s">
        <v>88</v>
      </c>
      <c r="G246" s="95" t="s">
        <v>88</v>
      </c>
      <c r="H246" s="95" t="s">
        <v>89</v>
      </c>
      <c r="I246" s="95" t="s">
        <v>1971</v>
      </c>
      <c r="J246" s="97">
        <v>45986.53189861111</v>
      </c>
      <c r="K246" s="95" t="s">
        <v>1972</v>
      </c>
      <c r="L246" s="96" t="s">
        <v>1973</v>
      </c>
      <c r="M246" s="95" t="s">
        <v>17</v>
      </c>
      <c r="N246" s="95" t="s">
        <v>1974</v>
      </c>
      <c r="O246" s="95" t="s">
        <v>1974</v>
      </c>
      <c r="P246" s="95" t="s">
        <v>1975</v>
      </c>
      <c r="Q246" s="98">
        <v>3.0</v>
      </c>
      <c r="R246" s="97">
        <v>45665.61165509259</v>
      </c>
      <c r="S246" s="99">
        <v>1014.0</v>
      </c>
      <c r="T246" s="99">
        <v>793.0</v>
      </c>
      <c r="U246" s="99">
        <v>1.0</v>
      </c>
      <c r="V246" s="99">
        <v>15.0</v>
      </c>
      <c r="W246" s="99">
        <v>65265.0</v>
      </c>
    </row>
    <row r="247" ht="15.75" customHeight="1">
      <c r="A247" s="95" t="s">
        <v>1976</v>
      </c>
      <c r="B247" s="95" t="s">
        <v>22</v>
      </c>
      <c r="C247" s="96" t="s">
        <v>1977</v>
      </c>
      <c r="D247" s="95" t="s">
        <v>39</v>
      </c>
      <c r="E247" s="95" t="s">
        <v>960</v>
      </c>
      <c r="F247" s="95" t="s">
        <v>19</v>
      </c>
      <c r="G247" s="95" t="s">
        <v>19</v>
      </c>
      <c r="H247" s="95" t="s">
        <v>21</v>
      </c>
      <c r="I247" s="95" t="s">
        <v>567</v>
      </c>
      <c r="J247" s="97">
        <v>45975.67934009259</v>
      </c>
      <c r="K247" s="96" t="s">
        <v>1978</v>
      </c>
      <c r="L247" s="96" t="s">
        <v>1979</v>
      </c>
      <c r="M247" s="95" t="s">
        <v>17</v>
      </c>
      <c r="N247" s="95" t="s">
        <v>1980</v>
      </c>
      <c r="O247" s="95" t="s">
        <v>1980</v>
      </c>
      <c r="P247" s="95" t="s">
        <v>1981</v>
      </c>
      <c r="Q247" s="98">
        <v>3.0</v>
      </c>
      <c r="R247" s="97">
        <v>45748.69311342593</v>
      </c>
      <c r="S247" s="99">
        <v>205.0</v>
      </c>
      <c r="T247" s="99">
        <v>8.0</v>
      </c>
      <c r="U247" s="99">
        <v>3.0</v>
      </c>
      <c r="V247" s="99">
        <v>45.0</v>
      </c>
      <c r="W247" s="99">
        <v>9529.0</v>
      </c>
    </row>
    <row r="248" ht="15.75" customHeight="1">
      <c r="A248" s="95" t="s">
        <v>1982</v>
      </c>
      <c r="B248" s="95" t="s">
        <v>69</v>
      </c>
      <c r="C248" s="96" t="s">
        <v>1983</v>
      </c>
      <c r="D248" s="95" t="s">
        <v>39</v>
      </c>
      <c r="E248" s="95" t="s">
        <v>39</v>
      </c>
      <c r="F248" s="95" t="s">
        <v>88</v>
      </c>
      <c r="G248" s="95" t="s">
        <v>88</v>
      </c>
      <c r="H248" s="95" t="s">
        <v>89</v>
      </c>
      <c r="I248" s="95" t="s">
        <v>1984</v>
      </c>
      <c r="J248" s="97">
        <v>45980.94037962963</v>
      </c>
      <c r="K248" s="95" t="s">
        <v>1985</v>
      </c>
      <c r="L248" s="96" t="s">
        <v>1986</v>
      </c>
      <c r="M248" s="95" t="s">
        <v>54</v>
      </c>
      <c r="N248" s="95" t="s">
        <v>1987</v>
      </c>
      <c r="O248" s="95" t="s">
        <v>1987</v>
      </c>
      <c r="P248" s="95" t="s">
        <v>1988</v>
      </c>
      <c r="Q248" s="98">
        <v>3.0</v>
      </c>
      <c r="R248" s="97">
        <v>45888.42767361111</v>
      </c>
      <c r="S248" s="99">
        <v>50.0</v>
      </c>
      <c r="T248" s="99">
        <v>474.0</v>
      </c>
      <c r="U248" s="99">
        <v>4.0</v>
      </c>
      <c r="V248" s="99">
        <v>275.0</v>
      </c>
      <c r="W248" s="99">
        <v>37100.0</v>
      </c>
    </row>
    <row r="249" ht="15.75" customHeight="1">
      <c r="A249" s="95" t="s">
        <v>1989</v>
      </c>
      <c r="B249" s="95" t="s">
        <v>22</v>
      </c>
      <c r="C249" s="96" t="s">
        <v>1990</v>
      </c>
      <c r="D249" s="95" t="s">
        <v>20</v>
      </c>
      <c r="E249" s="95" t="s">
        <v>1991</v>
      </c>
      <c r="F249" s="95" t="s">
        <v>19</v>
      </c>
      <c r="G249" s="95" t="s">
        <v>19</v>
      </c>
      <c r="H249" s="95" t="s">
        <v>21</v>
      </c>
      <c r="I249" s="95" t="s">
        <v>567</v>
      </c>
      <c r="J249" s="97">
        <v>45975.67934009259</v>
      </c>
      <c r="K249" s="96" t="s">
        <v>1992</v>
      </c>
      <c r="L249" s="96" t="s">
        <v>1993</v>
      </c>
      <c r="M249" s="95" t="s">
        <v>17</v>
      </c>
      <c r="N249" s="95" t="s">
        <v>1994</v>
      </c>
      <c r="O249" s="95" t="s">
        <v>1994</v>
      </c>
      <c r="P249" s="95" t="s">
        <v>1995</v>
      </c>
      <c r="Q249" s="98">
        <v>3.0</v>
      </c>
      <c r="R249" s="97">
        <v>45646.58646990741</v>
      </c>
      <c r="S249" s="99">
        <v>633.0</v>
      </c>
      <c r="T249" s="99">
        <v>288.0</v>
      </c>
      <c r="U249" s="99">
        <v>72.0</v>
      </c>
      <c r="V249" s="99">
        <v>205.0</v>
      </c>
      <c r="W249" s="99">
        <v>999999.0</v>
      </c>
    </row>
    <row r="250" ht="15.75" customHeight="1">
      <c r="A250" s="95" t="s">
        <v>1996</v>
      </c>
      <c r="B250" s="95" t="s">
        <v>22</v>
      </c>
      <c r="C250" s="96" t="s">
        <v>1997</v>
      </c>
      <c r="D250" s="95" t="s">
        <v>20</v>
      </c>
      <c r="E250" s="95" t="s">
        <v>1991</v>
      </c>
      <c r="F250" s="95" t="s">
        <v>19</v>
      </c>
      <c r="G250" s="95" t="s">
        <v>19</v>
      </c>
      <c r="H250" s="95" t="s">
        <v>21</v>
      </c>
      <c r="I250" s="95" t="s">
        <v>567</v>
      </c>
      <c r="J250" s="97">
        <v>45975.67934009259</v>
      </c>
      <c r="K250" s="96" t="s">
        <v>1998</v>
      </c>
      <c r="L250" s="96" t="s">
        <v>1999</v>
      </c>
      <c r="M250" s="95" t="s">
        <v>17</v>
      </c>
      <c r="N250" s="95" t="s">
        <v>1994</v>
      </c>
      <c r="O250" s="95" t="s">
        <v>1994</v>
      </c>
      <c r="P250" s="95" t="s">
        <v>1995</v>
      </c>
      <c r="Q250" s="98">
        <v>3.0</v>
      </c>
      <c r="R250" s="97">
        <v>45776.76270833334</v>
      </c>
      <c r="S250" s="99">
        <v>633.0</v>
      </c>
      <c r="T250" s="99">
        <v>7.0</v>
      </c>
      <c r="U250" s="99">
        <v>3.0</v>
      </c>
      <c r="V250" s="99">
        <v>194.0</v>
      </c>
      <c r="W250" s="99">
        <v>999999.0</v>
      </c>
    </row>
    <row r="251" ht="15.75" customHeight="1">
      <c r="A251" s="95" t="s">
        <v>2000</v>
      </c>
      <c r="B251" s="95" t="s">
        <v>22</v>
      </c>
      <c r="C251" s="96" t="s">
        <v>2001</v>
      </c>
      <c r="D251" s="95" t="s">
        <v>39</v>
      </c>
      <c r="E251" s="95" t="s">
        <v>960</v>
      </c>
      <c r="F251" s="95" t="s">
        <v>19</v>
      </c>
      <c r="G251" s="95" t="s">
        <v>1018</v>
      </c>
      <c r="H251" s="95" t="s">
        <v>21</v>
      </c>
      <c r="I251" s="95" t="s">
        <v>677</v>
      </c>
      <c r="J251" s="97">
        <v>45975.67934009259</v>
      </c>
      <c r="K251" s="96" t="s">
        <v>2002</v>
      </c>
      <c r="L251" s="96" t="s">
        <v>2003</v>
      </c>
      <c r="M251" s="95" t="s">
        <v>17</v>
      </c>
      <c r="N251" s="95" t="s">
        <v>2004</v>
      </c>
      <c r="O251" s="95" t="s">
        <v>2004</v>
      </c>
      <c r="P251" s="95" t="s">
        <v>2005</v>
      </c>
      <c r="Q251" s="98">
        <v>3.0</v>
      </c>
      <c r="R251" s="97">
        <v>45637.2297337963</v>
      </c>
      <c r="S251" s="99">
        <v>3208.0</v>
      </c>
      <c r="T251" s="99">
        <v>3058.0</v>
      </c>
      <c r="U251" s="99">
        <v>16.0</v>
      </c>
      <c r="V251" s="99">
        <v>72.0</v>
      </c>
      <c r="W251" s="99">
        <v>94173.0</v>
      </c>
    </row>
    <row r="252" ht="15.75" customHeight="1">
      <c r="A252" s="95" t="s">
        <v>2006</v>
      </c>
      <c r="B252" s="95" t="s">
        <v>22</v>
      </c>
      <c r="C252" s="96" t="s">
        <v>2007</v>
      </c>
      <c r="D252" s="95" t="s">
        <v>39</v>
      </c>
      <c r="E252" s="95" t="s">
        <v>960</v>
      </c>
      <c r="F252" s="95" t="s">
        <v>19</v>
      </c>
      <c r="G252" s="95" t="s">
        <v>19</v>
      </c>
      <c r="H252" s="95" t="s">
        <v>21</v>
      </c>
      <c r="I252" s="95" t="s">
        <v>567</v>
      </c>
      <c r="J252" s="97">
        <v>46008.62901369213</v>
      </c>
      <c r="K252" s="96" t="s">
        <v>2008</v>
      </c>
      <c r="L252" s="95"/>
      <c r="M252" s="95" t="s">
        <v>17</v>
      </c>
      <c r="N252" s="95" t="s">
        <v>2004</v>
      </c>
      <c r="O252" s="95" t="s">
        <v>2004</v>
      </c>
      <c r="P252" s="95" t="s">
        <v>2005</v>
      </c>
      <c r="Q252" s="98">
        <v>3.0</v>
      </c>
      <c r="R252" s="97">
        <v>45676.06354166667</v>
      </c>
      <c r="S252" s="99">
        <v>3208.0</v>
      </c>
      <c r="T252" s="99">
        <v>2762.0</v>
      </c>
      <c r="U252" s="99">
        <v>28.0</v>
      </c>
      <c r="V252" s="99">
        <v>183.0</v>
      </c>
      <c r="W252" s="99">
        <v>94173.0</v>
      </c>
    </row>
    <row r="253" ht="15.75" customHeight="1">
      <c r="A253" s="95" t="s">
        <v>2009</v>
      </c>
      <c r="B253" s="95" t="s">
        <v>157</v>
      </c>
      <c r="C253" s="96" t="s">
        <v>2010</v>
      </c>
      <c r="D253" s="95" t="s">
        <v>39</v>
      </c>
      <c r="E253" s="95" t="s">
        <v>39</v>
      </c>
      <c r="F253" s="95" t="s">
        <v>19</v>
      </c>
      <c r="G253" s="95" t="s">
        <v>19</v>
      </c>
      <c r="H253" s="95" t="s">
        <v>89</v>
      </c>
      <c r="I253" s="95" t="s">
        <v>897</v>
      </c>
      <c r="J253" s="97">
        <v>46008.62901369213</v>
      </c>
      <c r="K253" s="96" t="s">
        <v>2011</v>
      </c>
      <c r="L253" s="95"/>
      <c r="M253" s="95" t="s">
        <v>17</v>
      </c>
      <c r="N253" s="95" t="s">
        <v>2004</v>
      </c>
      <c r="O253" s="95" t="s">
        <v>2004</v>
      </c>
      <c r="P253" s="95" t="s">
        <v>2005</v>
      </c>
      <c r="Q253" s="98">
        <v>3.0</v>
      </c>
      <c r="R253" s="97">
        <v>45754.12440972222</v>
      </c>
      <c r="S253" s="99">
        <v>3208.0</v>
      </c>
      <c r="T253" s="99">
        <v>3203.0</v>
      </c>
      <c r="U253" s="99">
        <v>19.0</v>
      </c>
      <c r="V253" s="99">
        <v>78.0</v>
      </c>
      <c r="W253" s="99">
        <v>94173.0</v>
      </c>
    </row>
    <row r="254" ht="15.75" customHeight="1">
      <c r="A254" s="95" t="s">
        <v>2012</v>
      </c>
      <c r="B254" s="95" t="s">
        <v>22</v>
      </c>
      <c r="C254" s="96" t="s">
        <v>2013</v>
      </c>
      <c r="D254" s="95" t="s">
        <v>39</v>
      </c>
      <c r="E254" s="95" t="s">
        <v>39</v>
      </c>
      <c r="F254" s="95" t="s">
        <v>19</v>
      </c>
      <c r="G254" s="95" t="s">
        <v>19</v>
      </c>
      <c r="H254" s="95" t="s">
        <v>21</v>
      </c>
      <c r="I254" s="95" t="s">
        <v>567</v>
      </c>
      <c r="J254" s="97">
        <v>46021.49370376157</v>
      </c>
      <c r="K254" s="95" t="s">
        <v>2014</v>
      </c>
      <c r="L254" s="96" t="s">
        <v>2015</v>
      </c>
      <c r="M254" s="95" t="s">
        <v>28</v>
      </c>
      <c r="N254" s="95" t="s">
        <v>2016</v>
      </c>
      <c r="O254" s="95" t="s">
        <v>2016</v>
      </c>
      <c r="P254" s="95" t="s">
        <v>2017</v>
      </c>
      <c r="Q254" s="98">
        <v>3.0</v>
      </c>
      <c r="R254" s="97">
        <v>45857.82974537037</v>
      </c>
      <c r="S254" s="99">
        <v>1944.0</v>
      </c>
      <c r="T254" s="99">
        <v>640.0</v>
      </c>
      <c r="U254" s="99">
        <v>4.0</v>
      </c>
      <c r="V254" s="99">
        <v>57.0</v>
      </c>
      <c r="W254" s="99">
        <v>83499.0</v>
      </c>
    </row>
    <row r="255" ht="15.75" customHeight="1">
      <c r="A255" s="95" t="s">
        <v>2018</v>
      </c>
      <c r="B255" s="95" t="s">
        <v>131</v>
      </c>
      <c r="C255" s="96" t="s">
        <v>2019</v>
      </c>
      <c r="D255" s="95" t="s">
        <v>39</v>
      </c>
      <c r="E255" s="95" t="s">
        <v>39</v>
      </c>
      <c r="F255" s="95" t="s">
        <v>19</v>
      </c>
      <c r="G255" s="95" t="s">
        <v>19</v>
      </c>
      <c r="H255" s="95" t="s">
        <v>21</v>
      </c>
      <c r="I255" s="95" t="s">
        <v>647</v>
      </c>
      <c r="J255" s="97">
        <v>46021.49354603009</v>
      </c>
      <c r="K255" s="95" t="s">
        <v>2020</v>
      </c>
      <c r="L255" s="96" t="s">
        <v>2021</v>
      </c>
      <c r="M255" s="95" t="s">
        <v>28</v>
      </c>
      <c r="N255" s="95" t="s">
        <v>2016</v>
      </c>
      <c r="O255" s="95" t="s">
        <v>2016</v>
      </c>
      <c r="P255" s="95" t="s">
        <v>2017</v>
      </c>
      <c r="Q255" s="98">
        <v>3.0</v>
      </c>
      <c r="R255" s="97">
        <v>45843.62402777778</v>
      </c>
      <c r="S255" s="99">
        <v>1944.0</v>
      </c>
      <c r="T255" s="99">
        <v>628.0</v>
      </c>
      <c r="U255" s="99">
        <v>2.0</v>
      </c>
      <c r="V255" s="99">
        <v>20.0</v>
      </c>
      <c r="W255" s="99">
        <v>83499.0</v>
      </c>
    </row>
    <row r="256" ht="15.75" customHeight="1">
      <c r="A256" s="95" t="s">
        <v>2022</v>
      </c>
      <c r="B256" s="95" t="s">
        <v>22</v>
      </c>
      <c r="C256" s="96" t="s">
        <v>2023</v>
      </c>
      <c r="D256" s="95" t="s">
        <v>39</v>
      </c>
      <c r="E256" s="95" t="s">
        <v>39</v>
      </c>
      <c r="F256" s="95" t="s">
        <v>19</v>
      </c>
      <c r="G256" s="95" t="s">
        <v>19</v>
      </c>
      <c r="H256" s="95" t="s">
        <v>21</v>
      </c>
      <c r="I256" s="95" t="s">
        <v>567</v>
      </c>
      <c r="J256" s="97">
        <v>46021.50963746528</v>
      </c>
      <c r="K256" s="95" t="s">
        <v>2024</v>
      </c>
      <c r="L256" s="96" t="s">
        <v>2025</v>
      </c>
      <c r="M256" s="95" t="s">
        <v>28</v>
      </c>
      <c r="N256" s="95" t="s">
        <v>2016</v>
      </c>
      <c r="O256" s="95" t="s">
        <v>2016</v>
      </c>
      <c r="P256" s="95" t="s">
        <v>2017</v>
      </c>
      <c r="Q256" s="98">
        <v>3.0</v>
      </c>
      <c r="R256" s="97">
        <v>45760.67039351852</v>
      </c>
      <c r="S256" s="99">
        <v>1944.0</v>
      </c>
      <c r="T256" s="99">
        <v>619.0</v>
      </c>
      <c r="U256" s="99">
        <v>2.0</v>
      </c>
      <c r="V256" s="99">
        <v>102.0</v>
      </c>
      <c r="W256" s="99">
        <v>83499.0</v>
      </c>
    </row>
    <row r="257" ht="15.75" customHeight="1">
      <c r="A257" s="95" t="s">
        <v>2026</v>
      </c>
      <c r="B257" s="95" t="s">
        <v>22</v>
      </c>
      <c r="C257" s="96" t="s">
        <v>2027</v>
      </c>
      <c r="D257" s="95" t="s">
        <v>39</v>
      </c>
      <c r="E257" s="95" t="s">
        <v>39</v>
      </c>
      <c r="F257" s="95" t="s">
        <v>19</v>
      </c>
      <c r="G257" s="95" t="s">
        <v>19</v>
      </c>
      <c r="H257" s="95" t="s">
        <v>21</v>
      </c>
      <c r="I257" s="95" t="s">
        <v>567</v>
      </c>
      <c r="J257" s="97">
        <v>46021.50963746528</v>
      </c>
      <c r="K257" s="95" t="s">
        <v>2028</v>
      </c>
      <c r="L257" s="96" t="s">
        <v>2029</v>
      </c>
      <c r="M257" s="95" t="s">
        <v>28</v>
      </c>
      <c r="N257" s="95" t="s">
        <v>2016</v>
      </c>
      <c r="O257" s="95" t="s">
        <v>2016</v>
      </c>
      <c r="P257" s="95" t="s">
        <v>2017</v>
      </c>
      <c r="Q257" s="98">
        <v>3.0</v>
      </c>
      <c r="R257" s="97">
        <v>45710.69365740741</v>
      </c>
      <c r="S257" s="99">
        <v>1944.0</v>
      </c>
      <c r="T257" s="99">
        <v>608.0</v>
      </c>
      <c r="U257" s="99">
        <v>12.0</v>
      </c>
      <c r="V257" s="99">
        <v>374.0</v>
      </c>
      <c r="W257" s="99">
        <v>83499.0</v>
      </c>
    </row>
    <row r="258" ht="15.75" customHeight="1">
      <c r="A258" s="95" t="s">
        <v>2030</v>
      </c>
      <c r="B258" s="95" t="s">
        <v>22</v>
      </c>
      <c r="C258" s="96" t="s">
        <v>2031</v>
      </c>
      <c r="D258" s="95" t="s">
        <v>39</v>
      </c>
      <c r="E258" s="95" t="s">
        <v>39</v>
      </c>
      <c r="F258" s="95" t="s">
        <v>19</v>
      </c>
      <c r="G258" s="95" t="s">
        <v>19</v>
      </c>
      <c r="H258" s="95" t="s">
        <v>21</v>
      </c>
      <c r="I258" s="95" t="s">
        <v>589</v>
      </c>
      <c r="J258" s="97">
        <v>46021.50963746528</v>
      </c>
      <c r="K258" s="95" t="s">
        <v>2032</v>
      </c>
      <c r="L258" s="96" t="s">
        <v>2033</v>
      </c>
      <c r="M258" s="95" t="s">
        <v>28</v>
      </c>
      <c r="N258" s="95" t="s">
        <v>2016</v>
      </c>
      <c r="O258" s="95" t="s">
        <v>2016</v>
      </c>
      <c r="P258" s="95" t="s">
        <v>2017</v>
      </c>
      <c r="Q258" s="98">
        <v>3.0</v>
      </c>
      <c r="R258" s="97">
        <v>45851.63085648148</v>
      </c>
      <c r="S258" s="99">
        <v>1944.0</v>
      </c>
      <c r="T258" s="99">
        <v>47.0</v>
      </c>
      <c r="U258" s="99">
        <v>2.0</v>
      </c>
      <c r="V258" s="99">
        <v>86.0</v>
      </c>
      <c r="W258" s="99">
        <v>83499.0</v>
      </c>
    </row>
    <row r="259" ht="15.75" customHeight="1">
      <c r="A259" s="95" t="s">
        <v>2034</v>
      </c>
      <c r="B259" s="95" t="s">
        <v>22</v>
      </c>
      <c r="C259" s="96" t="s">
        <v>2035</v>
      </c>
      <c r="D259" s="95" t="s">
        <v>29</v>
      </c>
      <c r="E259" s="95" t="s">
        <v>598</v>
      </c>
      <c r="F259" s="95" t="s">
        <v>19</v>
      </c>
      <c r="G259" s="95" t="s">
        <v>19</v>
      </c>
      <c r="H259" s="95" t="s">
        <v>21</v>
      </c>
      <c r="I259" s="95" t="s">
        <v>589</v>
      </c>
      <c r="J259" s="97">
        <v>45975.67937189815</v>
      </c>
      <c r="K259" s="96" t="s">
        <v>2036</v>
      </c>
      <c r="L259" s="95"/>
      <c r="M259" s="95" t="s">
        <v>67</v>
      </c>
      <c r="N259" s="95" t="s">
        <v>2037</v>
      </c>
      <c r="O259" s="95" t="s">
        <v>2037</v>
      </c>
      <c r="P259" s="95" t="s">
        <v>2038</v>
      </c>
      <c r="Q259" s="98">
        <v>3.0</v>
      </c>
      <c r="R259" s="97">
        <v>45797.92616898148</v>
      </c>
      <c r="S259" s="99">
        <v>143.0</v>
      </c>
      <c r="T259" s="99">
        <v>64.0</v>
      </c>
      <c r="U259" s="99">
        <v>64.0</v>
      </c>
      <c r="V259" s="99">
        <v>46.0</v>
      </c>
      <c r="W259" s="99">
        <v>1343.0</v>
      </c>
    </row>
    <row r="260" ht="15.75" customHeight="1">
      <c r="A260" s="95" t="s">
        <v>2039</v>
      </c>
      <c r="B260" s="95" t="s">
        <v>22</v>
      </c>
      <c r="C260" s="96" t="s">
        <v>2040</v>
      </c>
      <c r="D260" s="95" t="s">
        <v>39</v>
      </c>
      <c r="E260" s="95" t="s">
        <v>39</v>
      </c>
      <c r="F260" s="95" t="s">
        <v>19</v>
      </c>
      <c r="G260" s="95" t="s">
        <v>19</v>
      </c>
      <c r="H260" s="95" t="s">
        <v>21</v>
      </c>
      <c r="I260" s="95" t="s">
        <v>567</v>
      </c>
      <c r="J260" s="97">
        <v>46021.50350939815</v>
      </c>
      <c r="K260" s="95" t="s">
        <v>2041</v>
      </c>
      <c r="L260" s="96" t="s">
        <v>2042</v>
      </c>
      <c r="M260" s="95" t="s">
        <v>74</v>
      </c>
      <c r="N260" s="95" t="s">
        <v>2043</v>
      </c>
      <c r="O260" s="95" t="s">
        <v>2043</v>
      </c>
      <c r="P260" s="95" t="s">
        <v>2044</v>
      </c>
      <c r="Q260" s="98">
        <v>3.0</v>
      </c>
      <c r="R260" s="97">
        <v>45711.56893518518</v>
      </c>
      <c r="S260" s="99">
        <v>78.0</v>
      </c>
      <c r="T260" s="99">
        <v>28.0</v>
      </c>
      <c r="U260" s="99">
        <v>1.0</v>
      </c>
      <c r="V260" s="99">
        <v>132.0</v>
      </c>
      <c r="W260" s="99">
        <v>1402.0</v>
      </c>
    </row>
    <row r="261" ht="15.75" customHeight="1">
      <c r="A261" s="95" t="s">
        <v>2045</v>
      </c>
      <c r="B261" s="95" t="s">
        <v>22</v>
      </c>
      <c r="C261" s="96" t="s">
        <v>2046</v>
      </c>
      <c r="D261" s="95" t="s">
        <v>39</v>
      </c>
      <c r="E261" s="95" t="s">
        <v>39</v>
      </c>
      <c r="F261" s="95" t="s">
        <v>19</v>
      </c>
      <c r="G261" s="95" t="s">
        <v>19</v>
      </c>
      <c r="H261" s="95" t="s">
        <v>21</v>
      </c>
      <c r="I261" s="95" t="s">
        <v>677</v>
      </c>
      <c r="J261" s="97">
        <v>46021.50524950231</v>
      </c>
      <c r="K261" s="95" t="s">
        <v>2047</v>
      </c>
      <c r="L261" s="96" t="s">
        <v>2048</v>
      </c>
      <c r="M261" s="95" t="s">
        <v>74</v>
      </c>
      <c r="N261" s="95" t="s">
        <v>2049</v>
      </c>
      <c r="O261" s="95" t="s">
        <v>2049</v>
      </c>
      <c r="P261" s="95" t="s">
        <v>2050</v>
      </c>
      <c r="Q261" s="98">
        <v>3.0</v>
      </c>
      <c r="R261" s="97">
        <v>45847.23019675926</v>
      </c>
      <c r="S261" s="99">
        <v>54.0</v>
      </c>
      <c r="T261" s="99">
        <v>14.0</v>
      </c>
      <c r="U261" s="99">
        <v>4.0</v>
      </c>
      <c r="V261" s="99">
        <v>48.0</v>
      </c>
      <c r="W261" s="99">
        <v>9048.0</v>
      </c>
    </row>
    <row r="262" ht="15.75" customHeight="1">
      <c r="A262" s="95" t="s">
        <v>2051</v>
      </c>
      <c r="B262" s="95" t="s">
        <v>22</v>
      </c>
      <c r="C262" s="96" t="s">
        <v>2052</v>
      </c>
      <c r="D262" s="95" t="s">
        <v>20</v>
      </c>
      <c r="E262" s="95" t="s">
        <v>638</v>
      </c>
      <c r="F262" s="95" t="s">
        <v>19</v>
      </c>
      <c r="G262" s="95" t="s">
        <v>588</v>
      </c>
      <c r="H262" s="95" t="s">
        <v>21</v>
      </c>
      <c r="I262" s="95" t="s">
        <v>589</v>
      </c>
      <c r="J262" s="97">
        <v>45975.67934009259</v>
      </c>
      <c r="K262" s="96" t="s">
        <v>2053</v>
      </c>
      <c r="L262" s="95"/>
      <c r="M262" s="95" t="s">
        <v>17</v>
      </c>
      <c r="N262" s="95" t="s">
        <v>2054</v>
      </c>
      <c r="O262" s="95" t="s">
        <v>2054</v>
      </c>
      <c r="P262" s="95" t="s">
        <v>2055</v>
      </c>
      <c r="Q262" s="98">
        <v>3.0</v>
      </c>
      <c r="R262" s="97">
        <v>45777.18585648148</v>
      </c>
      <c r="S262" s="99">
        <v>35685.0</v>
      </c>
      <c r="T262" s="99">
        <v>14.0</v>
      </c>
      <c r="U262" s="99">
        <v>1.0</v>
      </c>
      <c r="V262" s="99">
        <v>29.0</v>
      </c>
      <c r="W262" s="99">
        <v>999999.0</v>
      </c>
    </row>
    <row r="263" ht="15.75" customHeight="1">
      <c r="A263" s="95" t="s">
        <v>2056</v>
      </c>
      <c r="B263" s="95" t="s">
        <v>157</v>
      </c>
      <c r="C263" s="96" t="s">
        <v>2057</v>
      </c>
      <c r="D263" s="95" t="s">
        <v>20</v>
      </c>
      <c r="E263" s="95" t="s">
        <v>638</v>
      </c>
      <c r="F263" s="95" t="s">
        <v>88</v>
      </c>
      <c r="G263" s="95" t="s">
        <v>88</v>
      </c>
      <c r="H263" s="95" t="s">
        <v>89</v>
      </c>
      <c r="I263" s="95" t="s">
        <v>897</v>
      </c>
      <c r="J263" s="97">
        <v>45975.67934009259</v>
      </c>
      <c r="K263" s="96" t="s">
        <v>2058</v>
      </c>
      <c r="L263" s="96" t="s">
        <v>2059</v>
      </c>
      <c r="M263" s="95" t="s">
        <v>17</v>
      </c>
      <c r="N263" s="95" t="s">
        <v>2054</v>
      </c>
      <c r="O263" s="95" t="s">
        <v>2054</v>
      </c>
      <c r="P263" s="95" t="s">
        <v>2055</v>
      </c>
      <c r="Q263" s="98">
        <v>3.0</v>
      </c>
      <c r="R263" s="97">
        <v>45838.95646990741</v>
      </c>
      <c r="S263" s="99">
        <v>35685.0</v>
      </c>
      <c r="T263" s="99">
        <v>5.0</v>
      </c>
      <c r="U263" s="99">
        <v>1.0</v>
      </c>
      <c r="V263" s="99">
        <v>41.0</v>
      </c>
      <c r="W263" s="99">
        <v>999999.0</v>
      </c>
    </row>
    <row r="264" ht="15.75" customHeight="1">
      <c r="A264" s="95" t="s">
        <v>2060</v>
      </c>
      <c r="B264" s="95" t="s">
        <v>22</v>
      </c>
      <c r="C264" s="96" t="s">
        <v>2061</v>
      </c>
      <c r="D264" s="95" t="s">
        <v>20</v>
      </c>
      <c r="E264" s="95" t="s">
        <v>638</v>
      </c>
      <c r="F264" s="95" t="s">
        <v>19</v>
      </c>
      <c r="G264" s="95" t="s">
        <v>588</v>
      </c>
      <c r="H264" s="95" t="s">
        <v>21</v>
      </c>
      <c r="I264" s="95" t="s">
        <v>589</v>
      </c>
      <c r="J264" s="97">
        <v>46008.6290203588</v>
      </c>
      <c r="K264" s="96" t="s">
        <v>2062</v>
      </c>
      <c r="L264" s="95"/>
      <c r="M264" s="95" t="s">
        <v>17</v>
      </c>
      <c r="N264" s="95" t="s">
        <v>2054</v>
      </c>
      <c r="O264" s="95" t="s">
        <v>2054</v>
      </c>
      <c r="P264" s="95" t="s">
        <v>2055</v>
      </c>
      <c r="Q264" s="98">
        <v>3.0</v>
      </c>
      <c r="R264" s="97">
        <v>45777.02841435185</v>
      </c>
      <c r="S264" s="99">
        <v>35685.0</v>
      </c>
      <c r="T264" s="99">
        <v>14.0</v>
      </c>
      <c r="U264" s="99">
        <v>1.0</v>
      </c>
      <c r="V264" s="99">
        <v>29.0</v>
      </c>
      <c r="W264" s="99">
        <v>999999.0</v>
      </c>
    </row>
    <row r="265" ht="15.75" customHeight="1">
      <c r="A265" s="95" t="s">
        <v>2063</v>
      </c>
      <c r="B265" s="95" t="s">
        <v>22</v>
      </c>
      <c r="C265" s="96" t="s">
        <v>2064</v>
      </c>
      <c r="D265" s="95" t="s">
        <v>20</v>
      </c>
      <c r="E265" s="95" t="s">
        <v>638</v>
      </c>
      <c r="F265" s="95" t="s">
        <v>19</v>
      </c>
      <c r="G265" s="95" t="s">
        <v>19</v>
      </c>
      <c r="H265" s="95" t="s">
        <v>21</v>
      </c>
      <c r="I265" s="95" t="s">
        <v>567</v>
      </c>
      <c r="J265" s="97">
        <v>46008.62902037037</v>
      </c>
      <c r="K265" s="96" t="s">
        <v>2065</v>
      </c>
      <c r="L265" s="95"/>
      <c r="M265" s="95" t="s">
        <v>17</v>
      </c>
      <c r="N265" s="95" t="s">
        <v>2054</v>
      </c>
      <c r="O265" s="95" t="s">
        <v>2054</v>
      </c>
      <c r="P265" s="95" t="s">
        <v>2055</v>
      </c>
      <c r="Q265" s="98">
        <v>3.0</v>
      </c>
      <c r="R265" s="97">
        <v>45752.15125</v>
      </c>
      <c r="S265" s="99">
        <v>35685.0</v>
      </c>
      <c r="T265" s="99">
        <v>95.0</v>
      </c>
      <c r="U265" s="99">
        <v>1.0</v>
      </c>
      <c r="V265" s="99">
        <v>138.0</v>
      </c>
      <c r="W265" s="99">
        <v>999999.0</v>
      </c>
    </row>
    <row r="266" ht="15.75" customHeight="1">
      <c r="A266" s="95" t="s">
        <v>2066</v>
      </c>
      <c r="B266" s="95" t="s">
        <v>22</v>
      </c>
      <c r="C266" s="96" t="s">
        <v>2067</v>
      </c>
      <c r="D266" s="95" t="s">
        <v>68</v>
      </c>
      <c r="E266" s="95" t="s">
        <v>1671</v>
      </c>
      <c r="F266" s="95" t="s">
        <v>19</v>
      </c>
      <c r="G266" s="95" t="s">
        <v>19</v>
      </c>
      <c r="H266" s="95" t="s">
        <v>21</v>
      </c>
      <c r="I266" s="95" t="s">
        <v>677</v>
      </c>
      <c r="J266" s="97">
        <v>46021.50524950231</v>
      </c>
      <c r="K266" s="95" t="s">
        <v>2068</v>
      </c>
      <c r="L266" s="96" t="s">
        <v>2069</v>
      </c>
      <c r="M266" s="95" t="s">
        <v>74</v>
      </c>
      <c r="N266" s="95" t="s">
        <v>2070</v>
      </c>
      <c r="O266" s="95" t="s">
        <v>2070</v>
      </c>
      <c r="P266" s="95" t="s">
        <v>2071</v>
      </c>
      <c r="Q266" s="98">
        <v>3.0</v>
      </c>
      <c r="R266" s="97">
        <v>45923.93513888889</v>
      </c>
      <c r="S266" s="99">
        <v>26268.0</v>
      </c>
      <c r="T266" s="99">
        <v>3.0</v>
      </c>
      <c r="U266" s="99">
        <v>2.0</v>
      </c>
      <c r="V266" s="99">
        <v>234.0</v>
      </c>
      <c r="W266" s="99">
        <v>277403.0</v>
      </c>
    </row>
    <row r="267" ht="15.75" customHeight="1">
      <c r="A267" s="95" t="s">
        <v>2072</v>
      </c>
      <c r="B267" s="95" t="s">
        <v>157</v>
      </c>
      <c r="C267" s="96" t="s">
        <v>2073</v>
      </c>
      <c r="D267" s="95" t="s">
        <v>168</v>
      </c>
      <c r="E267" s="95" t="s">
        <v>168</v>
      </c>
      <c r="F267" s="95" t="s">
        <v>520</v>
      </c>
      <c r="G267" s="95" t="s">
        <v>520</v>
      </c>
      <c r="H267" s="95" t="s">
        <v>89</v>
      </c>
      <c r="I267" s="95" t="s">
        <v>859</v>
      </c>
      <c r="J267" s="97">
        <v>45988.61422113426</v>
      </c>
      <c r="K267" s="95" t="s">
        <v>2074</v>
      </c>
      <c r="L267" s="96" t="s">
        <v>2075</v>
      </c>
      <c r="M267" s="95" t="s">
        <v>17</v>
      </c>
      <c r="N267" s="95" t="s">
        <v>2076</v>
      </c>
      <c r="O267" s="95" t="s">
        <v>2076</v>
      </c>
      <c r="P267" s="95" t="s">
        <v>2077</v>
      </c>
      <c r="Q267" s="98">
        <v>3.0</v>
      </c>
      <c r="R267" s="97">
        <v>45726.47177083333</v>
      </c>
      <c r="S267" s="99">
        <v>341.0</v>
      </c>
      <c r="T267" s="99">
        <v>9.0</v>
      </c>
      <c r="U267" s="99">
        <v>2.0</v>
      </c>
      <c r="V267" s="99">
        <v>58.0</v>
      </c>
      <c r="W267" s="99">
        <v>41990.0</v>
      </c>
    </row>
    <row r="268" ht="15.75" customHeight="1">
      <c r="A268" s="95" t="s">
        <v>2078</v>
      </c>
      <c r="B268" s="95" t="s">
        <v>22</v>
      </c>
      <c r="C268" s="96" t="s">
        <v>2079</v>
      </c>
      <c r="D268" s="95" t="s">
        <v>39</v>
      </c>
      <c r="E268" s="95" t="s">
        <v>39</v>
      </c>
      <c r="F268" s="95" t="s">
        <v>19</v>
      </c>
      <c r="G268" s="95" t="s">
        <v>19</v>
      </c>
      <c r="H268" s="95" t="s">
        <v>21</v>
      </c>
      <c r="I268" s="95" t="s">
        <v>567</v>
      </c>
      <c r="J268" s="97">
        <v>46021.50524950231</v>
      </c>
      <c r="K268" s="95" t="s">
        <v>2080</v>
      </c>
      <c r="L268" s="96" t="s">
        <v>2081</v>
      </c>
      <c r="M268" s="95" t="s">
        <v>74</v>
      </c>
      <c r="N268" s="95" t="s">
        <v>2082</v>
      </c>
      <c r="O268" s="95" t="s">
        <v>2082</v>
      </c>
      <c r="P268" s="95" t="s">
        <v>2083</v>
      </c>
      <c r="Q268" s="98">
        <v>3.0</v>
      </c>
      <c r="R268" s="97">
        <v>45661.37003472223</v>
      </c>
      <c r="S268" s="99">
        <v>129.0</v>
      </c>
      <c r="T268" s="99">
        <v>22.0</v>
      </c>
      <c r="U268" s="99">
        <v>16.0</v>
      </c>
      <c r="V268" s="99">
        <v>60.0</v>
      </c>
      <c r="W268" s="99">
        <v>19591.0</v>
      </c>
    </row>
    <row r="269" ht="15.75" customHeight="1">
      <c r="A269" s="95" t="s">
        <v>2084</v>
      </c>
      <c r="B269" s="95" t="s">
        <v>22</v>
      </c>
      <c r="C269" s="96" t="s">
        <v>2085</v>
      </c>
      <c r="D269" s="95" t="s">
        <v>39</v>
      </c>
      <c r="E269" s="95" t="s">
        <v>39</v>
      </c>
      <c r="F269" s="95" t="s">
        <v>19</v>
      </c>
      <c r="G269" s="95" t="s">
        <v>19</v>
      </c>
      <c r="H269" s="95" t="s">
        <v>21</v>
      </c>
      <c r="I269" s="95" t="s">
        <v>677</v>
      </c>
      <c r="J269" s="97">
        <v>45975.67939547454</v>
      </c>
      <c r="K269" s="96" t="s">
        <v>2086</v>
      </c>
      <c r="L269" s="96" t="s">
        <v>2087</v>
      </c>
      <c r="M269" s="95" t="s">
        <v>74</v>
      </c>
      <c r="N269" s="95" t="s">
        <v>2082</v>
      </c>
      <c r="O269" s="95" t="s">
        <v>2082</v>
      </c>
      <c r="P269" s="95" t="s">
        <v>2083</v>
      </c>
      <c r="Q269" s="98">
        <v>3.0</v>
      </c>
      <c r="R269" s="97">
        <v>45721.96162037037</v>
      </c>
      <c r="S269" s="99">
        <v>129.0</v>
      </c>
      <c r="T269" s="99">
        <v>14.0</v>
      </c>
      <c r="U269" s="99">
        <v>4.0</v>
      </c>
      <c r="V269" s="99">
        <v>138.0</v>
      </c>
      <c r="W269" s="99">
        <v>19591.0</v>
      </c>
    </row>
    <row r="270" ht="15.75" customHeight="1">
      <c r="A270" s="95" t="s">
        <v>2088</v>
      </c>
      <c r="B270" s="95" t="s">
        <v>22</v>
      </c>
      <c r="C270" s="96" t="s">
        <v>2089</v>
      </c>
      <c r="D270" s="95" t="s">
        <v>168</v>
      </c>
      <c r="E270" s="95" t="s">
        <v>2090</v>
      </c>
      <c r="F270" s="95" t="s">
        <v>19</v>
      </c>
      <c r="G270" s="95" t="s">
        <v>19</v>
      </c>
      <c r="H270" s="95" t="s">
        <v>21</v>
      </c>
      <c r="I270" s="95" t="s">
        <v>589</v>
      </c>
      <c r="J270" s="97">
        <v>45993.7854622338</v>
      </c>
      <c r="K270" s="96" t="s">
        <v>2091</v>
      </c>
      <c r="L270" s="95"/>
      <c r="M270" s="95" t="s">
        <v>17</v>
      </c>
      <c r="N270" s="95" t="s">
        <v>2092</v>
      </c>
      <c r="O270" s="95" t="s">
        <v>2092</v>
      </c>
      <c r="P270" s="95" t="s">
        <v>2093</v>
      </c>
      <c r="Q270" s="98">
        <v>3.0</v>
      </c>
      <c r="R270" s="97">
        <v>45752.91194444444</v>
      </c>
      <c r="S270" s="99">
        <v>0.0</v>
      </c>
      <c r="T270" s="99">
        <v>158.0</v>
      </c>
      <c r="U270" s="99">
        <v>1.0</v>
      </c>
      <c r="V270" s="99">
        <v>127.0</v>
      </c>
      <c r="W270" s="99">
        <v>999999.0</v>
      </c>
    </row>
    <row r="271" ht="15.75" customHeight="1">
      <c r="A271" s="95" t="s">
        <v>2094</v>
      </c>
      <c r="B271" s="95" t="s">
        <v>101</v>
      </c>
      <c r="C271" s="96" t="s">
        <v>2095</v>
      </c>
      <c r="D271" s="95" t="s">
        <v>39</v>
      </c>
      <c r="E271" s="95" t="s">
        <v>39</v>
      </c>
      <c r="F271" s="95" t="s">
        <v>19</v>
      </c>
      <c r="G271" s="95" t="s">
        <v>19</v>
      </c>
      <c r="H271" s="95" t="s">
        <v>21</v>
      </c>
      <c r="I271" s="95" t="s">
        <v>955</v>
      </c>
      <c r="J271" s="97">
        <v>46021.49370376157</v>
      </c>
      <c r="K271" s="95" t="s">
        <v>2096</v>
      </c>
      <c r="L271" s="96" t="s">
        <v>2097</v>
      </c>
      <c r="M271" s="95" t="s">
        <v>105</v>
      </c>
      <c r="N271" s="95" t="s">
        <v>2098</v>
      </c>
      <c r="O271" s="95" t="s">
        <v>2098</v>
      </c>
      <c r="P271" s="95" t="s">
        <v>2099</v>
      </c>
      <c r="Q271" s="98">
        <v>3.0</v>
      </c>
      <c r="R271" s="97">
        <v>45775.46898148148</v>
      </c>
      <c r="S271" s="99">
        <v>96.0</v>
      </c>
      <c r="T271" s="99">
        <v>7.0</v>
      </c>
      <c r="U271" s="99">
        <v>1.0</v>
      </c>
      <c r="V271" s="99">
        <v>213.0</v>
      </c>
      <c r="W271" s="99">
        <v>4974.0</v>
      </c>
    </row>
    <row r="272" ht="15.75" customHeight="1">
      <c r="A272" s="95" t="s">
        <v>2100</v>
      </c>
      <c r="B272" s="95" t="s">
        <v>101</v>
      </c>
      <c r="C272" s="96" t="s">
        <v>2101</v>
      </c>
      <c r="D272" s="95" t="s">
        <v>39</v>
      </c>
      <c r="E272" s="95" t="s">
        <v>1208</v>
      </c>
      <c r="F272" s="95" t="s">
        <v>19</v>
      </c>
      <c r="G272" s="95" t="s">
        <v>574</v>
      </c>
      <c r="H272" s="95" t="s">
        <v>21</v>
      </c>
      <c r="I272" s="95" t="s">
        <v>2102</v>
      </c>
      <c r="J272" s="97">
        <v>46021.49370376157</v>
      </c>
      <c r="K272" s="95" t="s">
        <v>2103</v>
      </c>
      <c r="L272" s="96" t="s">
        <v>2104</v>
      </c>
      <c r="M272" s="95" t="s">
        <v>105</v>
      </c>
      <c r="N272" s="95" t="s">
        <v>2098</v>
      </c>
      <c r="O272" s="95" t="s">
        <v>2098</v>
      </c>
      <c r="P272" s="95" t="s">
        <v>2099</v>
      </c>
      <c r="Q272" s="98">
        <v>3.0</v>
      </c>
      <c r="R272" s="97">
        <v>45725.7749537037</v>
      </c>
      <c r="S272" s="99">
        <v>96.0</v>
      </c>
      <c r="T272" s="99">
        <v>3.0</v>
      </c>
      <c r="U272" s="99">
        <v>3.0</v>
      </c>
      <c r="V272" s="99">
        <v>439.0</v>
      </c>
      <c r="W272" s="99">
        <v>4974.0</v>
      </c>
    </row>
    <row r="273" ht="15.75" customHeight="1">
      <c r="A273" s="95" t="s">
        <v>111</v>
      </c>
      <c r="B273" s="95" t="s">
        <v>101</v>
      </c>
      <c r="C273" s="96" t="s">
        <v>115</v>
      </c>
      <c r="D273" s="95" t="s">
        <v>124</v>
      </c>
      <c r="E273" s="95" t="s">
        <v>2105</v>
      </c>
      <c r="F273" s="95" t="s">
        <v>19</v>
      </c>
      <c r="G273" s="95" t="s">
        <v>574</v>
      </c>
      <c r="H273" s="95" t="s">
        <v>21</v>
      </c>
      <c r="I273" s="95" t="s">
        <v>1504</v>
      </c>
      <c r="J273" s="97">
        <v>46021.51011266204</v>
      </c>
      <c r="K273" s="95" t="s">
        <v>114</v>
      </c>
      <c r="L273" s="96" t="s">
        <v>113</v>
      </c>
      <c r="M273" s="95" t="s">
        <v>54</v>
      </c>
      <c r="N273" s="95" t="s">
        <v>112</v>
      </c>
      <c r="O273" s="95" t="s">
        <v>112</v>
      </c>
      <c r="P273" s="95" t="s">
        <v>2106</v>
      </c>
      <c r="Q273" s="98">
        <v>3.0</v>
      </c>
      <c r="R273" s="97">
        <v>45629.75920138889</v>
      </c>
      <c r="S273" s="99">
        <v>64.0</v>
      </c>
      <c r="T273" s="99">
        <v>2194.0</v>
      </c>
      <c r="U273" s="99">
        <v>4.0</v>
      </c>
      <c r="V273" s="99">
        <v>486.0</v>
      </c>
      <c r="W273" s="99">
        <v>73635.0</v>
      </c>
    </row>
    <row r="274" ht="15.75" customHeight="1">
      <c r="A274" s="95" t="s">
        <v>2107</v>
      </c>
      <c r="B274" s="95" t="s">
        <v>22</v>
      </c>
      <c r="C274" s="96" t="s">
        <v>2108</v>
      </c>
      <c r="D274" s="95" t="s">
        <v>130</v>
      </c>
      <c r="E274" s="95" t="s">
        <v>2109</v>
      </c>
      <c r="F274" s="95" t="s">
        <v>19</v>
      </c>
      <c r="G274" s="95" t="s">
        <v>19</v>
      </c>
      <c r="H274" s="95" t="s">
        <v>21</v>
      </c>
      <c r="I274" s="95" t="s">
        <v>943</v>
      </c>
      <c r="J274" s="97">
        <v>45975.67930844907</v>
      </c>
      <c r="K274" s="96" t="s">
        <v>2110</v>
      </c>
      <c r="L274" s="96" t="s">
        <v>2111</v>
      </c>
      <c r="M274" s="95" t="s">
        <v>54</v>
      </c>
      <c r="N274" s="95" t="s">
        <v>2112</v>
      </c>
      <c r="O274" s="95" t="s">
        <v>2112</v>
      </c>
      <c r="P274" s="95" t="s">
        <v>2113</v>
      </c>
      <c r="Q274" s="98">
        <v>3.0</v>
      </c>
      <c r="R274" s="97">
        <v>45903.41039351852</v>
      </c>
      <c r="S274" s="99">
        <v>10686.0</v>
      </c>
      <c r="T274" s="99">
        <v>1070.0</v>
      </c>
      <c r="U274" s="99">
        <v>1.0</v>
      </c>
      <c r="V274" s="99">
        <v>86.0</v>
      </c>
      <c r="W274" s="99">
        <v>135120.0</v>
      </c>
    </row>
    <row r="275" ht="15.75" customHeight="1">
      <c r="A275" s="95" t="s">
        <v>2114</v>
      </c>
      <c r="B275" s="95" t="s">
        <v>22</v>
      </c>
      <c r="C275" s="96" t="s">
        <v>2115</v>
      </c>
      <c r="D275" s="95" t="s">
        <v>49</v>
      </c>
      <c r="E275" s="95" t="s">
        <v>1082</v>
      </c>
      <c r="F275" s="95" t="s">
        <v>19</v>
      </c>
      <c r="G275" s="95" t="s">
        <v>19</v>
      </c>
      <c r="H275" s="95" t="s">
        <v>21</v>
      </c>
      <c r="I275" s="95" t="s">
        <v>567</v>
      </c>
      <c r="J275" s="97">
        <v>45975.67930844907</v>
      </c>
      <c r="K275" s="96" t="s">
        <v>2116</v>
      </c>
      <c r="L275" s="96" t="s">
        <v>2117</v>
      </c>
      <c r="M275" s="95" t="s">
        <v>54</v>
      </c>
      <c r="N275" s="95" t="s">
        <v>2118</v>
      </c>
      <c r="O275" s="95" t="s">
        <v>2118</v>
      </c>
      <c r="P275" s="95" t="s">
        <v>2119</v>
      </c>
      <c r="Q275" s="98">
        <v>3.0</v>
      </c>
      <c r="R275" s="97">
        <v>45841.77030092593</v>
      </c>
      <c r="S275" s="99">
        <v>75.0</v>
      </c>
      <c r="T275" s="99">
        <v>236.0</v>
      </c>
      <c r="U275" s="99">
        <v>1.0</v>
      </c>
      <c r="V275" s="99">
        <v>87.0</v>
      </c>
      <c r="W275" s="99">
        <v>84804.0</v>
      </c>
    </row>
    <row r="276" ht="15.75" customHeight="1">
      <c r="A276" s="95" t="s">
        <v>2120</v>
      </c>
      <c r="B276" s="95" t="s">
        <v>69</v>
      </c>
      <c r="C276" s="96" t="s">
        <v>2121</v>
      </c>
      <c r="D276" s="95" t="s">
        <v>49</v>
      </c>
      <c r="E276" s="95" t="s">
        <v>1082</v>
      </c>
      <c r="F276" s="95" t="s">
        <v>19</v>
      </c>
      <c r="G276" s="95" t="s">
        <v>19</v>
      </c>
      <c r="H276" s="95" t="s">
        <v>21</v>
      </c>
      <c r="I276" s="95" t="s">
        <v>719</v>
      </c>
      <c r="J276" s="97">
        <v>46021.51011266204</v>
      </c>
      <c r="K276" s="95" t="s">
        <v>2122</v>
      </c>
      <c r="L276" s="96" t="s">
        <v>2123</v>
      </c>
      <c r="M276" s="95" t="s">
        <v>54</v>
      </c>
      <c r="N276" s="95" t="s">
        <v>2118</v>
      </c>
      <c r="O276" s="95" t="s">
        <v>2118</v>
      </c>
      <c r="P276" s="95" t="s">
        <v>2119</v>
      </c>
      <c r="Q276" s="98">
        <v>3.0</v>
      </c>
      <c r="R276" s="97">
        <v>45856.05737268519</v>
      </c>
      <c r="S276" s="99">
        <v>75.0</v>
      </c>
      <c r="T276" s="99">
        <v>87.0</v>
      </c>
      <c r="U276" s="99">
        <v>1.0</v>
      </c>
      <c r="V276" s="99">
        <v>87.0</v>
      </c>
      <c r="W276" s="99">
        <v>84804.0</v>
      </c>
    </row>
    <row r="277" ht="15.75" customHeight="1">
      <c r="A277" s="95" t="s">
        <v>2124</v>
      </c>
      <c r="B277" s="95" t="s">
        <v>69</v>
      </c>
      <c r="C277" s="96" t="s">
        <v>2125</v>
      </c>
      <c r="D277" s="95" t="s">
        <v>49</v>
      </c>
      <c r="E277" s="95" t="s">
        <v>1082</v>
      </c>
      <c r="F277" s="95" t="s">
        <v>58</v>
      </c>
      <c r="G277" s="95" t="s">
        <v>58</v>
      </c>
      <c r="H277" s="95" t="s">
        <v>60</v>
      </c>
      <c r="I277" s="95" t="s">
        <v>2126</v>
      </c>
      <c r="J277" s="97">
        <v>46021.51011266204</v>
      </c>
      <c r="K277" s="95" t="s">
        <v>2127</v>
      </c>
      <c r="L277" s="96" t="s">
        <v>2128</v>
      </c>
      <c r="M277" s="95" t="s">
        <v>54</v>
      </c>
      <c r="N277" s="95" t="s">
        <v>2118</v>
      </c>
      <c r="O277" s="95" t="s">
        <v>2118</v>
      </c>
      <c r="P277" s="95" t="s">
        <v>2119</v>
      </c>
      <c r="Q277" s="98">
        <v>3.0</v>
      </c>
      <c r="R277" s="97">
        <v>45886.75498842593</v>
      </c>
      <c r="S277" s="99">
        <v>75.0</v>
      </c>
      <c r="T277" s="99">
        <v>290.0</v>
      </c>
      <c r="U277" s="99">
        <v>2.0</v>
      </c>
      <c r="V277" s="99">
        <v>85.0</v>
      </c>
      <c r="W277" s="99">
        <v>84804.0</v>
      </c>
    </row>
    <row r="278" ht="15.75" customHeight="1">
      <c r="A278" s="95" t="s">
        <v>2129</v>
      </c>
      <c r="B278" s="95" t="s">
        <v>22</v>
      </c>
      <c r="C278" s="96" t="s">
        <v>2130</v>
      </c>
      <c r="D278" s="95" t="s">
        <v>29</v>
      </c>
      <c r="E278" s="95" t="s">
        <v>598</v>
      </c>
      <c r="F278" s="95" t="s">
        <v>19</v>
      </c>
      <c r="G278" s="95" t="s">
        <v>19</v>
      </c>
      <c r="H278" s="95" t="s">
        <v>21</v>
      </c>
      <c r="I278" s="95" t="s">
        <v>567</v>
      </c>
      <c r="J278" s="97">
        <v>46021.50524950231</v>
      </c>
      <c r="K278" s="95" t="s">
        <v>2131</v>
      </c>
      <c r="L278" s="96" t="s">
        <v>2132</v>
      </c>
      <c r="M278" s="95" t="s">
        <v>67</v>
      </c>
      <c r="N278" s="95" t="s">
        <v>2133</v>
      </c>
      <c r="O278" s="95" t="s">
        <v>2133</v>
      </c>
      <c r="P278" s="95" t="s">
        <v>2134</v>
      </c>
      <c r="Q278" s="98">
        <v>3.0</v>
      </c>
      <c r="R278" s="97">
        <v>45945.90877314815</v>
      </c>
      <c r="S278" s="99">
        <v>57.0</v>
      </c>
      <c r="T278" s="99">
        <v>123.0</v>
      </c>
      <c r="U278" s="99">
        <v>1.0</v>
      </c>
      <c r="V278" s="99">
        <v>23.0</v>
      </c>
      <c r="W278" s="99">
        <v>140693.0</v>
      </c>
    </row>
    <row r="279" ht="15.75" customHeight="1">
      <c r="A279" s="95" t="s">
        <v>2135</v>
      </c>
      <c r="B279" s="95" t="s">
        <v>22</v>
      </c>
      <c r="C279" s="96" t="s">
        <v>2136</v>
      </c>
      <c r="D279" s="95" t="s">
        <v>547</v>
      </c>
      <c r="E279" s="95" t="s">
        <v>710</v>
      </c>
      <c r="F279" s="95" t="s">
        <v>19</v>
      </c>
      <c r="G279" s="95" t="s">
        <v>19</v>
      </c>
      <c r="H279" s="95" t="s">
        <v>21</v>
      </c>
      <c r="I279" s="95" t="s">
        <v>567</v>
      </c>
      <c r="J279" s="97">
        <v>46021.49370376157</v>
      </c>
      <c r="K279" s="95" t="s">
        <v>2137</v>
      </c>
      <c r="L279" s="96" t="s">
        <v>2138</v>
      </c>
      <c r="M279" s="95" t="s">
        <v>54</v>
      </c>
      <c r="N279" s="95" t="s">
        <v>2139</v>
      </c>
      <c r="O279" s="95" t="s">
        <v>2139</v>
      </c>
      <c r="P279" s="95" t="s">
        <v>2140</v>
      </c>
      <c r="Q279" s="98">
        <v>3.0</v>
      </c>
      <c r="R279" s="97">
        <v>45636.79060185186</v>
      </c>
      <c r="S279" s="99">
        <v>150.0</v>
      </c>
      <c r="T279" s="99">
        <v>120.0</v>
      </c>
      <c r="U279" s="99">
        <v>10.0</v>
      </c>
      <c r="V279" s="99">
        <v>254.0</v>
      </c>
      <c r="W279" s="99">
        <v>11237.0</v>
      </c>
    </row>
    <row r="280" ht="15.75" customHeight="1">
      <c r="A280" s="95" t="s">
        <v>2141</v>
      </c>
      <c r="B280" s="95" t="s">
        <v>22</v>
      </c>
      <c r="C280" s="96" t="s">
        <v>2142</v>
      </c>
      <c r="D280" s="95" t="s">
        <v>168</v>
      </c>
      <c r="E280" s="95" t="s">
        <v>168</v>
      </c>
      <c r="F280" s="95" t="s">
        <v>19</v>
      </c>
      <c r="G280" s="95" t="s">
        <v>574</v>
      </c>
      <c r="H280" s="95" t="s">
        <v>21</v>
      </c>
      <c r="I280" s="95" t="s">
        <v>589</v>
      </c>
      <c r="J280" s="97">
        <v>45975.67934009259</v>
      </c>
      <c r="K280" s="96" t="s">
        <v>2143</v>
      </c>
      <c r="L280" s="96" t="s">
        <v>2144</v>
      </c>
      <c r="M280" s="95" t="s">
        <v>17</v>
      </c>
      <c r="N280" s="95" t="s">
        <v>2145</v>
      </c>
      <c r="O280" s="95" t="s">
        <v>2145</v>
      </c>
      <c r="P280" s="95" t="s">
        <v>2146</v>
      </c>
      <c r="Q280" s="98">
        <v>3.0</v>
      </c>
      <c r="R280" s="97">
        <v>45648.03288194445</v>
      </c>
      <c r="S280" s="99">
        <v>93.0</v>
      </c>
      <c r="T280" s="99">
        <v>758.0</v>
      </c>
      <c r="U280" s="99">
        <v>38.0</v>
      </c>
      <c r="V280" s="99">
        <v>345.0</v>
      </c>
      <c r="W280" s="99">
        <v>63824.0</v>
      </c>
    </row>
    <row r="281" ht="15.75" customHeight="1">
      <c r="A281" s="95" t="s">
        <v>2147</v>
      </c>
      <c r="B281" s="95" t="s">
        <v>101</v>
      </c>
      <c r="C281" s="96" t="s">
        <v>2148</v>
      </c>
      <c r="D281" s="95" t="s">
        <v>168</v>
      </c>
      <c r="E281" s="95" t="s">
        <v>168</v>
      </c>
      <c r="F281" s="95" t="s">
        <v>19</v>
      </c>
      <c r="G281" s="95" t="s">
        <v>588</v>
      </c>
      <c r="H281" s="95" t="s">
        <v>21</v>
      </c>
      <c r="I281" s="95" t="s">
        <v>2149</v>
      </c>
      <c r="J281" s="97">
        <v>46008.62902034722</v>
      </c>
      <c r="K281" s="96" t="s">
        <v>2150</v>
      </c>
      <c r="L281" s="96" t="s">
        <v>2151</v>
      </c>
      <c r="M281" s="95" t="s">
        <v>17</v>
      </c>
      <c r="N281" s="95" t="s">
        <v>2145</v>
      </c>
      <c r="O281" s="95" t="s">
        <v>2145</v>
      </c>
      <c r="P281" s="95" t="s">
        <v>2146</v>
      </c>
      <c r="Q281" s="98">
        <v>3.0</v>
      </c>
      <c r="R281" s="97">
        <v>45698.60479166666</v>
      </c>
      <c r="S281" s="99">
        <v>93.0</v>
      </c>
      <c r="T281" s="99">
        <v>860.0</v>
      </c>
      <c r="U281" s="99">
        <v>12.0</v>
      </c>
      <c r="V281" s="99">
        <v>388.0</v>
      </c>
      <c r="W281" s="99">
        <v>63824.0</v>
      </c>
    </row>
    <row r="282" ht="15.75" customHeight="1">
      <c r="A282" s="95" t="s">
        <v>2152</v>
      </c>
      <c r="B282" s="95" t="s">
        <v>22</v>
      </c>
      <c r="C282" s="96" t="s">
        <v>2153</v>
      </c>
      <c r="D282" s="95" t="s">
        <v>168</v>
      </c>
      <c r="E282" s="95" t="s">
        <v>168</v>
      </c>
      <c r="F282" s="95" t="s">
        <v>19</v>
      </c>
      <c r="G282" s="95" t="s">
        <v>574</v>
      </c>
      <c r="H282" s="95" t="s">
        <v>21</v>
      </c>
      <c r="I282" s="95" t="s">
        <v>589</v>
      </c>
      <c r="J282" s="97">
        <v>46008.62902033565</v>
      </c>
      <c r="K282" s="96" t="s">
        <v>2154</v>
      </c>
      <c r="L282" s="96" t="s">
        <v>2155</v>
      </c>
      <c r="M282" s="95" t="s">
        <v>17</v>
      </c>
      <c r="N282" s="95" t="s">
        <v>2145</v>
      </c>
      <c r="O282" s="95" t="s">
        <v>2145</v>
      </c>
      <c r="P282" s="95" t="s">
        <v>2146</v>
      </c>
      <c r="Q282" s="98">
        <v>3.0</v>
      </c>
      <c r="R282" s="97">
        <v>45813.79994212963</v>
      </c>
      <c r="S282" s="99">
        <v>93.0</v>
      </c>
      <c r="T282" s="99">
        <v>1529.0</v>
      </c>
      <c r="U282" s="99">
        <v>20.0</v>
      </c>
      <c r="V282" s="99">
        <v>414.0</v>
      </c>
      <c r="W282" s="99">
        <v>63824.0</v>
      </c>
    </row>
    <row r="283" ht="15.75" customHeight="1">
      <c r="A283" s="95" t="s">
        <v>2156</v>
      </c>
      <c r="B283" s="95" t="s">
        <v>22</v>
      </c>
      <c r="C283" s="96" t="s">
        <v>2157</v>
      </c>
      <c r="D283" s="95" t="s">
        <v>124</v>
      </c>
      <c r="E283" s="95" t="s">
        <v>2158</v>
      </c>
      <c r="F283" s="95" t="s">
        <v>19</v>
      </c>
      <c r="G283" s="95" t="s">
        <v>19</v>
      </c>
      <c r="H283" s="95" t="s">
        <v>21</v>
      </c>
      <c r="I283" s="95" t="s">
        <v>943</v>
      </c>
      <c r="J283" s="97">
        <v>46021.51011266204</v>
      </c>
      <c r="K283" s="95" t="s">
        <v>2159</v>
      </c>
      <c r="L283" s="96" t="s">
        <v>2160</v>
      </c>
      <c r="M283" s="95" t="s">
        <v>74</v>
      </c>
      <c r="N283" s="95" t="s">
        <v>2161</v>
      </c>
      <c r="O283" s="95" t="s">
        <v>2161</v>
      </c>
      <c r="P283" s="95" t="s">
        <v>2162</v>
      </c>
      <c r="Q283" s="98">
        <v>3.0</v>
      </c>
      <c r="R283" s="97">
        <v>45767.83370370371</v>
      </c>
      <c r="S283" s="99">
        <v>0.0</v>
      </c>
      <c r="T283" s="99">
        <v>3.0</v>
      </c>
      <c r="U283" s="99">
        <v>1.0</v>
      </c>
      <c r="V283" s="99">
        <v>408.0</v>
      </c>
      <c r="W283" s="99">
        <v>167627.0</v>
      </c>
    </row>
    <row r="284" ht="15.75" customHeight="1">
      <c r="A284" s="95" t="s">
        <v>2163</v>
      </c>
      <c r="B284" s="95" t="s">
        <v>101</v>
      </c>
      <c r="C284" s="96" t="s">
        <v>2164</v>
      </c>
      <c r="D284" s="95" t="s">
        <v>39</v>
      </c>
      <c r="E284" s="95" t="s">
        <v>39</v>
      </c>
      <c r="F284" s="95" t="s">
        <v>19</v>
      </c>
      <c r="G284" s="95" t="s">
        <v>19</v>
      </c>
      <c r="H284" s="95" t="s">
        <v>21</v>
      </c>
      <c r="I284" s="95" t="s">
        <v>607</v>
      </c>
      <c r="J284" s="97">
        <v>46021.51011266204</v>
      </c>
      <c r="K284" s="95" t="s">
        <v>2165</v>
      </c>
      <c r="L284" s="96" t="s">
        <v>2166</v>
      </c>
      <c r="M284" s="95" t="s">
        <v>54</v>
      </c>
      <c r="N284" s="95" t="s">
        <v>2167</v>
      </c>
      <c r="O284" s="95" t="s">
        <v>2167</v>
      </c>
      <c r="P284" s="95" t="s">
        <v>2168</v>
      </c>
      <c r="Q284" s="98">
        <v>3.0</v>
      </c>
      <c r="R284" s="97">
        <v>45849.0815162037</v>
      </c>
      <c r="S284" s="99">
        <v>243.0</v>
      </c>
      <c r="T284" s="99">
        <v>19.0</v>
      </c>
      <c r="U284" s="99">
        <v>32.0</v>
      </c>
      <c r="V284" s="99">
        <v>212.0</v>
      </c>
      <c r="W284" s="99">
        <v>37252.0</v>
      </c>
    </row>
    <row r="285" ht="15.75" customHeight="1">
      <c r="A285" s="95" t="s">
        <v>2169</v>
      </c>
      <c r="B285" s="95" t="s">
        <v>22</v>
      </c>
      <c r="C285" s="96" t="s">
        <v>2170</v>
      </c>
      <c r="D285" s="95" t="s">
        <v>39</v>
      </c>
      <c r="E285" s="95" t="s">
        <v>39</v>
      </c>
      <c r="F285" s="95" t="s">
        <v>19</v>
      </c>
      <c r="G285" s="95" t="s">
        <v>574</v>
      </c>
      <c r="H285" s="95" t="s">
        <v>21</v>
      </c>
      <c r="I285" s="95" t="s">
        <v>567</v>
      </c>
      <c r="J285" s="97">
        <v>46021.50524950231</v>
      </c>
      <c r="K285" s="95" t="s">
        <v>2171</v>
      </c>
      <c r="L285" s="96" t="s">
        <v>2172</v>
      </c>
      <c r="M285" s="95" t="s">
        <v>38</v>
      </c>
      <c r="N285" s="95" t="s">
        <v>2173</v>
      </c>
      <c r="O285" s="95" t="s">
        <v>2173</v>
      </c>
      <c r="P285" s="95" t="s">
        <v>2174</v>
      </c>
      <c r="Q285" s="98">
        <v>3.0</v>
      </c>
      <c r="R285" s="97">
        <v>45728.14414351852</v>
      </c>
      <c r="S285" s="99">
        <v>156.0</v>
      </c>
      <c r="T285" s="99">
        <v>112.0</v>
      </c>
      <c r="U285" s="99">
        <v>3.0</v>
      </c>
      <c r="V285" s="99">
        <v>184.0</v>
      </c>
      <c r="W285" s="99">
        <v>106566.0</v>
      </c>
    </row>
    <row r="286" ht="15.75" customHeight="1">
      <c r="A286" s="95" t="s">
        <v>2175</v>
      </c>
      <c r="B286" s="95" t="s">
        <v>22</v>
      </c>
      <c r="C286" s="96" t="s">
        <v>2176</v>
      </c>
      <c r="D286" s="95" t="s">
        <v>49</v>
      </c>
      <c r="E286" s="95" t="s">
        <v>1215</v>
      </c>
      <c r="F286" s="95" t="s">
        <v>19</v>
      </c>
      <c r="G286" s="95" t="s">
        <v>19</v>
      </c>
      <c r="H286" s="95" t="s">
        <v>21</v>
      </c>
      <c r="I286" s="95" t="s">
        <v>567</v>
      </c>
      <c r="J286" s="97">
        <v>46021.50524950231</v>
      </c>
      <c r="K286" s="95" t="s">
        <v>2177</v>
      </c>
      <c r="L286" s="96" t="s">
        <v>2178</v>
      </c>
      <c r="M286" s="95" t="s">
        <v>74</v>
      </c>
      <c r="N286" s="95" t="s">
        <v>2179</v>
      </c>
      <c r="O286" s="95" t="s">
        <v>2179</v>
      </c>
      <c r="P286" s="95" t="s">
        <v>2180</v>
      </c>
      <c r="Q286" s="98">
        <v>3.0</v>
      </c>
      <c r="R286" s="97">
        <v>45775.81756944444</v>
      </c>
      <c r="S286" s="99">
        <v>160.0</v>
      </c>
      <c r="T286" s="99">
        <v>119.0</v>
      </c>
      <c r="U286" s="99">
        <v>7.0</v>
      </c>
      <c r="V286" s="99">
        <v>123.0</v>
      </c>
      <c r="W286" s="99">
        <v>319181.0</v>
      </c>
    </row>
    <row r="287" ht="15.75" customHeight="1">
      <c r="A287" s="95" t="s">
        <v>2181</v>
      </c>
      <c r="B287" s="95" t="s">
        <v>22</v>
      </c>
      <c r="C287" s="96" t="s">
        <v>2182</v>
      </c>
      <c r="D287" s="95" t="s">
        <v>124</v>
      </c>
      <c r="E287" s="95" t="s">
        <v>983</v>
      </c>
      <c r="F287" s="95" t="s">
        <v>88</v>
      </c>
      <c r="G287" s="95" t="s">
        <v>858</v>
      </c>
      <c r="H287" s="95" t="s">
        <v>21</v>
      </c>
      <c r="I287" s="95" t="s">
        <v>2183</v>
      </c>
      <c r="J287" s="97">
        <v>46039.71700979167</v>
      </c>
      <c r="K287" s="95" t="s">
        <v>2184</v>
      </c>
      <c r="L287" s="95"/>
      <c r="M287" s="95" t="s">
        <v>93</v>
      </c>
      <c r="N287" s="95" t="s">
        <v>2185</v>
      </c>
      <c r="O287" s="95" t="s">
        <v>2185</v>
      </c>
      <c r="P287" s="95" t="s">
        <v>2186</v>
      </c>
      <c r="Q287" s="98">
        <v>3.0</v>
      </c>
      <c r="R287" s="97">
        <v>45907.14096064815</v>
      </c>
      <c r="S287" s="99">
        <v>4433.0</v>
      </c>
      <c r="T287" s="99">
        <v>234.0</v>
      </c>
      <c r="U287" s="99">
        <v>12.0</v>
      </c>
      <c r="V287" s="99">
        <v>566.0</v>
      </c>
      <c r="W287" s="99">
        <v>168009.0</v>
      </c>
    </row>
    <row r="288" ht="15.75" customHeight="1">
      <c r="A288" s="95" t="s">
        <v>2187</v>
      </c>
      <c r="B288" s="95" t="s">
        <v>22</v>
      </c>
      <c r="C288" s="96" t="s">
        <v>2188</v>
      </c>
      <c r="D288" s="95" t="s">
        <v>39</v>
      </c>
      <c r="E288" s="95" t="s">
        <v>39</v>
      </c>
      <c r="F288" s="95" t="s">
        <v>19</v>
      </c>
      <c r="G288" s="95" t="s">
        <v>19</v>
      </c>
      <c r="H288" s="95" t="s">
        <v>21</v>
      </c>
      <c r="I288" s="95" t="s">
        <v>589</v>
      </c>
      <c r="J288" s="97">
        <v>46021.50524950231</v>
      </c>
      <c r="K288" s="95" t="s">
        <v>2189</v>
      </c>
      <c r="L288" s="96" t="s">
        <v>2190</v>
      </c>
      <c r="M288" s="95" t="s">
        <v>105</v>
      </c>
      <c r="N288" s="95" t="s">
        <v>2191</v>
      </c>
      <c r="O288" s="95" t="s">
        <v>2191</v>
      </c>
      <c r="P288" s="95" t="s">
        <v>2192</v>
      </c>
      <c r="Q288" s="98">
        <v>3.0</v>
      </c>
      <c r="R288" s="97">
        <v>45579.63559027778</v>
      </c>
      <c r="S288" s="99">
        <v>279.0</v>
      </c>
      <c r="T288" s="99">
        <v>207.0</v>
      </c>
      <c r="U288" s="99">
        <v>1.0</v>
      </c>
      <c r="V288" s="99">
        <v>120.0</v>
      </c>
      <c r="W288" s="99">
        <v>18835.0</v>
      </c>
    </row>
    <row r="289" ht="15.75" customHeight="1">
      <c r="A289" s="95" t="s">
        <v>2193</v>
      </c>
      <c r="B289" s="95" t="s">
        <v>22</v>
      </c>
      <c r="C289" s="96" t="s">
        <v>2194</v>
      </c>
      <c r="D289" s="95" t="s">
        <v>124</v>
      </c>
      <c r="E289" s="95" t="s">
        <v>2195</v>
      </c>
      <c r="F289" s="95" t="s">
        <v>19</v>
      </c>
      <c r="G289" s="95" t="s">
        <v>19</v>
      </c>
      <c r="H289" s="95" t="s">
        <v>21</v>
      </c>
      <c r="I289" s="95" t="s">
        <v>567</v>
      </c>
      <c r="J289" s="97">
        <v>45975.67934009259</v>
      </c>
      <c r="K289" s="96" t="s">
        <v>2196</v>
      </c>
      <c r="L289" s="96" t="s">
        <v>2197</v>
      </c>
      <c r="M289" s="95" t="s">
        <v>17</v>
      </c>
      <c r="N289" s="95" t="s">
        <v>2198</v>
      </c>
      <c r="O289" s="95" t="s">
        <v>2198</v>
      </c>
      <c r="P289" s="95" t="s">
        <v>2199</v>
      </c>
      <c r="Q289" s="98">
        <v>3.0</v>
      </c>
      <c r="R289" s="97">
        <v>45851.25945601852</v>
      </c>
      <c r="S289" s="99">
        <v>2274.0</v>
      </c>
      <c r="T289" s="99">
        <v>20.0</v>
      </c>
      <c r="U289" s="99">
        <v>5.0</v>
      </c>
      <c r="V289" s="99">
        <v>218.0</v>
      </c>
      <c r="W289" s="99">
        <v>49945.0</v>
      </c>
    </row>
    <row r="290" ht="15.75" customHeight="1">
      <c r="A290" s="95" t="s">
        <v>2200</v>
      </c>
      <c r="B290" s="95" t="s">
        <v>22</v>
      </c>
      <c r="C290" s="96" t="s">
        <v>2201</v>
      </c>
      <c r="D290" s="95" t="s">
        <v>547</v>
      </c>
      <c r="E290" s="95" t="s">
        <v>2202</v>
      </c>
      <c r="F290" s="95" t="s">
        <v>19</v>
      </c>
      <c r="G290" s="95" t="s">
        <v>19</v>
      </c>
      <c r="H290" s="95" t="s">
        <v>21</v>
      </c>
      <c r="I290" s="95" t="s">
        <v>567</v>
      </c>
      <c r="J290" s="97">
        <v>45975.67934009259</v>
      </c>
      <c r="K290" s="96" t="s">
        <v>2203</v>
      </c>
      <c r="L290" s="96" t="s">
        <v>2204</v>
      </c>
      <c r="M290" s="95" t="s">
        <v>17</v>
      </c>
      <c r="N290" s="95" t="s">
        <v>2205</v>
      </c>
      <c r="O290" s="95" t="s">
        <v>2205</v>
      </c>
      <c r="P290" s="95" t="s">
        <v>2206</v>
      </c>
      <c r="Q290" s="98">
        <v>3.0</v>
      </c>
      <c r="R290" s="97">
        <v>45622.28809027778</v>
      </c>
      <c r="S290" s="99">
        <v>1192.0</v>
      </c>
      <c r="T290" s="99">
        <v>10.0</v>
      </c>
      <c r="U290" s="99">
        <v>19.0</v>
      </c>
      <c r="V290" s="99">
        <v>275.0</v>
      </c>
      <c r="W290" s="99">
        <v>999999.0</v>
      </c>
    </row>
    <row r="291" ht="15.75" customHeight="1">
      <c r="A291" s="95" t="s">
        <v>2207</v>
      </c>
      <c r="B291" s="95" t="s">
        <v>22</v>
      </c>
      <c r="C291" s="96" t="s">
        <v>2208</v>
      </c>
      <c r="D291" s="95" t="s">
        <v>20</v>
      </c>
      <c r="E291" s="95" t="s">
        <v>762</v>
      </c>
      <c r="F291" s="95" t="s">
        <v>19</v>
      </c>
      <c r="G291" s="95" t="s">
        <v>574</v>
      </c>
      <c r="H291" s="95" t="s">
        <v>21</v>
      </c>
      <c r="I291" s="95" t="s">
        <v>677</v>
      </c>
      <c r="J291" s="97">
        <v>45977.14230104167</v>
      </c>
      <c r="K291" s="95" t="s">
        <v>2209</v>
      </c>
      <c r="L291" s="96" t="s">
        <v>2210</v>
      </c>
      <c r="M291" s="95" t="s">
        <v>17</v>
      </c>
      <c r="N291" s="95" t="s">
        <v>2211</v>
      </c>
      <c r="O291" s="95" t="s">
        <v>2211</v>
      </c>
      <c r="P291" s="95" t="s">
        <v>2212</v>
      </c>
      <c r="Q291" s="98">
        <v>3.0</v>
      </c>
      <c r="R291" s="97">
        <v>45827.82708333333</v>
      </c>
      <c r="S291" s="99">
        <v>5627.0</v>
      </c>
      <c r="T291" s="99">
        <v>30.0</v>
      </c>
      <c r="U291" s="99">
        <v>6.0</v>
      </c>
      <c r="V291" s="99">
        <v>375.0</v>
      </c>
      <c r="W291" s="99">
        <v>36498.0</v>
      </c>
    </row>
    <row r="292" ht="15.75" customHeight="1">
      <c r="A292" s="95" t="s">
        <v>2213</v>
      </c>
      <c r="B292" s="95" t="s">
        <v>131</v>
      </c>
      <c r="C292" s="96" t="s">
        <v>2214</v>
      </c>
      <c r="D292" s="95" t="s">
        <v>39</v>
      </c>
      <c r="E292" s="95" t="s">
        <v>614</v>
      </c>
      <c r="F292" s="95" t="s">
        <v>19</v>
      </c>
      <c r="G292" s="95" t="s">
        <v>19</v>
      </c>
      <c r="H292" s="95" t="s">
        <v>21</v>
      </c>
      <c r="I292" s="95" t="s">
        <v>2215</v>
      </c>
      <c r="J292" s="97">
        <v>46021.51011266204</v>
      </c>
      <c r="K292" s="95" t="s">
        <v>2216</v>
      </c>
      <c r="L292" s="96" t="s">
        <v>2217</v>
      </c>
      <c r="M292" s="95" t="s">
        <v>67</v>
      </c>
      <c r="N292" s="95" t="s">
        <v>2218</v>
      </c>
      <c r="O292" s="95" t="s">
        <v>2218</v>
      </c>
      <c r="P292" s="95" t="s">
        <v>2219</v>
      </c>
      <c r="Q292" s="98">
        <v>3.0</v>
      </c>
      <c r="R292" s="97">
        <v>45945.79539351852</v>
      </c>
      <c r="S292" s="99">
        <v>520.0</v>
      </c>
      <c r="T292" s="99">
        <v>42.0</v>
      </c>
      <c r="U292" s="99">
        <v>22.0</v>
      </c>
      <c r="V292" s="99">
        <v>334.0</v>
      </c>
      <c r="W292" s="99">
        <v>8266.0</v>
      </c>
    </row>
    <row r="293" ht="15.75" customHeight="1">
      <c r="A293" s="95" t="s">
        <v>2220</v>
      </c>
      <c r="B293" s="95" t="s">
        <v>22</v>
      </c>
      <c r="C293" s="96" t="s">
        <v>2221</v>
      </c>
      <c r="D293" s="95" t="s">
        <v>39</v>
      </c>
      <c r="E293" s="95" t="s">
        <v>39</v>
      </c>
      <c r="F293" s="95" t="s">
        <v>19</v>
      </c>
      <c r="G293" s="95" t="s">
        <v>19</v>
      </c>
      <c r="H293" s="95" t="s">
        <v>21</v>
      </c>
      <c r="I293" s="95" t="s">
        <v>567</v>
      </c>
      <c r="J293" s="97">
        <v>46002.69413268519</v>
      </c>
      <c r="K293" s="95" t="s">
        <v>2222</v>
      </c>
      <c r="L293" s="96" t="s">
        <v>2223</v>
      </c>
      <c r="M293" s="95" t="s">
        <v>38</v>
      </c>
      <c r="N293" s="95" t="s">
        <v>2224</v>
      </c>
      <c r="O293" s="95" t="s">
        <v>2224</v>
      </c>
      <c r="P293" s="95" t="s">
        <v>2225</v>
      </c>
      <c r="Q293" s="98">
        <v>3.0</v>
      </c>
      <c r="R293" s="97">
        <v>45961.84148148148</v>
      </c>
      <c r="S293" s="99">
        <v>136.0</v>
      </c>
      <c r="T293" s="99">
        <v>328.0</v>
      </c>
      <c r="U293" s="99">
        <v>1.0</v>
      </c>
      <c r="V293" s="99">
        <v>143.0</v>
      </c>
      <c r="W293" s="99">
        <v>216011.0</v>
      </c>
    </row>
    <row r="294" ht="15.75" customHeight="1">
      <c r="A294" s="95" t="s">
        <v>2226</v>
      </c>
      <c r="B294" s="95" t="s">
        <v>22</v>
      </c>
      <c r="C294" s="96" t="s">
        <v>2227</v>
      </c>
      <c r="D294" s="95" t="s">
        <v>39</v>
      </c>
      <c r="E294" s="95" t="s">
        <v>39</v>
      </c>
      <c r="F294" s="95" t="s">
        <v>19</v>
      </c>
      <c r="G294" s="95" t="s">
        <v>19</v>
      </c>
      <c r="H294" s="95" t="s">
        <v>21</v>
      </c>
      <c r="I294" s="95" t="s">
        <v>677</v>
      </c>
      <c r="J294" s="97">
        <v>46021.50524950231</v>
      </c>
      <c r="K294" s="95" t="s">
        <v>2228</v>
      </c>
      <c r="L294" s="96" t="s">
        <v>2229</v>
      </c>
      <c r="M294" s="95" t="s">
        <v>38</v>
      </c>
      <c r="N294" s="95" t="s">
        <v>2224</v>
      </c>
      <c r="O294" s="95" t="s">
        <v>2224</v>
      </c>
      <c r="P294" s="95" t="s">
        <v>2225</v>
      </c>
      <c r="Q294" s="98">
        <v>3.0</v>
      </c>
      <c r="R294" s="97">
        <v>45605.16695601852</v>
      </c>
      <c r="S294" s="99">
        <v>136.0</v>
      </c>
      <c r="T294" s="99">
        <v>1.0</v>
      </c>
      <c r="U294" s="99">
        <v>1.0</v>
      </c>
      <c r="V294" s="99">
        <v>64.0</v>
      </c>
      <c r="W294" s="99">
        <v>216011.0</v>
      </c>
    </row>
    <row r="295" ht="15.75" customHeight="1">
      <c r="A295" s="95" t="s">
        <v>2230</v>
      </c>
      <c r="B295" s="95" t="s">
        <v>101</v>
      </c>
      <c r="C295" s="96" t="s">
        <v>2231</v>
      </c>
      <c r="D295" s="95" t="s">
        <v>130</v>
      </c>
      <c r="E295" s="95" t="s">
        <v>917</v>
      </c>
      <c r="F295" s="95" t="s">
        <v>19</v>
      </c>
      <c r="G295" s="95" t="s">
        <v>19</v>
      </c>
      <c r="H295" s="95" t="s">
        <v>21</v>
      </c>
      <c r="I295" s="95" t="s">
        <v>781</v>
      </c>
      <c r="J295" s="97">
        <v>46003.09668672454</v>
      </c>
      <c r="K295" s="95" t="s">
        <v>2232</v>
      </c>
      <c r="L295" s="96" t="s">
        <v>2233</v>
      </c>
      <c r="M295" s="95" t="s">
        <v>54</v>
      </c>
      <c r="N295" s="95" t="s">
        <v>2234</v>
      </c>
      <c r="O295" s="95" t="s">
        <v>2234</v>
      </c>
      <c r="P295" s="95" t="s">
        <v>2235</v>
      </c>
      <c r="Q295" s="98">
        <v>3.0</v>
      </c>
      <c r="R295" s="97">
        <v>45863.75856481482</v>
      </c>
      <c r="S295" s="99">
        <v>1505.0</v>
      </c>
      <c r="T295" s="99">
        <v>8285.0</v>
      </c>
      <c r="U295" s="99">
        <v>1.0</v>
      </c>
      <c r="V295" s="99">
        <v>174.0</v>
      </c>
      <c r="W295" s="99">
        <v>159697.0</v>
      </c>
    </row>
    <row r="296" ht="15.75" customHeight="1">
      <c r="A296" s="95" t="s">
        <v>2236</v>
      </c>
      <c r="B296" s="95" t="s">
        <v>22</v>
      </c>
      <c r="C296" s="96" t="s">
        <v>2237</v>
      </c>
      <c r="D296" s="95" t="s">
        <v>29</v>
      </c>
      <c r="E296" s="95" t="s">
        <v>598</v>
      </c>
      <c r="F296" s="95" t="s">
        <v>19</v>
      </c>
      <c r="G296" s="95" t="s">
        <v>574</v>
      </c>
      <c r="H296" s="95" t="s">
        <v>21</v>
      </c>
      <c r="I296" s="95" t="s">
        <v>567</v>
      </c>
      <c r="J296" s="97">
        <v>46042.73634230324</v>
      </c>
      <c r="K296" s="95" t="s">
        <v>2238</v>
      </c>
      <c r="L296" s="96" t="s">
        <v>2239</v>
      </c>
      <c r="M296" s="95" t="s">
        <v>74</v>
      </c>
      <c r="N296" s="95" t="s">
        <v>2240</v>
      </c>
      <c r="O296" s="95" t="s">
        <v>2240</v>
      </c>
      <c r="P296" s="95" t="s">
        <v>2241</v>
      </c>
      <c r="Q296" s="98">
        <v>3.0</v>
      </c>
      <c r="R296" s="97">
        <v>45630.90643518518</v>
      </c>
      <c r="S296" s="99">
        <v>764.0</v>
      </c>
      <c r="T296" s="99">
        <v>50.0</v>
      </c>
      <c r="U296" s="99">
        <v>4.0</v>
      </c>
      <c r="V296" s="99">
        <v>79.0</v>
      </c>
      <c r="W296" s="99">
        <v>109772.0</v>
      </c>
    </row>
    <row r="297" ht="15.75" customHeight="1">
      <c r="A297" s="95" t="s">
        <v>2242</v>
      </c>
      <c r="B297" s="95" t="s">
        <v>22</v>
      </c>
      <c r="C297" s="96" t="s">
        <v>2243</v>
      </c>
      <c r="D297" s="95" t="s">
        <v>20</v>
      </c>
      <c r="E297" s="95" t="s">
        <v>638</v>
      </c>
      <c r="F297" s="95" t="s">
        <v>19</v>
      </c>
      <c r="G297" s="95" t="s">
        <v>19</v>
      </c>
      <c r="H297" s="95" t="s">
        <v>21</v>
      </c>
      <c r="I297" s="95" t="s">
        <v>567</v>
      </c>
      <c r="J297" s="97">
        <v>45996.58845506945</v>
      </c>
      <c r="K297" s="95" t="s">
        <v>2244</v>
      </c>
      <c r="L297" s="95"/>
      <c r="M297" s="95" t="s">
        <v>93</v>
      </c>
      <c r="N297" s="95" t="s">
        <v>2245</v>
      </c>
      <c r="O297" s="95" t="s">
        <v>2245</v>
      </c>
      <c r="P297" s="95" t="s">
        <v>2246</v>
      </c>
      <c r="Q297" s="98">
        <v>3.0</v>
      </c>
      <c r="R297" s="97">
        <v>45982.7529050926</v>
      </c>
      <c r="S297" s="99">
        <v>262.0</v>
      </c>
      <c r="T297" s="99">
        <v>1857.0</v>
      </c>
      <c r="U297" s="99">
        <v>31.0</v>
      </c>
      <c r="V297" s="99">
        <v>213.0</v>
      </c>
      <c r="W297" s="99">
        <v>999999.0</v>
      </c>
    </row>
    <row r="298" ht="15.75" customHeight="1">
      <c r="A298" s="95" t="s">
        <v>2247</v>
      </c>
      <c r="B298" s="95" t="s">
        <v>22</v>
      </c>
      <c r="C298" s="96" t="s">
        <v>2248</v>
      </c>
      <c r="D298" s="95" t="s">
        <v>49</v>
      </c>
      <c r="E298" s="95" t="s">
        <v>581</v>
      </c>
      <c r="F298" s="95" t="s">
        <v>19</v>
      </c>
      <c r="G298" s="95" t="s">
        <v>574</v>
      </c>
      <c r="H298" s="95" t="s">
        <v>21</v>
      </c>
      <c r="I298" s="95" t="s">
        <v>567</v>
      </c>
      <c r="J298" s="97">
        <v>46021.49370376157</v>
      </c>
      <c r="K298" s="95" t="s">
        <v>2249</v>
      </c>
      <c r="L298" s="96" t="s">
        <v>2250</v>
      </c>
      <c r="M298" s="95" t="s">
        <v>54</v>
      </c>
      <c r="N298" s="95" t="s">
        <v>2251</v>
      </c>
      <c r="O298" s="95" t="s">
        <v>2251</v>
      </c>
      <c r="P298" s="95" t="s">
        <v>2252</v>
      </c>
      <c r="Q298" s="98">
        <v>3.0</v>
      </c>
      <c r="R298" s="97">
        <v>45944.68422453704</v>
      </c>
      <c r="S298" s="99">
        <v>1230.0</v>
      </c>
      <c r="T298" s="99">
        <v>155.0</v>
      </c>
      <c r="U298" s="99">
        <v>11.0</v>
      </c>
      <c r="V298" s="99">
        <v>520.0</v>
      </c>
      <c r="W298" s="99">
        <v>51439.0</v>
      </c>
    </row>
    <row r="299" ht="15.75" customHeight="1">
      <c r="A299" s="95" t="s">
        <v>2253</v>
      </c>
      <c r="B299" s="95" t="s">
        <v>22</v>
      </c>
      <c r="C299" s="96" t="s">
        <v>2254</v>
      </c>
      <c r="D299" s="95" t="s">
        <v>59</v>
      </c>
      <c r="E299" s="95" t="s">
        <v>738</v>
      </c>
      <c r="F299" s="95" t="s">
        <v>19</v>
      </c>
      <c r="G299" s="95" t="s">
        <v>839</v>
      </c>
      <c r="H299" s="95" t="s">
        <v>21</v>
      </c>
      <c r="I299" s="95" t="s">
        <v>589</v>
      </c>
      <c r="J299" s="97">
        <v>46003.09668672454</v>
      </c>
      <c r="K299" s="95" t="s">
        <v>2255</v>
      </c>
      <c r="L299" s="96" t="s">
        <v>2256</v>
      </c>
      <c r="M299" s="95" t="s">
        <v>54</v>
      </c>
      <c r="N299" s="95" t="s">
        <v>2257</v>
      </c>
      <c r="O299" s="95" t="s">
        <v>2257</v>
      </c>
      <c r="P299" s="95" t="s">
        <v>2258</v>
      </c>
      <c r="Q299" s="98">
        <v>3.0</v>
      </c>
      <c r="R299" s="97">
        <v>45763.17887731481</v>
      </c>
      <c r="S299" s="99">
        <v>491.0</v>
      </c>
      <c r="T299" s="99">
        <v>50.0</v>
      </c>
      <c r="U299" s="99">
        <v>1.0</v>
      </c>
      <c r="V299" s="99">
        <v>76.0</v>
      </c>
      <c r="W299" s="99">
        <v>54190.0</v>
      </c>
    </row>
    <row r="300" ht="15.75" customHeight="1">
      <c r="A300" s="95" t="s">
        <v>2259</v>
      </c>
      <c r="B300" s="95" t="s">
        <v>101</v>
      </c>
      <c r="C300" s="96" t="s">
        <v>2260</v>
      </c>
      <c r="D300" s="95" t="s">
        <v>20</v>
      </c>
      <c r="E300" s="95" t="s">
        <v>2261</v>
      </c>
      <c r="F300" s="95" t="s">
        <v>19</v>
      </c>
      <c r="G300" s="95" t="s">
        <v>588</v>
      </c>
      <c r="H300" s="95" t="s">
        <v>21</v>
      </c>
      <c r="I300" s="95" t="s">
        <v>607</v>
      </c>
      <c r="J300" s="97">
        <v>46021.51011266204</v>
      </c>
      <c r="K300" s="95" t="s">
        <v>2262</v>
      </c>
      <c r="L300" s="96" t="s">
        <v>2263</v>
      </c>
      <c r="M300" s="95" t="s">
        <v>28</v>
      </c>
      <c r="N300" s="95" t="s">
        <v>2264</v>
      </c>
      <c r="O300" s="95" t="s">
        <v>2264</v>
      </c>
      <c r="P300" s="95" t="s">
        <v>2265</v>
      </c>
      <c r="Q300" s="98">
        <v>3.0</v>
      </c>
      <c r="R300" s="97">
        <v>45769.66797453703</v>
      </c>
      <c r="S300" s="99">
        <v>99.0</v>
      </c>
      <c r="T300" s="99">
        <v>59.0</v>
      </c>
      <c r="U300" s="99">
        <v>3.0</v>
      </c>
      <c r="V300" s="99">
        <v>70.0</v>
      </c>
      <c r="W300" s="99">
        <v>8006.0</v>
      </c>
    </row>
    <row r="301" ht="15.75" customHeight="1">
      <c r="A301" s="95" t="s">
        <v>2266</v>
      </c>
      <c r="B301" s="95" t="s">
        <v>22</v>
      </c>
      <c r="C301" s="96" t="s">
        <v>2267</v>
      </c>
      <c r="D301" s="95" t="s">
        <v>124</v>
      </c>
      <c r="E301" s="95" t="s">
        <v>1731</v>
      </c>
      <c r="F301" s="95" t="s">
        <v>19</v>
      </c>
      <c r="G301" s="95" t="s">
        <v>19</v>
      </c>
      <c r="H301" s="95" t="s">
        <v>21</v>
      </c>
      <c r="I301" s="95" t="s">
        <v>567</v>
      </c>
      <c r="J301" s="97">
        <v>45975.67934009259</v>
      </c>
      <c r="K301" s="96" t="s">
        <v>2268</v>
      </c>
      <c r="L301" s="96" t="s">
        <v>2269</v>
      </c>
      <c r="M301" s="95" t="s">
        <v>17</v>
      </c>
      <c r="N301" s="95" t="s">
        <v>2270</v>
      </c>
      <c r="O301" s="95" t="s">
        <v>2270</v>
      </c>
      <c r="P301" s="95" t="s">
        <v>2271</v>
      </c>
      <c r="Q301" s="98">
        <v>3.0</v>
      </c>
      <c r="R301" s="97">
        <v>45694.79023148148</v>
      </c>
      <c r="S301" s="99">
        <v>71.0</v>
      </c>
      <c r="T301" s="99">
        <v>53.0</v>
      </c>
      <c r="U301" s="99">
        <v>2.0</v>
      </c>
      <c r="V301" s="99">
        <v>66.0</v>
      </c>
      <c r="W301" s="99">
        <v>8977.0</v>
      </c>
    </row>
    <row r="302" ht="15.75" customHeight="1">
      <c r="A302" s="95" t="s">
        <v>2272</v>
      </c>
      <c r="B302" s="95" t="s">
        <v>22</v>
      </c>
      <c r="C302" s="96" t="s">
        <v>2273</v>
      </c>
      <c r="D302" s="95" t="s">
        <v>130</v>
      </c>
      <c r="E302" s="95" t="s">
        <v>2274</v>
      </c>
      <c r="F302" s="95" t="s">
        <v>88</v>
      </c>
      <c r="G302" s="95" t="s">
        <v>88</v>
      </c>
      <c r="H302" s="95" t="s">
        <v>21</v>
      </c>
      <c r="I302" s="95" t="s">
        <v>589</v>
      </c>
      <c r="J302" s="97">
        <v>46069.65903020834</v>
      </c>
      <c r="K302" s="95" t="s">
        <v>2275</v>
      </c>
      <c r="L302" s="96" t="s">
        <v>2276</v>
      </c>
      <c r="M302" s="95" t="s">
        <v>93</v>
      </c>
      <c r="N302" s="95" t="s">
        <v>2277</v>
      </c>
      <c r="O302" s="95" t="s">
        <v>2277</v>
      </c>
      <c r="P302" s="95" t="s">
        <v>2278</v>
      </c>
      <c r="Q302" s="98">
        <v>3.0</v>
      </c>
      <c r="R302" s="97">
        <v>46058.33204861111</v>
      </c>
      <c r="S302" s="99">
        <v>731.0</v>
      </c>
      <c r="T302" s="99">
        <v>25.0</v>
      </c>
      <c r="U302" s="99">
        <v>3.0</v>
      </c>
      <c r="V302" s="99">
        <v>99.0</v>
      </c>
      <c r="W302" s="99">
        <v>1414975.0</v>
      </c>
    </row>
    <row r="303" ht="15.75" customHeight="1">
      <c r="A303" s="95" t="s">
        <v>2279</v>
      </c>
      <c r="B303" s="95" t="s">
        <v>22</v>
      </c>
      <c r="C303" s="96" t="s">
        <v>2280</v>
      </c>
      <c r="D303" s="95" t="s">
        <v>124</v>
      </c>
      <c r="E303" s="95" t="s">
        <v>2281</v>
      </c>
      <c r="F303" s="95" t="s">
        <v>19</v>
      </c>
      <c r="G303" s="95" t="s">
        <v>19</v>
      </c>
      <c r="H303" s="95" t="s">
        <v>21</v>
      </c>
      <c r="I303" s="95" t="s">
        <v>567</v>
      </c>
      <c r="J303" s="97">
        <v>46069.65903020834</v>
      </c>
      <c r="K303" s="95" t="s">
        <v>2282</v>
      </c>
      <c r="L303" s="96" t="s">
        <v>2283</v>
      </c>
      <c r="M303" s="95" t="s">
        <v>93</v>
      </c>
      <c r="N303" s="95" t="s">
        <v>2277</v>
      </c>
      <c r="O303" s="95" t="s">
        <v>2277</v>
      </c>
      <c r="P303" s="95" t="s">
        <v>2278</v>
      </c>
      <c r="Q303" s="98">
        <v>3.0</v>
      </c>
      <c r="R303" s="97">
        <v>46058.36050925926</v>
      </c>
      <c r="S303" s="99">
        <v>731.0</v>
      </c>
      <c r="T303" s="99">
        <v>29.0</v>
      </c>
      <c r="U303" s="99">
        <v>2.0</v>
      </c>
      <c r="V303" s="99">
        <v>174.0</v>
      </c>
      <c r="W303" s="99">
        <v>1414975.0</v>
      </c>
    </row>
    <row r="304" ht="15.75" customHeight="1">
      <c r="A304" s="95" t="s">
        <v>2284</v>
      </c>
      <c r="B304" s="95" t="s">
        <v>22</v>
      </c>
      <c r="C304" s="96" t="s">
        <v>2285</v>
      </c>
      <c r="D304" s="95" t="s">
        <v>59</v>
      </c>
      <c r="E304" s="95" t="s">
        <v>738</v>
      </c>
      <c r="F304" s="95" t="s">
        <v>19</v>
      </c>
      <c r="G304" s="95" t="s">
        <v>19</v>
      </c>
      <c r="H304" s="95" t="s">
        <v>21</v>
      </c>
      <c r="I304" s="95" t="s">
        <v>589</v>
      </c>
      <c r="J304" s="97">
        <v>46021.49370376157</v>
      </c>
      <c r="K304" s="95" t="s">
        <v>2286</v>
      </c>
      <c r="L304" s="96" t="s">
        <v>2287</v>
      </c>
      <c r="M304" s="95" t="s">
        <v>54</v>
      </c>
      <c r="N304" s="95" t="s">
        <v>2288</v>
      </c>
      <c r="O304" s="95" t="s">
        <v>2288</v>
      </c>
      <c r="P304" s="95" t="s">
        <v>2289</v>
      </c>
      <c r="Q304" s="98">
        <v>3.0</v>
      </c>
      <c r="R304" s="97">
        <v>45758.86096064815</v>
      </c>
      <c r="S304" s="99">
        <v>353.0</v>
      </c>
      <c r="T304" s="99">
        <v>188.0</v>
      </c>
      <c r="U304" s="99">
        <v>5.0</v>
      </c>
      <c r="V304" s="99">
        <v>24.0</v>
      </c>
      <c r="W304" s="99">
        <v>37047.0</v>
      </c>
    </row>
    <row r="305" ht="15.75" customHeight="1">
      <c r="A305" s="95" t="s">
        <v>2290</v>
      </c>
      <c r="B305" s="95" t="s">
        <v>101</v>
      </c>
      <c r="C305" s="96" t="s">
        <v>2291</v>
      </c>
      <c r="D305" s="95" t="s">
        <v>39</v>
      </c>
      <c r="E305" s="95" t="s">
        <v>960</v>
      </c>
      <c r="F305" s="95" t="s">
        <v>19</v>
      </c>
      <c r="G305" s="95" t="s">
        <v>574</v>
      </c>
      <c r="H305" s="95" t="s">
        <v>21</v>
      </c>
      <c r="I305" s="95" t="s">
        <v>1504</v>
      </c>
      <c r="J305" s="97">
        <v>46021.49370376157</v>
      </c>
      <c r="K305" s="95" t="s">
        <v>2292</v>
      </c>
      <c r="L305" s="96" t="s">
        <v>2293</v>
      </c>
      <c r="M305" s="95" t="s">
        <v>54</v>
      </c>
      <c r="N305" s="95" t="s">
        <v>2288</v>
      </c>
      <c r="O305" s="95" t="s">
        <v>2288</v>
      </c>
      <c r="P305" s="95" t="s">
        <v>2289</v>
      </c>
      <c r="Q305" s="98">
        <v>3.0</v>
      </c>
      <c r="R305" s="97">
        <v>45772.2875462963</v>
      </c>
      <c r="S305" s="99">
        <v>353.0</v>
      </c>
      <c r="T305" s="99">
        <v>729.0</v>
      </c>
      <c r="U305" s="99">
        <v>15.0</v>
      </c>
      <c r="V305" s="99">
        <v>206.0</v>
      </c>
      <c r="W305" s="99">
        <v>37047.0</v>
      </c>
    </row>
    <row r="306" ht="15.75" customHeight="1">
      <c r="A306" s="95" t="s">
        <v>2294</v>
      </c>
      <c r="B306" s="95" t="s">
        <v>101</v>
      </c>
      <c r="C306" s="96" t="s">
        <v>2295</v>
      </c>
      <c r="D306" s="95" t="s">
        <v>59</v>
      </c>
      <c r="E306" s="95" t="s">
        <v>59</v>
      </c>
      <c r="F306" s="95" t="s">
        <v>19</v>
      </c>
      <c r="G306" s="95" t="s">
        <v>19</v>
      </c>
      <c r="H306" s="95" t="s">
        <v>21</v>
      </c>
      <c r="I306" s="95" t="s">
        <v>607</v>
      </c>
      <c r="J306" s="97">
        <v>45977.14386478009</v>
      </c>
      <c r="K306" s="95" t="s">
        <v>2296</v>
      </c>
      <c r="L306" s="96" t="s">
        <v>2297</v>
      </c>
      <c r="M306" s="95" t="s">
        <v>17</v>
      </c>
      <c r="N306" s="95" t="s">
        <v>2298</v>
      </c>
      <c r="O306" s="95" t="s">
        <v>2298</v>
      </c>
      <c r="P306" s="95" t="s">
        <v>2299</v>
      </c>
      <c r="Q306" s="98">
        <v>3.0</v>
      </c>
      <c r="R306" s="97">
        <v>45803.2891087963</v>
      </c>
      <c r="S306" s="99">
        <v>72.0</v>
      </c>
      <c r="T306" s="99">
        <v>10.0</v>
      </c>
      <c r="U306" s="99">
        <v>1.0</v>
      </c>
      <c r="V306" s="99">
        <v>25.0</v>
      </c>
      <c r="W306" s="99">
        <v>11056.0</v>
      </c>
    </row>
    <row r="307" ht="15.75" customHeight="1">
      <c r="A307" s="95" t="s">
        <v>2300</v>
      </c>
      <c r="B307" s="95" t="s">
        <v>157</v>
      </c>
      <c r="C307" s="96" t="s">
        <v>2301</v>
      </c>
      <c r="D307" s="95" t="s">
        <v>59</v>
      </c>
      <c r="E307" s="95" t="s">
        <v>59</v>
      </c>
      <c r="F307" s="95" t="s">
        <v>88</v>
      </c>
      <c r="G307" s="95" t="s">
        <v>858</v>
      </c>
      <c r="H307" s="95" t="s">
        <v>89</v>
      </c>
      <c r="I307" s="95" t="s">
        <v>859</v>
      </c>
      <c r="J307" s="97">
        <v>45977.14561378472</v>
      </c>
      <c r="K307" s="95" t="s">
        <v>2302</v>
      </c>
      <c r="L307" s="96" t="s">
        <v>2303</v>
      </c>
      <c r="M307" s="95" t="s">
        <v>17</v>
      </c>
      <c r="N307" s="95" t="s">
        <v>2298</v>
      </c>
      <c r="O307" s="95" t="s">
        <v>2298</v>
      </c>
      <c r="P307" s="95" t="s">
        <v>2299</v>
      </c>
      <c r="Q307" s="98">
        <v>3.0</v>
      </c>
      <c r="R307" s="97">
        <v>45623.60634259259</v>
      </c>
      <c r="S307" s="99">
        <v>72.0</v>
      </c>
      <c r="T307" s="99">
        <v>11.0</v>
      </c>
      <c r="U307" s="99">
        <v>86.0</v>
      </c>
      <c r="V307" s="99">
        <v>90.0</v>
      </c>
      <c r="W307" s="99">
        <v>11056.0</v>
      </c>
    </row>
    <row r="308" ht="15.75" customHeight="1">
      <c r="A308" s="95" t="s">
        <v>2304</v>
      </c>
      <c r="B308" s="95" t="s">
        <v>131</v>
      </c>
      <c r="C308" s="96" t="s">
        <v>2305</v>
      </c>
      <c r="D308" s="95" t="s">
        <v>29</v>
      </c>
      <c r="E308" s="95" t="s">
        <v>29</v>
      </c>
      <c r="F308" s="95" t="s">
        <v>58</v>
      </c>
      <c r="G308" s="95" t="s">
        <v>1450</v>
      </c>
      <c r="H308" s="95" t="s">
        <v>136</v>
      </c>
      <c r="I308" s="95" t="s">
        <v>2306</v>
      </c>
      <c r="J308" s="97">
        <v>45978.47342445602</v>
      </c>
      <c r="K308" s="95" t="s">
        <v>2307</v>
      </c>
      <c r="L308" s="95"/>
      <c r="M308" s="95" t="s">
        <v>504</v>
      </c>
      <c r="N308" s="95" t="s">
        <v>2308</v>
      </c>
      <c r="O308" s="95" t="s">
        <v>2308</v>
      </c>
      <c r="P308" s="95" t="s">
        <v>2309</v>
      </c>
      <c r="Q308" s="98">
        <v>3.0</v>
      </c>
      <c r="R308" s="97">
        <v>45679.63815972222</v>
      </c>
      <c r="S308" s="99">
        <v>8763.0</v>
      </c>
      <c r="T308" s="99">
        <v>8148.0</v>
      </c>
      <c r="U308" s="99">
        <v>3.0</v>
      </c>
      <c r="V308" s="99">
        <v>21.0</v>
      </c>
      <c r="W308" s="99">
        <v>227403.0</v>
      </c>
    </row>
    <row r="309" ht="15.75" customHeight="1">
      <c r="A309" s="95" t="s">
        <v>2310</v>
      </c>
      <c r="B309" s="95" t="s">
        <v>22</v>
      </c>
      <c r="C309" s="96" t="s">
        <v>2311</v>
      </c>
      <c r="D309" s="95" t="s">
        <v>29</v>
      </c>
      <c r="E309" s="95" t="s">
        <v>598</v>
      </c>
      <c r="F309" s="95" t="s">
        <v>19</v>
      </c>
      <c r="G309" s="95" t="s">
        <v>19</v>
      </c>
      <c r="H309" s="95" t="s">
        <v>21</v>
      </c>
      <c r="I309" s="95" t="s">
        <v>567</v>
      </c>
      <c r="J309" s="97">
        <v>46006.50470166666</v>
      </c>
      <c r="K309" s="95" t="s">
        <v>2312</v>
      </c>
      <c r="L309" s="95"/>
      <c r="M309" s="95" t="s">
        <v>504</v>
      </c>
      <c r="N309" s="95" t="s">
        <v>2308</v>
      </c>
      <c r="O309" s="95" t="s">
        <v>2308</v>
      </c>
      <c r="P309" s="95" t="s">
        <v>2309</v>
      </c>
      <c r="Q309" s="98">
        <v>3.0</v>
      </c>
      <c r="R309" s="97">
        <v>45607.66398148148</v>
      </c>
      <c r="S309" s="99">
        <v>8763.0</v>
      </c>
      <c r="T309" s="99">
        <v>8067.0</v>
      </c>
      <c r="U309" s="99">
        <v>27.0</v>
      </c>
      <c r="V309" s="99">
        <v>194.0</v>
      </c>
      <c r="W309" s="99">
        <v>227403.0</v>
      </c>
    </row>
    <row r="310" ht="15.75" customHeight="1">
      <c r="A310" s="95" t="s">
        <v>2313</v>
      </c>
      <c r="B310" s="95" t="s">
        <v>22</v>
      </c>
      <c r="C310" s="96" t="s">
        <v>2314</v>
      </c>
      <c r="D310" s="95" t="s">
        <v>168</v>
      </c>
      <c r="E310" s="95" t="s">
        <v>168</v>
      </c>
      <c r="F310" s="95" t="s">
        <v>19</v>
      </c>
      <c r="G310" s="95" t="s">
        <v>1427</v>
      </c>
      <c r="H310" s="95" t="s">
        <v>21</v>
      </c>
      <c r="I310" s="95" t="s">
        <v>943</v>
      </c>
      <c r="J310" s="97">
        <v>45977.67557481481</v>
      </c>
      <c r="K310" s="95" t="s">
        <v>2315</v>
      </c>
      <c r="L310" s="95"/>
      <c r="M310" s="95" t="s">
        <v>17</v>
      </c>
      <c r="N310" s="95" t="s">
        <v>2316</v>
      </c>
      <c r="O310" s="95" t="s">
        <v>2316</v>
      </c>
      <c r="P310" s="95" t="s">
        <v>2317</v>
      </c>
      <c r="Q310" s="98">
        <v>3.0</v>
      </c>
      <c r="R310" s="97">
        <v>45901.5504050926</v>
      </c>
      <c r="S310" s="99">
        <v>354.0</v>
      </c>
      <c r="T310" s="99">
        <v>2.0</v>
      </c>
      <c r="U310" s="99">
        <v>13.0</v>
      </c>
      <c r="V310" s="99">
        <v>248.0</v>
      </c>
      <c r="W310" s="99">
        <v>91684.0</v>
      </c>
    </row>
    <row r="311" ht="15.75" customHeight="1">
      <c r="A311" s="95" t="s">
        <v>2318</v>
      </c>
      <c r="B311" s="95" t="s">
        <v>131</v>
      </c>
      <c r="C311" s="96" t="s">
        <v>2319</v>
      </c>
      <c r="D311" s="95" t="s">
        <v>39</v>
      </c>
      <c r="E311" s="95" t="s">
        <v>614</v>
      </c>
      <c r="F311" s="95" t="s">
        <v>19</v>
      </c>
      <c r="G311" s="95" t="s">
        <v>574</v>
      </c>
      <c r="H311" s="95" t="s">
        <v>21</v>
      </c>
      <c r="I311" s="95" t="s">
        <v>2215</v>
      </c>
      <c r="J311" s="97">
        <v>45975.67938763889</v>
      </c>
      <c r="K311" s="96" t="s">
        <v>2320</v>
      </c>
      <c r="L311" s="96" t="s">
        <v>2321</v>
      </c>
      <c r="M311" s="95" t="s">
        <v>74</v>
      </c>
      <c r="N311" s="95" t="s">
        <v>2322</v>
      </c>
      <c r="O311" s="95" t="s">
        <v>2322</v>
      </c>
      <c r="P311" s="95" t="s">
        <v>2323</v>
      </c>
      <c r="Q311" s="98">
        <v>3.0</v>
      </c>
      <c r="R311" s="97">
        <v>45796.61107638889</v>
      </c>
      <c r="S311" s="99">
        <v>161.0</v>
      </c>
      <c r="T311" s="99">
        <v>14.0</v>
      </c>
      <c r="U311" s="99">
        <v>12.0</v>
      </c>
      <c r="V311" s="99">
        <v>51.0</v>
      </c>
      <c r="W311" s="99">
        <v>14470.0</v>
      </c>
    </row>
    <row r="312" ht="15.75" customHeight="1">
      <c r="A312" s="95" t="s">
        <v>2324</v>
      </c>
      <c r="B312" s="95" t="s">
        <v>22</v>
      </c>
      <c r="C312" s="96" t="s">
        <v>2325</v>
      </c>
      <c r="D312" s="95" t="s">
        <v>39</v>
      </c>
      <c r="E312" s="95" t="s">
        <v>39</v>
      </c>
      <c r="F312" s="95" t="s">
        <v>19</v>
      </c>
      <c r="G312" s="95" t="s">
        <v>19</v>
      </c>
      <c r="H312" s="95" t="s">
        <v>21</v>
      </c>
      <c r="I312" s="95" t="s">
        <v>589</v>
      </c>
      <c r="J312" s="97">
        <v>45975.67938763889</v>
      </c>
      <c r="K312" s="96" t="s">
        <v>2326</v>
      </c>
      <c r="L312" s="96" t="s">
        <v>2327</v>
      </c>
      <c r="M312" s="95" t="s">
        <v>74</v>
      </c>
      <c r="N312" s="95" t="s">
        <v>2328</v>
      </c>
      <c r="O312" s="95" t="s">
        <v>2328</v>
      </c>
      <c r="P312" s="95" t="s">
        <v>2329</v>
      </c>
      <c r="Q312" s="98">
        <v>3.0</v>
      </c>
      <c r="R312" s="97">
        <v>45921.81033564815</v>
      </c>
      <c r="S312" s="99">
        <v>4199.0</v>
      </c>
      <c r="T312" s="99">
        <v>1087.0</v>
      </c>
      <c r="U312" s="99">
        <v>12.0</v>
      </c>
      <c r="V312" s="99">
        <v>128.0</v>
      </c>
      <c r="W312" s="99">
        <v>52563.0</v>
      </c>
    </row>
    <row r="313" ht="15.75" customHeight="1">
      <c r="A313" s="95" t="s">
        <v>2330</v>
      </c>
      <c r="B313" s="95" t="s">
        <v>131</v>
      </c>
      <c r="C313" s="96" t="s">
        <v>2331</v>
      </c>
      <c r="D313" s="95" t="s">
        <v>130</v>
      </c>
      <c r="E313" s="95" t="s">
        <v>917</v>
      </c>
      <c r="F313" s="95" t="s">
        <v>58</v>
      </c>
      <c r="G313" s="95" t="s">
        <v>58</v>
      </c>
      <c r="H313" s="95" t="s">
        <v>60</v>
      </c>
      <c r="I313" s="95" t="s">
        <v>2332</v>
      </c>
      <c r="J313" s="97">
        <v>46041.0681202199</v>
      </c>
      <c r="K313" s="95" t="s">
        <v>2333</v>
      </c>
      <c r="L313" s="95"/>
      <c r="M313" s="95" t="s">
        <v>93</v>
      </c>
      <c r="N313" s="95" t="s">
        <v>2334</v>
      </c>
      <c r="O313" s="95" t="s">
        <v>2334</v>
      </c>
      <c r="P313" s="95" t="s">
        <v>2335</v>
      </c>
      <c r="Q313" s="98">
        <v>3.0</v>
      </c>
      <c r="R313" s="97">
        <v>45975.29319444444</v>
      </c>
      <c r="S313" s="99">
        <v>4010.0</v>
      </c>
      <c r="T313" s="99">
        <v>242.0</v>
      </c>
      <c r="U313" s="99">
        <v>3.0</v>
      </c>
      <c r="V313" s="99">
        <v>254.0</v>
      </c>
      <c r="W313" s="99">
        <v>999999.0</v>
      </c>
    </row>
    <row r="314" ht="15.75" customHeight="1">
      <c r="A314" s="95" t="s">
        <v>2336</v>
      </c>
      <c r="B314" s="95" t="s">
        <v>22</v>
      </c>
      <c r="C314" s="96" t="s">
        <v>2337</v>
      </c>
      <c r="D314" s="95" t="s">
        <v>124</v>
      </c>
      <c r="E314" s="95" t="s">
        <v>2338</v>
      </c>
      <c r="F314" s="95" t="s">
        <v>19</v>
      </c>
      <c r="G314" s="95" t="s">
        <v>19</v>
      </c>
      <c r="H314" s="95" t="s">
        <v>21</v>
      </c>
      <c r="I314" s="95" t="s">
        <v>589</v>
      </c>
      <c r="J314" s="97">
        <v>46056.94365949074</v>
      </c>
      <c r="K314" s="95" t="s">
        <v>2339</v>
      </c>
      <c r="L314" s="95"/>
      <c r="M314" s="95" t="s">
        <v>93</v>
      </c>
      <c r="N314" s="95" t="s">
        <v>2334</v>
      </c>
      <c r="O314" s="95" t="s">
        <v>2334</v>
      </c>
      <c r="P314" s="95" t="s">
        <v>2335</v>
      </c>
      <c r="Q314" s="98">
        <v>3.0</v>
      </c>
      <c r="R314" s="97">
        <v>45902.54987268519</v>
      </c>
      <c r="S314" s="99">
        <v>4010.0</v>
      </c>
      <c r="T314" s="99">
        <v>53.0</v>
      </c>
      <c r="U314" s="99">
        <v>1.0</v>
      </c>
      <c r="V314" s="99">
        <v>98.0</v>
      </c>
      <c r="W314" s="99">
        <v>999999.0</v>
      </c>
    </row>
    <row r="315" ht="15.75" customHeight="1">
      <c r="A315" s="95" t="s">
        <v>2340</v>
      </c>
      <c r="B315" s="95" t="s">
        <v>22</v>
      </c>
      <c r="C315" s="96" t="s">
        <v>2341</v>
      </c>
      <c r="D315" s="95" t="s">
        <v>124</v>
      </c>
      <c r="E315" s="95" t="s">
        <v>1966</v>
      </c>
      <c r="F315" s="95" t="s">
        <v>19</v>
      </c>
      <c r="G315" s="95" t="s">
        <v>19</v>
      </c>
      <c r="H315" s="95" t="s">
        <v>21</v>
      </c>
      <c r="I315" s="95" t="s">
        <v>567</v>
      </c>
      <c r="J315" s="97">
        <v>46056.94365949074</v>
      </c>
      <c r="K315" s="95" t="s">
        <v>2342</v>
      </c>
      <c r="L315" s="95"/>
      <c r="M315" s="95" t="s">
        <v>93</v>
      </c>
      <c r="N315" s="95" t="s">
        <v>2334</v>
      </c>
      <c r="O315" s="95" t="s">
        <v>2334</v>
      </c>
      <c r="P315" s="95" t="s">
        <v>2335</v>
      </c>
      <c r="Q315" s="98">
        <v>3.0</v>
      </c>
      <c r="R315" s="97">
        <v>46003.6281712963</v>
      </c>
      <c r="S315" s="99">
        <v>4010.0</v>
      </c>
      <c r="T315" s="99">
        <v>146.0</v>
      </c>
      <c r="U315" s="99">
        <v>2.0</v>
      </c>
      <c r="V315" s="99">
        <v>234.0</v>
      </c>
      <c r="W315" s="99">
        <v>999999.0</v>
      </c>
    </row>
    <row r="316" ht="15.75" customHeight="1">
      <c r="A316" s="95" t="s">
        <v>2343</v>
      </c>
      <c r="B316" s="95" t="s">
        <v>22</v>
      </c>
      <c r="C316" s="96" t="s">
        <v>2344</v>
      </c>
      <c r="D316" s="95" t="s">
        <v>124</v>
      </c>
      <c r="E316" s="95" t="s">
        <v>1966</v>
      </c>
      <c r="F316" s="95" t="s">
        <v>19</v>
      </c>
      <c r="G316" s="95" t="s">
        <v>19</v>
      </c>
      <c r="H316" s="95" t="s">
        <v>21</v>
      </c>
      <c r="I316" s="95" t="s">
        <v>567</v>
      </c>
      <c r="J316" s="97">
        <v>46061.01717275463</v>
      </c>
      <c r="K316" s="95" t="s">
        <v>2345</v>
      </c>
      <c r="L316" s="95"/>
      <c r="M316" s="95" t="s">
        <v>93</v>
      </c>
      <c r="N316" s="95" t="s">
        <v>2334</v>
      </c>
      <c r="O316" s="95" t="s">
        <v>2334</v>
      </c>
      <c r="P316" s="95" t="s">
        <v>2335</v>
      </c>
      <c r="Q316" s="98">
        <v>3.0</v>
      </c>
      <c r="R316" s="97">
        <v>45628.88108796296</v>
      </c>
      <c r="S316" s="99">
        <v>4010.0</v>
      </c>
      <c r="T316" s="99">
        <v>3707.0</v>
      </c>
      <c r="U316" s="99">
        <v>6.0</v>
      </c>
      <c r="V316" s="99">
        <v>228.0</v>
      </c>
      <c r="W316" s="99">
        <v>999999.0</v>
      </c>
    </row>
    <row r="317" ht="15.75" customHeight="1">
      <c r="A317" s="95" t="s">
        <v>2346</v>
      </c>
      <c r="B317" s="95" t="s">
        <v>22</v>
      </c>
      <c r="C317" s="96" t="s">
        <v>2347</v>
      </c>
      <c r="D317" s="95" t="s">
        <v>124</v>
      </c>
      <c r="E317" s="95" t="s">
        <v>1966</v>
      </c>
      <c r="F317" s="95" t="s">
        <v>19</v>
      </c>
      <c r="G317" s="95" t="s">
        <v>19</v>
      </c>
      <c r="H317" s="95" t="s">
        <v>21</v>
      </c>
      <c r="I317" s="95" t="s">
        <v>567</v>
      </c>
      <c r="J317" s="97">
        <v>46061.01717275463</v>
      </c>
      <c r="K317" s="95" t="s">
        <v>2348</v>
      </c>
      <c r="L317" s="95"/>
      <c r="M317" s="95" t="s">
        <v>93</v>
      </c>
      <c r="N317" s="95" t="s">
        <v>2334</v>
      </c>
      <c r="O317" s="95" t="s">
        <v>2334</v>
      </c>
      <c r="P317" s="95" t="s">
        <v>2335</v>
      </c>
      <c r="Q317" s="98">
        <v>3.0</v>
      </c>
      <c r="R317" s="97">
        <v>45665.85663194444</v>
      </c>
      <c r="S317" s="99">
        <v>4010.0</v>
      </c>
      <c r="T317" s="99">
        <v>597.0</v>
      </c>
      <c r="U317" s="99">
        <v>3.0</v>
      </c>
      <c r="V317" s="99">
        <v>104.0</v>
      </c>
      <c r="W317" s="99">
        <v>999999.0</v>
      </c>
    </row>
    <row r="318" ht="15.75" customHeight="1">
      <c r="A318" s="95" t="s">
        <v>2349</v>
      </c>
      <c r="B318" s="95" t="s">
        <v>22</v>
      </c>
      <c r="C318" s="96" t="s">
        <v>2350</v>
      </c>
      <c r="D318" s="95" t="s">
        <v>130</v>
      </c>
      <c r="E318" s="95" t="s">
        <v>917</v>
      </c>
      <c r="F318" s="95" t="s">
        <v>88</v>
      </c>
      <c r="G318" s="95" t="s">
        <v>88</v>
      </c>
      <c r="H318" s="95" t="s">
        <v>21</v>
      </c>
      <c r="I318" s="95" t="s">
        <v>567</v>
      </c>
      <c r="J318" s="97">
        <v>46069.65739892361</v>
      </c>
      <c r="K318" s="95" t="s">
        <v>2351</v>
      </c>
      <c r="L318" s="95"/>
      <c r="M318" s="95" t="s">
        <v>93</v>
      </c>
      <c r="N318" s="95" t="s">
        <v>2334</v>
      </c>
      <c r="O318" s="95" t="s">
        <v>2334</v>
      </c>
      <c r="P318" s="95" t="s">
        <v>2335</v>
      </c>
      <c r="Q318" s="98">
        <v>3.0</v>
      </c>
      <c r="R318" s="97">
        <v>45800.51778935185</v>
      </c>
      <c r="S318" s="99">
        <v>4010.0</v>
      </c>
      <c r="T318" s="99">
        <v>4044.0</v>
      </c>
      <c r="U318" s="99">
        <v>108.0</v>
      </c>
      <c r="V318" s="99">
        <v>40.0</v>
      </c>
      <c r="W318" s="99">
        <v>999999.0</v>
      </c>
    </row>
    <row r="319" ht="15.75" customHeight="1">
      <c r="A319" s="95" t="s">
        <v>2352</v>
      </c>
      <c r="B319" s="95" t="s">
        <v>22</v>
      </c>
      <c r="C319" s="96" t="s">
        <v>2353</v>
      </c>
      <c r="D319" s="95" t="s">
        <v>124</v>
      </c>
      <c r="E319" s="95" t="s">
        <v>2338</v>
      </c>
      <c r="F319" s="95" t="s">
        <v>19</v>
      </c>
      <c r="G319" s="95" t="s">
        <v>19</v>
      </c>
      <c r="H319" s="95" t="s">
        <v>21</v>
      </c>
      <c r="I319" s="95" t="s">
        <v>567</v>
      </c>
      <c r="J319" s="97">
        <v>46072.60571417824</v>
      </c>
      <c r="K319" s="95" t="s">
        <v>2354</v>
      </c>
      <c r="L319" s="95"/>
      <c r="M319" s="95" t="s">
        <v>93</v>
      </c>
      <c r="N319" s="95" t="s">
        <v>2334</v>
      </c>
      <c r="O319" s="95" t="s">
        <v>2334</v>
      </c>
      <c r="P319" s="95" t="s">
        <v>2335</v>
      </c>
      <c r="Q319" s="98">
        <v>3.0</v>
      </c>
      <c r="R319" s="97">
        <v>45614.48680555556</v>
      </c>
      <c r="S319" s="99">
        <v>4010.0</v>
      </c>
      <c r="T319" s="99">
        <v>3681.0</v>
      </c>
      <c r="U319" s="99">
        <v>152.0</v>
      </c>
      <c r="V319" s="99">
        <v>549.0</v>
      </c>
      <c r="W319" s="99">
        <v>999999.0</v>
      </c>
    </row>
    <row r="320" ht="15.75" customHeight="1">
      <c r="A320" s="95" t="s">
        <v>2355</v>
      </c>
      <c r="B320" s="95" t="s">
        <v>22</v>
      </c>
      <c r="C320" s="96" t="s">
        <v>2356</v>
      </c>
      <c r="D320" s="95" t="s">
        <v>124</v>
      </c>
      <c r="E320" s="95" t="s">
        <v>1966</v>
      </c>
      <c r="F320" s="95" t="s">
        <v>19</v>
      </c>
      <c r="G320" s="95" t="s">
        <v>19</v>
      </c>
      <c r="H320" s="95" t="s">
        <v>21</v>
      </c>
      <c r="I320" s="95" t="s">
        <v>567</v>
      </c>
      <c r="J320" s="97">
        <v>46072.60571417824</v>
      </c>
      <c r="K320" s="95" t="s">
        <v>2357</v>
      </c>
      <c r="L320" s="95"/>
      <c r="M320" s="95" t="s">
        <v>93</v>
      </c>
      <c r="N320" s="95" t="s">
        <v>2334</v>
      </c>
      <c r="O320" s="95" t="s">
        <v>2334</v>
      </c>
      <c r="P320" s="95" t="s">
        <v>2335</v>
      </c>
      <c r="Q320" s="98">
        <v>3.0</v>
      </c>
      <c r="R320" s="97">
        <v>45635.77931712963</v>
      </c>
      <c r="S320" s="99">
        <v>4010.0</v>
      </c>
      <c r="T320" s="99">
        <v>1240.0</v>
      </c>
      <c r="U320" s="99">
        <v>8.0</v>
      </c>
      <c r="V320" s="99">
        <v>162.0</v>
      </c>
      <c r="W320" s="99">
        <v>999999.0</v>
      </c>
    </row>
    <row r="321" ht="15.75" customHeight="1">
      <c r="A321" s="95" t="s">
        <v>2358</v>
      </c>
      <c r="B321" s="95" t="s">
        <v>22</v>
      </c>
      <c r="C321" s="96" t="s">
        <v>2359</v>
      </c>
      <c r="D321" s="95" t="s">
        <v>130</v>
      </c>
      <c r="E321" s="95" t="s">
        <v>2360</v>
      </c>
      <c r="F321" s="95" t="s">
        <v>19</v>
      </c>
      <c r="G321" s="95" t="s">
        <v>19</v>
      </c>
      <c r="H321" s="95" t="s">
        <v>21</v>
      </c>
      <c r="I321" s="95" t="s">
        <v>567</v>
      </c>
      <c r="J321" s="97">
        <v>46072.60571417824</v>
      </c>
      <c r="K321" s="95" t="s">
        <v>2361</v>
      </c>
      <c r="L321" s="95"/>
      <c r="M321" s="95" t="s">
        <v>93</v>
      </c>
      <c r="N321" s="95" t="s">
        <v>2334</v>
      </c>
      <c r="O321" s="95" t="s">
        <v>2334</v>
      </c>
      <c r="P321" s="95" t="s">
        <v>2335</v>
      </c>
      <c r="Q321" s="98">
        <v>3.0</v>
      </c>
      <c r="R321" s="97">
        <v>45999.45559027778</v>
      </c>
      <c r="S321" s="99">
        <v>4010.0</v>
      </c>
      <c r="T321" s="99">
        <v>2466.0</v>
      </c>
      <c r="U321" s="99">
        <v>8.0</v>
      </c>
      <c r="V321" s="99">
        <v>136.0</v>
      </c>
      <c r="W321" s="99">
        <v>999999.0</v>
      </c>
    </row>
    <row r="322" ht="15.75" customHeight="1">
      <c r="A322" s="95" t="s">
        <v>2362</v>
      </c>
      <c r="B322" s="95" t="s">
        <v>69</v>
      </c>
      <c r="C322" s="96" t="s">
        <v>2363</v>
      </c>
      <c r="D322" s="95" t="s">
        <v>124</v>
      </c>
      <c r="E322" s="95" t="s">
        <v>2338</v>
      </c>
      <c r="F322" s="95" t="s">
        <v>88</v>
      </c>
      <c r="G322" s="95" t="s">
        <v>639</v>
      </c>
      <c r="H322" s="95" t="s">
        <v>89</v>
      </c>
      <c r="I322" s="95" t="s">
        <v>1922</v>
      </c>
      <c r="J322" s="97">
        <v>46056.94211379629</v>
      </c>
      <c r="K322" s="95" t="s">
        <v>2364</v>
      </c>
      <c r="L322" s="96" t="s">
        <v>2365</v>
      </c>
      <c r="M322" s="95" t="s">
        <v>93</v>
      </c>
      <c r="N322" s="95" t="s">
        <v>2366</v>
      </c>
      <c r="O322" s="95" t="s">
        <v>2366</v>
      </c>
      <c r="P322" s="95" t="s">
        <v>2367</v>
      </c>
      <c r="Q322" s="98">
        <v>3.0</v>
      </c>
      <c r="R322" s="97">
        <v>45876.25268518519</v>
      </c>
      <c r="S322" s="99">
        <v>4268.0</v>
      </c>
      <c r="T322" s="99">
        <v>15706.0</v>
      </c>
      <c r="U322" s="99">
        <v>3.0</v>
      </c>
      <c r="V322" s="99">
        <v>1250.0</v>
      </c>
      <c r="W322" s="99">
        <v>1090281.0</v>
      </c>
    </row>
    <row r="323" ht="15.75" customHeight="1">
      <c r="A323" s="95" t="s">
        <v>2368</v>
      </c>
      <c r="B323" s="95" t="s">
        <v>69</v>
      </c>
      <c r="C323" s="96" t="s">
        <v>2369</v>
      </c>
      <c r="D323" s="95" t="s">
        <v>124</v>
      </c>
      <c r="E323" s="95" t="s">
        <v>1731</v>
      </c>
      <c r="F323" s="95" t="s">
        <v>19</v>
      </c>
      <c r="G323" s="95" t="s">
        <v>19</v>
      </c>
      <c r="H323" s="95" t="s">
        <v>21</v>
      </c>
      <c r="I323" s="95" t="s">
        <v>998</v>
      </c>
      <c r="J323" s="97">
        <v>46056.931625</v>
      </c>
      <c r="K323" s="95" t="s">
        <v>2370</v>
      </c>
      <c r="L323" s="95"/>
      <c r="M323" s="95" t="s">
        <v>503</v>
      </c>
      <c r="N323" s="95" t="s">
        <v>2371</v>
      </c>
      <c r="O323" s="95" t="s">
        <v>2371</v>
      </c>
      <c r="P323" s="95" t="s">
        <v>2372</v>
      </c>
      <c r="Q323" s="98">
        <v>3.0</v>
      </c>
      <c r="R323" s="97">
        <v>45891.53295138889</v>
      </c>
      <c r="S323" s="99">
        <v>1651.0</v>
      </c>
      <c r="T323" s="99">
        <v>225.0</v>
      </c>
      <c r="U323" s="99">
        <v>153.0</v>
      </c>
      <c r="V323" s="99">
        <v>996.0</v>
      </c>
      <c r="W323" s="99">
        <v>88320.0</v>
      </c>
    </row>
    <row r="324" ht="15.75" customHeight="1">
      <c r="A324" s="95" t="s">
        <v>2373</v>
      </c>
      <c r="B324" s="95" t="s">
        <v>22</v>
      </c>
      <c r="C324" s="96" t="s">
        <v>2374</v>
      </c>
      <c r="D324" s="95" t="s">
        <v>124</v>
      </c>
      <c r="E324" s="95" t="s">
        <v>124</v>
      </c>
      <c r="F324" s="95" t="s">
        <v>19</v>
      </c>
      <c r="G324" s="95" t="s">
        <v>19</v>
      </c>
      <c r="H324" s="95" t="s">
        <v>21</v>
      </c>
      <c r="I324" s="95" t="s">
        <v>567</v>
      </c>
      <c r="J324" s="97">
        <v>46061.01653907407</v>
      </c>
      <c r="K324" s="95" t="s">
        <v>2375</v>
      </c>
      <c r="L324" s="95"/>
      <c r="M324" s="95" t="s">
        <v>503</v>
      </c>
      <c r="N324" s="95" t="s">
        <v>2371</v>
      </c>
      <c r="O324" s="95" t="s">
        <v>2371</v>
      </c>
      <c r="P324" s="95" t="s">
        <v>2372</v>
      </c>
      <c r="Q324" s="98">
        <v>3.0</v>
      </c>
      <c r="R324" s="97">
        <v>46006.53695601852</v>
      </c>
      <c r="S324" s="99">
        <v>1651.0</v>
      </c>
      <c r="T324" s="99">
        <v>346.0</v>
      </c>
      <c r="U324" s="99">
        <v>7.0</v>
      </c>
      <c r="V324" s="99">
        <v>85.0</v>
      </c>
      <c r="W324" s="99">
        <v>88320.0</v>
      </c>
    </row>
    <row r="325" ht="15.75" customHeight="1">
      <c r="A325" s="95" t="s">
        <v>2376</v>
      </c>
      <c r="B325" s="95" t="s">
        <v>22</v>
      </c>
      <c r="C325" s="96" t="s">
        <v>2377</v>
      </c>
      <c r="D325" s="95" t="s">
        <v>130</v>
      </c>
      <c r="E325" s="95" t="s">
        <v>917</v>
      </c>
      <c r="F325" s="95" t="s">
        <v>19</v>
      </c>
      <c r="G325" s="95" t="s">
        <v>19</v>
      </c>
      <c r="H325" s="95" t="s">
        <v>21</v>
      </c>
      <c r="I325" s="95" t="s">
        <v>567</v>
      </c>
      <c r="J325" s="97">
        <v>46021.51011266204</v>
      </c>
      <c r="K325" s="95" t="s">
        <v>2378</v>
      </c>
      <c r="L325" s="96" t="s">
        <v>2379</v>
      </c>
      <c r="M325" s="95" t="s">
        <v>93</v>
      </c>
      <c r="N325" s="95" t="s">
        <v>2380</v>
      </c>
      <c r="O325" s="95" t="s">
        <v>2380</v>
      </c>
      <c r="P325" s="95" t="s">
        <v>2381</v>
      </c>
      <c r="Q325" s="98">
        <v>3.0</v>
      </c>
      <c r="R325" s="97">
        <v>45971.36282407407</v>
      </c>
      <c r="S325" s="99">
        <v>55.0</v>
      </c>
      <c r="T325" s="99">
        <v>1746.0</v>
      </c>
      <c r="U325" s="99">
        <v>6.0</v>
      </c>
      <c r="V325" s="99">
        <v>46.0</v>
      </c>
      <c r="W325" s="99">
        <v>471832.0</v>
      </c>
    </row>
    <row r="326" ht="15.75" customHeight="1">
      <c r="A326" s="95" t="s">
        <v>2382</v>
      </c>
      <c r="B326" s="95" t="s">
        <v>69</v>
      </c>
      <c r="C326" s="96" t="s">
        <v>2383</v>
      </c>
      <c r="D326" s="95" t="s">
        <v>59</v>
      </c>
      <c r="E326" s="95" t="s">
        <v>1873</v>
      </c>
      <c r="F326" s="95" t="s">
        <v>19</v>
      </c>
      <c r="G326" s="95" t="s">
        <v>19</v>
      </c>
      <c r="H326" s="95" t="s">
        <v>21</v>
      </c>
      <c r="I326" s="95" t="s">
        <v>998</v>
      </c>
      <c r="J326" s="97">
        <v>46021.51011266204</v>
      </c>
      <c r="K326" s="95" t="s">
        <v>2384</v>
      </c>
      <c r="L326" s="96" t="s">
        <v>2385</v>
      </c>
      <c r="M326" s="95" t="s">
        <v>93</v>
      </c>
      <c r="N326" s="95" t="s">
        <v>2380</v>
      </c>
      <c r="O326" s="95" t="s">
        <v>2380</v>
      </c>
      <c r="P326" s="95" t="s">
        <v>2381</v>
      </c>
      <c r="Q326" s="98">
        <v>3.0</v>
      </c>
      <c r="R326" s="97">
        <v>45859.28760416667</v>
      </c>
      <c r="S326" s="99">
        <v>55.0</v>
      </c>
      <c r="T326" s="99">
        <v>682.0</v>
      </c>
      <c r="U326" s="99">
        <v>5.0</v>
      </c>
      <c r="V326" s="99">
        <v>1225.0</v>
      </c>
      <c r="W326" s="99">
        <v>471832.0</v>
      </c>
    </row>
    <row r="327" ht="15.75" customHeight="1">
      <c r="A327" s="95" t="s">
        <v>2386</v>
      </c>
      <c r="B327" s="95" t="s">
        <v>131</v>
      </c>
      <c r="C327" s="96" t="s">
        <v>2387</v>
      </c>
      <c r="D327" s="95" t="s">
        <v>130</v>
      </c>
      <c r="E327" s="95" t="s">
        <v>917</v>
      </c>
      <c r="F327" s="95" t="s">
        <v>58</v>
      </c>
      <c r="G327" s="95" t="s">
        <v>58</v>
      </c>
      <c r="H327" s="95" t="s">
        <v>60</v>
      </c>
      <c r="I327" s="95" t="s">
        <v>795</v>
      </c>
      <c r="J327" s="97">
        <v>46021.51011266204</v>
      </c>
      <c r="K327" s="95" t="s">
        <v>2388</v>
      </c>
      <c r="L327" s="96" t="s">
        <v>2389</v>
      </c>
      <c r="M327" s="95" t="s">
        <v>93</v>
      </c>
      <c r="N327" s="95" t="s">
        <v>2380</v>
      </c>
      <c r="O327" s="95" t="s">
        <v>2380</v>
      </c>
      <c r="P327" s="95" t="s">
        <v>2381</v>
      </c>
      <c r="Q327" s="98">
        <v>3.0</v>
      </c>
      <c r="R327" s="97">
        <v>45916.37443287037</v>
      </c>
      <c r="S327" s="99">
        <v>55.0</v>
      </c>
      <c r="T327" s="99">
        <v>536.0</v>
      </c>
      <c r="U327" s="99">
        <v>9.0</v>
      </c>
      <c r="V327" s="99">
        <v>25.0</v>
      </c>
      <c r="W327" s="99">
        <v>471832.0</v>
      </c>
    </row>
    <row r="328" ht="15.75" customHeight="1">
      <c r="A328" s="95" t="s">
        <v>2390</v>
      </c>
      <c r="B328" s="95" t="s">
        <v>101</v>
      </c>
      <c r="C328" s="96" t="s">
        <v>2391</v>
      </c>
      <c r="D328" s="95" t="s">
        <v>59</v>
      </c>
      <c r="E328" s="95" t="s">
        <v>59</v>
      </c>
      <c r="F328" s="95" t="s">
        <v>19</v>
      </c>
      <c r="G328" s="95" t="s">
        <v>19</v>
      </c>
      <c r="H328" s="95" t="s">
        <v>21</v>
      </c>
      <c r="I328" s="95" t="s">
        <v>1589</v>
      </c>
      <c r="J328" s="97">
        <v>45978.4622894213</v>
      </c>
      <c r="K328" s="95" t="s">
        <v>2392</v>
      </c>
      <c r="L328" s="96" t="s">
        <v>2393</v>
      </c>
      <c r="M328" s="95" t="s">
        <v>17</v>
      </c>
      <c r="N328" s="95" t="s">
        <v>2394</v>
      </c>
      <c r="O328" s="95" t="s">
        <v>2394</v>
      </c>
      <c r="P328" s="95" t="s">
        <v>2395</v>
      </c>
      <c r="Q328" s="98">
        <v>3.0</v>
      </c>
      <c r="R328" s="97">
        <v>45736.91950231481</v>
      </c>
      <c r="S328" s="99">
        <v>258.0</v>
      </c>
      <c r="T328" s="99">
        <v>646.0</v>
      </c>
      <c r="U328" s="99">
        <v>3.0</v>
      </c>
      <c r="V328" s="99">
        <v>49.0</v>
      </c>
      <c r="W328" s="99">
        <v>71256.0</v>
      </c>
    </row>
    <row r="329" ht="15.75" customHeight="1">
      <c r="A329" s="95" t="s">
        <v>2396</v>
      </c>
      <c r="B329" s="95" t="s">
        <v>69</v>
      </c>
      <c r="C329" s="96" t="s">
        <v>2397</v>
      </c>
      <c r="D329" s="95" t="s">
        <v>59</v>
      </c>
      <c r="E329" s="95" t="s">
        <v>738</v>
      </c>
      <c r="F329" s="95" t="s">
        <v>58</v>
      </c>
      <c r="G329" s="95" t="s">
        <v>58</v>
      </c>
      <c r="H329" s="95" t="s">
        <v>60</v>
      </c>
      <c r="I329" s="95" t="s">
        <v>2126</v>
      </c>
      <c r="J329" s="97">
        <v>46008.62902032407</v>
      </c>
      <c r="K329" s="96" t="s">
        <v>2398</v>
      </c>
      <c r="L329" s="96" t="s">
        <v>2399</v>
      </c>
      <c r="M329" s="95" t="s">
        <v>17</v>
      </c>
      <c r="N329" s="95" t="s">
        <v>2400</v>
      </c>
      <c r="O329" s="95" t="s">
        <v>2400</v>
      </c>
      <c r="P329" s="95" t="s">
        <v>2401</v>
      </c>
      <c r="Q329" s="98">
        <v>3.0</v>
      </c>
      <c r="R329" s="97">
        <v>45702.85743055555</v>
      </c>
      <c r="S329" s="99">
        <v>1230.0</v>
      </c>
      <c r="T329" s="99">
        <v>644.0</v>
      </c>
      <c r="U329" s="99">
        <v>5.0</v>
      </c>
      <c r="V329" s="99">
        <v>273.0</v>
      </c>
      <c r="W329" s="99">
        <v>161358.0</v>
      </c>
    </row>
    <row r="330" ht="15.75" customHeight="1">
      <c r="A330" s="95" t="s">
        <v>2402</v>
      </c>
      <c r="B330" s="95" t="s">
        <v>131</v>
      </c>
      <c r="C330" s="96" t="s">
        <v>2403</v>
      </c>
      <c r="D330" s="95" t="s">
        <v>39</v>
      </c>
      <c r="E330" s="95" t="s">
        <v>960</v>
      </c>
      <c r="F330" s="95" t="s">
        <v>58</v>
      </c>
      <c r="G330" s="95" t="s">
        <v>1450</v>
      </c>
      <c r="H330" s="95" t="s">
        <v>21</v>
      </c>
      <c r="I330" s="95" t="s">
        <v>2404</v>
      </c>
      <c r="J330" s="97">
        <v>45975.67934009259</v>
      </c>
      <c r="K330" s="96" t="s">
        <v>2405</v>
      </c>
      <c r="L330" s="96" t="s">
        <v>2406</v>
      </c>
      <c r="M330" s="95" t="s">
        <v>17</v>
      </c>
      <c r="N330" s="95" t="s">
        <v>2400</v>
      </c>
      <c r="O330" s="95" t="s">
        <v>2400</v>
      </c>
      <c r="P330" s="95" t="s">
        <v>2401</v>
      </c>
      <c r="Q330" s="98">
        <v>3.0</v>
      </c>
      <c r="R330" s="97">
        <v>45811.85326388889</v>
      </c>
      <c r="S330" s="99">
        <v>1230.0</v>
      </c>
      <c r="T330" s="99">
        <v>54.0</v>
      </c>
      <c r="U330" s="99">
        <v>12.0</v>
      </c>
      <c r="V330" s="99">
        <v>83.0</v>
      </c>
      <c r="W330" s="99">
        <v>161358.0</v>
      </c>
    </row>
    <row r="331" ht="15.75" customHeight="1">
      <c r="A331" s="95" t="s">
        <v>2407</v>
      </c>
      <c r="B331" s="95" t="s">
        <v>69</v>
      </c>
      <c r="C331" s="96" t="s">
        <v>2408</v>
      </c>
      <c r="D331" s="95" t="s">
        <v>29</v>
      </c>
      <c r="E331" s="95" t="s">
        <v>29</v>
      </c>
      <c r="F331" s="95" t="s">
        <v>58</v>
      </c>
      <c r="G331" s="95" t="s">
        <v>2409</v>
      </c>
      <c r="H331" s="95" t="s">
        <v>60</v>
      </c>
      <c r="I331" s="95" t="s">
        <v>2410</v>
      </c>
      <c r="J331" s="97">
        <v>46021.50534530092</v>
      </c>
      <c r="K331" s="95" t="s">
        <v>2411</v>
      </c>
      <c r="L331" s="96" t="s">
        <v>2412</v>
      </c>
      <c r="M331" s="95" t="s">
        <v>503</v>
      </c>
      <c r="N331" s="95" t="s">
        <v>2413</v>
      </c>
      <c r="O331" s="95" t="s">
        <v>2413</v>
      </c>
      <c r="P331" s="95" t="s">
        <v>2414</v>
      </c>
      <c r="Q331" s="98">
        <v>3.0</v>
      </c>
      <c r="R331" s="97">
        <v>45805.19953703704</v>
      </c>
      <c r="S331" s="99">
        <v>0.0</v>
      </c>
      <c r="T331" s="99">
        <v>1.0</v>
      </c>
      <c r="U331" s="99">
        <v>2.0</v>
      </c>
      <c r="V331" s="99">
        <v>92.0</v>
      </c>
      <c r="W331" s="99">
        <v>999999.0</v>
      </c>
    </row>
    <row r="332" ht="15.75" customHeight="1">
      <c r="A332" s="95" t="s">
        <v>2415</v>
      </c>
      <c r="B332" s="95" t="s">
        <v>69</v>
      </c>
      <c r="C332" s="96" t="s">
        <v>2416</v>
      </c>
      <c r="D332" s="95" t="s">
        <v>29</v>
      </c>
      <c r="E332" s="95" t="s">
        <v>29</v>
      </c>
      <c r="F332" s="95" t="s">
        <v>19</v>
      </c>
      <c r="G332" s="95" t="s">
        <v>574</v>
      </c>
      <c r="H332" s="95" t="s">
        <v>60</v>
      </c>
      <c r="I332" s="95" t="s">
        <v>2417</v>
      </c>
      <c r="J332" s="97">
        <v>46021.51011266204</v>
      </c>
      <c r="K332" s="95" t="s">
        <v>2418</v>
      </c>
      <c r="L332" s="96" t="s">
        <v>2419</v>
      </c>
      <c r="M332" s="95" t="s">
        <v>503</v>
      </c>
      <c r="N332" s="95" t="s">
        <v>2413</v>
      </c>
      <c r="O332" s="95" t="s">
        <v>2413</v>
      </c>
      <c r="P332" s="95" t="s">
        <v>2414</v>
      </c>
      <c r="Q332" s="98">
        <v>3.0</v>
      </c>
      <c r="R332" s="97">
        <v>45723.83082175926</v>
      </c>
      <c r="S332" s="99">
        <v>0.0</v>
      </c>
      <c r="T332" s="99">
        <v>21.0</v>
      </c>
      <c r="U332" s="99">
        <v>2.0</v>
      </c>
      <c r="V332" s="99">
        <v>203.0</v>
      </c>
      <c r="W332" s="99">
        <v>999999.0</v>
      </c>
    </row>
    <row r="333" ht="15.75" customHeight="1">
      <c r="A333" s="95" t="s">
        <v>2420</v>
      </c>
      <c r="B333" s="95" t="s">
        <v>131</v>
      </c>
      <c r="C333" s="96" t="s">
        <v>2421</v>
      </c>
      <c r="D333" s="95" t="s">
        <v>39</v>
      </c>
      <c r="E333" s="95" t="s">
        <v>614</v>
      </c>
      <c r="F333" s="95" t="s">
        <v>19</v>
      </c>
      <c r="G333" s="95" t="s">
        <v>574</v>
      </c>
      <c r="H333" s="95" t="s">
        <v>21</v>
      </c>
      <c r="I333" s="95" t="s">
        <v>647</v>
      </c>
      <c r="J333" s="97">
        <v>45975.67934009259</v>
      </c>
      <c r="K333" s="96" t="s">
        <v>2422</v>
      </c>
      <c r="L333" s="96" t="s">
        <v>2423</v>
      </c>
      <c r="M333" s="95" t="s">
        <v>17</v>
      </c>
      <c r="N333" s="95" t="s">
        <v>2424</v>
      </c>
      <c r="O333" s="95" t="s">
        <v>2424</v>
      </c>
      <c r="P333" s="95" t="s">
        <v>2425</v>
      </c>
      <c r="Q333" s="98">
        <v>3.0</v>
      </c>
      <c r="R333" s="97">
        <v>45838.08380787037</v>
      </c>
      <c r="S333" s="99">
        <v>15803.0</v>
      </c>
      <c r="T333" s="99">
        <v>503.0</v>
      </c>
      <c r="U333" s="99">
        <v>3.0</v>
      </c>
      <c r="V333" s="99">
        <v>1229.0</v>
      </c>
      <c r="W333" s="99">
        <v>107404.0</v>
      </c>
    </row>
    <row r="334" ht="15.75" customHeight="1">
      <c r="A334" s="95" t="s">
        <v>2426</v>
      </c>
      <c r="B334" s="95" t="s">
        <v>131</v>
      </c>
      <c r="C334" s="96" t="s">
        <v>2427</v>
      </c>
      <c r="D334" s="95" t="s">
        <v>39</v>
      </c>
      <c r="E334" s="95" t="s">
        <v>39</v>
      </c>
      <c r="F334" s="95" t="s">
        <v>19</v>
      </c>
      <c r="G334" s="95" t="s">
        <v>19</v>
      </c>
      <c r="H334" s="95" t="s">
        <v>21</v>
      </c>
      <c r="I334" s="95" t="s">
        <v>2428</v>
      </c>
      <c r="J334" s="97">
        <v>46003.09290072916</v>
      </c>
      <c r="K334" s="95" t="s">
        <v>2429</v>
      </c>
      <c r="L334" s="96" t="s">
        <v>2430</v>
      </c>
      <c r="M334" s="95" t="s">
        <v>38</v>
      </c>
      <c r="N334" s="95" t="s">
        <v>2431</v>
      </c>
      <c r="O334" s="95" t="s">
        <v>2431</v>
      </c>
      <c r="P334" s="95" t="s">
        <v>2432</v>
      </c>
      <c r="Q334" s="98">
        <v>3.0</v>
      </c>
      <c r="R334" s="97">
        <v>45725.08350694444</v>
      </c>
      <c r="S334" s="99">
        <v>1997.0</v>
      </c>
      <c r="T334" s="99">
        <v>320.0</v>
      </c>
      <c r="U334" s="99">
        <v>2.0</v>
      </c>
      <c r="V334" s="99">
        <v>155.0</v>
      </c>
      <c r="W334" s="99">
        <v>346934.0</v>
      </c>
    </row>
    <row r="335" ht="15.75" customHeight="1">
      <c r="A335" s="95" t="s">
        <v>2433</v>
      </c>
      <c r="B335" s="95" t="s">
        <v>69</v>
      </c>
      <c r="C335" s="96" t="s">
        <v>2434</v>
      </c>
      <c r="D335" s="95" t="s">
        <v>68</v>
      </c>
      <c r="E335" s="95" t="s">
        <v>769</v>
      </c>
      <c r="F335" s="95" t="s">
        <v>88</v>
      </c>
      <c r="G335" s="95" t="s">
        <v>639</v>
      </c>
      <c r="H335" s="95" t="s">
        <v>89</v>
      </c>
      <c r="I335" s="95" t="s">
        <v>1477</v>
      </c>
      <c r="J335" s="97">
        <v>45993.78544196759</v>
      </c>
      <c r="K335" s="96" t="s">
        <v>2435</v>
      </c>
      <c r="L335" s="96" t="s">
        <v>2436</v>
      </c>
      <c r="M335" s="95" t="s">
        <v>93</v>
      </c>
      <c r="N335" s="95" t="s">
        <v>2437</v>
      </c>
      <c r="O335" s="95" t="s">
        <v>2437</v>
      </c>
      <c r="P335" s="95" t="s">
        <v>2438</v>
      </c>
      <c r="Q335" s="98">
        <v>3.0</v>
      </c>
      <c r="R335" s="97">
        <v>44338.6397337963</v>
      </c>
      <c r="S335" s="99">
        <v>2622.0</v>
      </c>
      <c r="T335" s="99">
        <v>110.0</v>
      </c>
      <c r="U335" s="99">
        <v>2.0</v>
      </c>
      <c r="V335" s="99">
        <v>167.0</v>
      </c>
      <c r="W335" s="99">
        <v>15207.0</v>
      </c>
    </row>
    <row r="336" ht="15.75" customHeight="1">
      <c r="A336" s="95" t="s">
        <v>2439</v>
      </c>
      <c r="B336" s="95" t="s">
        <v>22</v>
      </c>
      <c r="C336" s="96" t="s">
        <v>2440</v>
      </c>
      <c r="D336" s="95" t="s">
        <v>39</v>
      </c>
      <c r="E336" s="95" t="s">
        <v>39</v>
      </c>
      <c r="F336" s="95" t="s">
        <v>19</v>
      </c>
      <c r="G336" s="95" t="s">
        <v>588</v>
      </c>
      <c r="H336" s="95" t="s">
        <v>21</v>
      </c>
      <c r="I336" s="95" t="s">
        <v>589</v>
      </c>
      <c r="J336" s="97">
        <v>45975.67937189815</v>
      </c>
      <c r="K336" s="96" t="s">
        <v>2441</v>
      </c>
      <c r="L336" s="96" t="s">
        <v>2442</v>
      </c>
      <c r="M336" s="95" t="s">
        <v>38</v>
      </c>
      <c r="N336" s="95" t="s">
        <v>2443</v>
      </c>
      <c r="O336" s="95" t="s">
        <v>2443</v>
      </c>
      <c r="P336" s="95" t="s">
        <v>2444</v>
      </c>
      <c r="Q336" s="98">
        <v>3.0</v>
      </c>
      <c r="R336" s="97">
        <v>45903.89438657407</v>
      </c>
      <c r="S336" s="99">
        <v>29070.0</v>
      </c>
      <c r="T336" s="99">
        <v>1430.0</v>
      </c>
      <c r="U336" s="99">
        <v>3.0</v>
      </c>
      <c r="V336" s="99">
        <v>47.0</v>
      </c>
      <c r="W336" s="99">
        <v>48564.0</v>
      </c>
    </row>
    <row r="337" ht="15.75" customHeight="1">
      <c r="A337" s="95" t="s">
        <v>2445</v>
      </c>
      <c r="B337" s="95" t="s">
        <v>22</v>
      </c>
      <c r="C337" s="96" t="s">
        <v>2446</v>
      </c>
      <c r="D337" s="95" t="s">
        <v>39</v>
      </c>
      <c r="E337" s="95" t="s">
        <v>39</v>
      </c>
      <c r="F337" s="95" t="s">
        <v>19</v>
      </c>
      <c r="G337" s="95" t="s">
        <v>19</v>
      </c>
      <c r="H337" s="95" t="s">
        <v>21</v>
      </c>
      <c r="I337" s="95" t="s">
        <v>589</v>
      </c>
      <c r="J337" s="97">
        <v>45975.67937189815</v>
      </c>
      <c r="K337" s="96" t="s">
        <v>2447</v>
      </c>
      <c r="L337" s="96" t="s">
        <v>2448</v>
      </c>
      <c r="M337" s="95" t="s">
        <v>38</v>
      </c>
      <c r="N337" s="95" t="s">
        <v>2443</v>
      </c>
      <c r="O337" s="95" t="s">
        <v>2443</v>
      </c>
      <c r="P337" s="95" t="s">
        <v>2444</v>
      </c>
      <c r="Q337" s="98">
        <v>3.0</v>
      </c>
      <c r="R337" s="97">
        <v>45839.30685185185</v>
      </c>
      <c r="S337" s="99">
        <v>29070.0</v>
      </c>
      <c r="T337" s="99">
        <v>1370.0</v>
      </c>
      <c r="U337" s="99">
        <v>24.0</v>
      </c>
      <c r="V337" s="99">
        <v>23.0</v>
      </c>
      <c r="W337" s="99">
        <v>48564.0</v>
      </c>
    </row>
    <row r="338" ht="15.75" customHeight="1">
      <c r="A338" s="95" t="s">
        <v>2449</v>
      </c>
      <c r="B338" s="95" t="s">
        <v>22</v>
      </c>
      <c r="C338" s="96" t="s">
        <v>2450</v>
      </c>
      <c r="D338" s="95" t="s">
        <v>39</v>
      </c>
      <c r="E338" s="95" t="s">
        <v>39</v>
      </c>
      <c r="F338" s="95" t="s">
        <v>19</v>
      </c>
      <c r="G338" s="95" t="s">
        <v>1018</v>
      </c>
      <c r="H338" s="95" t="s">
        <v>21</v>
      </c>
      <c r="I338" s="95" t="s">
        <v>567</v>
      </c>
      <c r="J338" s="97">
        <v>46021.50534530092</v>
      </c>
      <c r="K338" s="95" t="s">
        <v>2451</v>
      </c>
      <c r="L338" s="96" t="s">
        <v>2452</v>
      </c>
      <c r="M338" s="95" t="s">
        <v>67</v>
      </c>
      <c r="N338" s="95" t="s">
        <v>2453</v>
      </c>
      <c r="O338" s="95" t="s">
        <v>2453</v>
      </c>
      <c r="P338" s="95" t="s">
        <v>2454</v>
      </c>
      <c r="Q338" s="98">
        <v>3.0</v>
      </c>
      <c r="R338" s="97">
        <v>45714.92771990741</v>
      </c>
      <c r="S338" s="99">
        <v>1984.0</v>
      </c>
      <c r="T338" s="99">
        <v>318.0</v>
      </c>
      <c r="U338" s="99">
        <v>5.0</v>
      </c>
      <c r="V338" s="99">
        <v>68.0</v>
      </c>
      <c r="W338" s="99">
        <v>38402.0</v>
      </c>
    </row>
    <row r="339" ht="15.75" customHeight="1">
      <c r="A339" s="95" t="s">
        <v>65</v>
      </c>
      <c r="B339" s="95" t="s">
        <v>69</v>
      </c>
      <c r="C339" s="96" t="s">
        <v>72</v>
      </c>
      <c r="D339" s="95" t="s">
        <v>68</v>
      </c>
      <c r="E339" s="95" t="s">
        <v>1671</v>
      </c>
      <c r="F339" s="95" t="s">
        <v>58</v>
      </c>
      <c r="G339" s="95" t="s">
        <v>58</v>
      </c>
      <c r="H339" s="95" t="s">
        <v>89</v>
      </c>
      <c r="I339" s="95" t="s">
        <v>1477</v>
      </c>
      <c r="J339" s="97">
        <v>46021.50350939815</v>
      </c>
      <c r="K339" s="95" t="s">
        <v>71</v>
      </c>
      <c r="L339" s="96" t="s">
        <v>70</v>
      </c>
      <c r="M339" s="95" t="s">
        <v>67</v>
      </c>
      <c r="N339" s="95" t="s">
        <v>66</v>
      </c>
      <c r="O339" s="95" t="s">
        <v>66</v>
      </c>
      <c r="P339" s="95" t="s">
        <v>2455</v>
      </c>
      <c r="Q339" s="98">
        <v>3.0</v>
      </c>
      <c r="R339" s="97">
        <v>45800.76934027778</v>
      </c>
      <c r="S339" s="99">
        <v>735.0</v>
      </c>
      <c r="T339" s="99">
        <v>89.0</v>
      </c>
      <c r="U339" s="99">
        <v>95.0</v>
      </c>
      <c r="V339" s="99">
        <v>103.0</v>
      </c>
      <c r="W339" s="99">
        <v>8630.0</v>
      </c>
    </row>
    <row r="340" ht="15.75" customHeight="1">
      <c r="A340" s="95" t="s">
        <v>2456</v>
      </c>
      <c r="B340" s="95" t="s">
        <v>22</v>
      </c>
      <c r="C340" s="96" t="s">
        <v>2457</v>
      </c>
      <c r="D340" s="95" t="s">
        <v>68</v>
      </c>
      <c r="E340" s="95" t="s">
        <v>1671</v>
      </c>
      <c r="F340" s="95" t="s">
        <v>19</v>
      </c>
      <c r="G340" s="95" t="s">
        <v>19</v>
      </c>
      <c r="H340" s="95" t="s">
        <v>21</v>
      </c>
      <c r="I340" s="95" t="s">
        <v>567</v>
      </c>
      <c r="J340" s="97">
        <v>46021.50534530092</v>
      </c>
      <c r="K340" s="95" t="s">
        <v>2458</v>
      </c>
      <c r="L340" s="96" t="s">
        <v>2459</v>
      </c>
      <c r="M340" s="95" t="s">
        <v>67</v>
      </c>
      <c r="N340" s="95" t="s">
        <v>66</v>
      </c>
      <c r="O340" s="95" t="s">
        <v>66</v>
      </c>
      <c r="P340" s="95" t="s">
        <v>2455</v>
      </c>
      <c r="Q340" s="98">
        <v>3.0</v>
      </c>
      <c r="R340" s="97">
        <v>45705.00261574074</v>
      </c>
      <c r="S340" s="99">
        <v>735.0</v>
      </c>
      <c r="T340" s="99">
        <v>41.0</v>
      </c>
      <c r="U340" s="99">
        <v>53.0</v>
      </c>
      <c r="V340" s="99">
        <v>44.0</v>
      </c>
      <c r="W340" s="99">
        <v>8630.0</v>
      </c>
    </row>
    <row r="341" ht="15.75" customHeight="1">
      <c r="A341" s="95" t="s">
        <v>2460</v>
      </c>
      <c r="B341" s="95" t="s">
        <v>101</v>
      </c>
      <c r="C341" s="96" t="s">
        <v>2461</v>
      </c>
      <c r="D341" s="95" t="s">
        <v>49</v>
      </c>
      <c r="E341" s="95" t="s">
        <v>948</v>
      </c>
      <c r="F341" s="95" t="s">
        <v>58</v>
      </c>
      <c r="G341" s="95" t="s">
        <v>58</v>
      </c>
      <c r="H341" s="95" t="s">
        <v>21</v>
      </c>
      <c r="I341" s="95" t="s">
        <v>955</v>
      </c>
      <c r="J341" s="97">
        <v>46021.49287208333</v>
      </c>
      <c r="K341" s="95" t="s">
        <v>2462</v>
      </c>
      <c r="L341" s="96" t="s">
        <v>2463</v>
      </c>
      <c r="M341" s="95" t="s">
        <v>54</v>
      </c>
      <c r="N341" s="95" t="s">
        <v>2464</v>
      </c>
      <c r="O341" s="95" t="s">
        <v>2464</v>
      </c>
      <c r="P341" s="95" t="s">
        <v>2465</v>
      </c>
      <c r="Q341" s="98">
        <v>3.0</v>
      </c>
      <c r="R341" s="97">
        <v>45847.51133101852</v>
      </c>
      <c r="S341" s="99">
        <v>401.0</v>
      </c>
      <c r="T341" s="99">
        <v>50.0</v>
      </c>
      <c r="U341" s="99">
        <v>2.0</v>
      </c>
      <c r="V341" s="99">
        <v>74.0</v>
      </c>
      <c r="W341" s="99">
        <v>78840.0</v>
      </c>
    </row>
    <row r="342" ht="15.75" customHeight="1">
      <c r="A342" s="95" t="s">
        <v>2466</v>
      </c>
      <c r="B342" s="95" t="s">
        <v>22</v>
      </c>
      <c r="C342" s="96" t="s">
        <v>2467</v>
      </c>
      <c r="D342" s="95" t="s">
        <v>49</v>
      </c>
      <c r="E342" s="95" t="s">
        <v>948</v>
      </c>
      <c r="F342" s="95" t="s">
        <v>19</v>
      </c>
      <c r="G342" s="95" t="s">
        <v>19</v>
      </c>
      <c r="H342" s="95" t="s">
        <v>21</v>
      </c>
      <c r="I342" s="95" t="s">
        <v>567</v>
      </c>
      <c r="J342" s="97">
        <v>46021.49370376157</v>
      </c>
      <c r="K342" s="95" t="s">
        <v>2468</v>
      </c>
      <c r="L342" s="96" t="s">
        <v>2469</v>
      </c>
      <c r="M342" s="95" t="s">
        <v>54</v>
      </c>
      <c r="N342" s="95" t="s">
        <v>2464</v>
      </c>
      <c r="O342" s="95" t="s">
        <v>2464</v>
      </c>
      <c r="P342" s="95" t="s">
        <v>2465</v>
      </c>
      <c r="Q342" s="98">
        <v>3.0</v>
      </c>
      <c r="R342" s="97">
        <v>45881.33847222223</v>
      </c>
      <c r="S342" s="99">
        <v>401.0</v>
      </c>
      <c r="T342" s="99">
        <v>496.0</v>
      </c>
      <c r="U342" s="99">
        <v>2.0</v>
      </c>
      <c r="V342" s="99">
        <v>79.0</v>
      </c>
      <c r="W342" s="99">
        <v>78840.0</v>
      </c>
    </row>
    <row r="343" ht="15.75" customHeight="1">
      <c r="A343" s="95" t="s">
        <v>2470</v>
      </c>
      <c r="B343" s="95" t="s">
        <v>101</v>
      </c>
      <c r="C343" s="96" t="s">
        <v>2471</v>
      </c>
      <c r="D343" s="95" t="s">
        <v>49</v>
      </c>
      <c r="E343" s="95" t="s">
        <v>49</v>
      </c>
      <c r="F343" s="95" t="s">
        <v>19</v>
      </c>
      <c r="G343" s="95" t="s">
        <v>997</v>
      </c>
      <c r="H343" s="95" t="s">
        <v>21</v>
      </c>
      <c r="I343" s="95" t="s">
        <v>607</v>
      </c>
      <c r="J343" s="97">
        <v>46003.09668672454</v>
      </c>
      <c r="K343" s="95" t="s">
        <v>2472</v>
      </c>
      <c r="L343" s="96" t="s">
        <v>2473</v>
      </c>
      <c r="M343" s="95" t="s">
        <v>54</v>
      </c>
      <c r="N343" s="95" t="s">
        <v>2464</v>
      </c>
      <c r="O343" s="95" t="s">
        <v>2464</v>
      </c>
      <c r="P343" s="95" t="s">
        <v>2465</v>
      </c>
      <c r="Q343" s="98">
        <v>3.0</v>
      </c>
      <c r="R343" s="97">
        <v>45884.61449074074</v>
      </c>
      <c r="S343" s="99">
        <v>401.0</v>
      </c>
      <c r="T343" s="99">
        <v>426.0</v>
      </c>
      <c r="U343" s="99">
        <v>21.0</v>
      </c>
      <c r="V343" s="99">
        <v>75.0</v>
      </c>
      <c r="W343" s="99">
        <v>78840.0</v>
      </c>
    </row>
    <row r="344" ht="15.75" customHeight="1">
      <c r="A344" s="95" t="s">
        <v>2474</v>
      </c>
      <c r="B344" s="95" t="s">
        <v>22</v>
      </c>
      <c r="C344" s="96" t="s">
        <v>2475</v>
      </c>
      <c r="D344" s="95" t="s">
        <v>68</v>
      </c>
      <c r="E344" s="95" t="s">
        <v>1489</v>
      </c>
      <c r="F344" s="95" t="s">
        <v>19</v>
      </c>
      <c r="G344" s="95" t="s">
        <v>1678</v>
      </c>
      <c r="H344" s="95" t="s">
        <v>21</v>
      </c>
      <c r="I344" s="95" t="s">
        <v>677</v>
      </c>
      <c r="J344" s="97">
        <v>45975.67934009259</v>
      </c>
      <c r="K344" s="96" t="s">
        <v>2476</v>
      </c>
      <c r="L344" s="96" t="s">
        <v>2477</v>
      </c>
      <c r="M344" s="95" t="s">
        <v>17</v>
      </c>
      <c r="N344" s="95" t="s">
        <v>2478</v>
      </c>
      <c r="O344" s="95" t="s">
        <v>2478</v>
      </c>
      <c r="P344" s="95" t="s">
        <v>2479</v>
      </c>
      <c r="Q344" s="98">
        <v>3.0</v>
      </c>
      <c r="R344" s="97">
        <v>45685.76409722222</v>
      </c>
      <c r="S344" s="99">
        <v>32820.0</v>
      </c>
      <c r="T344" s="99">
        <v>180.0</v>
      </c>
      <c r="U344" s="99">
        <v>4.0</v>
      </c>
      <c r="V344" s="99">
        <v>65.0</v>
      </c>
      <c r="W344" s="99">
        <v>71218.0</v>
      </c>
    </row>
    <row r="345" ht="15.75" customHeight="1">
      <c r="A345" s="95" t="s">
        <v>2480</v>
      </c>
      <c r="B345" s="95" t="s">
        <v>22</v>
      </c>
      <c r="C345" s="96" t="s">
        <v>2481</v>
      </c>
      <c r="D345" s="95" t="s">
        <v>547</v>
      </c>
      <c r="E345" s="95" t="s">
        <v>2202</v>
      </c>
      <c r="F345" s="95" t="s">
        <v>19</v>
      </c>
      <c r="G345" s="95" t="s">
        <v>19</v>
      </c>
      <c r="H345" s="95" t="s">
        <v>21</v>
      </c>
      <c r="I345" s="95" t="s">
        <v>567</v>
      </c>
      <c r="J345" s="97">
        <v>46021.49370376157</v>
      </c>
      <c r="K345" s="95" t="s">
        <v>2482</v>
      </c>
      <c r="L345" s="96" t="s">
        <v>2483</v>
      </c>
      <c r="M345" s="95" t="s">
        <v>105</v>
      </c>
      <c r="N345" s="95" t="s">
        <v>2484</v>
      </c>
      <c r="O345" s="95" t="s">
        <v>2484</v>
      </c>
      <c r="P345" s="95" t="s">
        <v>2485</v>
      </c>
      <c r="Q345" s="98">
        <v>3.0</v>
      </c>
      <c r="R345" s="97">
        <v>45347.90935185185</v>
      </c>
      <c r="S345" s="99">
        <v>544.0</v>
      </c>
      <c r="T345" s="99">
        <v>404.0</v>
      </c>
      <c r="U345" s="99">
        <v>12.0</v>
      </c>
      <c r="V345" s="99">
        <v>574.0</v>
      </c>
      <c r="W345" s="99">
        <v>181797.0</v>
      </c>
    </row>
    <row r="346" ht="15.75" customHeight="1">
      <c r="A346" s="95" t="s">
        <v>2486</v>
      </c>
      <c r="B346" s="95" t="s">
        <v>22</v>
      </c>
      <c r="C346" s="96" t="s">
        <v>2487</v>
      </c>
      <c r="D346" s="95" t="s">
        <v>547</v>
      </c>
      <c r="E346" s="95" t="s">
        <v>2202</v>
      </c>
      <c r="F346" s="95" t="s">
        <v>19</v>
      </c>
      <c r="G346" s="95" t="s">
        <v>19</v>
      </c>
      <c r="H346" s="95" t="s">
        <v>21</v>
      </c>
      <c r="I346" s="95" t="s">
        <v>567</v>
      </c>
      <c r="J346" s="97">
        <v>46021.49769592593</v>
      </c>
      <c r="K346" s="95" t="s">
        <v>2488</v>
      </c>
      <c r="L346" s="96" t="s">
        <v>2489</v>
      </c>
      <c r="M346" s="95" t="s">
        <v>105</v>
      </c>
      <c r="N346" s="95" t="s">
        <v>2484</v>
      </c>
      <c r="O346" s="95" t="s">
        <v>2484</v>
      </c>
      <c r="P346" s="95" t="s">
        <v>2485</v>
      </c>
      <c r="Q346" s="98">
        <v>3.0</v>
      </c>
      <c r="R346" s="97">
        <v>45716.70328703704</v>
      </c>
      <c r="S346" s="99">
        <v>544.0</v>
      </c>
      <c r="T346" s="99">
        <v>525.0</v>
      </c>
      <c r="U346" s="99">
        <v>10.0</v>
      </c>
      <c r="V346" s="99">
        <v>833.0</v>
      </c>
      <c r="W346" s="99">
        <v>181797.0</v>
      </c>
    </row>
    <row r="347" ht="15.75" customHeight="1">
      <c r="A347" s="95" t="s">
        <v>2490</v>
      </c>
      <c r="B347" s="95" t="s">
        <v>157</v>
      </c>
      <c r="C347" s="96" t="s">
        <v>2491</v>
      </c>
      <c r="D347" s="95" t="s">
        <v>49</v>
      </c>
      <c r="E347" s="95" t="s">
        <v>948</v>
      </c>
      <c r="F347" s="95" t="s">
        <v>19</v>
      </c>
      <c r="G347" s="95" t="s">
        <v>574</v>
      </c>
      <c r="H347" s="95" t="s">
        <v>89</v>
      </c>
      <c r="I347" s="95" t="s">
        <v>2492</v>
      </c>
      <c r="J347" s="97">
        <v>46021.49370376157</v>
      </c>
      <c r="K347" s="95" t="s">
        <v>2493</v>
      </c>
      <c r="L347" s="96" t="s">
        <v>2494</v>
      </c>
      <c r="M347" s="95" t="s">
        <v>54</v>
      </c>
      <c r="N347" s="95" t="s">
        <v>2495</v>
      </c>
      <c r="O347" s="95" t="s">
        <v>2495</v>
      </c>
      <c r="P347" s="95" t="s">
        <v>2496</v>
      </c>
      <c r="Q347" s="98">
        <v>3.0</v>
      </c>
      <c r="R347" s="97">
        <v>45762.19048611111</v>
      </c>
      <c r="S347" s="99">
        <v>456.0</v>
      </c>
      <c r="T347" s="99">
        <v>122.0</v>
      </c>
      <c r="U347" s="99">
        <v>4.0</v>
      </c>
      <c r="V347" s="99">
        <v>126.0</v>
      </c>
      <c r="W347" s="99">
        <v>204685.0</v>
      </c>
    </row>
    <row r="348" ht="15.75" customHeight="1">
      <c r="A348" s="95" t="s">
        <v>2497</v>
      </c>
      <c r="B348" s="95" t="s">
        <v>22</v>
      </c>
      <c r="C348" s="96" t="s">
        <v>2498</v>
      </c>
      <c r="D348" s="95" t="s">
        <v>49</v>
      </c>
      <c r="E348" s="95" t="s">
        <v>948</v>
      </c>
      <c r="F348" s="95" t="s">
        <v>19</v>
      </c>
      <c r="G348" s="95" t="s">
        <v>19</v>
      </c>
      <c r="H348" s="95" t="s">
        <v>21</v>
      </c>
      <c r="I348" s="95" t="s">
        <v>567</v>
      </c>
      <c r="J348" s="97">
        <v>46021.49370376157</v>
      </c>
      <c r="K348" s="95" t="s">
        <v>2499</v>
      </c>
      <c r="L348" s="96" t="s">
        <v>2500</v>
      </c>
      <c r="M348" s="95" t="s">
        <v>54</v>
      </c>
      <c r="N348" s="95" t="s">
        <v>2495</v>
      </c>
      <c r="O348" s="95" t="s">
        <v>2495</v>
      </c>
      <c r="P348" s="95" t="s">
        <v>2496</v>
      </c>
      <c r="Q348" s="98">
        <v>3.0</v>
      </c>
      <c r="R348" s="97">
        <v>45834.58555555555</v>
      </c>
      <c r="S348" s="99">
        <v>456.0</v>
      </c>
      <c r="T348" s="99">
        <v>124.0</v>
      </c>
      <c r="U348" s="99">
        <v>8.0</v>
      </c>
      <c r="V348" s="99">
        <v>275.0</v>
      </c>
      <c r="W348" s="99">
        <v>204685.0</v>
      </c>
    </row>
    <row r="349" ht="15.75" customHeight="1">
      <c r="A349" s="95" t="s">
        <v>2501</v>
      </c>
      <c r="B349" s="95" t="s">
        <v>157</v>
      </c>
      <c r="C349" s="96" t="s">
        <v>2502</v>
      </c>
      <c r="D349" s="95" t="s">
        <v>39</v>
      </c>
      <c r="E349" s="95" t="s">
        <v>39</v>
      </c>
      <c r="F349" s="95" t="s">
        <v>19</v>
      </c>
      <c r="G349" s="95" t="s">
        <v>19</v>
      </c>
      <c r="H349" s="95" t="s">
        <v>89</v>
      </c>
      <c r="I349" s="95" t="s">
        <v>859</v>
      </c>
      <c r="J349" s="97">
        <v>45975.67938763889</v>
      </c>
      <c r="K349" s="96" t="s">
        <v>2503</v>
      </c>
      <c r="L349" s="96" t="s">
        <v>2504</v>
      </c>
      <c r="M349" s="95" t="s">
        <v>74</v>
      </c>
      <c r="N349" s="95" t="s">
        <v>2505</v>
      </c>
      <c r="O349" s="95" t="s">
        <v>2505</v>
      </c>
      <c r="P349" s="95" t="s">
        <v>2506</v>
      </c>
      <c r="Q349" s="98">
        <v>3.0</v>
      </c>
      <c r="R349" s="97">
        <v>45705.43068287037</v>
      </c>
      <c r="S349" s="99">
        <v>11407.0</v>
      </c>
      <c r="T349" s="99">
        <v>69.0</v>
      </c>
      <c r="U349" s="99">
        <v>28.0</v>
      </c>
      <c r="V349" s="99">
        <v>55.0</v>
      </c>
      <c r="W349" s="99">
        <v>24548.0</v>
      </c>
    </row>
    <row r="350" ht="15.75" customHeight="1">
      <c r="A350" s="95" t="s">
        <v>2507</v>
      </c>
      <c r="B350" s="95" t="s">
        <v>131</v>
      </c>
      <c r="C350" s="96" t="s">
        <v>2508</v>
      </c>
      <c r="D350" s="95" t="s">
        <v>39</v>
      </c>
      <c r="E350" s="95" t="s">
        <v>960</v>
      </c>
      <c r="F350" s="95" t="s">
        <v>19</v>
      </c>
      <c r="G350" s="95" t="s">
        <v>19</v>
      </c>
      <c r="H350" s="95" t="s">
        <v>21</v>
      </c>
      <c r="I350" s="95" t="s">
        <v>2509</v>
      </c>
      <c r="J350" s="97">
        <v>45975.67930055556</v>
      </c>
      <c r="K350" s="96" t="s">
        <v>2510</v>
      </c>
      <c r="L350" s="96" t="s">
        <v>2511</v>
      </c>
      <c r="M350" s="95" t="s">
        <v>105</v>
      </c>
      <c r="N350" s="95" t="s">
        <v>2512</v>
      </c>
      <c r="O350" s="95" t="s">
        <v>2512</v>
      </c>
      <c r="P350" s="95" t="s">
        <v>2513</v>
      </c>
      <c r="Q350" s="98">
        <v>3.0</v>
      </c>
      <c r="R350" s="97">
        <v>45290.66032407407</v>
      </c>
      <c r="S350" s="99">
        <v>61.0</v>
      </c>
      <c r="T350" s="99">
        <v>18.0</v>
      </c>
      <c r="U350" s="99">
        <v>2.0</v>
      </c>
      <c r="V350" s="99">
        <v>130.0</v>
      </c>
      <c r="W350" s="99">
        <v>7617.0</v>
      </c>
    </row>
    <row r="351" ht="15.75" customHeight="1">
      <c r="A351" s="95" t="s">
        <v>2514</v>
      </c>
      <c r="B351" s="95" t="s">
        <v>22</v>
      </c>
      <c r="C351" s="96" t="s">
        <v>2515</v>
      </c>
      <c r="D351" s="95" t="s">
        <v>39</v>
      </c>
      <c r="E351" s="95" t="s">
        <v>1201</v>
      </c>
      <c r="F351" s="95" t="s">
        <v>19</v>
      </c>
      <c r="G351" s="95" t="s">
        <v>19</v>
      </c>
      <c r="H351" s="95" t="s">
        <v>21</v>
      </c>
      <c r="I351" s="95" t="s">
        <v>567</v>
      </c>
      <c r="J351" s="97">
        <v>45993.78544196759</v>
      </c>
      <c r="K351" s="96" t="s">
        <v>2516</v>
      </c>
      <c r="L351" s="95"/>
      <c r="M351" s="95" t="s">
        <v>54</v>
      </c>
      <c r="N351" s="95" t="s">
        <v>2517</v>
      </c>
      <c r="O351" s="95" t="s">
        <v>2517</v>
      </c>
      <c r="P351" s="95" t="s">
        <v>2518</v>
      </c>
      <c r="Q351" s="98">
        <v>3.0</v>
      </c>
      <c r="R351" s="97">
        <v>45870.768125</v>
      </c>
      <c r="S351" s="99">
        <v>14555.0</v>
      </c>
      <c r="T351" s="99">
        <v>104.0</v>
      </c>
      <c r="U351" s="99">
        <v>2.0</v>
      </c>
      <c r="V351" s="99">
        <v>182.0</v>
      </c>
      <c r="W351" s="99">
        <v>58020.0</v>
      </c>
    </row>
    <row r="352" ht="15.75" customHeight="1">
      <c r="A352" s="95" t="s">
        <v>2519</v>
      </c>
      <c r="B352" s="95" t="s">
        <v>22</v>
      </c>
      <c r="C352" s="96" t="s">
        <v>2520</v>
      </c>
      <c r="D352" s="95" t="s">
        <v>168</v>
      </c>
      <c r="E352" s="95" t="s">
        <v>168</v>
      </c>
      <c r="F352" s="95" t="s">
        <v>19</v>
      </c>
      <c r="G352" s="95" t="s">
        <v>19</v>
      </c>
      <c r="H352" s="95" t="s">
        <v>21</v>
      </c>
      <c r="I352" s="95" t="s">
        <v>567</v>
      </c>
      <c r="J352" s="97">
        <v>45975.67934009259</v>
      </c>
      <c r="K352" s="96" t="s">
        <v>2521</v>
      </c>
      <c r="L352" s="96" t="s">
        <v>2522</v>
      </c>
      <c r="M352" s="95" t="s">
        <v>17</v>
      </c>
      <c r="N352" s="95" t="s">
        <v>2523</v>
      </c>
      <c r="O352" s="95" t="s">
        <v>2523</v>
      </c>
      <c r="P352" s="95" t="s">
        <v>2524</v>
      </c>
      <c r="Q352" s="98">
        <v>3.0</v>
      </c>
      <c r="R352" s="97">
        <v>45620.86108796296</v>
      </c>
      <c r="S352" s="99">
        <v>551.0</v>
      </c>
      <c r="T352" s="99">
        <v>24.0</v>
      </c>
      <c r="U352" s="99">
        <v>2.0</v>
      </c>
      <c r="V352" s="99">
        <v>248.0</v>
      </c>
      <c r="W352" s="99">
        <v>3416.0</v>
      </c>
    </row>
    <row r="353" ht="15.75" customHeight="1">
      <c r="A353" s="95" t="s">
        <v>2525</v>
      </c>
      <c r="B353" s="95" t="s">
        <v>69</v>
      </c>
      <c r="C353" s="96" t="s">
        <v>2526</v>
      </c>
      <c r="D353" s="95" t="s">
        <v>20</v>
      </c>
      <c r="E353" s="95" t="s">
        <v>20</v>
      </c>
      <c r="F353" s="95" t="s">
        <v>58</v>
      </c>
      <c r="G353" s="95" t="s">
        <v>1450</v>
      </c>
      <c r="H353" s="95" t="s">
        <v>77</v>
      </c>
      <c r="I353" s="95" t="s">
        <v>2527</v>
      </c>
      <c r="J353" s="97">
        <v>46021.51011266204</v>
      </c>
      <c r="K353" s="95" t="s">
        <v>2528</v>
      </c>
      <c r="L353" s="96" t="s">
        <v>2529</v>
      </c>
      <c r="M353" s="95" t="s">
        <v>67</v>
      </c>
      <c r="N353" s="95" t="s">
        <v>2530</v>
      </c>
      <c r="O353" s="95" t="s">
        <v>2530</v>
      </c>
      <c r="P353" s="95" t="s">
        <v>2531</v>
      </c>
      <c r="Q353" s="98">
        <v>3.0</v>
      </c>
      <c r="R353" s="97">
        <v>45889.36273148148</v>
      </c>
      <c r="S353" s="99">
        <v>129.0</v>
      </c>
      <c r="T353" s="99">
        <v>17.0</v>
      </c>
      <c r="U353" s="99">
        <v>2.0</v>
      </c>
      <c r="V353" s="99">
        <v>217.0</v>
      </c>
      <c r="W353" s="99">
        <v>9522.0</v>
      </c>
    </row>
    <row r="354" ht="15.75" customHeight="1">
      <c r="A354" s="95" t="s">
        <v>2532</v>
      </c>
      <c r="B354" s="95" t="s">
        <v>101</v>
      </c>
      <c r="C354" s="96" t="s">
        <v>2533</v>
      </c>
      <c r="D354" s="95" t="s">
        <v>39</v>
      </c>
      <c r="E354" s="95" t="s">
        <v>39</v>
      </c>
      <c r="F354" s="95" t="s">
        <v>19</v>
      </c>
      <c r="G354" s="95" t="s">
        <v>588</v>
      </c>
      <c r="H354" s="95" t="s">
        <v>21</v>
      </c>
      <c r="I354" s="95" t="s">
        <v>2534</v>
      </c>
      <c r="J354" s="97">
        <v>46069.65903020834</v>
      </c>
      <c r="K354" s="95" t="s">
        <v>2535</v>
      </c>
      <c r="L354" s="96" t="s">
        <v>2536</v>
      </c>
      <c r="M354" s="95" t="s">
        <v>93</v>
      </c>
      <c r="N354" s="95" t="s">
        <v>2537</v>
      </c>
      <c r="O354" s="95" t="s">
        <v>2537</v>
      </c>
      <c r="P354" s="95" t="s">
        <v>2538</v>
      </c>
      <c r="Q354" s="98">
        <v>3.0</v>
      </c>
      <c r="R354" s="97">
        <v>46056.85923611111</v>
      </c>
      <c r="S354" s="99">
        <v>8864.0</v>
      </c>
      <c r="T354" s="99">
        <v>5697.0</v>
      </c>
      <c r="U354" s="99">
        <v>4.0</v>
      </c>
      <c r="V354" s="99">
        <v>268.0</v>
      </c>
      <c r="W354" s="99">
        <v>593026.0</v>
      </c>
    </row>
    <row r="355" ht="15.75" customHeight="1">
      <c r="A355" s="95" t="s">
        <v>2539</v>
      </c>
      <c r="B355" s="95" t="s">
        <v>22</v>
      </c>
      <c r="C355" s="96" t="s">
        <v>2540</v>
      </c>
      <c r="D355" s="95" t="s">
        <v>20</v>
      </c>
      <c r="E355" s="95" t="s">
        <v>1991</v>
      </c>
      <c r="F355" s="95" t="s">
        <v>19</v>
      </c>
      <c r="G355" s="95" t="s">
        <v>19</v>
      </c>
      <c r="H355" s="95" t="s">
        <v>21</v>
      </c>
      <c r="I355" s="95" t="s">
        <v>677</v>
      </c>
      <c r="J355" s="97">
        <v>46008.62902248843</v>
      </c>
      <c r="K355" s="96" t="s">
        <v>2541</v>
      </c>
      <c r="L355" s="96" t="s">
        <v>2542</v>
      </c>
      <c r="M355" s="95" t="s">
        <v>17</v>
      </c>
      <c r="N355" s="95" t="s">
        <v>2543</v>
      </c>
      <c r="O355" s="95" t="s">
        <v>2543</v>
      </c>
      <c r="P355" s="95" t="s">
        <v>2544</v>
      </c>
      <c r="Q355" s="98">
        <v>3.0</v>
      </c>
      <c r="R355" s="97">
        <v>45805.88386574074</v>
      </c>
      <c r="S355" s="99">
        <v>2260.0</v>
      </c>
      <c r="T355" s="99">
        <v>32.0</v>
      </c>
      <c r="U355" s="99">
        <v>1.0</v>
      </c>
      <c r="V355" s="99">
        <v>109.0</v>
      </c>
      <c r="W355" s="99">
        <v>999999.0</v>
      </c>
    </row>
    <row r="356" ht="15.75" customHeight="1">
      <c r="A356" s="95" t="s">
        <v>2545</v>
      </c>
      <c r="B356" s="95" t="s">
        <v>22</v>
      </c>
      <c r="C356" s="96" t="s">
        <v>2546</v>
      </c>
      <c r="D356" s="95" t="s">
        <v>39</v>
      </c>
      <c r="E356" s="95" t="s">
        <v>614</v>
      </c>
      <c r="F356" s="95" t="s">
        <v>19</v>
      </c>
      <c r="G356" s="95" t="s">
        <v>19</v>
      </c>
      <c r="H356" s="95" t="s">
        <v>21</v>
      </c>
      <c r="I356" s="95" t="s">
        <v>589</v>
      </c>
      <c r="J356" s="97">
        <v>45975.6793321412</v>
      </c>
      <c r="K356" s="96" t="s">
        <v>2547</v>
      </c>
      <c r="L356" s="96" t="s">
        <v>2548</v>
      </c>
      <c r="M356" s="95" t="s">
        <v>503</v>
      </c>
      <c r="N356" s="95" t="s">
        <v>2549</v>
      </c>
      <c r="O356" s="95" t="s">
        <v>2549</v>
      </c>
      <c r="P356" s="95" t="s">
        <v>2550</v>
      </c>
      <c r="Q356" s="98">
        <v>3.0</v>
      </c>
      <c r="R356" s="97">
        <v>45600.6612962963</v>
      </c>
      <c r="S356" s="99">
        <v>180.0</v>
      </c>
      <c r="T356" s="99">
        <v>23.0</v>
      </c>
      <c r="U356" s="99">
        <v>1.0</v>
      </c>
      <c r="V356" s="99">
        <v>304.0</v>
      </c>
      <c r="W356" s="99">
        <v>54669.0</v>
      </c>
    </row>
    <row r="357" ht="15.75" customHeight="1">
      <c r="A357" s="95" t="s">
        <v>2551</v>
      </c>
      <c r="B357" s="95" t="s">
        <v>22</v>
      </c>
      <c r="C357" s="96" t="s">
        <v>2552</v>
      </c>
      <c r="D357" s="95" t="s">
        <v>29</v>
      </c>
      <c r="E357" s="95" t="s">
        <v>598</v>
      </c>
      <c r="F357" s="95" t="s">
        <v>19</v>
      </c>
      <c r="G357" s="95" t="s">
        <v>1367</v>
      </c>
      <c r="H357" s="95" t="s">
        <v>21</v>
      </c>
      <c r="I357" s="95" t="s">
        <v>567</v>
      </c>
      <c r="J357" s="97">
        <v>45986.5375812963</v>
      </c>
      <c r="K357" s="95" t="s">
        <v>2553</v>
      </c>
      <c r="L357" s="95"/>
      <c r="M357" s="95" t="s">
        <v>28</v>
      </c>
      <c r="N357" s="95" t="s">
        <v>2554</v>
      </c>
      <c r="O357" s="95" t="s">
        <v>2554</v>
      </c>
      <c r="P357" s="95" t="s">
        <v>2555</v>
      </c>
      <c r="Q357" s="98">
        <v>3.0</v>
      </c>
      <c r="R357" s="97">
        <v>45883.88945601852</v>
      </c>
      <c r="S357" s="99">
        <v>5615.0</v>
      </c>
      <c r="T357" s="99">
        <v>112.0</v>
      </c>
      <c r="U357" s="99">
        <v>16.0</v>
      </c>
      <c r="V357" s="99">
        <v>546.0</v>
      </c>
      <c r="W357" s="99">
        <v>999999.0</v>
      </c>
    </row>
    <row r="358" ht="15.75" customHeight="1">
      <c r="A358" s="95" t="s">
        <v>2556</v>
      </c>
      <c r="B358" s="95" t="s">
        <v>22</v>
      </c>
      <c r="C358" s="96" t="s">
        <v>2557</v>
      </c>
      <c r="D358" s="95" t="s">
        <v>547</v>
      </c>
      <c r="E358" s="95" t="s">
        <v>710</v>
      </c>
      <c r="F358" s="95" t="s">
        <v>19</v>
      </c>
      <c r="G358" s="95" t="s">
        <v>19</v>
      </c>
      <c r="H358" s="95" t="s">
        <v>21</v>
      </c>
      <c r="I358" s="95" t="s">
        <v>567</v>
      </c>
      <c r="J358" s="97">
        <v>45986.53542238426</v>
      </c>
      <c r="K358" s="95" t="s">
        <v>2558</v>
      </c>
      <c r="L358" s="96" t="s">
        <v>2559</v>
      </c>
      <c r="M358" s="95" t="s">
        <v>28</v>
      </c>
      <c r="N358" s="95" t="s">
        <v>2560</v>
      </c>
      <c r="O358" s="95" t="s">
        <v>2560</v>
      </c>
      <c r="P358" s="95" t="s">
        <v>2561</v>
      </c>
      <c r="Q358" s="98">
        <v>3.0</v>
      </c>
      <c r="R358" s="97">
        <v>45655.83054398148</v>
      </c>
      <c r="S358" s="99">
        <v>173.0</v>
      </c>
      <c r="T358" s="99">
        <v>249.0</v>
      </c>
      <c r="U358" s="99">
        <v>9.0</v>
      </c>
      <c r="V358" s="99">
        <v>397.0</v>
      </c>
      <c r="W358" s="99">
        <v>22621.0</v>
      </c>
    </row>
    <row r="359" ht="15.75" customHeight="1">
      <c r="A359" s="95" t="s">
        <v>2562</v>
      </c>
      <c r="B359" s="95" t="s">
        <v>22</v>
      </c>
      <c r="C359" s="96" t="s">
        <v>2563</v>
      </c>
      <c r="D359" s="95" t="s">
        <v>39</v>
      </c>
      <c r="E359" s="95" t="s">
        <v>39</v>
      </c>
      <c r="F359" s="95" t="s">
        <v>19</v>
      </c>
      <c r="G359" s="95" t="s">
        <v>19</v>
      </c>
      <c r="H359" s="95" t="s">
        <v>21</v>
      </c>
      <c r="I359" s="95" t="s">
        <v>567</v>
      </c>
      <c r="J359" s="97">
        <v>45993.7907622338</v>
      </c>
      <c r="K359" s="96" t="s">
        <v>2564</v>
      </c>
      <c r="L359" s="96" t="s">
        <v>2565</v>
      </c>
      <c r="M359" s="95" t="s">
        <v>38</v>
      </c>
      <c r="N359" s="95" t="s">
        <v>2566</v>
      </c>
      <c r="O359" s="95" t="s">
        <v>2566</v>
      </c>
      <c r="P359" s="95" t="s">
        <v>2567</v>
      </c>
      <c r="Q359" s="98">
        <v>3.0</v>
      </c>
      <c r="R359" s="97">
        <v>45883.80703703704</v>
      </c>
      <c r="S359" s="99">
        <v>3735.0</v>
      </c>
      <c r="T359" s="99">
        <v>279.0</v>
      </c>
      <c r="U359" s="99">
        <v>1.0</v>
      </c>
      <c r="V359" s="99">
        <v>25.0</v>
      </c>
      <c r="W359" s="99">
        <v>21548.0</v>
      </c>
    </row>
    <row r="360" ht="15.75" customHeight="1">
      <c r="A360" s="95" t="s">
        <v>2568</v>
      </c>
      <c r="B360" s="95" t="s">
        <v>69</v>
      </c>
      <c r="C360" s="96" t="s">
        <v>2569</v>
      </c>
      <c r="D360" s="95" t="s">
        <v>59</v>
      </c>
      <c r="E360" s="95" t="s">
        <v>665</v>
      </c>
      <c r="F360" s="95" t="s">
        <v>58</v>
      </c>
      <c r="G360" s="95" t="s">
        <v>58</v>
      </c>
      <c r="H360" s="95" t="s">
        <v>77</v>
      </c>
      <c r="I360" s="95" t="s">
        <v>599</v>
      </c>
      <c r="J360" s="97">
        <v>45975.67930844907</v>
      </c>
      <c r="K360" s="96" t="s">
        <v>2570</v>
      </c>
      <c r="L360" s="96" t="s">
        <v>2571</v>
      </c>
      <c r="M360" s="95" t="s">
        <v>54</v>
      </c>
      <c r="N360" s="95" t="s">
        <v>2572</v>
      </c>
      <c r="O360" s="95" t="s">
        <v>2572</v>
      </c>
      <c r="P360" s="95" t="s">
        <v>2573</v>
      </c>
      <c r="Q360" s="98">
        <v>3.0</v>
      </c>
      <c r="R360" s="97">
        <v>45624.62886574074</v>
      </c>
      <c r="S360" s="99">
        <v>22737.0</v>
      </c>
      <c r="T360" s="99">
        <v>163.0</v>
      </c>
      <c r="U360" s="99">
        <v>4.0</v>
      </c>
      <c r="V360" s="99">
        <v>80.0</v>
      </c>
      <c r="W360" s="99">
        <v>4581328.0</v>
      </c>
    </row>
    <row r="361" ht="15.75" customHeight="1">
      <c r="A361" s="95" t="s">
        <v>2574</v>
      </c>
      <c r="B361" s="95" t="s">
        <v>22</v>
      </c>
      <c r="C361" s="96" t="s">
        <v>2575</v>
      </c>
      <c r="D361" s="95" t="s">
        <v>59</v>
      </c>
      <c r="E361" s="95" t="s">
        <v>665</v>
      </c>
      <c r="F361" s="95" t="s">
        <v>19</v>
      </c>
      <c r="G361" s="95" t="s">
        <v>1367</v>
      </c>
      <c r="H361" s="95" t="s">
        <v>21</v>
      </c>
      <c r="I361" s="95" t="s">
        <v>589</v>
      </c>
      <c r="J361" s="97">
        <v>45980.94037962963</v>
      </c>
      <c r="K361" s="95" t="s">
        <v>2576</v>
      </c>
      <c r="L361" s="96" t="s">
        <v>2577</v>
      </c>
      <c r="M361" s="95" t="s">
        <v>54</v>
      </c>
      <c r="N361" s="95" t="s">
        <v>2572</v>
      </c>
      <c r="O361" s="95" t="s">
        <v>2572</v>
      </c>
      <c r="P361" s="95" t="s">
        <v>2573</v>
      </c>
      <c r="Q361" s="98">
        <v>3.0</v>
      </c>
      <c r="R361" s="97">
        <v>45897.93918981482</v>
      </c>
      <c r="S361" s="99">
        <v>22737.0</v>
      </c>
      <c r="T361" s="99">
        <v>265.0</v>
      </c>
      <c r="U361" s="99">
        <v>1.0</v>
      </c>
      <c r="V361" s="99">
        <v>77.0</v>
      </c>
      <c r="W361" s="99">
        <v>4581328.0</v>
      </c>
    </row>
    <row r="362" ht="15.75" customHeight="1">
      <c r="A362" s="95" t="s">
        <v>2578</v>
      </c>
      <c r="B362" s="95" t="s">
        <v>22</v>
      </c>
      <c r="C362" s="96" t="s">
        <v>2579</v>
      </c>
      <c r="D362" s="95" t="s">
        <v>59</v>
      </c>
      <c r="E362" s="95" t="s">
        <v>59</v>
      </c>
      <c r="F362" s="95" t="s">
        <v>19</v>
      </c>
      <c r="G362" s="95" t="s">
        <v>19</v>
      </c>
      <c r="H362" s="95" t="s">
        <v>21</v>
      </c>
      <c r="I362" s="95" t="s">
        <v>567</v>
      </c>
      <c r="J362" s="97">
        <v>46003.09721050926</v>
      </c>
      <c r="K362" s="95" t="s">
        <v>2580</v>
      </c>
      <c r="L362" s="96" t="s">
        <v>2581</v>
      </c>
      <c r="M362" s="95" t="s">
        <v>54</v>
      </c>
      <c r="N362" s="95" t="s">
        <v>2582</v>
      </c>
      <c r="O362" s="95" t="s">
        <v>2582</v>
      </c>
      <c r="P362" s="95" t="s">
        <v>2583</v>
      </c>
      <c r="Q362" s="98">
        <v>3.0</v>
      </c>
      <c r="R362" s="97">
        <v>45624.67206018518</v>
      </c>
      <c r="S362" s="99">
        <v>247.0</v>
      </c>
      <c r="T362" s="99">
        <v>38.0</v>
      </c>
      <c r="U362" s="99">
        <v>1.0</v>
      </c>
      <c r="V362" s="99">
        <v>166.0</v>
      </c>
      <c r="W362" s="99">
        <v>13274.0</v>
      </c>
    </row>
    <row r="363" ht="15.75" customHeight="1">
      <c r="A363" s="95" t="s">
        <v>2584</v>
      </c>
      <c r="B363" s="95" t="s">
        <v>101</v>
      </c>
      <c r="C363" s="96" t="s">
        <v>2585</v>
      </c>
      <c r="D363" s="95" t="s">
        <v>124</v>
      </c>
      <c r="E363" s="95" t="s">
        <v>794</v>
      </c>
      <c r="F363" s="95" t="s">
        <v>19</v>
      </c>
      <c r="G363" s="95" t="s">
        <v>574</v>
      </c>
      <c r="H363" s="95" t="s">
        <v>21</v>
      </c>
      <c r="I363" s="95" t="s">
        <v>1497</v>
      </c>
      <c r="J363" s="97">
        <v>46056.94379803241</v>
      </c>
      <c r="K363" s="96" t="s">
        <v>2586</v>
      </c>
      <c r="L363" s="96" t="s">
        <v>2587</v>
      </c>
      <c r="M363" s="95" t="s">
        <v>93</v>
      </c>
      <c r="N363" s="95" t="s">
        <v>2588</v>
      </c>
      <c r="O363" s="95" t="s">
        <v>2588</v>
      </c>
      <c r="P363" s="95" t="s">
        <v>2589</v>
      </c>
      <c r="Q363" s="98">
        <v>3.0</v>
      </c>
      <c r="R363" s="97">
        <v>45807.00920138889</v>
      </c>
      <c r="S363" s="99">
        <v>117.0</v>
      </c>
      <c r="T363" s="99">
        <v>5.0</v>
      </c>
      <c r="U363" s="99">
        <v>2.0</v>
      </c>
      <c r="V363" s="99">
        <v>34.0</v>
      </c>
      <c r="W363" s="99">
        <v>999999.0</v>
      </c>
    </row>
    <row r="364" ht="15.75" customHeight="1">
      <c r="A364" s="95" t="s">
        <v>2590</v>
      </c>
      <c r="B364" s="95" t="s">
        <v>22</v>
      </c>
      <c r="C364" s="96" t="s">
        <v>2591</v>
      </c>
      <c r="D364" s="95" t="s">
        <v>39</v>
      </c>
      <c r="E364" s="95" t="s">
        <v>39</v>
      </c>
      <c r="F364" s="95" t="s">
        <v>19</v>
      </c>
      <c r="G364" s="95" t="s">
        <v>588</v>
      </c>
      <c r="H364" s="95" t="s">
        <v>21</v>
      </c>
      <c r="I364" s="95" t="s">
        <v>589</v>
      </c>
      <c r="J364" s="97">
        <v>46021.50534530092</v>
      </c>
      <c r="K364" s="95" t="s">
        <v>2592</v>
      </c>
      <c r="L364" s="96" t="s">
        <v>2593</v>
      </c>
      <c r="M364" s="95" t="s">
        <v>503</v>
      </c>
      <c r="N364" s="95" t="s">
        <v>2594</v>
      </c>
      <c r="O364" s="95" t="s">
        <v>2594</v>
      </c>
      <c r="P364" s="95" t="s">
        <v>2595</v>
      </c>
      <c r="Q364" s="98">
        <v>3.0</v>
      </c>
      <c r="R364" s="97">
        <v>45915.45296296296</v>
      </c>
      <c r="S364" s="99">
        <v>53.0</v>
      </c>
      <c r="T364" s="99">
        <v>193.0</v>
      </c>
      <c r="U364" s="99">
        <v>9.0</v>
      </c>
      <c r="V364" s="99">
        <v>90.0</v>
      </c>
      <c r="W364" s="99">
        <v>7233.0</v>
      </c>
    </row>
    <row r="365" ht="15.75" customHeight="1">
      <c r="A365" s="95" t="s">
        <v>2596</v>
      </c>
      <c r="B365" s="95" t="s">
        <v>69</v>
      </c>
      <c r="C365" s="96" t="s">
        <v>2597</v>
      </c>
      <c r="D365" s="95" t="s">
        <v>39</v>
      </c>
      <c r="E365" s="95" t="s">
        <v>39</v>
      </c>
      <c r="F365" s="95" t="s">
        <v>19</v>
      </c>
      <c r="G365" s="95" t="s">
        <v>19</v>
      </c>
      <c r="H365" s="95" t="s">
        <v>21</v>
      </c>
      <c r="I365" s="95" t="s">
        <v>719</v>
      </c>
      <c r="J365" s="97">
        <v>45975.67930844907</v>
      </c>
      <c r="K365" s="96" t="s">
        <v>2598</v>
      </c>
      <c r="L365" s="96" t="s">
        <v>2599</v>
      </c>
      <c r="M365" s="95" t="s">
        <v>54</v>
      </c>
      <c r="N365" s="95" t="s">
        <v>2600</v>
      </c>
      <c r="O365" s="95" t="s">
        <v>2600</v>
      </c>
      <c r="P365" s="95" t="s">
        <v>2601</v>
      </c>
      <c r="Q365" s="98">
        <v>3.0</v>
      </c>
      <c r="R365" s="97">
        <v>45894.66171296296</v>
      </c>
      <c r="S365" s="99">
        <v>41249.0</v>
      </c>
      <c r="T365" s="99">
        <v>74.0</v>
      </c>
      <c r="U365" s="99">
        <v>6.0</v>
      </c>
      <c r="V365" s="99">
        <v>30.0</v>
      </c>
      <c r="W365" s="99">
        <v>212326.0</v>
      </c>
    </row>
    <row r="366" ht="15.75" customHeight="1">
      <c r="A366" s="95" t="s">
        <v>2602</v>
      </c>
      <c r="B366" s="95" t="s">
        <v>157</v>
      </c>
      <c r="C366" s="96" t="s">
        <v>2603</v>
      </c>
      <c r="D366" s="95" t="s">
        <v>124</v>
      </c>
      <c r="E366" s="95" t="s">
        <v>2604</v>
      </c>
      <c r="F366" s="95" t="s">
        <v>19</v>
      </c>
      <c r="G366" s="95" t="s">
        <v>19</v>
      </c>
      <c r="H366" s="95" t="s">
        <v>89</v>
      </c>
      <c r="I366" s="95" t="s">
        <v>859</v>
      </c>
      <c r="J366" s="97">
        <v>45975.67938763889</v>
      </c>
      <c r="K366" s="96" t="s">
        <v>2605</v>
      </c>
      <c r="L366" s="96" t="s">
        <v>2606</v>
      </c>
      <c r="M366" s="95" t="s">
        <v>74</v>
      </c>
      <c r="N366" s="95" t="s">
        <v>2607</v>
      </c>
      <c r="O366" s="95" t="s">
        <v>2607</v>
      </c>
      <c r="P366" s="95" t="s">
        <v>2608</v>
      </c>
      <c r="Q366" s="98">
        <v>3.0</v>
      </c>
      <c r="R366" s="97">
        <v>45889.7925462963</v>
      </c>
      <c r="S366" s="99">
        <v>58110.0</v>
      </c>
      <c r="T366" s="99">
        <v>83.0</v>
      </c>
      <c r="U366" s="99">
        <v>14.0</v>
      </c>
      <c r="V366" s="99">
        <v>322.0</v>
      </c>
      <c r="W366" s="99">
        <v>205460.0</v>
      </c>
    </row>
    <row r="367" ht="15.75" customHeight="1">
      <c r="A367" s="95" t="s">
        <v>2609</v>
      </c>
      <c r="B367" s="95" t="s">
        <v>22</v>
      </c>
      <c r="C367" s="96" t="s">
        <v>2610</v>
      </c>
      <c r="D367" s="95" t="s">
        <v>59</v>
      </c>
      <c r="E367" s="95" t="s">
        <v>59</v>
      </c>
      <c r="F367" s="95" t="s">
        <v>19</v>
      </c>
      <c r="G367" s="95" t="s">
        <v>19</v>
      </c>
      <c r="H367" s="95" t="s">
        <v>21</v>
      </c>
      <c r="I367" s="95" t="s">
        <v>567</v>
      </c>
      <c r="J367" s="97">
        <v>46021.49370376157</v>
      </c>
      <c r="K367" s="95" t="s">
        <v>2611</v>
      </c>
      <c r="L367" s="96" t="s">
        <v>2612</v>
      </c>
      <c r="M367" s="95" t="s">
        <v>67</v>
      </c>
      <c r="N367" s="95" t="s">
        <v>2613</v>
      </c>
      <c r="O367" s="95" t="s">
        <v>2613</v>
      </c>
      <c r="P367" s="95" t="s">
        <v>2614</v>
      </c>
      <c r="Q367" s="98">
        <v>3.0</v>
      </c>
      <c r="R367" s="97">
        <v>45714.77637731482</v>
      </c>
      <c r="S367" s="99">
        <v>201.0</v>
      </c>
      <c r="T367" s="99">
        <v>359.0</v>
      </c>
      <c r="U367" s="99">
        <v>108.0</v>
      </c>
      <c r="V367" s="99">
        <v>244.0</v>
      </c>
      <c r="W367" s="99">
        <v>447734.0</v>
      </c>
    </row>
    <row r="368" ht="15.75" customHeight="1">
      <c r="A368" s="95" t="s">
        <v>2615</v>
      </c>
      <c r="B368" s="95" t="s">
        <v>22</v>
      </c>
      <c r="C368" s="96" t="s">
        <v>2616</v>
      </c>
      <c r="D368" s="95" t="s">
        <v>59</v>
      </c>
      <c r="E368" s="95" t="s">
        <v>665</v>
      </c>
      <c r="F368" s="95" t="s">
        <v>19</v>
      </c>
      <c r="G368" s="95" t="s">
        <v>588</v>
      </c>
      <c r="H368" s="95" t="s">
        <v>21</v>
      </c>
      <c r="I368" s="95" t="s">
        <v>589</v>
      </c>
      <c r="J368" s="97">
        <v>46021.49370376157</v>
      </c>
      <c r="K368" s="95" t="s">
        <v>2617</v>
      </c>
      <c r="L368" s="96" t="s">
        <v>2618</v>
      </c>
      <c r="M368" s="95" t="s">
        <v>54</v>
      </c>
      <c r="N368" s="95" t="s">
        <v>2619</v>
      </c>
      <c r="O368" s="95" t="s">
        <v>2619</v>
      </c>
      <c r="P368" s="95" t="s">
        <v>2620</v>
      </c>
      <c r="Q368" s="98">
        <v>3.0</v>
      </c>
      <c r="R368" s="97">
        <v>45850.60376157407</v>
      </c>
      <c r="S368" s="99">
        <v>70.0</v>
      </c>
      <c r="T368" s="99">
        <v>26.0</v>
      </c>
      <c r="U368" s="99">
        <v>12.0</v>
      </c>
      <c r="V368" s="99">
        <v>175.0</v>
      </c>
      <c r="W368" s="99">
        <v>25143.0</v>
      </c>
    </row>
    <row r="369" ht="15.75" customHeight="1">
      <c r="A369" s="95" t="s">
        <v>172</v>
      </c>
      <c r="B369" s="95" t="s">
        <v>157</v>
      </c>
      <c r="C369" s="96" t="s">
        <v>176</v>
      </c>
      <c r="D369" s="95" t="s">
        <v>39</v>
      </c>
      <c r="E369" s="95" t="s">
        <v>39</v>
      </c>
      <c r="F369" s="95" t="s">
        <v>19</v>
      </c>
      <c r="G369" s="95" t="s">
        <v>19</v>
      </c>
      <c r="H369" s="95" t="s">
        <v>89</v>
      </c>
      <c r="I369" s="95" t="s">
        <v>859</v>
      </c>
      <c r="J369" s="97">
        <v>45975.67938763889</v>
      </c>
      <c r="K369" s="96" t="s">
        <v>175</v>
      </c>
      <c r="L369" s="96" t="s">
        <v>174</v>
      </c>
      <c r="M369" s="95" t="s">
        <v>74</v>
      </c>
      <c r="N369" s="95" t="s">
        <v>173</v>
      </c>
      <c r="O369" s="95" t="s">
        <v>173</v>
      </c>
      <c r="P369" s="95" t="s">
        <v>2621</v>
      </c>
      <c r="Q369" s="98">
        <v>3.0</v>
      </c>
      <c r="R369" s="97">
        <v>45785.81775462963</v>
      </c>
      <c r="S369" s="99">
        <v>68.0</v>
      </c>
      <c r="T369" s="99">
        <v>2.0</v>
      </c>
      <c r="U369" s="99">
        <v>1.0</v>
      </c>
      <c r="V369" s="99">
        <v>27.0</v>
      </c>
      <c r="W369" s="99">
        <v>26458.0</v>
      </c>
    </row>
    <row r="370" ht="15.75" customHeight="1">
      <c r="A370" s="95" t="s">
        <v>2622</v>
      </c>
      <c r="B370" s="95" t="s">
        <v>22</v>
      </c>
      <c r="C370" s="96" t="s">
        <v>2623</v>
      </c>
      <c r="D370" s="95" t="s">
        <v>39</v>
      </c>
      <c r="E370" s="95" t="s">
        <v>39</v>
      </c>
      <c r="F370" s="95" t="s">
        <v>19</v>
      </c>
      <c r="G370" s="95" t="s">
        <v>19</v>
      </c>
      <c r="H370" s="95" t="s">
        <v>21</v>
      </c>
      <c r="I370" s="95" t="s">
        <v>567</v>
      </c>
      <c r="J370" s="97">
        <v>45975.67938763889</v>
      </c>
      <c r="K370" s="96" t="s">
        <v>2624</v>
      </c>
      <c r="L370" s="96" t="s">
        <v>2625</v>
      </c>
      <c r="M370" s="95" t="s">
        <v>74</v>
      </c>
      <c r="N370" s="95" t="s">
        <v>2626</v>
      </c>
      <c r="O370" s="95" t="s">
        <v>2626</v>
      </c>
      <c r="P370" s="95" t="s">
        <v>2627</v>
      </c>
      <c r="Q370" s="98">
        <v>3.0</v>
      </c>
      <c r="R370" s="97">
        <v>45848.03326388889</v>
      </c>
      <c r="S370" s="99">
        <v>53.0</v>
      </c>
      <c r="T370" s="99">
        <v>101.0</v>
      </c>
      <c r="U370" s="99">
        <v>6.0</v>
      </c>
      <c r="V370" s="99">
        <v>150.0</v>
      </c>
      <c r="W370" s="99">
        <v>22314.0</v>
      </c>
    </row>
    <row r="371" ht="15.75" customHeight="1">
      <c r="A371" s="95" t="s">
        <v>2628</v>
      </c>
      <c r="B371" s="95" t="s">
        <v>101</v>
      </c>
      <c r="C371" s="96" t="s">
        <v>2629</v>
      </c>
      <c r="D371" s="95" t="s">
        <v>59</v>
      </c>
      <c r="E371" s="95" t="s">
        <v>738</v>
      </c>
      <c r="F371" s="95" t="s">
        <v>19</v>
      </c>
      <c r="G371" s="95" t="s">
        <v>19</v>
      </c>
      <c r="H371" s="95" t="s">
        <v>21</v>
      </c>
      <c r="I371" s="95" t="s">
        <v>890</v>
      </c>
      <c r="J371" s="97">
        <v>46021.49382673611</v>
      </c>
      <c r="K371" s="95" t="s">
        <v>2630</v>
      </c>
      <c r="L371" s="96" t="s">
        <v>2631</v>
      </c>
      <c r="M371" s="95" t="s">
        <v>54</v>
      </c>
      <c r="N371" s="95" t="s">
        <v>2632</v>
      </c>
      <c r="O371" s="95" t="s">
        <v>2632</v>
      </c>
      <c r="P371" s="95" t="s">
        <v>2633</v>
      </c>
      <c r="Q371" s="98">
        <v>3.0</v>
      </c>
      <c r="R371" s="97">
        <v>45645.64959490741</v>
      </c>
      <c r="S371" s="99">
        <v>52.0</v>
      </c>
      <c r="T371" s="99">
        <v>86.0</v>
      </c>
      <c r="U371" s="99">
        <v>20.0</v>
      </c>
      <c r="V371" s="99">
        <v>20.0</v>
      </c>
      <c r="W371" s="99">
        <v>12335.0</v>
      </c>
    </row>
    <row r="372" ht="15.75" customHeight="1">
      <c r="A372" s="95" t="s">
        <v>2634</v>
      </c>
      <c r="B372" s="95" t="s">
        <v>22</v>
      </c>
      <c r="C372" s="96" t="s">
        <v>2635</v>
      </c>
      <c r="D372" s="95" t="s">
        <v>547</v>
      </c>
      <c r="E372" s="95" t="s">
        <v>547</v>
      </c>
      <c r="F372" s="95" t="s">
        <v>19</v>
      </c>
      <c r="G372" s="95" t="s">
        <v>19</v>
      </c>
      <c r="H372" s="95" t="s">
        <v>21</v>
      </c>
      <c r="I372" s="95" t="s">
        <v>567</v>
      </c>
      <c r="J372" s="97">
        <v>46021.50534530092</v>
      </c>
      <c r="K372" s="95" t="s">
        <v>2636</v>
      </c>
      <c r="L372" s="96" t="s">
        <v>2637</v>
      </c>
      <c r="M372" s="95" t="s">
        <v>74</v>
      </c>
      <c r="N372" s="95" t="s">
        <v>2638</v>
      </c>
      <c r="O372" s="95" t="s">
        <v>2638</v>
      </c>
      <c r="P372" s="95" t="s">
        <v>2639</v>
      </c>
      <c r="Q372" s="98">
        <v>3.0</v>
      </c>
      <c r="R372" s="97">
        <v>45698.96863425926</v>
      </c>
      <c r="S372" s="99">
        <v>1599.0</v>
      </c>
      <c r="T372" s="99">
        <v>256.0</v>
      </c>
      <c r="U372" s="99">
        <v>31.0</v>
      </c>
      <c r="V372" s="99">
        <v>998.0</v>
      </c>
      <c r="W372" s="99">
        <v>353014.0</v>
      </c>
    </row>
    <row r="373" ht="15.75" customHeight="1">
      <c r="A373" s="95" t="s">
        <v>2640</v>
      </c>
      <c r="B373" s="95" t="s">
        <v>22</v>
      </c>
      <c r="C373" s="96" t="s">
        <v>2641</v>
      </c>
      <c r="D373" s="95" t="s">
        <v>39</v>
      </c>
      <c r="E373" s="95" t="s">
        <v>1269</v>
      </c>
      <c r="F373" s="95" t="s">
        <v>19</v>
      </c>
      <c r="G373" s="95" t="s">
        <v>574</v>
      </c>
      <c r="H373" s="95" t="s">
        <v>21</v>
      </c>
      <c r="I373" s="95" t="s">
        <v>567</v>
      </c>
      <c r="J373" s="97">
        <v>45977.675699375</v>
      </c>
      <c r="K373" s="95" t="s">
        <v>2642</v>
      </c>
      <c r="L373" s="96" t="s">
        <v>2643</v>
      </c>
      <c r="M373" s="95" t="s">
        <v>17</v>
      </c>
      <c r="N373" s="95" t="s">
        <v>2644</v>
      </c>
      <c r="O373" s="95" t="s">
        <v>2644</v>
      </c>
      <c r="P373" s="95" t="s">
        <v>2645</v>
      </c>
      <c r="Q373" s="98">
        <v>3.0</v>
      </c>
      <c r="R373" s="97">
        <v>45769.60428240741</v>
      </c>
      <c r="S373" s="99">
        <v>1085.0</v>
      </c>
      <c r="T373" s="99">
        <v>4717.0</v>
      </c>
      <c r="U373" s="99">
        <v>32.0</v>
      </c>
      <c r="V373" s="99">
        <v>274.0</v>
      </c>
      <c r="W373" s="99">
        <v>34922.0</v>
      </c>
    </row>
    <row r="374" ht="15.75" customHeight="1">
      <c r="A374" s="95" t="s">
        <v>2646</v>
      </c>
      <c r="B374" s="95" t="s">
        <v>22</v>
      </c>
      <c r="C374" s="96" t="s">
        <v>2647</v>
      </c>
      <c r="D374" s="95" t="s">
        <v>39</v>
      </c>
      <c r="E374" s="95" t="s">
        <v>39</v>
      </c>
      <c r="F374" s="95" t="s">
        <v>19</v>
      </c>
      <c r="G374" s="95" t="s">
        <v>588</v>
      </c>
      <c r="H374" s="95" t="s">
        <v>21</v>
      </c>
      <c r="I374" s="95" t="s">
        <v>589</v>
      </c>
      <c r="J374" s="97">
        <v>46008.62902030093</v>
      </c>
      <c r="K374" s="96" t="s">
        <v>2648</v>
      </c>
      <c r="L374" s="96" t="s">
        <v>2649</v>
      </c>
      <c r="M374" s="95" t="s">
        <v>17</v>
      </c>
      <c r="N374" s="95" t="s">
        <v>2644</v>
      </c>
      <c r="O374" s="95" t="s">
        <v>2644</v>
      </c>
      <c r="P374" s="95" t="s">
        <v>2645</v>
      </c>
      <c r="Q374" s="98">
        <v>3.0</v>
      </c>
      <c r="R374" s="97">
        <v>45770.3272337963</v>
      </c>
      <c r="S374" s="99">
        <v>1085.0</v>
      </c>
      <c r="T374" s="99">
        <v>8140.0</v>
      </c>
      <c r="U374" s="99">
        <v>50.0</v>
      </c>
      <c r="V374" s="99">
        <v>51.0</v>
      </c>
      <c r="W374" s="99">
        <v>34922.0</v>
      </c>
    </row>
    <row r="375" ht="15.75" customHeight="1">
      <c r="A375" s="95" t="s">
        <v>2650</v>
      </c>
      <c r="B375" s="95" t="s">
        <v>22</v>
      </c>
      <c r="C375" s="96" t="s">
        <v>2651</v>
      </c>
      <c r="D375" s="95" t="s">
        <v>20</v>
      </c>
      <c r="E375" s="95" t="s">
        <v>638</v>
      </c>
      <c r="F375" s="95" t="s">
        <v>19</v>
      </c>
      <c r="G375" s="95" t="s">
        <v>19</v>
      </c>
      <c r="H375" s="95" t="s">
        <v>21</v>
      </c>
      <c r="I375" s="95" t="s">
        <v>567</v>
      </c>
      <c r="J375" s="97">
        <v>46008.62902254629</v>
      </c>
      <c r="K375" s="96" t="s">
        <v>2652</v>
      </c>
      <c r="L375" s="96" t="s">
        <v>2653</v>
      </c>
      <c r="M375" s="95" t="s">
        <v>17</v>
      </c>
      <c r="N375" s="95" t="s">
        <v>2654</v>
      </c>
      <c r="O375" s="95" t="s">
        <v>2654</v>
      </c>
      <c r="P375" s="95" t="s">
        <v>2655</v>
      </c>
      <c r="Q375" s="98">
        <v>3.0</v>
      </c>
      <c r="R375" s="97">
        <v>45616.62457175926</v>
      </c>
      <c r="S375" s="99">
        <v>14993.0</v>
      </c>
      <c r="T375" s="99">
        <v>19.0</v>
      </c>
      <c r="U375" s="99">
        <v>2.0</v>
      </c>
      <c r="V375" s="99">
        <v>178.0</v>
      </c>
      <c r="W375" s="99">
        <v>896224.0</v>
      </c>
    </row>
    <row r="376" ht="15.75" customHeight="1">
      <c r="A376" s="95" t="s">
        <v>2656</v>
      </c>
      <c r="B376" s="95" t="s">
        <v>22</v>
      </c>
      <c r="C376" s="96" t="s">
        <v>2657</v>
      </c>
      <c r="D376" s="95" t="s">
        <v>29</v>
      </c>
      <c r="E376" s="95" t="s">
        <v>658</v>
      </c>
      <c r="F376" s="95" t="s">
        <v>19</v>
      </c>
      <c r="G376" s="95" t="s">
        <v>588</v>
      </c>
      <c r="H376" s="95" t="s">
        <v>21</v>
      </c>
      <c r="I376" s="95" t="s">
        <v>589</v>
      </c>
      <c r="J376" s="97">
        <v>46021.51011266204</v>
      </c>
      <c r="K376" s="95" t="s">
        <v>2658</v>
      </c>
      <c r="L376" s="96" t="s">
        <v>2659</v>
      </c>
      <c r="M376" s="95" t="s">
        <v>93</v>
      </c>
      <c r="N376" s="95" t="s">
        <v>2660</v>
      </c>
      <c r="O376" s="95" t="s">
        <v>2660</v>
      </c>
      <c r="P376" s="95" t="s">
        <v>2661</v>
      </c>
      <c r="Q376" s="98">
        <v>3.0</v>
      </c>
      <c r="R376" s="97">
        <v>45846.36083333333</v>
      </c>
      <c r="S376" s="99">
        <v>576.0</v>
      </c>
      <c r="T376" s="99">
        <v>402.0</v>
      </c>
      <c r="U376" s="99">
        <v>6.0</v>
      </c>
      <c r="V376" s="99">
        <v>108.0</v>
      </c>
      <c r="W376" s="99">
        <v>83535.0</v>
      </c>
    </row>
    <row r="377" ht="15.75" customHeight="1">
      <c r="A377" s="95" t="s">
        <v>2662</v>
      </c>
      <c r="B377" s="95" t="s">
        <v>69</v>
      </c>
      <c r="C377" s="96" t="s">
        <v>2663</v>
      </c>
      <c r="D377" s="95" t="s">
        <v>20</v>
      </c>
      <c r="E377" s="95" t="s">
        <v>845</v>
      </c>
      <c r="F377" s="95" t="s">
        <v>58</v>
      </c>
      <c r="G377" s="95" t="s">
        <v>58</v>
      </c>
      <c r="H377" s="95" t="s">
        <v>77</v>
      </c>
      <c r="I377" s="95" t="s">
        <v>599</v>
      </c>
      <c r="J377" s="97">
        <v>46021.50534530092</v>
      </c>
      <c r="K377" s="95" t="s">
        <v>2664</v>
      </c>
      <c r="L377" s="96" t="s">
        <v>2665</v>
      </c>
      <c r="M377" s="95" t="s">
        <v>74</v>
      </c>
      <c r="N377" s="95" t="s">
        <v>2666</v>
      </c>
      <c r="O377" s="95" t="s">
        <v>2666</v>
      </c>
      <c r="P377" s="95" t="s">
        <v>2667</v>
      </c>
      <c r="Q377" s="98">
        <v>3.0</v>
      </c>
      <c r="R377" s="97">
        <v>45919.8109837963</v>
      </c>
      <c r="S377" s="99">
        <v>1656.0</v>
      </c>
      <c r="T377" s="99">
        <v>67.0</v>
      </c>
      <c r="U377" s="99">
        <v>3.0</v>
      </c>
      <c r="V377" s="99">
        <v>86.0</v>
      </c>
      <c r="W377" s="99">
        <v>521760.0</v>
      </c>
    </row>
    <row r="378" ht="15.75" customHeight="1">
      <c r="A378" s="95" t="s">
        <v>2668</v>
      </c>
      <c r="B378" s="95" t="s">
        <v>22</v>
      </c>
      <c r="C378" s="96" t="s">
        <v>2669</v>
      </c>
      <c r="D378" s="95" t="s">
        <v>39</v>
      </c>
      <c r="E378" s="95" t="s">
        <v>39</v>
      </c>
      <c r="F378" s="95" t="s">
        <v>19</v>
      </c>
      <c r="G378" s="95" t="s">
        <v>19</v>
      </c>
      <c r="H378" s="95" t="s">
        <v>21</v>
      </c>
      <c r="I378" s="95" t="s">
        <v>567</v>
      </c>
      <c r="J378" s="97">
        <v>45975.67932418981</v>
      </c>
      <c r="K378" s="96" t="s">
        <v>2670</v>
      </c>
      <c r="L378" s="96" t="s">
        <v>2671</v>
      </c>
      <c r="M378" s="95" t="s">
        <v>93</v>
      </c>
      <c r="N378" s="95" t="s">
        <v>2672</v>
      </c>
      <c r="O378" s="95" t="s">
        <v>2672</v>
      </c>
      <c r="P378" s="95" t="s">
        <v>2673</v>
      </c>
      <c r="Q378" s="98">
        <v>3.0</v>
      </c>
      <c r="R378" s="97">
        <v>44330.55690972223</v>
      </c>
      <c r="S378" s="99">
        <v>2624.0</v>
      </c>
      <c r="T378" s="99">
        <v>2139.0</v>
      </c>
      <c r="U378" s="99">
        <v>1.0</v>
      </c>
      <c r="V378" s="99">
        <v>52.0</v>
      </c>
      <c r="W378" s="99">
        <v>36656.0</v>
      </c>
    </row>
    <row r="379" ht="15.75" customHeight="1">
      <c r="A379" s="95" t="s">
        <v>2674</v>
      </c>
      <c r="B379" s="95" t="s">
        <v>22</v>
      </c>
      <c r="C379" s="96" t="s">
        <v>2675</v>
      </c>
      <c r="D379" s="95" t="s">
        <v>59</v>
      </c>
      <c r="E379" s="95" t="s">
        <v>738</v>
      </c>
      <c r="F379" s="95" t="s">
        <v>19</v>
      </c>
      <c r="G379" s="95" t="s">
        <v>19</v>
      </c>
      <c r="H379" s="95" t="s">
        <v>21</v>
      </c>
      <c r="I379" s="95" t="s">
        <v>567</v>
      </c>
      <c r="J379" s="97">
        <v>46021.50534530092</v>
      </c>
      <c r="K379" s="95" t="s">
        <v>2676</v>
      </c>
      <c r="L379" s="96" t="s">
        <v>2677</v>
      </c>
      <c r="M379" s="95" t="s">
        <v>28</v>
      </c>
      <c r="N379" s="95" t="s">
        <v>2678</v>
      </c>
      <c r="O379" s="95" t="s">
        <v>2678</v>
      </c>
      <c r="P379" s="95" t="s">
        <v>2679</v>
      </c>
      <c r="Q379" s="98">
        <v>3.0</v>
      </c>
      <c r="R379" s="97">
        <v>45721.97009259259</v>
      </c>
      <c r="S379" s="99">
        <v>503.0</v>
      </c>
      <c r="T379" s="99">
        <v>32.0</v>
      </c>
      <c r="U379" s="99">
        <v>6.0</v>
      </c>
      <c r="V379" s="99">
        <v>319.0</v>
      </c>
      <c r="W379" s="99">
        <v>49044.0</v>
      </c>
    </row>
    <row r="380" ht="15.75" customHeight="1">
      <c r="A380" s="95" t="s">
        <v>2680</v>
      </c>
      <c r="B380" s="95" t="s">
        <v>22</v>
      </c>
      <c r="C380" s="96" t="s">
        <v>2681</v>
      </c>
      <c r="D380" s="95" t="s">
        <v>59</v>
      </c>
      <c r="E380" s="95" t="s">
        <v>738</v>
      </c>
      <c r="F380" s="95" t="s">
        <v>19</v>
      </c>
      <c r="G380" s="95" t="s">
        <v>19</v>
      </c>
      <c r="H380" s="95" t="s">
        <v>21</v>
      </c>
      <c r="I380" s="95" t="s">
        <v>567</v>
      </c>
      <c r="J380" s="97">
        <v>46021.49382673611</v>
      </c>
      <c r="K380" s="95" t="s">
        <v>2682</v>
      </c>
      <c r="L380" s="96" t="s">
        <v>2683</v>
      </c>
      <c r="M380" s="95" t="s">
        <v>28</v>
      </c>
      <c r="N380" s="95" t="s">
        <v>2678</v>
      </c>
      <c r="O380" s="95" t="s">
        <v>2678</v>
      </c>
      <c r="P380" s="95" t="s">
        <v>2679</v>
      </c>
      <c r="Q380" s="98">
        <v>3.0</v>
      </c>
      <c r="R380" s="97">
        <v>45677.91576388889</v>
      </c>
      <c r="S380" s="99">
        <v>503.0</v>
      </c>
      <c r="T380" s="99">
        <v>4.0</v>
      </c>
      <c r="U380" s="99">
        <v>1.0</v>
      </c>
      <c r="V380" s="99">
        <v>204.0</v>
      </c>
      <c r="W380" s="99">
        <v>49044.0</v>
      </c>
    </row>
    <row r="381" ht="15.75" customHeight="1">
      <c r="A381" s="95" t="s">
        <v>2684</v>
      </c>
      <c r="B381" s="95" t="s">
        <v>22</v>
      </c>
      <c r="C381" s="96" t="s">
        <v>2685</v>
      </c>
      <c r="D381" s="95" t="s">
        <v>130</v>
      </c>
      <c r="E381" s="95" t="s">
        <v>1025</v>
      </c>
      <c r="F381" s="95" t="s">
        <v>19</v>
      </c>
      <c r="G381" s="95" t="s">
        <v>19</v>
      </c>
      <c r="H381" s="95" t="s">
        <v>21</v>
      </c>
      <c r="I381" s="95" t="s">
        <v>567</v>
      </c>
      <c r="J381" s="97">
        <v>46021.50534530092</v>
      </c>
      <c r="K381" s="95" t="s">
        <v>2686</v>
      </c>
      <c r="L381" s="96" t="s">
        <v>2687</v>
      </c>
      <c r="M381" s="95" t="s">
        <v>74</v>
      </c>
      <c r="N381" s="95" t="s">
        <v>2688</v>
      </c>
      <c r="O381" s="95" t="s">
        <v>2688</v>
      </c>
      <c r="P381" s="95" t="s">
        <v>2689</v>
      </c>
      <c r="Q381" s="98">
        <v>3.0</v>
      </c>
      <c r="R381" s="97">
        <v>45917.25949074074</v>
      </c>
      <c r="S381" s="99">
        <v>543.0</v>
      </c>
      <c r="T381" s="99">
        <v>91.0</v>
      </c>
      <c r="U381" s="99">
        <v>2.0</v>
      </c>
      <c r="V381" s="99">
        <v>181.0</v>
      </c>
      <c r="W381" s="99">
        <v>146037.0</v>
      </c>
    </row>
    <row r="382" ht="15.75" customHeight="1">
      <c r="A382" s="95" t="s">
        <v>2690</v>
      </c>
      <c r="B382" s="95" t="s">
        <v>22</v>
      </c>
      <c r="C382" s="96" t="s">
        <v>2691</v>
      </c>
      <c r="D382" s="95" t="s">
        <v>39</v>
      </c>
      <c r="E382" s="95" t="s">
        <v>960</v>
      </c>
      <c r="F382" s="95" t="s">
        <v>19</v>
      </c>
      <c r="G382" s="95" t="s">
        <v>1018</v>
      </c>
      <c r="H382" s="95" t="s">
        <v>21</v>
      </c>
      <c r="I382" s="95" t="s">
        <v>567</v>
      </c>
      <c r="J382" s="97">
        <v>45975.67934009259</v>
      </c>
      <c r="K382" s="96" t="s">
        <v>2692</v>
      </c>
      <c r="L382" s="96" t="s">
        <v>2693</v>
      </c>
      <c r="M382" s="95" t="s">
        <v>17</v>
      </c>
      <c r="N382" s="95" t="s">
        <v>2694</v>
      </c>
      <c r="O382" s="95" t="s">
        <v>2694</v>
      </c>
      <c r="P382" s="95" t="s">
        <v>2695</v>
      </c>
      <c r="Q382" s="98">
        <v>3.0</v>
      </c>
      <c r="R382" s="97">
        <v>45825.6057175926</v>
      </c>
      <c r="S382" s="99">
        <v>9218.0</v>
      </c>
      <c r="T382" s="99">
        <v>20.0</v>
      </c>
      <c r="U382" s="99">
        <v>18.0</v>
      </c>
      <c r="V382" s="99">
        <v>279.0</v>
      </c>
      <c r="W382" s="99">
        <v>147001.0</v>
      </c>
    </row>
    <row r="383" ht="15.75" customHeight="1">
      <c r="A383" s="95" t="s">
        <v>2696</v>
      </c>
      <c r="B383" s="95" t="s">
        <v>22</v>
      </c>
      <c r="C383" s="96" t="s">
        <v>2697</v>
      </c>
      <c r="D383" s="95" t="s">
        <v>39</v>
      </c>
      <c r="E383" s="95" t="s">
        <v>39</v>
      </c>
      <c r="F383" s="95" t="s">
        <v>19</v>
      </c>
      <c r="G383" s="95" t="s">
        <v>19</v>
      </c>
      <c r="H383" s="95" t="s">
        <v>21</v>
      </c>
      <c r="I383" s="95" t="s">
        <v>567</v>
      </c>
      <c r="J383" s="97">
        <v>45975.67934009259</v>
      </c>
      <c r="K383" s="96" t="s">
        <v>2698</v>
      </c>
      <c r="L383" s="96" t="s">
        <v>2699</v>
      </c>
      <c r="M383" s="95" t="s">
        <v>17</v>
      </c>
      <c r="N383" s="95" t="s">
        <v>2694</v>
      </c>
      <c r="O383" s="95" t="s">
        <v>2694</v>
      </c>
      <c r="P383" s="95" t="s">
        <v>2695</v>
      </c>
      <c r="Q383" s="98">
        <v>3.0</v>
      </c>
      <c r="R383" s="97">
        <v>45833.51952546297</v>
      </c>
      <c r="S383" s="99">
        <v>9218.0</v>
      </c>
      <c r="T383" s="99">
        <v>170.0</v>
      </c>
      <c r="U383" s="99">
        <v>14.0</v>
      </c>
      <c r="V383" s="99">
        <v>70.0</v>
      </c>
      <c r="W383" s="99">
        <v>147001.0</v>
      </c>
    </row>
    <row r="384" ht="15.75" customHeight="1">
      <c r="A384" s="95" t="s">
        <v>2700</v>
      </c>
      <c r="B384" s="95" t="s">
        <v>22</v>
      </c>
      <c r="C384" s="96" t="s">
        <v>2701</v>
      </c>
      <c r="D384" s="95" t="s">
        <v>59</v>
      </c>
      <c r="E384" s="95" t="s">
        <v>738</v>
      </c>
      <c r="F384" s="95" t="s">
        <v>19</v>
      </c>
      <c r="G384" s="95" t="s">
        <v>19</v>
      </c>
      <c r="H384" s="95" t="s">
        <v>21</v>
      </c>
      <c r="I384" s="95" t="s">
        <v>567</v>
      </c>
      <c r="J384" s="97">
        <v>46021.49382673611</v>
      </c>
      <c r="K384" s="95" t="s">
        <v>2702</v>
      </c>
      <c r="L384" s="96" t="s">
        <v>2703</v>
      </c>
      <c r="M384" s="95" t="s">
        <v>28</v>
      </c>
      <c r="N384" s="95" t="s">
        <v>2704</v>
      </c>
      <c r="O384" s="95" t="s">
        <v>2704</v>
      </c>
      <c r="P384" s="95" t="s">
        <v>2705</v>
      </c>
      <c r="Q384" s="98">
        <v>3.0</v>
      </c>
      <c r="R384" s="97">
        <v>45680.72638888889</v>
      </c>
      <c r="S384" s="99">
        <v>507.0</v>
      </c>
      <c r="T384" s="99">
        <v>795.0</v>
      </c>
      <c r="U384" s="99">
        <v>2.0</v>
      </c>
      <c r="V384" s="99">
        <v>1803.0</v>
      </c>
      <c r="W384" s="99">
        <v>1332012.0</v>
      </c>
    </row>
    <row r="385" ht="15.75" customHeight="1">
      <c r="A385" s="95" t="s">
        <v>2706</v>
      </c>
      <c r="B385" s="95" t="s">
        <v>22</v>
      </c>
      <c r="C385" s="96" t="s">
        <v>2707</v>
      </c>
      <c r="D385" s="95" t="s">
        <v>124</v>
      </c>
      <c r="E385" s="95" t="s">
        <v>983</v>
      </c>
      <c r="F385" s="95" t="s">
        <v>19</v>
      </c>
      <c r="G385" s="95" t="s">
        <v>1367</v>
      </c>
      <c r="H385" s="95" t="s">
        <v>21</v>
      </c>
      <c r="I385" s="95" t="s">
        <v>677</v>
      </c>
      <c r="J385" s="97">
        <v>46039.71414675926</v>
      </c>
      <c r="K385" s="95" t="s">
        <v>2708</v>
      </c>
      <c r="L385" s="96" t="s">
        <v>2709</v>
      </c>
      <c r="M385" s="95" t="s">
        <v>93</v>
      </c>
      <c r="N385" s="95" t="s">
        <v>2710</v>
      </c>
      <c r="O385" s="95" t="s">
        <v>2710</v>
      </c>
      <c r="P385" s="95" t="s">
        <v>2711</v>
      </c>
      <c r="Q385" s="98">
        <v>3.0</v>
      </c>
      <c r="R385" s="97">
        <v>45830.98337962963</v>
      </c>
      <c r="S385" s="99">
        <v>406.0</v>
      </c>
      <c r="T385" s="99">
        <v>532.0</v>
      </c>
      <c r="U385" s="99">
        <v>1.0</v>
      </c>
      <c r="V385" s="99">
        <v>191.0</v>
      </c>
      <c r="W385" s="99">
        <v>471931.0</v>
      </c>
    </row>
    <row r="386" ht="15.75" customHeight="1">
      <c r="A386" s="95" t="s">
        <v>2712</v>
      </c>
      <c r="B386" s="95" t="s">
        <v>22</v>
      </c>
      <c r="C386" s="96" t="s">
        <v>2713</v>
      </c>
      <c r="D386" s="95" t="s">
        <v>124</v>
      </c>
      <c r="E386" s="95" t="s">
        <v>983</v>
      </c>
      <c r="F386" s="95" t="s">
        <v>19</v>
      </c>
      <c r="G386" s="95" t="s">
        <v>574</v>
      </c>
      <c r="H386" s="95" t="s">
        <v>21</v>
      </c>
      <c r="I386" s="95" t="s">
        <v>567</v>
      </c>
      <c r="J386" s="97">
        <v>46039.71667966435</v>
      </c>
      <c r="K386" s="95" t="s">
        <v>2714</v>
      </c>
      <c r="L386" s="96" t="s">
        <v>2715</v>
      </c>
      <c r="M386" s="95" t="s">
        <v>93</v>
      </c>
      <c r="N386" s="95" t="s">
        <v>2710</v>
      </c>
      <c r="O386" s="95" t="s">
        <v>2710</v>
      </c>
      <c r="P386" s="95" t="s">
        <v>2711</v>
      </c>
      <c r="Q386" s="98">
        <v>3.0</v>
      </c>
      <c r="R386" s="97">
        <v>45700.12297453704</v>
      </c>
      <c r="S386" s="99">
        <v>406.0</v>
      </c>
      <c r="T386" s="99">
        <v>3.0</v>
      </c>
      <c r="U386" s="99">
        <v>7.0</v>
      </c>
      <c r="V386" s="99">
        <v>470.0</v>
      </c>
      <c r="W386" s="99">
        <v>471931.0</v>
      </c>
    </row>
    <row r="387" ht="15.75" customHeight="1">
      <c r="A387" s="95" t="s">
        <v>2716</v>
      </c>
      <c r="B387" s="95" t="s">
        <v>22</v>
      </c>
      <c r="C387" s="96" t="s">
        <v>2717</v>
      </c>
      <c r="D387" s="95" t="s">
        <v>59</v>
      </c>
      <c r="E387" s="95" t="s">
        <v>1873</v>
      </c>
      <c r="F387" s="95" t="s">
        <v>19</v>
      </c>
      <c r="G387" s="95" t="s">
        <v>19</v>
      </c>
      <c r="H387" s="95" t="s">
        <v>21</v>
      </c>
      <c r="I387" s="95" t="s">
        <v>567</v>
      </c>
      <c r="J387" s="97">
        <v>46021.49382673611</v>
      </c>
      <c r="K387" s="95" t="s">
        <v>2718</v>
      </c>
      <c r="L387" s="96" t="s">
        <v>2719</v>
      </c>
      <c r="M387" s="95" t="s">
        <v>54</v>
      </c>
      <c r="N387" s="95" t="s">
        <v>2720</v>
      </c>
      <c r="O387" s="95" t="s">
        <v>2720</v>
      </c>
      <c r="P387" s="95" t="s">
        <v>2721</v>
      </c>
      <c r="Q387" s="98">
        <v>3.0</v>
      </c>
      <c r="R387" s="97">
        <v>45839.31918981481</v>
      </c>
      <c r="S387" s="99">
        <v>761.0</v>
      </c>
      <c r="T387" s="99">
        <v>18.0</v>
      </c>
      <c r="U387" s="99">
        <v>3.0</v>
      </c>
      <c r="V387" s="99">
        <v>84.0</v>
      </c>
      <c r="W387" s="99">
        <v>37720.0</v>
      </c>
    </row>
    <row r="388" ht="15.75" customHeight="1">
      <c r="A388" s="95" t="s">
        <v>2722</v>
      </c>
      <c r="B388" s="95" t="s">
        <v>22</v>
      </c>
      <c r="C388" s="96" t="s">
        <v>2723</v>
      </c>
      <c r="D388" s="95" t="s">
        <v>49</v>
      </c>
      <c r="E388" s="95" t="s">
        <v>948</v>
      </c>
      <c r="F388" s="95" t="s">
        <v>19</v>
      </c>
      <c r="G388" s="95" t="s">
        <v>19</v>
      </c>
      <c r="H388" s="95" t="s">
        <v>21</v>
      </c>
      <c r="I388" s="95" t="s">
        <v>567</v>
      </c>
      <c r="J388" s="97">
        <v>46021.51029237269</v>
      </c>
      <c r="K388" s="95" t="s">
        <v>2724</v>
      </c>
      <c r="L388" s="96" t="s">
        <v>2725</v>
      </c>
      <c r="M388" s="95" t="s">
        <v>54</v>
      </c>
      <c r="N388" s="95" t="s">
        <v>2726</v>
      </c>
      <c r="O388" s="95" t="s">
        <v>2726</v>
      </c>
      <c r="P388" s="95" t="s">
        <v>2727</v>
      </c>
      <c r="Q388" s="98">
        <v>3.0</v>
      </c>
      <c r="R388" s="97">
        <v>45768.19126157407</v>
      </c>
      <c r="S388" s="99">
        <v>105.0</v>
      </c>
      <c r="T388" s="99">
        <v>140.0</v>
      </c>
      <c r="U388" s="99">
        <v>33.0</v>
      </c>
      <c r="V388" s="99">
        <v>1602.0</v>
      </c>
      <c r="W388" s="99">
        <v>271003.0</v>
      </c>
    </row>
    <row r="389" ht="15.75" customHeight="1">
      <c r="A389" s="95" t="s">
        <v>2728</v>
      </c>
      <c r="B389" s="95" t="s">
        <v>22</v>
      </c>
      <c r="C389" s="96" t="s">
        <v>2729</v>
      </c>
      <c r="D389" s="95" t="s">
        <v>49</v>
      </c>
      <c r="E389" s="95" t="s">
        <v>948</v>
      </c>
      <c r="F389" s="95" t="s">
        <v>19</v>
      </c>
      <c r="G389" s="95" t="s">
        <v>19</v>
      </c>
      <c r="H389" s="95" t="s">
        <v>21</v>
      </c>
      <c r="I389" s="95" t="s">
        <v>567</v>
      </c>
      <c r="J389" s="97">
        <v>46021.51011266204</v>
      </c>
      <c r="K389" s="95" t="s">
        <v>2730</v>
      </c>
      <c r="L389" s="96" t="s">
        <v>2731</v>
      </c>
      <c r="M389" s="95" t="s">
        <v>54</v>
      </c>
      <c r="N389" s="95" t="s">
        <v>2726</v>
      </c>
      <c r="O389" s="95" t="s">
        <v>2726</v>
      </c>
      <c r="P389" s="95" t="s">
        <v>2727</v>
      </c>
      <c r="Q389" s="98">
        <v>3.0</v>
      </c>
      <c r="R389" s="97">
        <v>45797.59746527778</v>
      </c>
      <c r="S389" s="99">
        <v>105.0</v>
      </c>
      <c r="T389" s="99">
        <v>115.0</v>
      </c>
      <c r="U389" s="99">
        <v>3.0</v>
      </c>
      <c r="V389" s="99">
        <v>63.0</v>
      </c>
      <c r="W389" s="99">
        <v>271003.0</v>
      </c>
    </row>
    <row r="390" ht="15.75" customHeight="1">
      <c r="A390" s="95" t="s">
        <v>2732</v>
      </c>
      <c r="B390" s="95" t="s">
        <v>22</v>
      </c>
      <c r="C390" s="96" t="s">
        <v>2733</v>
      </c>
      <c r="D390" s="95" t="s">
        <v>49</v>
      </c>
      <c r="E390" s="95" t="s">
        <v>948</v>
      </c>
      <c r="F390" s="95" t="s">
        <v>19</v>
      </c>
      <c r="G390" s="95" t="s">
        <v>19</v>
      </c>
      <c r="H390" s="95" t="s">
        <v>21</v>
      </c>
      <c r="I390" s="95" t="s">
        <v>677</v>
      </c>
      <c r="J390" s="97">
        <v>46021.49382673611</v>
      </c>
      <c r="K390" s="95" t="s">
        <v>2734</v>
      </c>
      <c r="L390" s="96" t="s">
        <v>2735</v>
      </c>
      <c r="M390" s="95" t="s">
        <v>54</v>
      </c>
      <c r="N390" s="95" t="s">
        <v>2736</v>
      </c>
      <c r="O390" s="95" t="s">
        <v>2736</v>
      </c>
      <c r="P390" s="95" t="s">
        <v>2737</v>
      </c>
      <c r="Q390" s="98">
        <v>3.0</v>
      </c>
      <c r="R390" s="97">
        <v>45602.46217592592</v>
      </c>
      <c r="S390" s="99">
        <v>191.0</v>
      </c>
      <c r="T390" s="99">
        <v>253.0</v>
      </c>
      <c r="U390" s="99">
        <v>2.0</v>
      </c>
      <c r="V390" s="99">
        <v>349.0</v>
      </c>
      <c r="W390" s="99">
        <v>122645.0</v>
      </c>
    </row>
    <row r="391" ht="15.75" customHeight="1">
      <c r="A391" s="95" t="s">
        <v>2738</v>
      </c>
      <c r="B391" s="95" t="s">
        <v>22</v>
      </c>
      <c r="C391" s="96" t="s">
        <v>2739</v>
      </c>
      <c r="D391" s="95" t="s">
        <v>49</v>
      </c>
      <c r="E391" s="95" t="s">
        <v>581</v>
      </c>
      <c r="F391" s="95" t="s">
        <v>19</v>
      </c>
      <c r="G391" s="95"/>
      <c r="H391" s="95" t="s">
        <v>21</v>
      </c>
      <c r="I391" s="95" t="s">
        <v>589</v>
      </c>
      <c r="J391" s="97">
        <v>46021.49382673611</v>
      </c>
      <c r="K391" s="95" t="s">
        <v>2740</v>
      </c>
      <c r="L391" s="96" t="s">
        <v>2741</v>
      </c>
      <c r="M391" s="95" t="s">
        <v>54</v>
      </c>
      <c r="N391" s="95" t="s">
        <v>2736</v>
      </c>
      <c r="O391" s="95" t="s">
        <v>2736</v>
      </c>
      <c r="P391" s="95" t="s">
        <v>2737</v>
      </c>
      <c r="Q391" s="98">
        <v>3.0</v>
      </c>
      <c r="R391" s="97">
        <v>45601.63515046296</v>
      </c>
      <c r="S391" s="99">
        <v>191.0</v>
      </c>
      <c r="T391" s="99">
        <v>253.0</v>
      </c>
      <c r="U391" s="99">
        <v>7.0</v>
      </c>
      <c r="V391" s="99">
        <v>813.0</v>
      </c>
      <c r="W391" s="99">
        <v>122645.0</v>
      </c>
    </row>
    <row r="392" ht="15.75" customHeight="1">
      <c r="A392" s="95" t="s">
        <v>2742</v>
      </c>
      <c r="B392" s="95" t="s">
        <v>131</v>
      </c>
      <c r="C392" s="96" t="s">
        <v>2743</v>
      </c>
      <c r="D392" s="95" t="s">
        <v>49</v>
      </c>
      <c r="E392" s="95" t="s">
        <v>49</v>
      </c>
      <c r="F392" s="95" t="s">
        <v>58</v>
      </c>
      <c r="G392" s="95" t="s">
        <v>1450</v>
      </c>
      <c r="H392" s="95" t="s">
        <v>60</v>
      </c>
      <c r="I392" s="95" t="s">
        <v>795</v>
      </c>
      <c r="J392" s="97">
        <v>46003.09290072916</v>
      </c>
      <c r="K392" s="95" t="s">
        <v>2744</v>
      </c>
      <c r="L392" s="96" t="s">
        <v>2745</v>
      </c>
      <c r="M392" s="95" t="s">
        <v>38</v>
      </c>
      <c r="N392" s="95" t="s">
        <v>2746</v>
      </c>
      <c r="O392" s="95" t="s">
        <v>2746</v>
      </c>
      <c r="P392" s="95" t="s">
        <v>2747</v>
      </c>
      <c r="Q392" s="98">
        <v>3.0</v>
      </c>
      <c r="R392" s="97">
        <v>45793.41636574074</v>
      </c>
      <c r="S392" s="99">
        <v>1133.0</v>
      </c>
      <c r="T392" s="99">
        <v>976.0</v>
      </c>
      <c r="U392" s="99">
        <v>2.0</v>
      </c>
      <c r="V392" s="99">
        <v>38.0</v>
      </c>
      <c r="W392" s="99">
        <v>175416.0</v>
      </c>
    </row>
    <row r="393" ht="15.75" customHeight="1">
      <c r="A393" s="95" t="s">
        <v>2748</v>
      </c>
      <c r="B393" s="95" t="s">
        <v>157</v>
      </c>
      <c r="C393" s="96" t="s">
        <v>2749</v>
      </c>
      <c r="D393" s="95" t="s">
        <v>29</v>
      </c>
      <c r="E393" s="95" t="s">
        <v>598</v>
      </c>
      <c r="F393" s="95" t="s">
        <v>88</v>
      </c>
      <c r="G393" s="95" t="s">
        <v>2750</v>
      </c>
      <c r="H393" s="95" t="s">
        <v>89</v>
      </c>
      <c r="I393" s="95" t="s">
        <v>897</v>
      </c>
      <c r="J393" s="97">
        <v>45986.5375812963</v>
      </c>
      <c r="K393" s="95" t="s">
        <v>2751</v>
      </c>
      <c r="L393" s="96" t="s">
        <v>2752</v>
      </c>
      <c r="M393" s="95" t="s">
        <v>28</v>
      </c>
      <c r="N393" s="95" t="s">
        <v>2753</v>
      </c>
      <c r="O393" s="95" t="s">
        <v>2753</v>
      </c>
      <c r="P393" s="95" t="s">
        <v>2754</v>
      </c>
      <c r="Q393" s="98">
        <v>3.0</v>
      </c>
      <c r="R393" s="97">
        <v>45872.11070601852</v>
      </c>
      <c r="S393" s="99">
        <v>792.0</v>
      </c>
      <c r="T393" s="99">
        <v>116.0</v>
      </c>
      <c r="U393" s="99">
        <v>1.0</v>
      </c>
      <c r="V393" s="99">
        <v>94.0</v>
      </c>
      <c r="W393" s="99">
        <v>7468.0</v>
      </c>
    </row>
    <row r="394" ht="15.75" customHeight="1">
      <c r="A394" s="95" t="s">
        <v>2755</v>
      </c>
      <c r="B394" s="95" t="s">
        <v>69</v>
      </c>
      <c r="C394" s="96" t="s">
        <v>2756</v>
      </c>
      <c r="D394" s="95" t="s">
        <v>548</v>
      </c>
      <c r="E394" s="95" t="s">
        <v>2757</v>
      </c>
      <c r="F394" s="95" t="s">
        <v>19</v>
      </c>
      <c r="G394" s="95" t="s">
        <v>19</v>
      </c>
      <c r="H394" s="95" t="s">
        <v>21</v>
      </c>
      <c r="I394" s="95" t="s">
        <v>719</v>
      </c>
      <c r="J394" s="97">
        <v>45993.7854622338</v>
      </c>
      <c r="K394" s="96" t="s">
        <v>2758</v>
      </c>
      <c r="L394" s="96" t="s">
        <v>2759</v>
      </c>
      <c r="M394" s="95" t="s">
        <v>17</v>
      </c>
      <c r="N394" s="95" t="s">
        <v>2760</v>
      </c>
      <c r="O394" s="95" t="s">
        <v>2760</v>
      </c>
      <c r="P394" s="95" t="s">
        <v>2761</v>
      </c>
      <c r="Q394" s="98">
        <v>3.0</v>
      </c>
      <c r="R394" s="97">
        <v>45601.65233796297</v>
      </c>
      <c r="S394" s="99">
        <v>66.0</v>
      </c>
      <c r="T394" s="99">
        <v>207.0</v>
      </c>
      <c r="U394" s="99">
        <v>1.0</v>
      </c>
      <c r="V394" s="99">
        <v>121.0</v>
      </c>
      <c r="W394" s="99">
        <v>21422.0</v>
      </c>
    </row>
    <row r="395" ht="15.75" customHeight="1">
      <c r="A395" s="95" t="s">
        <v>2762</v>
      </c>
      <c r="B395" s="95" t="s">
        <v>22</v>
      </c>
      <c r="C395" s="96" t="s">
        <v>2763</v>
      </c>
      <c r="D395" s="95" t="s">
        <v>39</v>
      </c>
      <c r="E395" s="95" t="s">
        <v>1201</v>
      </c>
      <c r="F395" s="95" t="s">
        <v>19</v>
      </c>
      <c r="G395" s="95" t="s">
        <v>19</v>
      </c>
      <c r="H395" s="95" t="s">
        <v>21</v>
      </c>
      <c r="I395" s="95" t="s">
        <v>567</v>
      </c>
      <c r="J395" s="97">
        <v>46061.01653907407</v>
      </c>
      <c r="K395" s="96" t="s">
        <v>2764</v>
      </c>
      <c r="L395" s="96" t="s">
        <v>2765</v>
      </c>
      <c r="M395" s="95" t="s">
        <v>503</v>
      </c>
      <c r="N395" s="95" t="s">
        <v>2766</v>
      </c>
      <c r="O395" s="95" t="s">
        <v>2766</v>
      </c>
      <c r="P395" s="95" t="s">
        <v>2767</v>
      </c>
      <c r="Q395" s="98">
        <v>3.0</v>
      </c>
      <c r="R395" s="97">
        <v>46054.08765046296</v>
      </c>
      <c r="S395" s="99">
        <v>1353.0</v>
      </c>
      <c r="T395" s="99">
        <v>935.0</v>
      </c>
      <c r="U395" s="99">
        <v>2.0</v>
      </c>
      <c r="V395" s="99">
        <v>162.0</v>
      </c>
      <c r="W395" s="99">
        <v>56870.0</v>
      </c>
    </row>
    <row r="396" ht="15.75" customHeight="1">
      <c r="A396" s="95" t="s">
        <v>2768</v>
      </c>
      <c r="B396" s="95" t="s">
        <v>101</v>
      </c>
      <c r="C396" s="96" t="s">
        <v>2769</v>
      </c>
      <c r="D396" s="95" t="s">
        <v>39</v>
      </c>
      <c r="E396" s="95" t="s">
        <v>1201</v>
      </c>
      <c r="F396" s="95" t="s">
        <v>19</v>
      </c>
      <c r="G396" s="95" t="s">
        <v>997</v>
      </c>
      <c r="H396" s="95" t="s">
        <v>21</v>
      </c>
      <c r="I396" s="95" t="s">
        <v>1504</v>
      </c>
      <c r="J396" s="97">
        <v>46061.01653907407</v>
      </c>
      <c r="K396" s="96" t="s">
        <v>2770</v>
      </c>
      <c r="L396" s="96" t="s">
        <v>2771</v>
      </c>
      <c r="M396" s="95" t="s">
        <v>503</v>
      </c>
      <c r="N396" s="95" t="s">
        <v>2766</v>
      </c>
      <c r="O396" s="95" t="s">
        <v>2766</v>
      </c>
      <c r="P396" s="95" t="s">
        <v>2767</v>
      </c>
      <c r="Q396" s="98">
        <v>3.0</v>
      </c>
      <c r="R396" s="97">
        <v>46052.97119212963</v>
      </c>
      <c r="S396" s="99">
        <v>1353.0</v>
      </c>
      <c r="T396" s="99">
        <v>326.0</v>
      </c>
      <c r="U396" s="99">
        <v>4.0</v>
      </c>
      <c r="V396" s="99">
        <v>942.0</v>
      </c>
      <c r="W396" s="99">
        <v>56870.0</v>
      </c>
    </row>
    <row r="397" ht="15.75" customHeight="1">
      <c r="A397" s="95" t="s">
        <v>2772</v>
      </c>
      <c r="B397" s="95" t="s">
        <v>22</v>
      </c>
      <c r="C397" s="96" t="s">
        <v>2773</v>
      </c>
      <c r="D397" s="95" t="s">
        <v>59</v>
      </c>
      <c r="E397" s="95" t="s">
        <v>1347</v>
      </c>
      <c r="F397" s="95" t="s">
        <v>19</v>
      </c>
      <c r="G397" s="95" t="s">
        <v>19</v>
      </c>
      <c r="H397" s="95" t="s">
        <v>21</v>
      </c>
      <c r="I397" s="95" t="s">
        <v>589</v>
      </c>
      <c r="J397" s="97">
        <v>45993.78544196759</v>
      </c>
      <c r="K397" s="96" t="s">
        <v>2774</v>
      </c>
      <c r="L397" s="96" t="s">
        <v>2775</v>
      </c>
      <c r="M397" s="95" t="s">
        <v>93</v>
      </c>
      <c r="N397" s="95" t="s">
        <v>2776</v>
      </c>
      <c r="O397" s="95" t="s">
        <v>2776</v>
      </c>
      <c r="P397" s="95" t="s">
        <v>2777</v>
      </c>
      <c r="Q397" s="98">
        <v>3.0</v>
      </c>
      <c r="R397" s="97">
        <v>45700.4492824074</v>
      </c>
      <c r="S397" s="99">
        <v>4363.0</v>
      </c>
      <c r="T397" s="99">
        <v>180.0</v>
      </c>
      <c r="U397" s="99">
        <v>5.0</v>
      </c>
      <c r="V397" s="99">
        <v>68.0</v>
      </c>
      <c r="W397" s="99">
        <v>621185.0</v>
      </c>
    </row>
    <row r="398" ht="15.75" customHeight="1">
      <c r="A398" s="95" t="s">
        <v>2778</v>
      </c>
      <c r="B398" s="95" t="s">
        <v>22</v>
      </c>
      <c r="C398" s="96" t="s">
        <v>2779</v>
      </c>
      <c r="D398" s="95" t="s">
        <v>59</v>
      </c>
      <c r="E398" s="95" t="s">
        <v>1347</v>
      </c>
      <c r="F398" s="95" t="s">
        <v>19</v>
      </c>
      <c r="G398" s="95" t="s">
        <v>1367</v>
      </c>
      <c r="H398" s="95" t="s">
        <v>21</v>
      </c>
      <c r="I398" s="95" t="s">
        <v>589</v>
      </c>
      <c r="J398" s="97">
        <v>45993.78544196759</v>
      </c>
      <c r="K398" s="96" t="s">
        <v>2780</v>
      </c>
      <c r="L398" s="96" t="s">
        <v>2781</v>
      </c>
      <c r="M398" s="95" t="s">
        <v>93</v>
      </c>
      <c r="N398" s="95" t="s">
        <v>2776</v>
      </c>
      <c r="O398" s="95" t="s">
        <v>2776</v>
      </c>
      <c r="P398" s="95" t="s">
        <v>2777</v>
      </c>
      <c r="Q398" s="98">
        <v>3.0</v>
      </c>
      <c r="R398" s="97">
        <v>45639.69094907407</v>
      </c>
      <c r="S398" s="99">
        <v>4363.0</v>
      </c>
      <c r="T398" s="99">
        <v>285.0</v>
      </c>
      <c r="U398" s="99">
        <v>11.0</v>
      </c>
      <c r="V398" s="99">
        <v>619.0</v>
      </c>
      <c r="W398" s="99">
        <v>621185.0</v>
      </c>
    </row>
    <row r="399" ht="15.75" customHeight="1">
      <c r="A399" s="95" t="s">
        <v>2782</v>
      </c>
      <c r="B399" s="95" t="s">
        <v>22</v>
      </c>
      <c r="C399" s="96" t="s">
        <v>2783</v>
      </c>
      <c r="D399" s="95" t="s">
        <v>59</v>
      </c>
      <c r="E399" s="95" t="s">
        <v>1347</v>
      </c>
      <c r="F399" s="95" t="s">
        <v>19</v>
      </c>
      <c r="G399" s="95" t="s">
        <v>588</v>
      </c>
      <c r="H399" s="95" t="s">
        <v>21</v>
      </c>
      <c r="I399" s="95" t="s">
        <v>589</v>
      </c>
      <c r="J399" s="97">
        <v>45993.7854622338</v>
      </c>
      <c r="K399" s="96" t="s">
        <v>2784</v>
      </c>
      <c r="L399" s="96" t="s">
        <v>2785</v>
      </c>
      <c r="M399" s="95" t="s">
        <v>93</v>
      </c>
      <c r="N399" s="95" t="s">
        <v>2776</v>
      </c>
      <c r="O399" s="95" t="s">
        <v>2776</v>
      </c>
      <c r="P399" s="95" t="s">
        <v>2777</v>
      </c>
      <c r="Q399" s="98">
        <v>3.0</v>
      </c>
      <c r="R399" s="97">
        <v>45701.45436342592</v>
      </c>
      <c r="S399" s="99">
        <v>4363.0</v>
      </c>
      <c r="T399" s="99">
        <v>135.0</v>
      </c>
      <c r="U399" s="99">
        <v>12.0</v>
      </c>
      <c r="V399" s="99">
        <v>285.0</v>
      </c>
      <c r="W399" s="99">
        <v>621185.0</v>
      </c>
    </row>
    <row r="400" ht="15.75" customHeight="1">
      <c r="A400" s="95" t="s">
        <v>2786</v>
      </c>
      <c r="B400" s="95" t="s">
        <v>157</v>
      </c>
      <c r="C400" s="96" t="s">
        <v>2787</v>
      </c>
      <c r="D400" s="95" t="s">
        <v>59</v>
      </c>
      <c r="E400" s="95" t="s">
        <v>1347</v>
      </c>
      <c r="F400" s="95" t="s">
        <v>19</v>
      </c>
      <c r="G400" s="95" t="s">
        <v>1367</v>
      </c>
      <c r="H400" s="95" t="s">
        <v>89</v>
      </c>
      <c r="I400" s="95" t="s">
        <v>859</v>
      </c>
      <c r="J400" s="97">
        <v>45993.7854622338</v>
      </c>
      <c r="K400" s="96" t="s">
        <v>2788</v>
      </c>
      <c r="L400" s="96" t="s">
        <v>2789</v>
      </c>
      <c r="M400" s="95" t="s">
        <v>93</v>
      </c>
      <c r="N400" s="95" t="s">
        <v>2776</v>
      </c>
      <c r="O400" s="95" t="s">
        <v>2776</v>
      </c>
      <c r="P400" s="95" t="s">
        <v>2777</v>
      </c>
      <c r="Q400" s="98">
        <v>3.0</v>
      </c>
      <c r="R400" s="97">
        <v>45776.36953703704</v>
      </c>
      <c r="S400" s="99">
        <v>4363.0</v>
      </c>
      <c r="T400" s="99">
        <v>382.0</v>
      </c>
      <c r="U400" s="99">
        <v>27.0</v>
      </c>
      <c r="V400" s="99">
        <v>79.0</v>
      </c>
      <c r="W400" s="99">
        <v>621185.0</v>
      </c>
    </row>
    <row r="401" ht="15.75" customHeight="1">
      <c r="A401" s="95" t="s">
        <v>2790</v>
      </c>
      <c r="B401" s="95" t="s">
        <v>22</v>
      </c>
      <c r="C401" s="96" t="s">
        <v>2791</v>
      </c>
      <c r="D401" s="95" t="s">
        <v>59</v>
      </c>
      <c r="E401" s="95" t="s">
        <v>2792</v>
      </c>
      <c r="F401" s="95" t="s">
        <v>58</v>
      </c>
      <c r="G401" s="95" t="s">
        <v>58</v>
      </c>
      <c r="H401" s="95" t="s">
        <v>21</v>
      </c>
      <c r="I401" s="95" t="s">
        <v>567</v>
      </c>
      <c r="J401" s="97">
        <v>45993.7854622338</v>
      </c>
      <c r="K401" s="96" t="s">
        <v>2793</v>
      </c>
      <c r="L401" s="96" t="s">
        <v>2794</v>
      </c>
      <c r="M401" s="95" t="s">
        <v>93</v>
      </c>
      <c r="N401" s="95" t="s">
        <v>2776</v>
      </c>
      <c r="O401" s="95" t="s">
        <v>2776</v>
      </c>
      <c r="P401" s="95" t="s">
        <v>2777</v>
      </c>
      <c r="Q401" s="98">
        <v>3.0</v>
      </c>
      <c r="R401" s="97">
        <v>45797.34128472222</v>
      </c>
      <c r="S401" s="99">
        <v>4363.0</v>
      </c>
      <c r="T401" s="99">
        <v>220.0</v>
      </c>
      <c r="U401" s="99">
        <v>3.0</v>
      </c>
      <c r="V401" s="99">
        <v>90.0</v>
      </c>
      <c r="W401" s="99">
        <v>621185.0</v>
      </c>
    </row>
    <row r="402" ht="15.75" customHeight="1">
      <c r="A402" s="95" t="s">
        <v>2795</v>
      </c>
      <c r="B402" s="95" t="s">
        <v>22</v>
      </c>
      <c r="C402" s="96" t="s">
        <v>2796</v>
      </c>
      <c r="D402" s="95" t="s">
        <v>59</v>
      </c>
      <c r="E402" s="95" t="s">
        <v>2797</v>
      </c>
      <c r="F402" s="95" t="s">
        <v>19</v>
      </c>
      <c r="G402" s="95" t="s">
        <v>19</v>
      </c>
      <c r="H402" s="95" t="s">
        <v>21</v>
      </c>
      <c r="I402" s="95" t="s">
        <v>677</v>
      </c>
      <c r="J402" s="97">
        <v>46069.65903020834</v>
      </c>
      <c r="K402" s="95" t="s">
        <v>2798</v>
      </c>
      <c r="L402" s="96" t="s">
        <v>2799</v>
      </c>
      <c r="M402" s="95" t="s">
        <v>93</v>
      </c>
      <c r="N402" s="95" t="s">
        <v>2776</v>
      </c>
      <c r="O402" s="95" t="s">
        <v>2776</v>
      </c>
      <c r="P402" s="95" t="s">
        <v>2777</v>
      </c>
      <c r="Q402" s="98">
        <v>3.0</v>
      </c>
      <c r="R402" s="97">
        <v>46055.63074074074</v>
      </c>
      <c r="S402" s="99">
        <v>4363.0</v>
      </c>
      <c r="T402" s="99">
        <v>118.0</v>
      </c>
      <c r="U402" s="99">
        <v>9.0</v>
      </c>
      <c r="V402" s="99">
        <v>352.0</v>
      </c>
      <c r="W402" s="99">
        <v>621185.0</v>
      </c>
    </row>
    <row r="403" ht="15.75" customHeight="1">
      <c r="A403" s="95" t="s">
        <v>2800</v>
      </c>
      <c r="B403" s="95" t="s">
        <v>22</v>
      </c>
      <c r="C403" s="96" t="s">
        <v>2801</v>
      </c>
      <c r="D403" s="95" t="s">
        <v>59</v>
      </c>
      <c r="E403" s="95" t="s">
        <v>738</v>
      </c>
      <c r="F403" s="95" t="s">
        <v>19</v>
      </c>
      <c r="G403" s="95" t="s">
        <v>19</v>
      </c>
      <c r="H403" s="95" t="s">
        <v>21</v>
      </c>
      <c r="I403" s="95" t="s">
        <v>589</v>
      </c>
      <c r="J403" s="97">
        <v>46021.49382673611</v>
      </c>
      <c r="K403" s="95" t="s">
        <v>2802</v>
      </c>
      <c r="L403" s="96" t="s">
        <v>2803</v>
      </c>
      <c r="M403" s="95" t="s">
        <v>54</v>
      </c>
      <c r="N403" s="95" t="s">
        <v>2804</v>
      </c>
      <c r="O403" s="95" t="s">
        <v>2804</v>
      </c>
      <c r="P403" s="95" t="s">
        <v>2805</v>
      </c>
      <c r="Q403" s="98">
        <v>3.0</v>
      </c>
      <c r="R403" s="97">
        <v>45621.53696759259</v>
      </c>
      <c r="S403" s="99">
        <v>276.0</v>
      </c>
      <c r="T403" s="99">
        <v>96.0</v>
      </c>
      <c r="U403" s="99">
        <v>6.0</v>
      </c>
      <c r="V403" s="99">
        <v>213.0</v>
      </c>
      <c r="W403" s="99">
        <v>7551.0</v>
      </c>
    </row>
    <row r="404" ht="15.75" customHeight="1">
      <c r="A404" s="95" t="s">
        <v>2806</v>
      </c>
      <c r="B404" s="95" t="s">
        <v>22</v>
      </c>
      <c r="C404" s="96" t="s">
        <v>2807</v>
      </c>
      <c r="D404" s="95" t="s">
        <v>39</v>
      </c>
      <c r="E404" s="95" t="s">
        <v>614</v>
      </c>
      <c r="F404" s="95" t="s">
        <v>19</v>
      </c>
      <c r="G404" s="95" t="s">
        <v>588</v>
      </c>
      <c r="H404" s="95" t="s">
        <v>21</v>
      </c>
      <c r="I404" s="95" t="s">
        <v>711</v>
      </c>
      <c r="J404" s="97">
        <v>46021.49299090278</v>
      </c>
      <c r="K404" s="95" t="s">
        <v>2808</v>
      </c>
      <c r="L404" s="96" t="s">
        <v>2809</v>
      </c>
      <c r="M404" s="95" t="s">
        <v>28</v>
      </c>
      <c r="N404" s="95" t="s">
        <v>2810</v>
      </c>
      <c r="O404" s="95" t="s">
        <v>2810</v>
      </c>
      <c r="P404" s="95" t="s">
        <v>2811</v>
      </c>
      <c r="Q404" s="98">
        <v>3.0</v>
      </c>
      <c r="R404" s="97">
        <v>45672.35850694445</v>
      </c>
      <c r="S404" s="99">
        <v>59.0</v>
      </c>
      <c r="T404" s="99">
        <v>360.0</v>
      </c>
      <c r="U404" s="99">
        <v>1.0</v>
      </c>
      <c r="V404" s="99">
        <v>132.0</v>
      </c>
      <c r="W404" s="99">
        <v>46656.0</v>
      </c>
    </row>
    <row r="405" ht="15.75" customHeight="1">
      <c r="A405" s="95" t="s">
        <v>2812</v>
      </c>
      <c r="B405" s="95" t="s">
        <v>22</v>
      </c>
      <c r="C405" s="96" t="s">
        <v>2813</v>
      </c>
      <c r="D405" s="95" t="s">
        <v>68</v>
      </c>
      <c r="E405" s="95" t="s">
        <v>1901</v>
      </c>
      <c r="F405" s="95" t="s">
        <v>19</v>
      </c>
      <c r="G405" s="95" t="s">
        <v>19</v>
      </c>
      <c r="H405" s="95" t="s">
        <v>21</v>
      </c>
      <c r="I405" s="95" t="s">
        <v>567</v>
      </c>
      <c r="J405" s="97">
        <v>45975.67931630787</v>
      </c>
      <c r="K405" s="96" t="s">
        <v>2814</v>
      </c>
      <c r="L405" s="96" t="s">
        <v>2815</v>
      </c>
      <c r="M405" s="95" t="s">
        <v>54</v>
      </c>
      <c r="N405" s="95" t="s">
        <v>2816</v>
      </c>
      <c r="O405" s="95" t="s">
        <v>2816</v>
      </c>
      <c r="P405" s="95" t="s">
        <v>2817</v>
      </c>
      <c r="Q405" s="98">
        <v>3.0</v>
      </c>
      <c r="R405" s="97">
        <v>45600.37702546296</v>
      </c>
      <c r="S405" s="99">
        <v>11503.0</v>
      </c>
      <c r="T405" s="99">
        <v>101.0</v>
      </c>
      <c r="U405" s="99">
        <v>2.0</v>
      </c>
      <c r="V405" s="99">
        <v>292.0</v>
      </c>
      <c r="W405" s="99">
        <v>144317.0</v>
      </c>
    </row>
    <row r="406" ht="15.75" customHeight="1">
      <c r="A406" s="95" t="s">
        <v>2818</v>
      </c>
      <c r="B406" s="95" t="s">
        <v>22</v>
      </c>
      <c r="C406" s="96" t="s">
        <v>2819</v>
      </c>
      <c r="D406" s="95" t="s">
        <v>68</v>
      </c>
      <c r="E406" s="95" t="s">
        <v>1496</v>
      </c>
      <c r="F406" s="95" t="s">
        <v>19</v>
      </c>
      <c r="G406" s="95" t="s">
        <v>19</v>
      </c>
      <c r="H406" s="95" t="s">
        <v>21</v>
      </c>
      <c r="I406" s="95" t="s">
        <v>567</v>
      </c>
      <c r="J406" s="97">
        <v>46021.51029237269</v>
      </c>
      <c r="K406" s="95" t="s">
        <v>2820</v>
      </c>
      <c r="L406" s="96" t="s">
        <v>2821</v>
      </c>
      <c r="M406" s="95" t="s">
        <v>93</v>
      </c>
      <c r="N406" s="95" t="s">
        <v>2822</v>
      </c>
      <c r="O406" s="95" t="s">
        <v>2822</v>
      </c>
      <c r="P406" s="95" t="s">
        <v>2823</v>
      </c>
      <c r="Q406" s="98">
        <v>3.0</v>
      </c>
      <c r="R406" s="97">
        <v>45695.71351851852</v>
      </c>
      <c r="S406" s="99">
        <v>104.0</v>
      </c>
      <c r="T406" s="99">
        <v>1077.0</v>
      </c>
      <c r="U406" s="99">
        <v>7.0</v>
      </c>
      <c r="V406" s="99">
        <v>147.0</v>
      </c>
      <c r="W406" s="99">
        <v>25713.0</v>
      </c>
    </row>
    <row r="407" ht="15.75" customHeight="1">
      <c r="A407" s="95" t="s">
        <v>2824</v>
      </c>
      <c r="B407" s="95" t="s">
        <v>22</v>
      </c>
      <c r="C407" s="96" t="s">
        <v>2825</v>
      </c>
      <c r="D407" s="95" t="s">
        <v>168</v>
      </c>
      <c r="E407" s="95" t="s">
        <v>168</v>
      </c>
      <c r="F407" s="95" t="s">
        <v>19</v>
      </c>
      <c r="G407" s="95" t="s">
        <v>19</v>
      </c>
      <c r="H407" s="95" t="s">
        <v>21</v>
      </c>
      <c r="I407" s="95" t="s">
        <v>633</v>
      </c>
      <c r="J407" s="97">
        <v>45975.67934009259</v>
      </c>
      <c r="K407" s="96" t="s">
        <v>2826</v>
      </c>
      <c r="L407" s="96" t="s">
        <v>2827</v>
      </c>
      <c r="M407" s="95" t="s">
        <v>17</v>
      </c>
      <c r="N407" s="95" t="s">
        <v>2828</v>
      </c>
      <c r="O407" s="95" t="s">
        <v>2828</v>
      </c>
      <c r="P407" s="95" t="s">
        <v>2829</v>
      </c>
      <c r="Q407" s="98">
        <v>3.0</v>
      </c>
      <c r="R407" s="97">
        <v>45710.65680555555</v>
      </c>
      <c r="S407" s="99">
        <v>117.0</v>
      </c>
      <c r="T407" s="99">
        <v>66.0</v>
      </c>
      <c r="U407" s="99">
        <v>1.0</v>
      </c>
      <c r="V407" s="99">
        <v>97.0</v>
      </c>
      <c r="W407" s="99">
        <v>60600.0</v>
      </c>
    </row>
    <row r="408" ht="15.75" customHeight="1">
      <c r="A408" s="95" t="s">
        <v>2830</v>
      </c>
      <c r="B408" s="95" t="s">
        <v>22</v>
      </c>
      <c r="C408" s="96" t="s">
        <v>2831</v>
      </c>
      <c r="D408" s="95" t="s">
        <v>39</v>
      </c>
      <c r="E408" s="95" t="s">
        <v>39</v>
      </c>
      <c r="F408" s="95" t="s">
        <v>19</v>
      </c>
      <c r="G408" s="95" t="s">
        <v>19</v>
      </c>
      <c r="H408" s="95" t="s">
        <v>21</v>
      </c>
      <c r="I408" s="95" t="s">
        <v>677</v>
      </c>
      <c r="J408" s="97">
        <v>46008.62898678241</v>
      </c>
      <c r="K408" s="96" t="s">
        <v>2832</v>
      </c>
      <c r="L408" s="96" t="s">
        <v>2833</v>
      </c>
      <c r="M408" s="95" t="s">
        <v>93</v>
      </c>
      <c r="N408" s="95" t="s">
        <v>2834</v>
      </c>
      <c r="O408" s="95" t="s">
        <v>2834</v>
      </c>
      <c r="P408" s="95" t="s">
        <v>2835</v>
      </c>
      <c r="Q408" s="98">
        <v>3.0</v>
      </c>
      <c r="R408" s="97">
        <v>45900.73982638889</v>
      </c>
      <c r="S408" s="99">
        <v>2791.0</v>
      </c>
      <c r="T408" s="99">
        <v>895.0</v>
      </c>
      <c r="U408" s="99">
        <v>2.0</v>
      </c>
      <c r="V408" s="99">
        <v>85.0</v>
      </c>
      <c r="W408" s="99">
        <v>61256.0</v>
      </c>
    </row>
    <row r="409" ht="15.75" customHeight="1">
      <c r="A409" s="95" t="s">
        <v>2836</v>
      </c>
      <c r="B409" s="95" t="s">
        <v>22</v>
      </c>
      <c r="C409" s="96" t="s">
        <v>2837</v>
      </c>
      <c r="D409" s="95" t="s">
        <v>39</v>
      </c>
      <c r="E409" s="95" t="s">
        <v>39</v>
      </c>
      <c r="F409" s="95" t="s">
        <v>19</v>
      </c>
      <c r="G409" s="95" t="s">
        <v>19</v>
      </c>
      <c r="H409" s="95" t="s">
        <v>21</v>
      </c>
      <c r="I409" s="95" t="s">
        <v>567</v>
      </c>
      <c r="J409" s="97">
        <v>46069.13581600694</v>
      </c>
      <c r="K409" s="95" t="s">
        <v>2838</v>
      </c>
      <c r="L409" s="96" t="s">
        <v>2839</v>
      </c>
      <c r="M409" s="95" t="s">
        <v>93</v>
      </c>
      <c r="N409" s="95" t="s">
        <v>2834</v>
      </c>
      <c r="O409" s="95" t="s">
        <v>2834</v>
      </c>
      <c r="P409" s="95" t="s">
        <v>2835</v>
      </c>
      <c r="Q409" s="98">
        <v>3.0</v>
      </c>
      <c r="R409" s="97">
        <v>46049.67880787037</v>
      </c>
      <c r="S409" s="99">
        <v>2791.0</v>
      </c>
      <c r="T409" s="99">
        <v>772.0</v>
      </c>
      <c r="U409" s="99">
        <v>10.0</v>
      </c>
      <c r="V409" s="99">
        <v>190.0</v>
      </c>
      <c r="W409" s="99">
        <v>61256.0</v>
      </c>
    </row>
    <row r="410" ht="15.75" customHeight="1">
      <c r="A410" s="95" t="s">
        <v>2840</v>
      </c>
      <c r="B410" s="95" t="s">
        <v>22</v>
      </c>
      <c r="C410" s="96" t="s">
        <v>2841</v>
      </c>
      <c r="D410" s="95" t="s">
        <v>29</v>
      </c>
      <c r="E410" s="95" t="s">
        <v>29</v>
      </c>
      <c r="F410" s="95" t="s">
        <v>19</v>
      </c>
      <c r="G410" s="95" t="s">
        <v>588</v>
      </c>
      <c r="H410" s="95" t="s">
        <v>21</v>
      </c>
      <c r="I410" s="95" t="s">
        <v>677</v>
      </c>
      <c r="J410" s="97">
        <v>46069.66026392361</v>
      </c>
      <c r="K410" s="95" t="s">
        <v>2842</v>
      </c>
      <c r="L410" s="96" t="s">
        <v>2843</v>
      </c>
      <c r="M410" s="95" t="s">
        <v>74</v>
      </c>
      <c r="N410" s="95" t="s">
        <v>2844</v>
      </c>
      <c r="O410" s="95" t="s">
        <v>2844</v>
      </c>
      <c r="P410" s="95" t="s">
        <v>2845</v>
      </c>
      <c r="Q410" s="98">
        <v>3.0</v>
      </c>
      <c r="R410" s="97">
        <v>45897.3791087963</v>
      </c>
      <c r="S410" s="99">
        <v>2388.0</v>
      </c>
      <c r="T410" s="99">
        <v>1.0</v>
      </c>
      <c r="U410" s="99">
        <v>1.0</v>
      </c>
      <c r="V410" s="99">
        <v>166.0</v>
      </c>
      <c r="W410" s="99">
        <v>13975.0</v>
      </c>
    </row>
    <row r="411" ht="15.75" customHeight="1">
      <c r="A411" s="95" t="s">
        <v>2846</v>
      </c>
      <c r="B411" s="95" t="s">
        <v>101</v>
      </c>
      <c r="C411" s="96" t="s">
        <v>2847</v>
      </c>
      <c r="D411" s="95" t="s">
        <v>124</v>
      </c>
      <c r="E411" s="95" t="s">
        <v>1731</v>
      </c>
      <c r="F411" s="95" t="s">
        <v>19</v>
      </c>
      <c r="G411" s="95" t="s">
        <v>19</v>
      </c>
      <c r="H411" s="95" t="s">
        <v>21</v>
      </c>
      <c r="I411" s="95" t="s">
        <v>1497</v>
      </c>
      <c r="J411" s="97">
        <v>46021.51029237269</v>
      </c>
      <c r="K411" s="95" t="s">
        <v>2848</v>
      </c>
      <c r="L411" s="96" t="s">
        <v>2849</v>
      </c>
      <c r="M411" s="95" t="s">
        <v>105</v>
      </c>
      <c r="N411" s="95" t="s">
        <v>2850</v>
      </c>
      <c r="O411" s="95" t="s">
        <v>2850</v>
      </c>
      <c r="P411" s="95" t="s">
        <v>2851</v>
      </c>
      <c r="Q411" s="98">
        <v>3.0</v>
      </c>
      <c r="R411" s="97">
        <v>45385.78037037037</v>
      </c>
      <c r="S411" s="99">
        <v>593.0</v>
      </c>
      <c r="T411" s="99">
        <v>10.0</v>
      </c>
      <c r="U411" s="99">
        <v>2.0</v>
      </c>
      <c r="V411" s="99">
        <v>264.0</v>
      </c>
      <c r="W411" s="99">
        <v>40486.0</v>
      </c>
    </row>
    <row r="412" ht="15.75" customHeight="1">
      <c r="A412" s="95" t="s">
        <v>2852</v>
      </c>
      <c r="B412" s="95" t="s">
        <v>157</v>
      </c>
      <c r="C412" s="96" t="s">
        <v>2853</v>
      </c>
      <c r="D412" s="95" t="s">
        <v>68</v>
      </c>
      <c r="E412" s="95" t="s">
        <v>769</v>
      </c>
      <c r="F412" s="95" t="s">
        <v>88</v>
      </c>
      <c r="G412" s="95" t="s">
        <v>88</v>
      </c>
      <c r="H412" s="95" t="s">
        <v>89</v>
      </c>
      <c r="I412" s="95" t="s">
        <v>859</v>
      </c>
      <c r="J412" s="97">
        <v>46061.01691743056</v>
      </c>
      <c r="K412" s="95" t="s">
        <v>2854</v>
      </c>
      <c r="L412" s="96" t="s">
        <v>2855</v>
      </c>
      <c r="M412" s="95" t="s">
        <v>503</v>
      </c>
      <c r="N412" s="95" t="s">
        <v>2856</v>
      </c>
      <c r="O412" s="95" t="s">
        <v>2856</v>
      </c>
      <c r="P412" s="95" t="s">
        <v>2857</v>
      </c>
      <c r="Q412" s="98">
        <v>3.0</v>
      </c>
      <c r="R412" s="97">
        <v>45882.60635416667</v>
      </c>
      <c r="S412" s="99">
        <v>855.0</v>
      </c>
      <c r="T412" s="99">
        <v>180.0</v>
      </c>
      <c r="U412" s="99">
        <v>8.0</v>
      </c>
      <c r="V412" s="99">
        <v>226.0</v>
      </c>
      <c r="W412" s="99">
        <v>670589.0</v>
      </c>
    </row>
    <row r="413" ht="15.75" customHeight="1">
      <c r="A413" s="95" t="s">
        <v>2858</v>
      </c>
      <c r="B413" s="95" t="s">
        <v>69</v>
      </c>
      <c r="C413" s="96" t="s">
        <v>2859</v>
      </c>
      <c r="D413" s="95" t="s">
        <v>39</v>
      </c>
      <c r="E413" s="95" t="s">
        <v>614</v>
      </c>
      <c r="F413" s="95" t="s">
        <v>88</v>
      </c>
      <c r="G413" s="95" t="s">
        <v>88</v>
      </c>
      <c r="H413" s="95" t="s">
        <v>89</v>
      </c>
      <c r="I413" s="95" t="s">
        <v>640</v>
      </c>
      <c r="J413" s="97">
        <v>45975.67938763889</v>
      </c>
      <c r="K413" s="96" t="s">
        <v>2860</v>
      </c>
      <c r="L413" s="96" t="s">
        <v>2861</v>
      </c>
      <c r="M413" s="95" t="s">
        <v>74</v>
      </c>
      <c r="N413" s="95" t="s">
        <v>2862</v>
      </c>
      <c r="O413" s="95" t="s">
        <v>2862</v>
      </c>
      <c r="P413" s="95" t="s">
        <v>2863</v>
      </c>
      <c r="Q413" s="98">
        <v>3.0</v>
      </c>
      <c r="R413" s="97">
        <v>45896.57833333333</v>
      </c>
      <c r="S413" s="99">
        <v>49383.0</v>
      </c>
      <c r="T413" s="99">
        <v>65.0</v>
      </c>
      <c r="U413" s="99">
        <v>3.0</v>
      </c>
      <c r="V413" s="99">
        <v>42.0</v>
      </c>
      <c r="W413" s="99">
        <v>999999.0</v>
      </c>
    </row>
    <row r="414" ht="15.75" customHeight="1">
      <c r="A414" s="95" t="s">
        <v>2864</v>
      </c>
      <c r="B414" s="95" t="s">
        <v>22</v>
      </c>
      <c r="C414" s="96" t="s">
        <v>2865</v>
      </c>
      <c r="D414" s="95" t="s">
        <v>39</v>
      </c>
      <c r="E414" s="95" t="s">
        <v>2866</v>
      </c>
      <c r="F414" s="95" t="s">
        <v>19</v>
      </c>
      <c r="G414" s="95" t="s">
        <v>19</v>
      </c>
      <c r="H414" s="95" t="s">
        <v>21</v>
      </c>
      <c r="I414" s="95" t="s">
        <v>677</v>
      </c>
      <c r="J414" s="97">
        <v>46021.51029237269</v>
      </c>
      <c r="K414" s="95" t="s">
        <v>2867</v>
      </c>
      <c r="L414" s="96" t="s">
        <v>2868</v>
      </c>
      <c r="M414" s="95" t="s">
        <v>28</v>
      </c>
      <c r="N414" s="95" t="s">
        <v>2869</v>
      </c>
      <c r="O414" s="95" t="s">
        <v>2869</v>
      </c>
      <c r="P414" s="95" t="s">
        <v>2870</v>
      </c>
      <c r="Q414" s="98">
        <v>3.0</v>
      </c>
      <c r="R414" s="97">
        <v>45637.44085648148</v>
      </c>
      <c r="S414" s="99">
        <v>466.0</v>
      </c>
      <c r="T414" s="99">
        <v>74.0</v>
      </c>
      <c r="U414" s="99">
        <v>3.0</v>
      </c>
      <c r="V414" s="99">
        <v>47.0</v>
      </c>
      <c r="W414" s="99">
        <v>999999.0</v>
      </c>
    </row>
    <row r="415" ht="15.75" customHeight="1">
      <c r="A415" s="95" t="s">
        <v>2871</v>
      </c>
      <c r="B415" s="95" t="s">
        <v>22</v>
      </c>
      <c r="C415" s="96" t="s">
        <v>2872</v>
      </c>
      <c r="D415" s="95" t="s">
        <v>130</v>
      </c>
      <c r="E415" s="95" t="s">
        <v>130</v>
      </c>
      <c r="F415" s="95" t="s">
        <v>88</v>
      </c>
      <c r="G415" s="95" t="s">
        <v>858</v>
      </c>
      <c r="H415" s="95" t="s">
        <v>21</v>
      </c>
      <c r="I415" s="95" t="s">
        <v>589</v>
      </c>
      <c r="J415" s="97">
        <v>46042.73634230324</v>
      </c>
      <c r="K415" s="95" t="s">
        <v>2873</v>
      </c>
      <c r="L415" s="96" t="s">
        <v>2874</v>
      </c>
      <c r="M415" s="95" t="s">
        <v>74</v>
      </c>
      <c r="N415" s="95" t="s">
        <v>2875</v>
      </c>
      <c r="O415" s="95" t="s">
        <v>2875</v>
      </c>
      <c r="P415" s="95" t="s">
        <v>2876</v>
      </c>
      <c r="Q415" s="98">
        <v>3.0</v>
      </c>
      <c r="R415" s="97">
        <v>45954.54650462963</v>
      </c>
      <c r="S415" s="99">
        <v>13545.0</v>
      </c>
      <c r="T415" s="99">
        <v>153.0</v>
      </c>
      <c r="U415" s="99">
        <v>3.0</v>
      </c>
      <c r="V415" s="99">
        <v>33.0</v>
      </c>
      <c r="W415" s="99">
        <v>221527.0</v>
      </c>
    </row>
    <row r="416" ht="15.75" customHeight="1">
      <c r="A416" s="95" t="s">
        <v>2877</v>
      </c>
      <c r="B416" s="95" t="s">
        <v>157</v>
      </c>
      <c r="C416" s="96" t="s">
        <v>2878</v>
      </c>
      <c r="D416" s="95" t="s">
        <v>130</v>
      </c>
      <c r="E416" s="95" t="s">
        <v>2879</v>
      </c>
      <c r="F416" s="95" t="s">
        <v>88</v>
      </c>
      <c r="G416" s="95" t="s">
        <v>903</v>
      </c>
      <c r="H416" s="95" t="s">
        <v>89</v>
      </c>
      <c r="I416" s="95" t="s">
        <v>897</v>
      </c>
      <c r="J416" s="97">
        <v>46006.66430814815</v>
      </c>
      <c r="K416" s="95" t="s">
        <v>2880</v>
      </c>
      <c r="L416" s="96" t="s">
        <v>2881</v>
      </c>
      <c r="M416" s="95" t="s">
        <v>54</v>
      </c>
      <c r="N416" s="95" t="s">
        <v>2882</v>
      </c>
      <c r="O416" s="95" t="s">
        <v>2882</v>
      </c>
      <c r="P416" s="95" t="s">
        <v>2883</v>
      </c>
      <c r="Q416" s="98">
        <v>3.0</v>
      </c>
      <c r="R416" s="97">
        <v>45861.65998842593</v>
      </c>
      <c r="S416" s="99">
        <v>2765.0</v>
      </c>
      <c r="T416" s="99">
        <v>13.0</v>
      </c>
      <c r="U416" s="99">
        <v>4.0</v>
      </c>
      <c r="V416" s="99">
        <v>100.0</v>
      </c>
      <c r="W416" s="99">
        <v>203446.0</v>
      </c>
    </row>
    <row r="417" ht="15.75" customHeight="1">
      <c r="A417" s="95" t="s">
        <v>2884</v>
      </c>
      <c r="B417" s="95" t="s">
        <v>22</v>
      </c>
      <c r="C417" s="96" t="s">
        <v>2885</v>
      </c>
      <c r="D417" s="95" t="s">
        <v>130</v>
      </c>
      <c r="E417" s="95" t="s">
        <v>2879</v>
      </c>
      <c r="F417" s="95" t="s">
        <v>19</v>
      </c>
      <c r="G417" s="95" t="s">
        <v>19</v>
      </c>
      <c r="H417" s="95" t="s">
        <v>21</v>
      </c>
      <c r="I417" s="95" t="s">
        <v>589</v>
      </c>
      <c r="J417" s="97">
        <v>46008.62897770834</v>
      </c>
      <c r="K417" s="96" t="s">
        <v>2886</v>
      </c>
      <c r="L417" s="96" t="s">
        <v>2887</v>
      </c>
      <c r="M417" s="95" t="s">
        <v>54</v>
      </c>
      <c r="N417" s="95" t="s">
        <v>2882</v>
      </c>
      <c r="O417" s="95" t="s">
        <v>2882</v>
      </c>
      <c r="P417" s="95" t="s">
        <v>2883</v>
      </c>
      <c r="Q417" s="98">
        <v>3.0</v>
      </c>
      <c r="R417" s="97">
        <v>45863.37142361111</v>
      </c>
      <c r="S417" s="99">
        <v>2765.0</v>
      </c>
      <c r="T417" s="99">
        <v>91.0</v>
      </c>
      <c r="U417" s="99">
        <v>3.0</v>
      </c>
      <c r="V417" s="99">
        <v>148.0</v>
      </c>
      <c r="W417" s="99">
        <v>203446.0</v>
      </c>
    </row>
    <row r="418" ht="15.75" customHeight="1">
      <c r="A418" s="95" t="s">
        <v>2888</v>
      </c>
      <c r="B418" s="95" t="s">
        <v>22</v>
      </c>
      <c r="C418" s="96" t="s">
        <v>2889</v>
      </c>
      <c r="D418" s="95" t="s">
        <v>548</v>
      </c>
      <c r="E418" s="95" t="s">
        <v>548</v>
      </c>
      <c r="F418" s="95" t="s">
        <v>19</v>
      </c>
      <c r="G418" s="95" t="s">
        <v>19</v>
      </c>
      <c r="H418" s="95" t="s">
        <v>21</v>
      </c>
      <c r="I418" s="95" t="s">
        <v>677</v>
      </c>
      <c r="J418" s="97">
        <v>45975.67934009259</v>
      </c>
      <c r="K418" s="96" t="s">
        <v>2890</v>
      </c>
      <c r="L418" s="96" t="s">
        <v>2891</v>
      </c>
      <c r="M418" s="95" t="s">
        <v>17</v>
      </c>
      <c r="N418" s="95" t="s">
        <v>2892</v>
      </c>
      <c r="O418" s="95" t="s">
        <v>2892</v>
      </c>
      <c r="P418" s="95" t="s">
        <v>2893</v>
      </c>
      <c r="Q418" s="98">
        <v>3.0</v>
      </c>
      <c r="R418" s="97">
        <v>45714.84170138889</v>
      </c>
      <c r="S418" s="99">
        <v>150.0</v>
      </c>
      <c r="T418" s="99">
        <v>1520.0</v>
      </c>
      <c r="U418" s="99">
        <v>68.0</v>
      </c>
      <c r="V418" s="99">
        <v>524.0</v>
      </c>
      <c r="W418" s="99">
        <v>12257.0</v>
      </c>
    </row>
    <row r="419" ht="15.75" customHeight="1">
      <c r="A419" s="95" t="s">
        <v>2894</v>
      </c>
      <c r="B419" s="95" t="s">
        <v>69</v>
      </c>
      <c r="C419" s="96" t="s">
        <v>2895</v>
      </c>
      <c r="D419" s="95" t="s">
        <v>124</v>
      </c>
      <c r="E419" s="95" t="s">
        <v>124</v>
      </c>
      <c r="F419" s="95" t="s">
        <v>19</v>
      </c>
      <c r="G419" s="95" t="s">
        <v>19</v>
      </c>
      <c r="H419" s="95" t="s">
        <v>21</v>
      </c>
      <c r="I419" s="95" t="s">
        <v>998</v>
      </c>
      <c r="J419" s="97">
        <v>46021.51029237269</v>
      </c>
      <c r="K419" s="95" t="s">
        <v>2896</v>
      </c>
      <c r="L419" s="96" t="s">
        <v>2897</v>
      </c>
      <c r="M419" s="95" t="s">
        <v>74</v>
      </c>
      <c r="N419" s="95" t="s">
        <v>2898</v>
      </c>
      <c r="O419" s="95" t="s">
        <v>2898</v>
      </c>
      <c r="P419" s="95" t="s">
        <v>2899</v>
      </c>
      <c r="Q419" s="98">
        <v>3.0</v>
      </c>
      <c r="R419" s="97">
        <v>45814.84006944444</v>
      </c>
      <c r="S419" s="99">
        <v>80.0</v>
      </c>
      <c r="T419" s="99">
        <v>24.0</v>
      </c>
      <c r="U419" s="99">
        <v>2.0</v>
      </c>
      <c r="V419" s="99">
        <v>109.0</v>
      </c>
      <c r="W419" s="99">
        <v>7725.0</v>
      </c>
    </row>
    <row r="420" ht="15.75" customHeight="1">
      <c r="A420" s="95" t="s">
        <v>2900</v>
      </c>
      <c r="B420" s="95" t="s">
        <v>22</v>
      </c>
      <c r="C420" s="96" t="s">
        <v>2901</v>
      </c>
      <c r="D420" s="95" t="s">
        <v>29</v>
      </c>
      <c r="E420" s="95" t="s">
        <v>598</v>
      </c>
      <c r="F420" s="95" t="s">
        <v>19</v>
      </c>
      <c r="G420" s="95" t="s">
        <v>19</v>
      </c>
      <c r="H420" s="95" t="s">
        <v>21</v>
      </c>
      <c r="I420" s="95" t="s">
        <v>677</v>
      </c>
      <c r="J420" s="97">
        <v>45975.67931630787</v>
      </c>
      <c r="K420" s="96" t="s">
        <v>2902</v>
      </c>
      <c r="L420" s="96" t="s">
        <v>2903</v>
      </c>
      <c r="M420" s="95" t="s">
        <v>54</v>
      </c>
      <c r="N420" s="95" t="s">
        <v>2904</v>
      </c>
      <c r="O420" s="95" t="s">
        <v>2904</v>
      </c>
      <c r="P420" s="95" t="s">
        <v>2905</v>
      </c>
      <c r="Q420" s="98">
        <v>3.0</v>
      </c>
      <c r="R420" s="97">
        <v>45712.77422453704</v>
      </c>
      <c r="S420" s="99">
        <v>3527.0</v>
      </c>
      <c r="T420" s="99">
        <v>648.0</v>
      </c>
      <c r="U420" s="99">
        <v>6.0</v>
      </c>
      <c r="V420" s="99">
        <v>111.0</v>
      </c>
      <c r="W420" s="99">
        <v>28396.0</v>
      </c>
    </row>
    <row r="421" ht="15.75" customHeight="1">
      <c r="A421" s="95" t="s">
        <v>2906</v>
      </c>
      <c r="B421" s="95" t="s">
        <v>22</v>
      </c>
      <c r="C421" s="96" t="s">
        <v>2907</v>
      </c>
      <c r="D421" s="95" t="s">
        <v>29</v>
      </c>
      <c r="E421" s="95" t="s">
        <v>598</v>
      </c>
      <c r="F421" s="95" t="s">
        <v>19</v>
      </c>
      <c r="G421" s="95" t="s">
        <v>19</v>
      </c>
      <c r="H421" s="95" t="s">
        <v>21</v>
      </c>
      <c r="I421" s="95" t="s">
        <v>1026</v>
      </c>
      <c r="J421" s="97">
        <v>46021.51029237269</v>
      </c>
      <c r="K421" s="95" t="s">
        <v>2908</v>
      </c>
      <c r="L421" s="96" t="s">
        <v>2909</v>
      </c>
      <c r="M421" s="95" t="s">
        <v>93</v>
      </c>
      <c r="N421" s="95" t="s">
        <v>2910</v>
      </c>
      <c r="O421" s="95" t="s">
        <v>2910</v>
      </c>
      <c r="P421" s="95" t="s">
        <v>2911</v>
      </c>
      <c r="Q421" s="98">
        <v>3.0</v>
      </c>
      <c r="R421" s="97">
        <v>45718.44167824074</v>
      </c>
      <c r="S421" s="99">
        <v>86.0</v>
      </c>
      <c r="T421" s="99">
        <v>25.0</v>
      </c>
      <c r="U421" s="99">
        <v>6.0</v>
      </c>
      <c r="V421" s="99">
        <v>141.0</v>
      </c>
      <c r="W421" s="99">
        <v>17949.0</v>
      </c>
    </row>
    <row r="422" ht="15.75" customHeight="1">
      <c r="A422" s="95" t="s">
        <v>2912</v>
      </c>
      <c r="B422" s="95" t="s">
        <v>101</v>
      </c>
      <c r="C422" s="96" t="s">
        <v>2913</v>
      </c>
      <c r="D422" s="95" t="s">
        <v>39</v>
      </c>
      <c r="E422" s="95" t="s">
        <v>614</v>
      </c>
      <c r="F422" s="95" t="s">
        <v>19</v>
      </c>
      <c r="G422" s="95" t="s">
        <v>19</v>
      </c>
      <c r="H422" s="95" t="s">
        <v>21</v>
      </c>
      <c r="I422" s="95" t="s">
        <v>1504</v>
      </c>
      <c r="J422" s="97">
        <v>46021.51029237269</v>
      </c>
      <c r="K422" s="95" t="s">
        <v>2914</v>
      </c>
      <c r="L422" s="96" t="s">
        <v>2915</v>
      </c>
      <c r="M422" s="95" t="s">
        <v>74</v>
      </c>
      <c r="N422" s="95" t="s">
        <v>2916</v>
      </c>
      <c r="O422" s="95" t="s">
        <v>2916</v>
      </c>
      <c r="P422" s="95" t="s">
        <v>2917</v>
      </c>
      <c r="Q422" s="98">
        <v>3.0</v>
      </c>
      <c r="R422" s="97">
        <v>45753.96792824074</v>
      </c>
      <c r="S422" s="99">
        <v>592.0</v>
      </c>
      <c r="T422" s="99">
        <v>46.0</v>
      </c>
      <c r="U422" s="99">
        <v>4.0</v>
      </c>
      <c r="V422" s="99">
        <v>87.0</v>
      </c>
      <c r="W422" s="99">
        <v>4111.0</v>
      </c>
    </row>
    <row r="423" ht="15.75" customHeight="1">
      <c r="A423" s="95" t="s">
        <v>2918</v>
      </c>
      <c r="B423" s="95" t="s">
        <v>131</v>
      </c>
      <c r="C423" s="96" t="s">
        <v>2919</v>
      </c>
      <c r="D423" s="95" t="s">
        <v>39</v>
      </c>
      <c r="E423" s="95" t="s">
        <v>960</v>
      </c>
      <c r="F423" s="95" t="s">
        <v>19</v>
      </c>
      <c r="G423" s="95" t="s">
        <v>19</v>
      </c>
      <c r="H423" s="95" t="s">
        <v>21</v>
      </c>
      <c r="I423" s="95" t="s">
        <v>2215</v>
      </c>
      <c r="J423" s="97">
        <v>46021.50534530092</v>
      </c>
      <c r="K423" s="95" t="s">
        <v>2920</v>
      </c>
      <c r="L423" s="96" t="s">
        <v>2921</v>
      </c>
      <c r="M423" s="95" t="s">
        <v>67</v>
      </c>
      <c r="N423" s="95" t="s">
        <v>2922</v>
      </c>
      <c r="O423" s="95" t="s">
        <v>2922</v>
      </c>
      <c r="P423" s="95" t="s">
        <v>2923</v>
      </c>
      <c r="Q423" s="98">
        <v>3.0</v>
      </c>
      <c r="R423" s="97">
        <v>45876.84833333334</v>
      </c>
      <c r="S423" s="99">
        <v>90.0</v>
      </c>
      <c r="T423" s="99">
        <v>89.0</v>
      </c>
      <c r="U423" s="99">
        <v>8.0</v>
      </c>
      <c r="V423" s="99">
        <v>87.0</v>
      </c>
      <c r="W423" s="99">
        <v>5492.0</v>
      </c>
    </row>
    <row r="424" ht="15.75" customHeight="1">
      <c r="A424" s="95" t="s">
        <v>2924</v>
      </c>
      <c r="B424" s="95" t="s">
        <v>22</v>
      </c>
      <c r="C424" s="96" t="s">
        <v>2925</v>
      </c>
      <c r="D424" s="95" t="s">
        <v>59</v>
      </c>
      <c r="E424" s="95" t="s">
        <v>738</v>
      </c>
      <c r="F424" s="95" t="s">
        <v>19</v>
      </c>
      <c r="G424" s="95" t="s">
        <v>839</v>
      </c>
      <c r="H424" s="95" t="s">
        <v>21</v>
      </c>
      <c r="I424" s="95" t="s">
        <v>677</v>
      </c>
      <c r="J424" s="97">
        <v>46039.71731052083</v>
      </c>
      <c r="K424" s="95" t="s">
        <v>2926</v>
      </c>
      <c r="L424" s="96" t="s">
        <v>2927</v>
      </c>
      <c r="M424" s="95" t="s">
        <v>93</v>
      </c>
      <c r="N424" s="95" t="s">
        <v>2928</v>
      </c>
      <c r="O424" s="95" t="s">
        <v>2928</v>
      </c>
      <c r="P424" s="95" t="s">
        <v>2929</v>
      </c>
      <c r="Q424" s="98">
        <v>3.0</v>
      </c>
      <c r="R424" s="97">
        <v>45950.16950231481</v>
      </c>
      <c r="S424" s="99">
        <v>292.0</v>
      </c>
      <c r="T424" s="99">
        <v>683.0</v>
      </c>
      <c r="U424" s="99">
        <v>14.0</v>
      </c>
      <c r="V424" s="99">
        <v>485.0</v>
      </c>
      <c r="W424" s="99">
        <v>513092.0</v>
      </c>
    </row>
    <row r="425" ht="15.75" customHeight="1">
      <c r="A425" s="95" t="s">
        <v>2930</v>
      </c>
      <c r="B425" s="95" t="s">
        <v>131</v>
      </c>
      <c r="C425" s="96" t="s">
        <v>2931</v>
      </c>
      <c r="D425" s="95" t="s">
        <v>39</v>
      </c>
      <c r="E425" s="95" t="s">
        <v>960</v>
      </c>
      <c r="F425" s="95" t="s">
        <v>58</v>
      </c>
      <c r="G425" s="95" t="s">
        <v>58</v>
      </c>
      <c r="H425" s="95" t="s">
        <v>60</v>
      </c>
      <c r="I425" s="95" t="s">
        <v>795</v>
      </c>
      <c r="J425" s="97">
        <v>46021.50375386574</v>
      </c>
      <c r="K425" s="95" t="s">
        <v>2932</v>
      </c>
      <c r="L425" s="96" t="s">
        <v>2933</v>
      </c>
      <c r="M425" s="95" t="s">
        <v>93</v>
      </c>
      <c r="N425" s="95" t="s">
        <v>2928</v>
      </c>
      <c r="O425" s="95" t="s">
        <v>2928</v>
      </c>
      <c r="P425" s="95" t="s">
        <v>2929</v>
      </c>
      <c r="Q425" s="98">
        <v>3.0</v>
      </c>
      <c r="R425" s="97">
        <v>45716.99322916667</v>
      </c>
      <c r="S425" s="99">
        <v>292.0</v>
      </c>
      <c r="T425" s="99">
        <v>382.0</v>
      </c>
      <c r="U425" s="99">
        <v>2.0</v>
      </c>
      <c r="V425" s="99">
        <v>449.0</v>
      </c>
      <c r="W425" s="99">
        <v>513092.0</v>
      </c>
    </row>
    <row r="426" ht="15.75" customHeight="1">
      <c r="A426" s="95" t="s">
        <v>2934</v>
      </c>
      <c r="B426" s="95" t="s">
        <v>69</v>
      </c>
      <c r="C426" s="96" t="s">
        <v>2935</v>
      </c>
      <c r="D426" s="95" t="s">
        <v>59</v>
      </c>
      <c r="E426" s="95" t="s">
        <v>738</v>
      </c>
      <c r="F426" s="95" t="s">
        <v>58</v>
      </c>
      <c r="G426" s="95" t="s">
        <v>58</v>
      </c>
      <c r="H426" s="95" t="s">
        <v>77</v>
      </c>
      <c r="I426" s="95" t="s">
        <v>599</v>
      </c>
      <c r="J426" s="97">
        <v>46021.50534530092</v>
      </c>
      <c r="K426" s="95" t="s">
        <v>2936</v>
      </c>
      <c r="L426" s="96" t="s">
        <v>2937</v>
      </c>
      <c r="M426" s="95" t="s">
        <v>93</v>
      </c>
      <c r="N426" s="95" t="s">
        <v>2928</v>
      </c>
      <c r="O426" s="95" t="s">
        <v>2928</v>
      </c>
      <c r="P426" s="95" t="s">
        <v>2929</v>
      </c>
      <c r="Q426" s="98">
        <v>3.0</v>
      </c>
      <c r="R426" s="97">
        <v>45716.87552083333</v>
      </c>
      <c r="S426" s="99">
        <v>292.0</v>
      </c>
      <c r="T426" s="99">
        <v>537.0</v>
      </c>
      <c r="U426" s="99">
        <v>1.0</v>
      </c>
      <c r="V426" s="99">
        <v>364.0</v>
      </c>
      <c r="W426" s="99">
        <v>513092.0</v>
      </c>
    </row>
    <row r="427" ht="15.75" customHeight="1">
      <c r="A427" s="95" t="s">
        <v>2938</v>
      </c>
      <c r="B427" s="95" t="s">
        <v>101</v>
      </c>
      <c r="C427" s="96" t="s">
        <v>2939</v>
      </c>
      <c r="D427" s="95" t="s">
        <v>59</v>
      </c>
      <c r="E427" s="95" t="s">
        <v>738</v>
      </c>
      <c r="F427" s="95" t="s">
        <v>19</v>
      </c>
      <c r="G427" s="95" t="s">
        <v>19</v>
      </c>
      <c r="H427" s="95" t="s">
        <v>21</v>
      </c>
      <c r="I427" s="95" t="s">
        <v>890</v>
      </c>
      <c r="J427" s="97">
        <v>46021.50915592592</v>
      </c>
      <c r="K427" s="95" t="s">
        <v>2940</v>
      </c>
      <c r="L427" s="96" t="s">
        <v>2941</v>
      </c>
      <c r="M427" s="95" t="s">
        <v>93</v>
      </c>
      <c r="N427" s="95" t="s">
        <v>2928</v>
      </c>
      <c r="O427" s="95" t="s">
        <v>2928</v>
      </c>
      <c r="P427" s="95" t="s">
        <v>2929</v>
      </c>
      <c r="Q427" s="98">
        <v>3.0</v>
      </c>
      <c r="R427" s="97">
        <v>45819.61978009259</v>
      </c>
      <c r="S427" s="99">
        <v>292.0</v>
      </c>
      <c r="T427" s="99">
        <v>434.0</v>
      </c>
      <c r="U427" s="99">
        <v>1.0</v>
      </c>
      <c r="V427" s="99">
        <v>198.0</v>
      </c>
      <c r="W427" s="99">
        <v>513092.0</v>
      </c>
    </row>
    <row r="428" ht="15.75" customHeight="1">
      <c r="A428" s="95" t="s">
        <v>2942</v>
      </c>
      <c r="B428" s="95" t="s">
        <v>69</v>
      </c>
      <c r="C428" s="96" t="s">
        <v>2943</v>
      </c>
      <c r="D428" s="95" t="s">
        <v>59</v>
      </c>
      <c r="E428" s="95" t="s">
        <v>738</v>
      </c>
      <c r="F428" s="95" t="s">
        <v>19</v>
      </c>
      <c r="G428" s="95" t="s">
        <v>1367</v>
      </c>
      <c r="H428" s="95" t="s">
        <v>89</v>
      </c>
      <c r="I428" s="95" t="s">
        <v>640</v>
      </c>
      <c r="J428" s="97">
        <v>46021.51029237269</v>
      </c>
      <c r="K428" s="95" t="s">
        <v>2944</v>
      </c>
      <c r="L428" s="96" t="s">
        <v>2945</v>
      </c>
      <c r="M428" s="95" t="s">
        <v>93</v>
      </c>
      <c r="N428" s="95" t="s">
        <v>2928</v>
      </c>
      <c r="O428" s="95" t="s">
        <v>2928</v>
      </c>
      <c r="P428" s="95" t="s">
        <v>2929</v>
      </c>
      <c r="Q428" s="98">
        <v>3.0</v>
      </c>
      <c r="R428" s="97">
        <v>45792.97709490741</v>
      </c>
      <c r="S428" s="99">
        <v>292.0</v>
      </c>
      <c r="T428" s="99">
        <v>69.0</v>
      </c>
      <c r="U428" s="99">
        <v>2.0</v>
      </c>
      <c r="V428" s="99">
        <v>20.0</v>
      </c>
      <c r="W428" s="99">
        <v>513092.0</v>
      </c>
    </row>
    <row r="429" ht="15.75" customHeight="1">
      <c r="A429" s="95" t="s">
        <v>2946</v>
      </c>
      <c r="B429" s="95" t="s">
        <v>22</v>
      </c>
      <c r="C429" s="96" t="s">
        <v>2947</v>
      </c>
      <c r="D429" s="95" t="s">
        <v>59</v>
      </c>
      <c r="E429" s="95" t="s">
        <v>738</v>
      </c>
      <c r="F429" s="95" t="s">
        <v>19</v>
      </c>
      <c r="G429" s="95" t="s">
        <v>19</v>
      </c>
      <c r="H429" s="95" t="s">
        <v>21</v>
      </c>
      <c r="I429" s="95" t="s">
        <v>589</v>
      </c>
      <c r="J429" s="97">
        <v>46057.09111697917</v>
      </c>
      <c r="K429" s="96" t="s">
        <v>2948</v>
      </c>
      <c r="L429" s="96" t="s">
        <v>2949</v>
      </c>
      <c r="M429" s="95" t="s">
        <v>93</v>
      </c>
      <c r="N429" s="95" t="s">
        <v>2928</v>
      </c>
      <c r="O429" s="95" t="s">
        <v>2928</v>
      </c>
      <c r="P429" s="95" t="s">
        <v>2929</v>
      </c>
      <c r="Q429" s="98">
        <v>3.0</v>
      </c>
      <c r="R429" s="97">
        <v>46038.70277777778</v>
      </c>
      <c r="S429" s="99">
        <v>292.0</v>
      </c>
      <c r="T429" s="99">
        <v>497.0</v>
      </c>
      <c r="U429" s="99">
        <v>4.0</v>
      </c>
      <c r="V429" s="99">
        <v>209.0</v>
      </c>
      <c r="W429" s="99">
        <v>513092.0</v>
      </c>
    </row>
    <row r="430" ht="15.75" customHeight="1">
      <c r="A430" s="95" t="s">
        <v>2950</v>
      </c>
      <c r="B430" s="95" t="s">
        <v>22</v>
      </c>
      <c r="C430" s="96" t="s">
        <v>2951</v>
      </c>
      <c r="D430" s="95" t="s">
        <v>547</v>
      </c>
      <c r="E430" s="95" t="s">
        <v>2952</v>
      </c>
      <c r="F430" s="95" t="s">
        <v>19</v>
      </c>
      <c r="G430" s="95" t="s">
        <v>19</v>
      </c>
      <c r="H430" s="95" t="s">
        <v>21</v>
      </c>
      <c r="I430" s="95" t="s">
        <v>567</v>
      </c>
      <c r="J430" s="97">
        <v>45977.67065298611</v>
      </c>
      <c r="K430" s="95" t="s">
        <v>2953</v>
      </c>
      <c r="L430" s="96" t="s">
        <v>2954</v>
      </c>
      <c r="M430" s="95" t="s">
        <v>503</v>
      </c>
      <c r="N430" s="95" t="s">
        <v>2955</v>
      </c>
      <c r="O430" s="95" t="s">
        <v>2955</v>
      </c>
      <c r="P430" s="95" t="s">
        <v>2956</v>
      </c>
      <c r="Q430" s="98">
        <v>3.0</v>
      </c>
      <c r="R430" s="97">
        <v>45945.52533564815</v>
      </c>
      <c r="S430" s="99">
        <v>5495.0</v>
      </c>
      <c r="T430" s="99">
        <v>4.0</v>
      </c>
      <c r="U430" s="99">
        <v>1.0</v>
      </c>
      <c r="V430" s="99">
        <v>49.0</v>
      </c>
      <c r="W430" s="99">
        <v>111870.0</v>
      </c>
    </row>
    <row r="431" ht="15.75" customHeight="1">
      <c r="A431" s="95" t="s">
        <v>2957</v>
      </c>
      <c r="B431" s="95" t="s">
        <v>22</v>
      </c>
      <c r="C431" s="96" t="s">
        <v>2958</v>
      </c>
      <c r="D431" s="95" t="s">
        <v>130</v>
      </c>
      <c r="E431" s="95" t="s">
        <v>917</v>
      </c>
      <c r="F431" s="95" t="s">
        <v>19</v>
      </c>
      <c r="G431" s="95" t="s">
        <v>19</v>
      </c>
      <c r="H431" s="95" t="s">
        <v>21</v>
      </c>
      <c r="I431" s="95" t="s">
        <v>567</v>
      </c>
      <c r="J431" s="97">
        <v>45975.67937972222</v>
      </c>
      <c r="K431" s="96" t="s">
        <v>2959</v>
      </c>
      <c r="L431" s="96" t="s">
        <v>2960</v>
      </c>
      <c r="M431" s="95" t="s">
        <v>38</v>
      </c>
      <c r="N431" s="95" t="s">
        <v>2961</v>
      </c>
      <c r="O431" s="95" t="s">
        <v>2961</v>
      </c>
      <c r="P431" s="95" t="s">
        <v>2962</v>
      </c>
      <c r="Q431" s="98">
        <v>3.0</v>
      </c>
      <c r="R431" s="97">
        <v>45946.46106481482</v>
      </c>
      <c r="S431" s="99">
        <v>9006.0</v>
      </c>
      <c r="T431" s="99">
        <v>28.0</v>
      </c>
      <c r="U431" s="99">
        <v>2.0</v>
      </c>
      <c r="V431" s="99">
        <v>98.0</v>
      </c>
      <c r="W431" s="99">
        <v>799883.0</v>
      </c>
    </row>
    <row r="432" ht="15.75" customHeight="1">
      <c r="A432" s="95" t="s">
        <v>2963</v>
      </c>
      <c r="B432" s="95" t="s">
        <v>157</v>
      </c>
      <c r="C432" s="96" t="s">
        <v>2964</v>
      </c>
      <c r="D432" s="95" t="s">
        <v>130</v>
      </c>
      <c r="E432" s="95" t="s">
        <v>2965</v>
      </c>
      <c r="F432" s="95" t="s">
        <v>88</v>
      </c>
      <c r="G432" s="95" t="s">
        <v>858</v>
      </c>
      <c r="H432" s="95" t="s">
        <v>89</v>
      </c>
      <c r="I432" s="95" t="s">
        <v>897</v>
      </c>
      <c r="J432" s="97">
        <v>45978.46242083333</v>
      </c>
      <c r="K432" s="95" t="s">
        <v>2966</v>
      </c>
      <c r="L432" s="96" t="s">
        <v>2967</v>
      </c>
      <c r="M432" s="95" t="s">
        <v>17</v>
      </c>
      <c r="N432" s="95" t="s">
        <v>2968</v>
      </c>
      <c r="O432" s="95" t="s">
        <v>2968</v>
      </c>
      <c r="P432" s="95" t="s">
        <v>2969</v>
      </c>
      <c r="Q432" s="98">
        <v>3.0</v>
      </c>
      <c r="R432" s="97">
        <v>45729.60412037037</v>
      </c>
      <c r="S432" s="99">
        <v>919.0</v>
      </c>
      <c r="T432" s="99">
        <v>24.0</v>
      </c>
      <c r="U432" s="99">
        <v>4.0</v>
      </c>
      <c r="V432" s="99">
        <v>213.0</v>
      </c>
      <c r="W432" s="99">
        <v>84197.0</v>
      </c>
    </row>
    <row r="433" ht="15.75" customHeight="1">
      <c r="A433" s="95" t="s">
        <v>2970</v>
      </c>
      <c r="B433" s="95" t="s">
        <v>22</v>
      </c>
      <c r="C433" s="96" t="s">
        <v>2971</v>
      </c>
      <c r="D433" s="95" t="s">
        <v>130</v>
      </c>
      <c r="E433" s="95" t="s">
        <v>1025</v>
      </c>
      <c r="F433" s="95" t="s">
        <v>19</v>
      </c>
      <c r="G433" s="95" t="s">
        <v>19</v>
      </c>
      <c r="H433" s="95" t="s">
        <v>21</v>
      </c>
      <c r="I433" s="95" t="s">
        <v>567</v>
      </c>
      <c r="J433" s="97">
        <v>46008.62902260417</v>
      </c>
      <c r="K433" s="96" t="s">
        <v>2972</v>
      </c>
      <c r="L433" s="96" t="s">
        <v>2973</v>
      </c>
      <c r="M433" s="95" t="s">
        <v>17</v>
      </c>
      <c r="N433" s="95" t="s">
        <v>2968</v>
      </c>
      <c r="O433" s="95" t="s">
        <v>2968</v>
      </c>
      <c r="P433" s="95" t="s">
        <v>2969</v>
      </c>
      <c r="Q433" s="98">
        <v>3.0</v>
      </c>
      <c r="R433" s="97">
        <v>45863.84601851852</v>
      </c>
      <c r="S433" s="99">
        <v>919.0</v>
      </c>
      <c r="T433" s="99">
        <v>7.0</v>
      </c>
      <c r="U433" s="99">
        <v>1.0</v>
      </c>
      <c r="V433" s="99">
        <v>1332.0</v>
      </c>
      <c r="W433" s="99">
        <v>84197.0</v>
      </c>
    </row>
    <row r="434" ht="15.75" customHeight="1">
      <c r="A434" s="95" t="s">
        <v>2974</v>
      </c>
      <c r="B434" s="95" t="s">
        <v>69</v>
      </c>
      <c r="C434" s="96" t="s">
        <v>2975</v>
      </c>
      <c r="D434" s="95" t="s">
        <v>39</v>
      </c>
      <c r="E434" s="95" t="s">
        <v>1269</v>
      </c>
      <c r="F434" s="95" t="s">
        <v>19</v>
      </c>
      <c r="G434" s="95" t="s">
        <v>19</v>
      </c>
      <c r="H434" s="95" t="s">
        <v>21</v>
      </c>
      <c r="I434" s="95" t="s">
        <v>998</v>
      </c>
      <c r="J434" s="97">
        <v>46008.62902262731</v>
      </c>
      <c r="K434" s="96" t="s">
        <v>2976</v>
      </c>
      <c r="L434" s="96" t="s">
        <v>2977</v>
      </c>
      <c r="M434" s="95" t="s">
        <v>17</v>
      </c>
      <c r="N434" s="95" t="s">
        <v>2978</v>
      </c>
      <c r="O434" s="95" t="s">
        <v>2978</v>
      </c>
      <c r="P434" s="95" t="s">
        <v>2979</v>
      </c>
      <c r="Q434" s="98">
        <v>3.0</v>
      </c>
      <c r="R434" s="97">
        <v>45672.70451388889</v>
      </c>
      <c r="S434" s="99">
        <v>111.0</v>
      </c>
      <c r="T434" s="99">
        <v>661.0</v>
      </c>
      <c r="U434" s="99">
        <v>20.0</v>
      </c>
      <c r="V434" s="99">
        <v>304.0</v>
      </c>
      <c r="W434" s="99">
        <v>48107.0</v>
      </c>
    </row>
    <row r="435" ht="15.75" customHeight="1">
      <c r="A435" s="95" t="s">
        <v>2980</v>
      </c>
      <c r="B435" s="95" t="s">
        <v>22</v>
      </c>
      <c r="C435" s="96" t="s">
        <v>2981</v>
      </c>
      <c r="D435" s="95" t="s">
        <v>39</v>
      </c>
      <c r="E435" s="95" t="s">
        <v>1269</v>
      </c>
      <c r="F435" s="95" t="s">
        <v>19</v>
      </c>
      <c r="G435" s="95" t="s">
        <v>19</v>
      </c>
      <c r="H435" s="95" t="s">
        <v>21</v>
      </c>
      <c r="I435" s="95" t="s">
        <v>567</v>
      </c>
      <c r="J435" s="97">
        <v>46008.62902929398</v>
      </c>
      <c r="K435" s="96" t="s">
        <v>2982</v>
      </c>
      <c r="L435" s="96" t="s">
        <v>2983</v>
      </c>
      <c r="M435" s="95" t="s">
        <v>17</v>
      </c>
      <c r="N435" s="95" t="s">
        <v>2978</v>
      </c>
      <c r="O435" s="95" t="s">
        <v>2978</v>
      </c>
      <c r="P435" s="95" t="s">
        <v>2979</v>
      </c>
      <c r="Q435" s="98">
        <v>3.0</v>
      </c>
      <c r="R435" s="97">
        <v>45733.78565972222</v>
      </c>
      <c r="S435" s="99">
        <v>111.0</v>
      </c>
      <c r="T435" s="99">
        <v>41.0</v>
      </c>
      <c r="U435" s="99">
        <v>5.0</v>
      </c>
      <c r="V435" s="99">
        <v>134.0</v>
      </c>
      <c r="W435" s="99">
        <v>48107.0</v>
      </c>
    </row>
    <row r="436" ht="15.75" customHeight="1">
      <c r="A436" s="95" t="s">
        <v>2984</v>
      </c>
      <c r="B436" s="95" t="s">
        <v>22</v>
      </c>
      <c r="C436" s="96" t="s">
        <v>2985</v>
      </c>
      <c r="D436" s="95" t="s">
        <v>39</v>
      </c>
      <c r="E436" s="95" t="s">
        <v>1269</v>
      </c>
      <c r="F436" s="95" t="s">
        <v>19</v>
      </c>
      <c r="G436" s="95" t="s">
        <v>574</v>
      </c>
      <c r="H436" s="95" t="s">
        <v>21</v>
      </c>
      <c r="I436" s="95" t="s">
        <v>567</v>
      </c>
      <c r="J436" s="97">
        <v>46008.62902917824</v>
      </c>
      <c r="K436" s="96" t="s">
        <v>2986</v>
      </c>
      <c r="L436" s="96" t="s">
        <v>2987</v>
      </c>
      <c r="M436" s="95" t="s">
        <v>17</v>
      </c>
      <c r="N436" s="95" t="s">
        <v>2978</v>
      </c>
      <c r="O436" s="95" t="s">
        <v>2978</v>
      </c>
      <c r="P436" s="95" t="s">
        <v>2979</v>
      </c>
      <c r="Q436" s="98">
        <v>3.0</v>
      </c>
      <c r="R436" s="97">
        <v>45698.62803240741</v>
      </c>
      <c r="S436" s="99">
        <v>111.0</v>
      </c>
      <c r="T436" s="99">
        <v>4.0</v>
      </c>
      <c r="U436" s="99">
        <v>7.0</v>
      </c>
      <c r="V436" s="99">
        <v>69.0</v>
      </c>
      <c r="W436" s="99">
        <v>48107.0</v>
      </c>
    </row>
    <row r="437" ht="15.75" customHeight="1">
      <c r="A437" s="95" t="s">
        <v>2988</v>
      </c>
      <c r="B437" s="95" t="s">
        <v>101</v>
      </c>
      <c r="C437" s="96" t="s">
        <v>2989</v>
      </c>
      <c r="D437" s="95" t="s">
        <v>59</v>
      </c>
      <c r="E437" s="95" t="s">
        <v>665</v>
      </c>
      <c r="F437" s="95" t="s">
        <v>19</v>
      </c>
      <c r="G437" s="95" t="s">
        <v>574</v>
      </c>
      <c r="H437" s="95" t="s">
        <v>21</v>
      </c>
      <c r="I437" s="95" t="s">
        <v>2990</v>
      </c>
      <c r="J437" s="97">
        <v>46003.09721050926</v>
      </c>
      <c r="K437" s="95" t="s">
        <v>2991</v>
      </c>
      <c r="L437" s="96" t="s">
        <v>2992</v>
      </c>
      <c r="M437" s="95" t="s">
        <v>54</v>
      </c>
      <c r="N437" s="95" t="s">
        <v>2993</v>
      </c>
      <c r="O437" s="95" t="s">
        <v>2993</v>
      </c>
      <c r="P437" s="95" t="s">
        <v>2994</v>
      </c>
      <c r="Q437" s="98">
        <v>3.0</v>
      </c>
      <c r="R437" s="97">
        <v>45945.51587962963</v>
      </c>
      <c r="S437" s="99">
        <v>807.0</v>
      </c>
      <c r="T437" s="99">
        <v>1737.0</v>
      </c>
      <c r="U437" s="99">
        <v>2.0</v>
      </c>
      <c r="V437" s="99">
        <v>94.0</v>
      </c>
      <c r="W437" s="99">
        <v>220236.0</v>
      </c>
    </row>
    <row r="438" ht="15.75" customHeight="1">
      <c r="A438" s="95" t="s">
        <v>2995</v>
      </c>
      <c r="B438" s="95" t="s">
        <v>22</v>
      </c>
      <c r="C438" s="96" t="s">
        <v>2996</v>
      </c>
      <c r="D438" s="95" t="s">
        <v>130</v>
      </c>
      <c r="E438" s="95" t="s">
        <v>2109</v>
      </c>
      <c r="F438" s="95" t="s">
        <v>19</v>
      </c>
      <c r="G438" s="95" t="s">
        <v>19</v>
      </c>
      <c r="H438" s="95" t="s">
        <v>21</v>
      </c>
      <c r="I438" s="95" t="s">
        <v>567</v>
      </c>
      <c r="J438" s="97">
        <v>46021.50534530092</v>
      </c>
      <c r="K438" s="95" t="s">
        <v>2997</v>
      </c>
      <c r="L438" s="96" t="s">
        <v>2998</v>
      </c>
      <c r="M438" s="95" t="s">
        <v>38</v>
      </c>
      <c r="N438" s="95" t="s">
        <v>2999</v>
      </c>
      <c r="O438" s="95" t="s">
        <v>2999</v>
      </c>
      <c r="P438" s="95" t="s">
        <v>3000</v>
      </c>
      <c r="Q438" s="98">
        <v>3.0</v>
      </c>
      <c r="R438" s="97">
        <v>45911.59431712963</v>
      </c>
      <c r="S438" s="99">
        <v>110.0</v>
      </c>
      <c r="T438" s="99">
        <v>17.0</v>
      </c>
      <c r="U438" s="99">
        <v>1.0</v>
      </c>
      <c r="V438" s="99">
        <v>282.0</v>
      </c>
      <c r="W438" s="99">
        <v>13070.0</v>
      </c>
    </row>
    <row r="439" ht="15.75" customHeight="1">
      <c r="A439" s="95" t="s">
        <v>3001</v>
      </c>
      <c r="B439" s="95" t="s">
        <v>22</v>
      </c>
      <c r="C439" s="96" t="s">
        <v>3002</v>
      </c>
      <c r="D439" s="95" t="s">
        <v>130</v>
      </c>
      <c r="E439" s="95" t="s">
        <v>1253</v>
      </c>
      <c r="F439" s="95" t="s">
        <v>19</v>
      </c>
      <c r="G439" s="95" t="s">
        <v>19</v>
      </c>
      <c r="H439" s="95" t="s">
        <v>21</v>
      </c>
      <c r="I439" s="95" t="s">
        <v>567</v>
      </c>
      <c r="J439" s="97">
        <v>46021.51029237269</v>
      </c>
      <c r="K439" s="95" t="s">
        <v>3003</v>
      </c>
      <c r="L439" s="96" t="s">
        <v>3004</v>
      </c>
      <c r="M439" s="95" t="s">
        <v>93</v>
      </c>
      <c r="N439" s="95" t="s">
        <v>3005</v>
      </c>
      <c r="O439" s="95" t="s">
        <v>3005</v>
      </c>
      <c r="P439" s="95" t="s">
        <v>3006</v>
      </c>
      <c r="Q439" s="98">
        <v>3.0</v>
      </c>
      <c r="R439" s="97">
        <v>45937.27520833333</v>
      </c>
      <c r="S439" s="99">
        <v>204.0</v>
      </c>
      <c r="T439" s="99">
        <v>405.0</v>
      </c>
      <c r="U439" s="99">
        <v>1.0</v>
      </c>
      <c r="V439" s="99">
        <v>65.0</v>
      </c>
      <c r="W439" s="99">
        <v>143291.0</v>
      </c>
    </row>
    <row r="440" ht="15.75" customHeight="1">
      <c r="A440" s="95" t="s">
        <v>3007</v>
      </c>
      <c r="B440" s="95" t="s">
        <v>22</v>
      </c>
      <c r="C440" s="96" t="s">
        <v>3008</v>
      </c>
      <c r="D440" s="95" t="s">
        <v>59</v>
      </c>
      <c r="E440" s="95" t="s">
        <v>1347</v>
      </c>
      <c r="F440" s="95" t="s">
        <v>19</v>
      </c>
      <c r="G440" s="95" t="s">
        <v>1367</v>
      </c>
      <c r="H440" s="95" t="s">
        <v>21</v>
      </c>
      <c r="I440" s="95" t="s">
        <v>589</v>
      </c>
      <c r="J440" s="97">
        <v>46021.50534530092</v>
      </c>
      <c r="K440" s="95" t="s">
        <v>3009</v>
      </c>
      <c r="L440" s="96" t="s">
        <v>3010</v>
      </c>
      <c r="M440" s="95" t="s">
        <v>93</v>
      </c>
      <c r="N440" s="95" t="s">
        <v>3011</v>
      </c>
      <c r="O440" s="95" t="s">
        <v>3011</v>
      </c>
      <c r="P440" s="95" t="s">
        <v>3012</v>
      </c>
      <c r="Q440" s="98">
        <v>3.0</v>
      </c>
      <c r="R440" s="97">
        <v>45855.35434027778</v>
      </c>
      <c r="S440" s="99">
        <v>54.0</v>
      </c>
      <c r="T440" s="99">
        <v>3.0</v>
      </c>
      <c r="U440" s="99">
        <v>1.0</v>
      </c>
      <c r="V440" s="99">
        <v>113.0</v>
      </c>
      <c r="W440" s="99">
        <v>206407.0</v>
      </c>
    </row>
    <row r="441" ht="15.75" customHeight="1">
      <c r="A441" s="95" t="s">
        <v>3013</v>
      </c>
      <c r="B441" s="95" t="s">
        <v>22</v>
      </c>
      <c r="C441" s="96" t="s">
        <v>3014</v>
      </c>
      <c r="D441" s="95" t="s">
        <v>39</v>
      </c>
      <c r="E441" s="95" t="s">
        <v>39</v>
      </c>
      <c r="F441" s="95" t="s">
        <v>19</v>
      </c>
      <c r="G441" s="95" t="s">
        <v>574</v>
      </c>
      <c r="H441" s="95" t="s">
        <v>21</v>
      </c>
      <c r="I441" s="95" t="s">
        <v>589</v>
      </c>
      <c r="J441" s="97">
        <v>46021.50534530092</v>
      </c>
      <c r="K441" s="95" t="s">
        <v>3015</v>
      </c>
      <c r="L441" s="96" t="s">
        <v>3016</v>
      </c>
      <c r="M441" s="95" t="s">
        <v>74</v>
      </c>
      <c r="N441" s="95" t="s">
        <v>3017</v>
      </c>
      <c r="O441" s="95" t="s">
        <v>3017</v>
      </c>
      <c r="P441" s="95" t="s">
        <v>3018</v>
      </c>
      <c r="Q441" s="98">
        <v>3.0</v>
      </c>
      <c r="R441" s="97">
        <v>45687.79886574074</v>
      </c>
      <c r="S441" s="99">
        <v>67.0</v>
      </c>
      <c r="T441" s="99">
        <v>6.0</v>
      </c>
      <c r="U441" s="99">
        <v>3.0</v>
      </c>
      <c r="V441" s="99">
        <v>96.0</v>
      </c>
      <c r="W441" s="99">
        <v>34242.0</v>
      </c>
    </row>
    <row r="442" ht="15.75" customHeight="1">
      <c r="A442" s="95" t="s">
        <v>3019</v>
      </c>
      <c r="B442" s="95" t="s">
        <v>22</v>
      </c>
      <c r="C442" s="96" t="s">
        <v>3020</v>
      </c>
      <c r="D442" s="95" t="s">
        <v>168</v>
      </c>
      <c r="E442" s="95" t="s">
        <v>3021</v>
      </c>
      <c r="F442" s="95" t="s">
        <v>19</v>
      </c>
      <c r="G442" s="95" t="s">
        <v>19</v>
      </c>
      <c r="H442" s="95" t="s">
        <v>21</v>
      </c>
      <c r="I442" s="95" t="s">
        <v>567</v>
      </c>
      <c r="J442" s="97">
        <v>46021.51029237269</v>
      </c>
      <c r="K442" s="95" t="s">
        <v>3022</v>
      </c>
      <c r="L442" s="96" t="s">
        <v>3023</v>
      </c>
      <c r="M442" s="95" t="s">
        <v>28</v>
      </c>
      <c r="N442" s="95" t="s">
        <v>3024</v>
      </c>
      <c r="O442" s="95" t="s">
        <v>3024</v>
      </c>
      <c r="P442" s="95" t="s">
        <v>3025</v>
      </c>
      <c r="Q442" s="98">
        <v>3.0</v>
      </c>
      <c r="R442" s="97">
        <v>45931.21501157407</v>
      </c>
      <c r="S442" s="99">
        <v>1139.0</v>
      </c>
      <c r="T442" s="99">
        <v>434.0</v>
      </c>
      <c r="U442" s="99">
        <v>2.0</v>
      </c>
      <c r="V442" s="99">
        <v>108.0</v>
      </c>
      <c r="W442" s="99">
        <v>1403005.0</v>
      </c>
    </row>
    <row r="443" ht="15.75" customHeight="1">
      <c r="A443" s="95" t="s">
        <v>3026</v>
      </c>
      <c r="B443" s="95" t="s">
        <v>101</v>
      </c>
      <c r="C443" s="96" t="s">
        <v>3027</v>
      </c>
      <c r="D443" s="95" t="s">
        <v>168</v>
      </c>
      <c r="E443" s="95" t="s">
        <v>780</v>
      </c>
      <c r="F443" s="95" t="s">
        <v>19</v>
      </c>
      <c r="G443" s="95" t="s">
        <v>19</v>
      </c>
      <c r="H443" s="95" t="s">
        <v>21</v>
      </c>
      <c r="I443" s="95" t="s">
        <v>3028</v>
      </c>
      <c r="J443" s="97">
        <v>45986.5375812963</v>
      </c>
      <c r="K443" s="95" t="s">
        <v>3029</v>
      </c>
      <c r="L443" s="95"/>
      <c r="M443" s="95" t="s">
        <v>28</v>
      </c>
      <c r="N443" s="95" t="s">
        <v>3024</v>
      </c>
      <c r="O443" s="95" t="s">
        <v>3024</v>
      </c>
      <c r="P443" s="95" t="s">
        <v>3025</v>
      </c>
      <c r="Q443" s="98">
        <v>3.0</v>
      </c>
      <c r="R443" s="97">
        <v>45964.21511574074</v>
      </c>
      <c r="S443" s="99">
        <v>1139.0</v>
      </c>
      <c r="T443" s="99">
        <v>574.0</v>
      </c>
      <c r="U443" s="99">
        <v>1.0</v>
      </c>
      <c r="V443" s="99">
        <v>151.0</v>
      </c>
      <c r="W443" s="99">
        <v>1403005.0</v>
      </c>
    </row>
    <row r="444" ht="15.75" customHeight="1">
      <c r="A444" s="95" t="s">
        <v>3030</v>
      </c>
      <c r="B444" s="95" t="s">
        <v>22</v>
      </c>
      <c r="C444" s="96" t="s">
        <v>3031</v>
      </c>
      <c r="D444" s="95" t="s">
        <v>168</v>
      </c>
      <c r="E444" s="95" t="s">
        <v>168</v>
      </c>
      <c r="F444" s="95" t="s">
        <v>19</v>
      </c>
      <c r="G444" s="95" t="s">
        <v>19</v>
      </c>
      <c r="H444" s="95" t="s">
        <v>21</v>
      </c>
      <c r="I444" s="95" t="s">
        <v>1634</v>
      </c>
      <c r="J444" s="97">
        <v>46021.51029237269</v>
      </c>
      <c r="K444" s="95" t="s">
        <v>3032</v>
      </c>
      <c r="L444" s="96" t="s">
        <v>3033</v>
      </c>
      <c r="M444" s="95" t="s">
        <v>28</v>
      </c>
      <c r="N444" s="95" t="s">
        <v>3024</v>
      </c>
      <c r="O444" s="95" t="s">
        <v>3024</v>
      </c>
      <c r="P444" s="95" t="s">
        <v>3025</v>
      </c>
      <c r="Q444" s="98">
        <v>3.0</v>
      </c>
      <c r="R444" s="97">
        <v>45964.30983796297</v>
      </c>
      <c r="S444" s="99">
        <v>1139.0</v>
      </c>
      <c r="T444" s="99">
        <v>578.0</v>
      </c>
      <c r="U444" s="99">
        <v>2.0</v>
      </c>
      <c r="V444" s="99">
        <v>93.0</v>
      </c>
      <c r="W444" s="99">
        <v>1403005.0</v>
      </c>
    </row>
    <row r="445" ht="15.75" customHeight="1">
      <c r="A445" s="95" t="s">
        <v>3034</v>
      </c>
      <c r="B445" s="95" t="s">
        <v>22</v>
      </c>
      <c r="C445" s="96" t="s">
        <v>3035</v>
      </c>
      <c r="D445" s="95" t="s">
        <v>168</v>
      </c>
      <c r="E445" s="95" t="s">
        <v>3036</v>
      </c>
      <c r="F445" s="95" t="s">
        <v>19</v>
      </c>
      <c r="G445" s="95" t="s">
        <v>19</v>
      </c>
      <c r="H445" s="95" t="s">
        <v>21</v>
      </c>
      <c r="I445" s="95" t="s">
        <v>633</v>
      </c>
      <c r="J445" s="97">
        <v>46021.51029237269</v>
      </c>
      <c r="K445" s="95" t="s">
        <v>3037</v>
      </c>
      <c r="L445" s="96" t="s">
        <v>3038</v>
      </c>
      <c r="M445" s="95" t="s">
        <v>28</v>
      </c>
      <c r="N445" s="95" t="s">
        <v>3024</v>
      </c>
      <c r="O445" s="95" t="s">
        <v>3024</v>
      </c>
      <c r="P445" s="95" t="s">
        <v>3025</v>
      </c>
      <c r="Q445" s="98">
        <v>3.0</v>
      </c>
      <c r="R445" s="97">
        <v>45963.89990740741</v>
      </c>
      <c r="S445" s="99">
        <v>1139.0</v>
      </c>
      <c r="T445" s="99">
        <v>502.0</v>
      </c>
      <c r="U445" s="99">
        <v>2.0</v>
      </c>
      <c r="V445" s="99">
        <v>205.0</v>
      </c>
      <c r="W445" s="99">
        <v>1403005.0</v>
      </c>
    </row>
    <row r="446" ht="15.75" customHeight="1">
      <c r="A446" s="95" t="s">
        <v>3039</v>
      </c>
      <c r="B446" s="95" t="s">
        <v>101</v>
      </c>
      <c r="C446" s="96" t="s">
        <v>3040</v>
      </c>
      <c r="D446" s="95" t="s">
        <v>39</v>
      </c>
      <c r="E446" s="95" t="s">
        <v>39</v>
      </c>
      <c r="F446" s="95" t="s">
        <v>19</v>
      </c>
      <c r="G446" s="95" t="s">
        <v>1367</v>
      </c>
      <c r="H446" s="95" t="s">
        <v>21</v>
      </c>
      <c r="I446" s="95" t="s">
        <v>607</v>
      </c>
      <c r="J446" s="97">
        <v>45992.53253118056</v>
      </c>
      <c r="K446" s="95" t="s">
        <v>3041</v>
      </c>
      <c r="L446" s="96" t="s">
        <v>3042</v>
      </c>
      <c r="M446" s="95" t="s">
        <v>503</v>
      </c>
      <c r="N446" s="95" t="s">
        <v>3043</v>
      </c>
      <c r="O446" s="95" t="s">
        <v>3043</v>
      </c>
      <c r="P446" s="95" t="s">
        <v>3044</v>
      </c>
      <c r="Q446" s="98">
        <v>3.0</v>
      </c>
      <c r="R446" s="97">
        <v>45815.12109953703</v>
      </c>
      <c r="S446" s="99">
        <v>5844.0</v>
      </c>
      <c r="T446" s="99">
        <v>613.0</v>
      </c>
      <c r="U446" s="99">
        <v>3.0</v>
      </c>
      <c r="V446" s="99">
        <v>35.0</v>
      </c>
      <c r="W446" s="99">
        <v>130437.0</v>
      </c>
    </row>
    <row r="447" ht="15.75" customHeight="1">
      <c r="A447" s="95" t="s">
        <v>3045</v>
      </c>
      <c r="B447" s="95" t="s">
        <v>22</v>
      </c>
      <c r="C447" s="96" t="s">
        <v>3046</v>
      </c>
      <c r="D447" s="95" t="s">
        <v>29</v>
      </c>
      <c r="E447" s="95" t="s">
        <v>598</v>
      </c>
      <c r="F447" s="95" t="s">
        <v>19</v>
      </c>
      <c r="G447" s="95" t="s">
        <v>19</v>
      </c>
      <c r="H447" s="95" t="s">
        <v>21</v>
      </c>
      <c r="I447" s="95" t="s">
        <v>589</v>
      </c>
      <c r="J447" s="97">
        <v>46021.50915592592</v>
      </c>
      <c r="K447" s="95" t="s">
        <v>3047</v>
      </c>
      <c r="L447" s="96" t="s">
        <v>3048</v>
      </c>
      <c r="M447" s="95" t="s">
        <v>74</v>
      </c>
      <c r="N447" s="95" t="s">
        <v>3049</v>
      </c>
      <c r="O447" s="95" t="s">
        <v>3049</v>
      </c>
      <c r="P447" s="95" t="s">
        <v>3050</v>
      </c>
      <c r="Q447" s="98">
        <v>3.0</v>
      </c>
      <c r="R447" s="97">
        <v>45881.29771990741</v>
      </c>
      <c r="S447" s="99">
        <v>969.0</v>
      </c>
      <c r="T447" s="99">
        <v>52.0</v>
      </c>
      <c r="U447" s="99">
        <v>5.0</v>
      </c>
      <c r="V447" s="99">
        <v>112.0</v>
      </c>
      <c r="W447" s="99">
        <v>8107.0</v>
      </c>
    </row>
    <row r="448" ht="15.75" customHeight="1">
      <c r="A448" s="95" t="s">
        <v>3051</v>
      </c>
      <c r="B448" s="95" t="s">
        <v>22</v>
      </c>
      <c r="C448" s="96" t="s">
        <v>3052</v>
      </c>
      <c r="D448" s="95" t="s">
        <v>39</v>
      </c>
      <c r="E448" s="95" t="s">
        <v>614</v>
      </c>
      <c r="F448" s="95" t="s">
        <v>19</v>
      </c>
      <c r="G448" s="95" t="s">
        <v>574</v>
      </c>
      <c r="H448" s="95" t="s">
        <v>21</v>
      </c>
      <c r="I448" s="95" t="s">
        <v>677</v>
      </c>
      <c r="J448" s="97">
        <v>46021.51865407408</v>
      </c>
      <c r="K448" s="95" t="s">
        <v>3053</v>
      </c>
      <c r="L448" s="96" t="s">
        <v>3054</v>
      </c>
      <c r="M448" s="95" t="s">
        <v>67</v>
      </c>
      <c r="N448" s="95" t="s">
        <v>3055</v>
      </c>
      <c r="O448" s="95" t="s">
        <v>3055</v>
      </c>
      <c r="P448" s="95" t="s">
        <v>3056</v>
      </c>
      <c r="Q448" s="98">
        <v>3.0</v>
      </c>
      <c r="R448" s="97">
        <v>45950.72158564815</v>
      </c>
      <c r="S448" s="99">
        <v>110.0</v>
      </c>
      <c r="T448" s="99">
        <v>4.0</v>
      </c>
      <c r="U448" s="99">
        <v>10.0</v>
      </c>
      <c r="V448" s="99">
        <v>49.0</v>
      </c>
      <c r="W448" s="99">
        <v>40790.0</v>
      </c>
    </row>
    <row r="449" ht="15.75" customHeight="1">
      <c r="A449" s="95" t="s">
        <v>3057</v>
      </c>
      <c r="B449" s="95" t="s">
        <v>22</v>
      </c>
      <c r="C449" s="96" t="s">
        <v>3058</v>
      </c>
      <c r="D449" s="95" t="s">
        <v>124</v>
      </c>
      <c r="E449" s="95" t="s">
        <v>983</v>
      </c>
      <c r="F449" s="95" t="s">
        <v>19</v>
      </c>
      <c r="G449" s="95" t="s">
        <v>19</v>
      </c>
      <c r="H449" s="95" t="s">
        <v>21</v>
      </c>
      <c r="I449" s="95" t="s">
        <v>677</v>
      </c>
      <c r="J449" s="97">
        <v>46069.1361972338</v>
      </c>
      <c r="K449" s="95" t="s">
        <v>3059</v>
      </c>
      <c r="L449" s="96" t="s">
        <v>3060</v>
      </c>
      <c r="M449" s="95" t="s">
        <v>93</v>
      </c>
      <c r="N449" s="95" t="s">
        <v>3061</v>
      </c>
      <c r="O449" s="95" t="s">
        <v>3061</v>
      </c>
      <c r="P449" s="95" t="s">
        <v>3062</v>
      </c>
      <c r="Q449" s="98">
        <v>3.0</v>
      </c>
      <c r="R449" s="97">
        <v>45857.18293981482</v>
      </c>
      <c r="S449" s="99">
        <v>424.0</v>
      </c>
      <c r="T449" s="99">
        <v>7.0</v>
      </c>
      <c r="U449" s="99">
        <v>8.0</v>
      </c>
      <c r="V449" s="99">
        <v>42.0</v>
      </c>
      <c r="W449" s="99">
        <v>71543.0</v>
      </c>
    </row>
    <row r="450" ht="15.75" customHeight="1">
      <c r="A450" s="95" t="s">
        <v>3063</v>
      </c>
      <c r="B450" s="95" t="s">
        <v>22</v>
      </c>
      <c r="C450" s="96" t="s">
        <v>3064</v>
      </c>
      <c r="D450" s="95" t="s">
        <v>20</v>
      </c>
      <c r="E450" s="95" t="s">
        <v>996</v>
      </c>
      <c r="F450" s="95" t="s">
        <v>19</v>
      </c>
      <c r="G450" s="95" t="s">
        <v>19</v>
      </c>
      <c r="H450" s="95" t="s">
        <v>21</v>
      </c>
      <c r="I450" s="95" t="s">
        <v>677</v>
      </c>
      <c r="J450" s="97">
        <v>46008.62902929398</v>
      </c>
      <c r="K450" s="96" t="s">
        <v>3065</v>
      </c>
      <c r="L450" s="96" t="s">
        <v>3066</v>
      </c>
      <c r="M450" s="95" t="s">
        <v>17</v>
      </c>
      <c r="N450" s="95" t="s">
        <v>3067</v>
      </c>
      <c r="O450" s="95" t="s">
        <v>3067</v>
      </c>
      <c r="P450" s="95" t="s">
        <v>3068</v>
      </c>
      <c r="Q450" s="98">
        <v>3.0</v>
      </c>
      <c r="R450" s="97">
        <v>45726.67335648148</v>
      </c>
      <c r="S450" s="99">
        <v>1616.0</v>
      </c>
      <c r="T450" s="99">
        <v>53.0</v>
      </c>
      <c r="U450" s="99">
        <v>5.0</v>
      </c>
      <c r="V450" s="99">
        <v>519.0</v>
      </c>
      <c r="W450" s="99">
        <v>47899.0</v>
      </c>
    </row>
    <row r="451" ht="15.75" customHeight="1">
      <c r="A451" s="95" t="s">
        <v>3069</v>
      </c>
      <c r="B451" s="95" t="s">
        <v>22</v>
      </c>
      <c r="C451" s="96" t="s">
        <v>3070</v>
      </c>
      <c r="D451" s="95" t="s">
        <v>20</v>
      </c>
      <c r="E451" s="95" t="s">
        <v>20</v>
      </c>
      <c r="F451" s="95" t="s">
        <v>19</v>
      </c>
      <c r="G451" s="95" t="s">
        <v>19</v>
      </c>
      <c r="H451" s="95" t="s">
        <v>21</v>
      </c>
      <c r="I451" s="95" t="s">
        <v>567</v>
      </c>
      <c r="J451" s="97">
        <v>46003.09774173611</v>
      </c>
      <c r="K451" s="95" t="s">
        <v>3071</v>
      </c>
      <c r="L451" s="96" t="s">
        <v>3072</v>
      </c>
      <c r="M451" s="95" t="s">
        <v>17</v>
      </c>
      <c r="N451" s="95" t="s">
        <v>3067</v>
      </c>
      <c r="O451" s="95" t="s">
        <v>3067</v>
      </c>
      <c r="P451" s="95" t="s">
        <v>3068</v>
      </c>
      <c r="Q451" s="98">
        <v>3.0</v>
      </c>
      <c r="R451" s="97">
        <v>45741.55083333333</v>
      </c>
      <c r="S451" s="99">
        <v>1616.0</v>
      </c>
      <c r="T451" s="99">
        <v>56.0</v>
      </c>
      <c r="U451" s="99">
        <v>11.0</v>
      </c>
      <c r="V451" s="99">
        <v>21.0</v>
      </c>
      <c r="W451" s="99">
        <v>47899.0</v>
      </c>
    </row>
    <row r="452" ht="15.75" customHeight="1">
      <c r="A452" s="95" t="s">
        <v>3073</v>
      </c>
      <c r="B452" s="95" t="s">
        <v>22</v>
      </c>
      <c r="C452" s="96" t="s">
        <v>3074</v>
      </c>
      <c r="D452" s="95" t="s">
        <v>20</v>
      </c>
      <c r="E452" s="95" t="s">
        <v>2261</v>
      </c>
      <c r="F452" s="95" t="s">
        <v>19</v>
      </c>
      <c r="G452" s="95" t="s">
        <v>19</v>
      </c>
      <c r="H452" s="95" t="s">
        <v>21</v>
      </c>
      <c r="I452" s="95" t="s">
        <v>684</v>
      </c>
      <c r="J452" s="97">
        <v>46003.09774173611</v>
      </c>
      <c r="K452" s="95" t="s">
        <v>3075</v>
      </c>
      <c r="L452" s="96" t="s">
        <v>3076</v>
      </c>
      <c r="M452" s="95" t="s">
        <v>17</v>
      </c>
      <c r="N452" s="95" t="s">
        <v>3067</v>
      </c>
      <c r="O452" s="95" t="s">
        <v>3067</v>
      </c>
      <c r="P452" s="95" t="s">
        <v>3068</v>
      </c>
      <c r="Q452" s="98">
        <v>3.0</v>
      </c>
      <c r="R452" s="97">
        <v>45624.50700231481</v>
      </c>
      <c r="S452" s="99">
        <v>1616.0</v>
      </c>
      <c r="T452" s="99">
        <v>2.0</v>
      </c>
      <c r="U452" s="99">
        <v>1.0</v>
      </c>
      <c r="V452" s="99">
        <v>127.0</v>
      </c>
      <c r="W452" s="99">
        <v>47899.0</v>
      </c>
    </row>
    <row r="453" ht="15.75" customHeight="1">
      <c r="A453" s="95" t="s">
        <v>3077</v>
      </c>
      <c r="B453" s="95" t="s">
        <v>22</v>
      </c>
      <c r="C453" s="96" t="s">
        <v>3078</v>
      </c>
      <c r="D453" s="95" t="s">
        <v>20</v>
      </c>
      <c r="E453" s="95" t="s">
        <v>2261</v>
      </c>
      <c r="F453" s="95" t="s">
        <v>19</v>
      </c>
      <c r="G453" s="95" t="s">
        <v>19</v>
      </c>
      <c r="H453" s="95" t="s">
        <v>21</v>
      </c>
      <c r="I453" s="95" t="s">
        <v>677</v>
      </c>
      <c r="J453" s="97">
        <v>45993.7854622338</v>
      </c>
      <c r="K453" s="96" t="s">
        <v>3079</v>
      </c>
      <c r="L453" s="96" t="s">
        <v>3080</v>
      </c>
      <c r="M453" s="95" t="s">
        <v>17</v>
      </c>
      <c r="N453" s="95" t="s">
        <v>3067</v>
      </c>
      <c r="O453" s="95" t="s">
        <v>3067</v>
      </c>
      <c r="P453" s="95" t="s">
        <v>3068</v>
      </c>
      <c r="Q453" s="98">
        <v>3.0</v>
      </c>
      <c r="R453" s="97">
        <v>45614.68981481482</v>
      </c>
      <c r="S453" s="99">
        <v>1616.0</v>
      </c>
      <c r="T453" s="99">
        <v>151.0</v>
      </c>
      <c r="U453" s="99">
        <v>6.0</v>
      </c>
      <c r="V453" s="99">
        <v>227.0</v>
      </c>
      <c r="W453" s="99">
        <v>47899.0</v>
      </c>
    </row>
    <row r="454" ht="15.75" customHeight="1">
      <c r="A454" s="95" t="s">
        <v>3081</v>
      </c>
      <c r="B454" s="95" t="s">
        <v>22</v>
      </c>
      <c r="C454" s="96" t="s">
        <v>3082</v>
      </c>
      <c r="D454" s="95" t="s">
        <v>20</v>
      </c>
      <c r="E454" s="95" t="s">
        <v>20</v>
      </c>
      <c r="F454" s="95" t="s">
        <v>19</v>
      </c>
      <c r="G454" s="95" t="s">
        <v>19</v>
      </c>
      <c r="H454" s="95" t="s">
        <v>21</v>
      </c>
      <c r="I454" s="95" t="s">
        <v>567</v>
      </c>
      <c r="J454" s="97">
        <v>46008.62902939815</v>
      </c>
      <c r="K454" s="96" t="s">
        <v>3083</v>
      </c>
      <c r="L454" s="96" t="s">
        <v>3084</v>
      </c>
      <c r="M454" s="95" t="s">
        <v>17</v>
      </c>
      <c r="N454" s="95" t="s">
        <v>3067</v>
      </c>
      <c r="O454" s="95" t="s">
        <v>3067</v>
      </c>
      <c r="P454" s="95" t="s">
        <v>3068</v>
      </c>
      <c r="Q454" s="98">
        <v>3.0</v>
      </c>
      <c r="R454" s="97">
        <v>45602.04528935185</v>
      </c>
      <c r="S454" s="99">
        <v>1616.0</v>
      </c>
      <c r="T454" s="99">
        <v>119.0</v>
      </c>
      <c r="U454" s="99">
        <v>3.0</v>
      </c>
      <c r="V454" s="99">
        <v>184.0</v>
      </c>
      <c r="W454" s="99">
        <v>47899.0</v>
      </c>
    </row>
    <row r="455" ht="15.75" customHeight="1">
      <c r="A455" s="95" t="s">
        <v>3085</v>
      </c>
      <c r="B455" s="95" t="s">
        <v>22</v>
      </c>
      <c r="C455" s="96" t="s">
        <v>3086</v>
      </c>
      <c r="D455" s="95" t="s">
        <v>20</v>
      </c>
      <c r="E455" s="95" t="s">
        <v>2261</v>
      </c>
      <c r="F455" s="95" t="s">
        <v>19</v>
      </c>
      <c r="G455" s="95" t="s">
        <v>19</v>
      </c>
      <c r="H455" s="95" t="s">
        <v>21</v>
      </c>
      <c r="I455" s="95" t="s">
        <v>567</v>
      </c>
      <c r="J455" s="97">
        <v>45975.67934009259</v>
      </c>
      <c r="K455" s="96" t="s">
        <v>3087</v>
      </c>
      <c r="L455" s="96" t="s">
        <v>3088</v>
      </c>
      <c r="M455" s="95" t="s">
        <v>17</v>
      </c>
      <c r="N455" s="95" t="s">
        <v>16</v>
      </c>
      <c r="O455" s="95" t="s">
        <v>16</v>
      </c>
      <c r="P455" s="95" t="s">
        <v>3089</v>
      </c>
      <c r="Q455" s="98">
        <v>3.0</v>
      </c>
      <c r="R455" s="97">
        <v>45769.40619212963</v>
      </c>
      <c r="S455" s="99">
        <v>23163.0</v>
      </c>
      <c r="T455" s="99">
        <v>42.0</v>
      </c>
      <c r="U455" s="99">
        <v>18.0</v>
      </c>
      <c r="V455" s="99">
        <v>83.0</v>
      </c>
      <c r="W455" s="99">
        <v>496546.0</v>
      </c>
    </row>
    <row r="456" ht="15.75" customHeight="1">
      <c r="A456" s="95" t="s">
        <v>3090</v>
      </c>
      <c r="B456" s="95" t="s">
        <v>22</v>
      </c>
      <c r="C456" s="96" t="s">
        <v>3091</v>
      </c>
      <c r="D456" s="95" t="s">
        <v>20</v>
      </c>
      <c r="E456" s="95" t="s">
        <v>2261</v>
      </c>
      <c r="F456" s="95" t="s">
        <v>19</v>
      </c>
      <c r="G456" s="95" t="s">
        <v>19</v>
      </c>
      <c r="H456" s="95" t="s">
        <v>21</v>
      </c>
      <c r="I456" s="95" t="s">
        <v>567</v>
      </c>
      <c r="J456" s="97">
        <v>45975.67934009259</v>
      </c>
      <c r="K456" s="96" t="s">
        <v>3092</v>
      </c>
      <c r="L456" s="96" t="s">
        <v>3093</v>
      </c>
      <c r="M456" s="95" t="s">
        <v>17</v>
      </c>
      <c r="N456" s="95" t="s">
        <v>16</v>
      </c>
      <c r="O456" s="95" t="s">
        <v>16</v>
      </c>
      <c r="P456" s="95" t="s">
        <v>3089</v>
      </c>
      <c r="Q456" s="98">
        <v>3.0</v>
      </c>
      <c r="R456" s="97">
        <v>45804.43310185185</v>
      </c>
      <c r="S456" s="99">
        <v>23163.0</v>
      </c>
      <c r="T456" s="99">
        <v>27.0</v>
      </c>
      <c r="U456" s="99">
        <v>3.0</v>
      </c>
      <c r="V456" s="99">
        <v>68.0</v>
      </c>
      <c r="W456" s="99">
        <v>496546.0</v>
      </c>
    </row>
    <row r="457" ht="15.75" customHeight="1">
      <c r="A457" s="95" t="s">
        <v>3094</v>
      </c>
      <c r="B457" s="95" t="s">
        <v>22</v>
      </c>
      <c r="C457" s="96" t="s">
        <v>3095</v>
      </c>
      <c r="D457" s="95" t="s">
        <v>20</v>
      </c>
      <c r="E457" s="95" t="s">
        <v>638</v>
      </c>
      <c r="F457" s="95" t="s">
        <v>19</v>
      </c>
      <c r="G457" s="95" t="s">
        <v>19</v>
      </c>
      <c r="H457" s="95" t="s">
        <v>21</v>
      </c>
      <c r="I457" s="95" t="s">
        <v>567</v>
      </c>
      <c r="J457" s="97">
        <v>45975.67934009259</v>
      </c>
      <c r="K457" s="96" t="s">
        <v>3096</v>
      </c>
      <c r="L457" s="95"/>
      <c r="M457" s="95" t="s">
        <v>17</v>
      </c>
      <c r="N457" s="95" t="s">
        <v>16</v>
      </c>
      <c r="O457" s="95" t="s">
        <v>16</v>
      </c>
      <c r="P457" s="95" t="s">
        <v>3089</v>
      </c>
      <c r="Q457" s="98">
        <v>3.0</v>
      </c>
      <c r="R457" s="97">
        <v>45833.37917824074</v>
      </c>
      <c r="S457" s="99">
        <v>23163.0</v>
      </c>
      <c r="T457" s="99">
        <v>105.0</v>
      </c>
      <c r="U457" s="99">
        <v>6.0</v>
      </c>
      <c r="V457" s="99">
        <v>82.0</v>
      </c>
      <c r="W457" s="99">
        <v>496546.0</v>
      </c>
    </row>
    <row r="458" ht="15.75" customHeight="1">
      <c r="A458" s="95" t="s">
        <v>3097</v>
      </c>
      <c r="B458" s="95" t="s">
        <v>22</v>
      </c>
      <c r="C458" s="96" t="s">
        <v>3098</v>
      </c>
      <c r="D458" s="95" t="s">
        <v>39</v>
      </c>
      <c r="E458" s="95" t="s">
        <v>1208</v>
      </c>
      <c r="F458" s="95" t="s">
        <v>19</v>
      </c>
      <c r="G458" s="95" t="s">
        <v>19</v>
      </c>
      <c r="H458" s="95" t="s">
        <v>21</v>
      </c>
      <c r="I458" s="95" t="s">
        <v>567</v>
      </c>
      <c r="J458" s="97">
        <v>46021.49382673611</v>
      </c>
      <c r="K458" s="95" t="s">
        <v>3099</v>
      </c>
      <c r="L458" s="96" t="s">
        <v>3100</v>
      </c>
      <c r="M458" s="95" t="s">
        <v>28</v>
      </c>
      <c r="N458" s="95" t="s">
        <v>3101</v>
      </c>
      <c r="O458" s="95" t="s">
        <v>3101</v>
      </c>
      <c r="P458" s="95" t="s">
        <v>3102</v>
      </c>
      <c r="Q458" s="98">
        <v>3.0</v>
      </c>
      <c r="R458" s="97">
        <v>45700.95652777778</v>
      </c>
      <c r="S458" s="99">
        <v>146.0</v>
      </c>
      <c r="T458" s="99">
        <v>190.0</v>
      </c>
      <c r="U458" s="99">
        <v>4.0</v>
      </c>
      <c r="V458" s="99">
        <v>319.0</v>
      </c>
      <c r="W458" s="99">
        <v>24866.0</v>
      </c>
    </row>
    <row r="459" ht="15.75" customHeight="1">
      <c r="A459" s="95" t="s">
        <v>3103</v>
      </c>
      <c r="B459" s="95" t="s">
        <v>131</v>
      </c>
      <c r="C459" s="96" t="s">
        <v>3104</v>
      </c>
      <c r="D459" s="95" t="s">
        <v>68</v>
      </c>
      <c r="E459" s="95" t="s">
        <v>68</v>
      </c>
      <c r="F459" s="95" t="s">
        <v>58</v>
      </c>
      <c r="G459" s="95" t="s">
        <v>58</v>
      </c>
      <c r="H459" s="95" t="s">
        <v>538</v>
      </c>
      <c r="I459" s="95" t="s">
        <v>3105</v>
      </c>
      <c r="J459" s="97">
        <v>46021.50534530092</v>
      </c>
      <c r="K459" s="95" t="s">
        <v>3106</v>
      </c>
      <c r="L459" s="96" t="s">
        <v>3107</v>
      </c>
      <c r="M459" s="95" t="s">
        <v>38</v>
      </c>
      <c r="N459" s="95" t="s">
        <v>3108</v>
      </c>
      <c r="O459" s="95" t="s">
        <v>3108</v>
      </c>
      <c r="P459" s="95" t="s">
        <v>3109</v>
      </c>
      <c r="Q459" s="98">
        <v>3.0</v>
      </c>
      <c r="R459" s="97">
        <v>45666.37541666667</v>
      </c>
      <c r="S459" s="99">
        <v>131.0</v>
      </c>
      <c r="T459" s="99">
        <v>5.0</v>
      </c>
      <c r="U459" s="99">
        <v>58.0</v>
      </c>
      <c r="V459" s="99">
        <v>372.0</v>
      </c>
      <c r="W459" s="99">
        <v>34385.0</v>
      </c>
    </row>
    <row r="460" ht="15.75" customHeight="1">
      <c r="A460" s="95" t="s">
        <v>3110</v>
      </c>
      <c r="B460" s="95" t="s">
        <v>131</v>
      </c>
      <c r="C460" s="96" t="s">
        <v>3111</v>
      </c>
      <c r="D460" s="95" t="s">
        <v>49</v>
      </c>
      <c r="E460" s="95" t="s">
        <v>948</v>
      </c>
      <c r="F460" s="95" t="s">
        <v>19</v>
      </c>
      <c r="G460" s="95" t="s">
        <v>574</v>
      </c>
      <c r="H460" s="95" t="s">
        <v>536</v>
      </c>
      <c r="I460" s="95" t="s">
        <v>3112</v>
      </c>
      <c r="J460" s="97">
        <v>46021.50534530092</v>
      </c>
      <c r="K460" s="95" t="s">
        <v>3113</v>
      </c>
      <c r="L460" s="96" t="s">
        <v>3114</v>
      </c>
      <c r="M460" s="95" t="s">
        <v>38</v>
      </c>
      <c r="N460" s="95" t="s">
        <v>3108</v>
      </c>
      <c r="O460" s="95" t="s">
        <v>3108</v>
      </c>
      <c r="P460" s="95" t="s">
        <v>3109</v>
      </c>
      <c r="Q460" s="98">
        <v>3.0</v>
      </c>
      <c r="R460" s="97">
        <v>45677.32759259259</v>
      </c>
      <c r="S460" s="99">
        <v>131.0</v>
      </c>
      <c r="T460" s="99">
        <v>67.0</v>
      </c>
      <c r="U460" s="99">
        <v>1.0</v>
      </c>
      <c r="V460" s="99">
        <v>155.0</v>
      </c>
      <c r="W460" s="99">
        <v>34385.0</v>
      </c>
    </row>
    <row r="461" ht="15.75" customHeight="1">
      <c r="A461" s="95" t="s">
        <v>3115</v>
      </c>
      <c r="B461" s="95" t="s">
        <v>22</v>
      </c>
      <c r="C461" s="96" t="s">
        <v>3116</v>
      </c>
      <c r="D461" s="95" t="s">
        <v>124</v>
      </c>
      <c r="E461" s="95" t="s">
        <v>794</v>
      </c>
      <c r="F461" s="95" t="s">
        <v>19</v>
      </c>
      <c r="G461" s="95" t="s">
        <v>19</v>
      </c>
      <c r="H461" s="95" t="s">
        <v>21</v>
      </c>
      <c r="I461" s="95" t="s">
        <v>567</v>
      </c>
      <c r="J461" s="97">
        <v>46021.49382673611</v>
      </c>
      <c r="K461" s="95" t="s">
        <v>3117</v>
      </c>
      <c r="L461" s="96" t="s">
        <v>3118</v>
      </c>
      <c r="M461" s="95" t="s">
        <v>67</v>
      </c>
      <c r="N461" s="95" t="s">
        <v>3119</v>
      </c>
      <c r="O461" s="95" t="s">
        <v>3119</v>
      </c>
      <c r="P461" s="95" t="s">
        <v>3120</v>
      </c>
      <c r="Q461" s="98">
        <v>3.0</v>
      </c>
      <c r="R461" s="97">
        <v>45848.55869212963</v>
      </c>
      <c r="S461" s="99">
        <v>257.0</v>
      </c>
      <c r="T461" s="99">
        <v>6.0</v>
      </c>
      <c r="U461" s="99">
        <v>1.0</v>
      </c>
      <c r="V461" s="99">
        <v>30.0</v>
      </c>
      <c r="W461" s="99">
        <v>551982.0</v>
      </c>
    </row>
    <row r="462" ht="15.75" customHeight="1">
      <c r="A462" s="95" t="s">
        <v>3121</v>
      </c>
      <c r="B462" s="95" t="s">
        <v>22</v>
      </c>
      <c r="C462" s="96" t="s">
        <v>3122</v>
      </c>
      <c r="D462" s="95" t="s">
        <v>124</v>
      </c>
      <c r="E462" s="95" t="s">
        <v>794</v>
      </c>
      <c r="F462" s="95" t="s">
        <v>19</v>
      </c>
      <c r="G462" s="95" t="s">
        <v>19</v>
      </c>
      <c r="H462" s="95" t="s">
        <v>21</v>
      </c>
      <c r="I462" s="95" t="s">
        <v>567</v>
      </c>
      <c r="J462" s="97">
        <v>46021.49382673611</v>
      </c>
      <c r="K462" s="95" t="s">
        <v>3123</v>
      </c>
      <c r="L462" s="96" t="s">
        <v>3124</v>
      </c>
      <c r="M462" s="95" t="s">
        <v>67</v>
      </c>
      <c r="N462" s="95" t="s">
        <v>3119</v>
      </c>
      <c r="O462" s="95" t="s">
        <v>3119</v>
      </c>
      <c r="P462" s="95" t="s">
        <v>3120</v>
      </c>
      <c r="Q462" s="98">
        <v>3.0</v>
      </c>
      <c r="R462" s="97">
        <v>45868.57002314815</v>
      </c>
      <c r="S462" s="99">
        <v>257.0</v>
      </c>
      <c r="T462" s="99">
        <v>20.0</v>
      </c>
      <c r="U462" s="99">
        <v>6.0</v>
      </c>
      <c r="V462" s="99">
        <v>20.0</v>
      </c>
      <c r="W462" s="99">
        <v>551982.0</v>
      </c>
    </row>
    <row r="463" ht="15.75" customHeight="1">
      <c r="A463" s="95" t="s">
        <v>3125</v>
      </c>
      <c r="B463" s="95" t="s">
        <v>22</v>
      </c>
      <c r="C463" s="96" t="s">
        <v>3126</v>
      </c>
      <c r="D463" s="95" t="s">
        <v>124</v>
      </c>
      <c r="E463" s="95" t="s">
        <v>3127</v>
      </c>
      <c r="F463" s="95" t="s">
        <v>19</v>
      </c>
      <c r="G463" s="95" t="s">
        <v>588</v>
      </c>
      <c r="H463" s="95" t="s">
        <v>21</v>
      </c>
      <c r="I463" s="95" t="s">
        <v>567</v>
      </c>
      <c r="J463" s="97">
        <v>46061.01653907407</v>
      </c>
      <c r="K463" s="95" t="s">
        <v>3128</v>
      </c>
      <c r="L463" s="95"/>
      <c r="M463" s="95" t="s">
        <v>503</v>
      </c>
      <c r="N463" s="95" t="s">
        <v>3129</v>
      </c>
      <c r="O463" s="95" t="s">
        <v>3129</v>
      </c>
      <c r="P463" s="95" t="s">
        <v>3130</v>
      </c>
      <c r="Q463" s="98">
        <v>3.0</v>
      </c>
      <c r="R463" s="97">
        <v>46048.97238425926</v>
      </c>
      <c r="S463" s="99">
        <v>270.0</v>
      </c>
      <c r="T463" s="99">
        <v>187.0</v>
      </c>
      <c r="U463" s="99">
        <v>29.0</v>
      </c>
      <c r="V463" s="99">
        <v>124.0</v>
      </c>
      <c r="W463" s="99">
        <v>2332987.0</v>
      </c>
    </row>
    <row r="464" ht="15.75" customHeight="1">
      <c r="A464" s="95" t="s">
        <v>3131</v>
      </c>
      <c r="B464" s="95" t="s">
        <v>22</v>
      </c>
      <c r="C464" s="96" t="s">
        <v>3132</v>
      </c>
      <c r="D464" s="95" t="s">
        <v>124</v>
      </c>
      <c r="E464" s="95" t="s">
        <v>794</v>
      </c>
      <c r="F464" s="95" t="s">
        <v>19</v>
      </c>
      <c r="G464" s="95" t="s">
        <v>19</v>
      </c>
      <c r="H464" s="95" t="s">
        <v>21</v>
      </c>
      <c r="I464" s="95" t="s">
        <v>567</v>
      </c>
      <c r="J464" s="97">
        <v>46056.93918255787</v>
      </c>
      <c r="K464" s="95" t="s">
        <v>3133</v>
      </c>
      <c r="L464" s="96" t="s">
        <v>3134</v>
      </c>
      <c r="M464" s="95" t="s">
        <v>503</v>
      </c>
      <c r="N464" s="95" t="s">
        <v>3129</v>
      </c>
      <c r="O464" s="95" t="s">
        <v>3129</v>
      </c>
      <c r="P464" s="95" t="s">
        <v>3130</v>
      </c>
      <c r="Q464" s="98">
        <v>3.0</v>
      </c>
      <c r="R464" s="97">
        <v>45706.73726851852</v>
      </c>
      <c r="S464" s="99">
        <v>270.0</v>
      </c>
      <c r="T464" s="99">
        <v>6.0</v>
      </c>
      <c r="U464" s="99">
        <v>8.0</v>
      </c>
      <c r="V464" s="99">
        <v>602.0</v>
      </c>
      <c r="W464" s="99">
        <v>2332987.0</v>
      </c>
    </row>
    <row r="465" ht="15.75" customHeight="1">
      <c r="A465" s="95" t="s">
        <v>3135</v>
      </c>
      <c r="B465" s="95" t="s">
        <v>131</v>
      </c>
      <c r="C465" s="96" t="s">
        <v>3136</v>
      </c>
      <c r="D465" s="95" t="s">
        <v>124</v>
      </c>
      <c r="E465" s="95" t="s">
        <v>794</v>
      </c>
      <c r="F465" s="95" t="s">
        <v>19</v>
      </c>
      <c r="G465" s="95" t="s">
        <v>574</v>
      </c>
      <c r="H465" s="95" t="s">
        <v>136</v>
      </c>
      <c r="I465" s="95" t="s">
        <v>2306</v>
      </c>
      <c r="J465" s="97">
        <v>46061.01660956018</v>
      </c>
      <c r="K465" s="95" t="s">
        <v>3137</v>
      </c>
      <c r="L465" s="96" t="s">
        <v>3138</v>
      </c>
      <c r="M465" s="95" t="s">
        <v>503</v>
      </c>
      <c r="N465" s="95" t="s">
        <v>3129</v>
      </c>
      <c r="O465" s="95" t="s">
        <v>3129</v>
      </c>
      <c r="P465" s="95" t="s">
        <v>3130</v>
      </c>
      <c r="Q465" s="98">
        <v>3.0</v>
      </c>
      <c r="R465" s="97">
        <v>46008.73112268518</v>
      </c>
      <c r="S465" s="99">
        <v>270.0</v>
      </c>
      <c r="T465" s="99">
        <v>11.0</v>
      </c>
      <c r="U465" s="99">
        <v>1.0</v>
      </c>
      <c r="V465" s="99">
        <v>406.0</v>
      </c>
      <c r="W465" s="99">
        <v>2332987.0</v>
      </c>
    </row>
    <row r="466" ht="15.75" customHeight="1">
      <c r="A466" s="95" t="s">
        <v>3139</v>
      </c>
      <c r="B466" s="95" t="s">
        <v>22</v>
      </c>
      <c r="C466" s="96" t="s">
        <v>3140</v>
      </c>
      <c r="D466" s="95" t="s">
        <v>124</v>
      </c>
      <c r="E466" s="95" t="s">
        <v>794</v>
      </c>
      <c r="F466" s="95" t="s">
        <v>19</v>
      </c>
      <c r="G466" s="95" t="s">
        <v>574</v>
      </c>
      <c r="H466" s="95" t="s">
        <v>21</v>
      </c>
      <c r="I466" s="95" t="s">
        <v>567</v>
      </c>
      <c r="J466" s="97">
        <v>46061.01660956018</v>
      </c>
      <c r="K466" s="95" t="s">
        <v>3141</v>
      </c>
      <c r="L466" s="96" t="s">
        <v>3142</v>
      </c>
      <c r="M466" s="95" t="s">
        <v>503</v>
      </c>
      <c r="N466" s="95" t="s">
        <v>3129</v>
      </c>
      <c r="O466" s="95" t="s">
        <v>3129</v>
      </c>
      <c r="P466" s="95" t="s">
        <v>3130</v>
      </c>
      <c r="Q466" s="98">
        <v>3.0</v>
      </c>
      <c r="R466" s="97">
        <v>46008.51337962963</v>
      </c>
      <c r="S466" s="99">
        <v>270.0</v>
      </c>
      <c r="T466" s="99">
        <v>131.0</v>
      </c>
      <c r="U466" s="99">
        <v>26.0</v>
      </c>
      <c r="V466" s="99">
        <v>160.0</v>
      </c>
      <c r="W466" s="99">
        <v>2332987.0</v>
      </c>
    </row>
    <row r="467" ht="15.75" customHeight="1">
      <c r="A467" s="95" t="s">
        <v>3143</v>
      </c>
      <c r="B467" s="95" t="s">
        <v>22</v>
      </c>
      <c r="C467" s="96" t="s">
        <v>3144</v>
      </c>
      <c r="D467" s="95" t="s">
        <v>68</v>
      </c>
      <c r="E467" s="95" t="s">
        <v>1496</v>
      </c>
      <c r="F467" s="95" t="s">
        <v>19</v>
      </c>
      <c r="G467" s="95" t="s">
        <v>19</v>
      </c>
      <c r="H467" s="95" t="s">
        <v>21</v>
      </c>
      <c r="I467" s="95" t="s">
        <v>567</v>
      </c>
      <c r="J467" s="97">
        <v>45986.12347931713</v>
      </c>
      <c r="K467" s="96" t="s">
        <v>3145</v>
      </c>
      <c r="L467" s="95"/>
      <c r="M467" s="95" t="s">
        <v>93</v>
      </c>
      <c r="N467" s="95" t="s">
        <v>3146</v>
      </c>
      <c r="O467" s="95" t="s">
        <v>3146</v>
      </c>
      <c r="P467" s="95" t="s">
        <v>3147</v>
      </c>
      <c r="Q467" s="98">
        <v>3.0</v>
      </c>
      <c r="R467" s="97">
        <v>45973.96600694444</v>
      </c>
      <c r="S467" s="99">
        <v>7437.0</v>
      </c>
      <c r="T467" s="99">
        <v>481.0</v>
      </c>
      <c r="U467" s="99">
        <v>2.0</v>
      </c>
      <c r="V467" s="99">
        <v>64.0</v>
      </c>
      <c r="W467" s="99">
        <v>193267.0</v>
      </c>
    </row>
    <row r="468" ht="15.75" customHeight="1">
      <c r="A468" s="95" t="s">
        <v>3148</v>
      </c>
      <c r="B468" s="95" t="s">
        <v>101</v>
      </c>
      <c r="C468" s="96" t="s">
        <v>3149</v>
      </c>
      <c r="D468" s="95" t="s">
        <v>68</v>
      </c>
      <c r="E468" s="95" t="s">
        <v>3150</v>
      </c>
      <c r="F468" s="95" t="s">
        <v>19</v>
      </c>
      <c r="G468" s="95" t="s">
        <v>19</v>
      </c>
      <c r="H468" s="95" t="s">
        <v>21</v>
      </c>
      <c r="I468" s="95" t="s">
        <v>1504</v>
      </c>
      <c r="J468" s="97">
        <v>46041.42514399305</v>
      </c>
      <c r="K468" s="95" t="s">
        <v>3151</v>
      </c>
      <c r="L468" s="96" t="s">
        <v>3152</v>
      </c>
      <c r="M468" s="95" t="s">
        <v>93</v>
      </c>
      <c r="N468" s="95" t="s">
        <v>3153</v>
      </c>
      <c r="O468" s="95" t="s">
        <v>3153</v>
      </c>
      <c r="P468" s="95" t="s">
        <v>3154</v>
      </c>
      <c r="Q468" s="98">
        <v>3.0</v>
      </c>
      <c r="R468" s="97">
        <v>45714.91458333333</v>
      </c>
      <c r="S468" s="99">
        <v>3603.0</v>
      </c>
      <c r="T468" s="99">
        <v>77.0</v>
      </c>
      <c r="U468" s="99">
        <v>5.0</v>
      </c>
      <c r="V468" s="99">
        <v>242.0</v>
      </c>
      <c r="W468" s="99">
        <v>651557.0</v>
      </c>
    </row>
    <row r="469" ht="15.75" customHeight="1">
      <c r="A469" s="95" t="s">
        <v>3155</v>
      </c>
      <c r="B469" s="95" t="s">
        <v>22</v>
      </c>
      <c r="C469" s="96" t="s">
        <v>3156</v>
      </c>
      <c r="D469" s="95" t="s">
        <v>548</v>
      </c>
      <c r="E469" s="95" t="s">
        <v>3157</v>
      </c>
      <c r="F469" s="95" t="s">
        <v>19</v>
      </c>
      <c r="G469" s="95" t="s">
        <v>19</v>
      </c>
      <c r="H469" s="95" t="s">
        <v>21</v>
      </c>
      <c r="I469" s="95" t="s">
        <v>567</v>
      </c>
      <c r="J469" s="97">
        <v>46021.49382673611</v>
      </c>
      <c r="K469" s="95" t="s">
        <v>3158</v>
      </c>
      <c r="L469" s="96" t="s">
        <v>3159</v>
      </c>
      <c r="M469" s="95" t="s">
        <v>74</v>
      </c>
      <c r="N469" s="95" t="s">
        <v>3160</v>
      </c>
      <c r="O469" s="95" t="s">
        <v>3160</v>
      </c>
      <c r="P469" s="95" t="s">
        <v>3161</v>
      </c>
      <c r="Q469" s="98">
        <v>3.0</v>
      </c>
      <c r="R469" s="97">
        <v>45934.94975694444</v>
      </c>
      <c r="S469" s="99">
        <v>966.0</v>
      </c>
      <c r="T469" s="99">
        <v>2609.0</v>
      </c>
      <c r="U469" s="99">
        <v>35.0</v>
      </c>
      <c r="V469" s="99">
        <v>2184.0</v>
      </c>
      <c r="W469" s="99">
        <v>98547.0</v>
      </c>
    </row>
    <row r="470" ht="15.75" customHeight="1">
      <c r="A470" s="95" t="s">
        <v>3162</v>
      </c>
      <c r="B470" s="95" t="s">
        <v>22</v>
      </c>
      <c r="C470" s="96" t="s">
        <v>3163</v>
      </c>
      <c r="D470" s="95" t="s">
        <v>548</v>
      </c>
      <c r="E470" s="95" t="s">
        <v>3157</v>
      </c>
      <c r="F470" s="95" t="s">
        <v>19</v>
      </c>
      <c r="G470" s="95" t="s">
        <v>19</v>
      </c>
      <c r="H470" s="95" t="s">
        <v>21</v>
      </c>
      <c r="I470" s="95" t="s">
        <v>677</v>
      </c>
      <c r="J470" s="97">
        <v>46021.50546121527</v>
      </c>
      <c r="K470" s="95" t="s">
        <v>3164</v>
      </c>
      <c r="L470" s="96" t="s">
        <v>3165</v>
      </c>
      <c r="M470" s="95" t="s">
        <v>74</v>
      </c>
      <c r="N470" s="95" t="s">
        <v>3160</v>
      </c>
      <c r="O470" s="95" t="s">
        <v>3160</v>
      </c>
      <c r="P470" s="95" t="s">
        <v>3161</v>
      </c>
      <c r="Q470" s="98">
        <v>3.0</v>
      </c>
      <c r="R470" s="97">
        <v>45898.18009259259</v>
      </c>
      <c r="S470" s="99">
        <v>966.0</v>
      </c>
      <c r="T470" s="99">
        <v>129.0</v>
      </c>
      <c r="U470" s="99">
        <v>35.0</v>
      </c>
      <c r="V470" s="99">
        <v>314.0</v>
      </c>
      <c r="W470" s="99">
        <v>98547.0</v>
      </c>
    </row>
    <row r="471" ht="15.75" customHeight="1">
      <c r="A471" s="95" t="s">
        <v>3166</v>
      </c>
      <c r="B471" s="95" t="s">
        <v>22</v>
      </c>
      <c r="C471" s="96" t="s">
        <v>3167</v>
      </c>
      <c r="D471" s="95" t="s">
        <v>548</v>
      </c>
      <c r="E471" s="95" t="s">
        <v>3168</v>
      </c>
      <c r="F471" s="95" t="s">
        <v>19</v>
      </c>
      <c r="G471" s="95" t="s">
        <v>19</v>
      </c>
      <c r="H471" s="95" t="s">
        <v>21</v>
      </c>
      <c r="I471" s="95" t="s">
        <v>567</v>
      </c>
      <c r="J471" s="97">
        <v>46021.50375386574</v>
      </c>
      <c r="K471" s="95" t="s">
        <v>3169</v>
      </c>
      <c r="L471" s="96" t="s">
        <v>3170</v>
      </c>
      <c r="M471" s="95" t="s">
        <v>74</v>
      </c>
      <c r="N471" s="95" t="s">
        <v>3160</v>
      </c>
      <c r="O471" s="95" t="s">
        <v>3160</v>
      </c>
      <c r="P471" s="95" t="s">
        <v>3161</v>
      </c>
      <c r="Q471" s="98">
        <v>3.0</v>
      </c>
      <c r="R471" s="97">
        <v>45893.02144675926</v>
      </c>
      <c r="S471" s="99">
        <v>966.0</v>
      </c>
      <c r="T471" s="99">
        <v>2575.0</v>
      </c>
      <c r="U471" s="99">
        <v>32.0</v>
      </c>
      <c r="V471" s="99">
        <v>713.0</v>
      </c>
      <c r="W471" s="99">
        <v>98547.0</v>
      </c>
    </row>
    <row r="472" ht="15.75" customHeight="1">
      <c r="A472" s="95" t="s">
        <v>3171</v>
      </c>
      <c r="B472" s="95" t="s">
        <v>157</v>
      </c>
      <c r="C472" s="96" t="s">
        <v>3172</v>
      </c>
      <c r="D472" s="95" t="s">
        <v>39</v>
      </c>
      <c r="E472" s="95" t="s">
        <v>39</v>
      </c>
      <c r="F472" s="95" t="s">
        <v>88</v>
      </c>
      <c r="G472" s="95" t="s">
        <v>2750</v>
      </c>
      <c r="H472" s="95" t="s">
        <v>89</v>
      </c>
      <c r="I472" s="95" t="s">
        <v>897</v>
      </c>
      <c r="J472" s="97">
        <v>46042.7362822338</v>
      </c>
      <c r="K472" s="95" t="s">
        <v>3173</v>
      </c>
      <c r="L472" s="96" t="s">
        <v>3174</v>
      </c>
      <c r="M472" s="95" t="s">
        <v>74</v>
      </c>
      <c r="N472" s="95" t="s">
        <v>3175</v>
      </c>
      <c r="O472" s="95" t="s">
        <v>3175</v>
      </c>
      <c r="P472" s="95" t="s">
        <v>3176</v>
      </c>
      <c r="Q472" s="98">
        <v>3.0</v>
      </c>
      <c r="R472" s="97">
        <v>45598.83434027778</v>
      </c>
      <c r="S472" s="99">
        <v>114.0</v>
      </c>
      <c r="T472" s="99">
        <v>9.0</v>
      </c>
      <c r="U472" s="99">
        <v>1.0</v>
      </c>
      <c r="V472" s="99">
        <v>115.0</v>
      </c>
      <c r="W472" s="99">
        <v>13354.0</v>
      </c>
    </row>
    <row r="473" ht="15.75" customHeight="1">
      <c r="A473" s="95" t="s">
        <v>3177</v>
      </c>
      <c r="B473" s="95" t="s">
        <v>22</v>
      </c>
      <c r="C473" s="96" t="s">
        <v>3178</v>
      </c>
      <c r="D473" s="95" t="s">
        <v>29</v>
      </c>
      <c r="E473" s="95" t="s">
        <v>29</v>
      </c>
      <c r="F473" s="95" t="s">
        <v>19</v>
      </c>
      <c r="G473" s="95" t="s">
        <v>588</v>
      </c>
      <c r="H473" s="95" t="s">
        <v>21</v>
      </c>
      <c r="I473" s="95" t="s">
        <v>589</v>
      </c>
      <c r="J473" s="97">
        <v>46021.50375386574</v>
      </c>
      <c r="K473" s="95" t="s">
        <v>3179</v>
      </c>
      <c r="L473" s="96" t="s">
        <v>3180</v>
      </c>
      <c r="M473" s="95" t="s">
        <v>74</v>
      </c>
      <c r="N473" s="95" t="s">
        <v>3181</v>
      </c>
      <c r="O473" s="95" t="s">
        <v>3181</v>
      </c>
      <c r="P473" s="95" t="s">
        <v>3182</v>
      </c>
      <c r="Q473" s="98">
        <v>3.0</v>
      </c>
      <c r="R473" s="97">
        <v>45823.87836805556</v>
      </c>
      <c r="S473" s="99">
        <v>936.0</v>
      </c>
      <c r="T473" s="99">
        <v>22.0</v>
      </c>
      <c r="U473" s="99">
        <v>4.0</v>
      </c>
      <c r="V473" s="99">
        <v>50.0</v>
      </c>
      <c r="W473" s="99">
        <v>2142.0</v>
      </c>
    </row>
    <row r="474" ht="15.75" customHeight="1">
      <c r="A474" s="95" t="s">
        <v>3183</v>
      </c>
      <c r="B474" s="95" t="s">
        <v>22</v>
      </c>
      <c r="C474" s="96" t="s">
        <v>3184</v>
      </c>
      <c r="D474" s="95" t="s">
        <v>39</v>
      </c>
      <c r="E474" s="95" t="s">
        <v>39</v>
      </c>
      <c r="F474" s="95" t="s">
        <v>19</v>
      </c>
      <c r="G474" s="95" t="s">
        <v>19</v>
      </c>
      <c r="H474" s="95" t="s">
        <v>21</v>
      </c>
      <c r="I474" s="95" t="s">
        <v>589</v>
      </c>
      <c r="J474" s="97">
        <v>46021.49382673611</v>
      </c>
      <c r="K474" s="95" t="s">
        <v>3185</v>
      </c>
      <c r="L474" s="96" t="s">
        <v>3186</v>
      </c>
      <c r="M474" s="95" t="s">
        <v>28</v>
      </c>
      <c r="N474" s="95" t="s">
        <v>3187</v>
      </c>
      <c r="O474" s="95" t="s">
        <v>3187</v>
      </c>
      <c r="P474" s="95" t="s">
        <v>3188</v>
      </c>
      <c r="Q474" s="98">
        <v>3.0</v>
      </c>
      <c r="R474" s="97">
        <v>45665.52872685185</v>
      </c>
      <c r="S474" s="99">
        <v>304.0</v>
      </c>
      <c r="T474" s="99">
        <v>63.0</v>
      </c>
      <c r="U474" s="99">
        <v>6.0</v>
      </c>
      <c r="V474" s="99">
        <v>35.0</v>
      </c>
      <c r="W474" s="99">
        <v>3458.0</v>
      </c>
    </row>
    <row r="475" ht="15.75" customHeight="1">
      <c r="A475" s="95" t="s">
        <v>3189</v>
      </c>
      <c r="B475" s="95" t="s">
        <v>131</v>
      </c>
      <c r="C475" s="96" t="s">
        <v>3190</v>
      </c>
      <c r="D475" s="95" t="s">
        <v>39</v>
      </c>
      <c r="E475" s="95" t="s">
        <v>39</v>
      </c>
      <c r="F475" s="95" t="s">
        <v>19</v>
      </c>
      <c r="G475" s="95" t="s">
        <v>574</v>
      </c>
      <c r="H475" s="95" t="s">
        <v>21</v>
      </c>
      <c r="I475" s="95" t="s">
        <v>647</v>
      </c>
      <c r="J475" s="97">
        <v>46021.51029237269</v>
      </c>
      <c r="K475" s="95" t="s">
        <v>3191</v>
      </c>
      <c r="L475" s="96" t="s">
        <v>3192</v>
      </c>
      <c r="M475" s="95" t="s">
        <v>28</v>
      </c>
      <c r="N475" s="95" t="s">
        <v>3193</v>
      </c>
      <c r="O475" s="95" t="s">
        <v>3193</v>
      </c>
      <c r="P475" s="95" t="s">
        <v>3194</v>
      </c>
      <c r="Q475" s="98">
        <v>3.0</v>
      </c>
      <c r="R475" s="97">
        <v>45608.75297453703</v>
      </c>
      <c r="S475" s="99">
        <v>58.0</v>
      </c>
      <c r="T475" s="99">
        <v>4.0</v>
      </c>
      <c r="U475" s="99">
        <v>6.0</v>
      </c>
      <c r="V475" s="99">
        <v>242.0</v>
      </c>
      <c r="W475" s="99">
        <v>4057.0</v>
      </c>
    </row>
    <row r="476" ht="15.75" customHeight="1">
      <c r="A476" s="95" t="s">
        <v>3195</v>
      </c>
      <c r="B476" s="95" t="s">
        <v>69</v>
      </c>
      <c r="C476" s="96" t="s">
        <v>3196</v>
      </c>
      <c r="D476" s="95" t="s">
        <v>59</v>
      </c>
      <c r="E476" s="95" t="s">
        <v>59</v>
      </c>
      <c r="F476" s="95" t="s">
        <v>88</v>
      </c>
      <c r="G476" s="95" t="s">
        <v>639</v>
      </c>
      <c r="H476" s="95" t="s">
        <v>89</v>
      </c>
      <c r="I476" s="95" t="s">
        <v>1477</v>
      </c>
      <c r="J476" s="97">
        <v>46008.62902927084</v>
      </c>
      <c r="K476" s="96" t="s">
        <v>3197</v>
      </c>
      <c r="L476" s="96" t="s">
        <v>3198</v>
      </c>
      <c r="M476" s="95" t="s">
        <v>17</v>
      </c>
      <c r="N476" s="95" t="s">
        <v>3199</v>
      </c>
      <c r="O476" s="95" t="s">
        <v>3199</v>
      </c>
      <c r="P476" s="95" t="s">
        <v>3200</v>
      </c>
      <c r="Q476" s="98">
        <v>3.0</v>
      </c>
      <c r="R476" s="97">
        <v>45673.33920138889</v>
      </c>
      <c r="S476" s="99">
        <v>300.0</v>
      </c>
      <c r="T476" s="99">
        <v>51.0</v>
      </c>
      <c r="U476" s="99">
        <v>9.0</v>
      </c>
      <c r="V476" s="99">
        <v>109.0</v>
      </c>
      <c r="W476" s="99">
        <v>7391.0</v>
      </c>
    </row>
    <row r="477" ht="15.75" customHeight="1">
      <c r="A477" s="95" t="s">
        <v>3201</v>
      </c>
      <c r="B477" s="95" t="s">
        <v>157</v>
      </c>
      <c r="C477" s="96" t="s">
        <v>3202</v>
      </c>
      <c r="D477" s="95" t="s">
        <v>39</v>
      </c>
      <c r="E477" s="95" t="s">
        <v>3203</v>
      </c>
      <c r="F477" s="95" t="s">
        <v>88</v>
      </c>
      <c r="G477" s="95" t="s">
        <v>88</v>
      </c>
      <c r="H477" s="95" t="s">
        <v>89</v>
      </c>
      <c r="I477" s="95" t="s">
        <v>859</v>
      </c>
      <c r="J477" s="97">
        <v>46075.71565079861</v>
      </c>
      <c r="K477" s="95" t="s">
        <v>3204</v>
      </c>
      <c r="L477" s="96" t="s">
        <v>3205</v>
      </c>
      <c r="M477" s="95" t="s">
        <v>93</v>
      </c>
      <c r="N477" s="95" t="s">
        <v>3206</v>
      </c>
      <c r="O477" s="95" t="s">
        <v>3206</v>
      </c>
      <c r="P477" s="95" t="s">
        <v>3207</v>
      </c>
      <c r="Q477" s="98">
        <v>3.0</v>
      </c>
      <c r="R477" s="97">
        <v>46059.71060185185</v>
      </c>
      <c r="S477" s="99">
        <v>618.0</v>
      </c>
      <c r="T477" s="99">
        <v>187.0</v>
      </c>
      <c r="U477" s="99">
        <v>18.0</v>
      </c>
      <c r="V477" s="99">
        <v>134.0</v>
      </c>
      <c r="W477" s="99">
        <v>101692.0</v>
      </c>
    </row>
    <row r="478" ht="15.75" customHeight="1">
      <c r="A478" s="95" t="s">
        <v>3208</v>
      </c>
      <c r="B478" s="95" t="s">
        <v>22</v>
      </c>
      <c r="C478" s="96" t="s">
        <v>3209</v>
      </c>
      <c r="D478" s="95" t="s">
        <v>547</v>
      </c>
      <c r="E478" s="95" t="s">
        <v>710</v>
      </c>
      <c r="F478" s="95" t="s">
        <v>19</v>
      </c>
      <c r="G478" s="95" t="s">
        <v>19</v>
      </c>
      <c r="H478" s="95" t="s">
        <v>21</v>
      </c>
      <c r="I478" s="95" t="s">
        <v>567</v>
      </c>
      <c r="J478" s="97">
        <v>45975.67934009259</v>
      </c>
      <c r="K478" s="96" t="s">
        <v>3210</v>
      </c>
      <c r="L478" s="96" t="s">
        <v>3211</v>
      </c>
      <c r="M478" s="95" t="s">
        <v>17</v>
      </c>
      <c r="N478" s="95" t="s">
        <v>3212</v>
      </c>
      <c r="O478" s="95" t="s">
        <v>3212</v>
      </c>
      <c r="P478" s="95" t="s">
        <v>3213</v>
      </c>
      <c r="Q478" s="98">
        <v>3.0</v>
      </c>
      <c r="R478" s="97">
        <v>45620.67738425926</v>
      </c>
      <c r="S478" s="99">
        <v>2588.0</v>
      </c>
      <c r="T478" s="99">
        <v>44.0</v>
      </c>
      <c r="U478" s="99">
        <v>4.0</v>
      </c>
      <c r="V478" s="99">
        <v>191.0</v>
      </c>
      <c r="W478" s="99">
        <v>218340.0</v>
      </c>
    </row>
    <row r="479" ht="15.75" customHeight="1">
      <c r="A479" s="95" t="s">
        <v>3214</v>
      </c>
      <c r="B479" s="95" t="s">
        <v>22</v>
      </c>
      <c r="C479" s="96" t="s">
        <v>3215</v>
      </c>
      <c r="D479" s="95" t="s">
        <v>59</v>
      </c>
      <c r="E479" s="95" t="s">
        <v>59</v>
      </c>
      <c r="F479" s="95" t="s">
        <v>19</v>
      </c>
      <c r="G479" s="95" t="s">
        <v>19</v>
      </c>
      <c r="H479" s="95" t="s">
        <v>21</v>
      </c>
      <c r="I479" s="95" t="s">
        <v>677</v>
      </c>
      <c r="J479" s="97">
        <v>45980.93957684028</v>
      </c>
      <c r="K479" s="95" t="s">
        <v>3216</v>
      </c>
      <c r="L479" s="96" t="s">
        <v>3217</v>
      </c>
      <c r="M479" s="95" t="s">
        <v>54</v>
      </c>
      <c r="N479" s="95" t="s">
        <v>3218</v>
      </c>
      <c r="O479" s="95" t="s">
        <v>3218</v>
      </c>
      <c r="P479" s="95" t="s">
        <v>3219</v>
      </c>
      <c r="Q479" s="98">
        <v>3.0</v>
      </c>
      <c r="R479" s="97">
        <v>45601.82581018518</v>
      </c>
      <c r="S479" s="99">
        <v>10626.0</v>
      </c>
      <c r="T479" s="99">
        <v>2131.0</v>
      </c>
      <c r="U479" s="99">
        <v>10.0</v>
      </c>
      <c r="V479" s="99">
        <v>409.0</v>
      </c>
      <c r="W479" s="99">
        <v>49091.0</v>
      </c>
    </row>
    <row r="480" ht="15.75" customHeight="1">
      <c r="A480" s="95" t="s">
        <v>3220</v>
      </c>
      <c r="B480" s="95" t="s">
        <v>69</v>
      </c>
      <c r="C480" s="96" t="s">
        <v>3221</v>
      </c>
      <c r="D480" s="95" t="s">
        <v>547</v>
      </c>
      <c r="E480" s="95" t="s">
        <v>3222</v>
      </c>
      <c r="F480" s="95" t="s">
        <v>88</v>
      </c>
      <c r="G480" s="95" t="s">
        <v>88</v>
      </c>
      <c r="H480" s="95" t="s">
        <v>89</v>
      </c>
      <c r="I480" s="95" t="s">
        <v>3223</v>
      </c>
      <c r="J480" s="97">
        <v>45975.67938763889</v>
      </c>
      <c r="K480" s="96" t="s">
        <v>3224</v>
      </c>
      <c r="L480" s="96" t="s">
        <v>3225</v>
      </c>
      <c r="M480" s="95" t="s">
        <v>74</v>
      </c>
      <c r="N480" s="95" t="s">
        <v>3226</v>
      </c>
      <c r="O480" s="95" t="s">
        <v>3226</v>
      </c>
      <c r="P480" s="95" t="s">
        <v>3227</v>
      </c>
      <c r="Q480" s="98">
        <v>3.0</v>
      </c>
      <c r="R480" s="97">
        <v>45836.32337962963</v>
      </c>
      <c r="S480" s="99">
        <v>101.0</v>
      </c>
      <c r="T480" s="99">
        <v>4.0</v>
      </c>
      <c r="U480" s="99">
        <v>2.0</v>
      </c>
      <c r="V480" s="99">
        <v>82.0</v>
      </c>
      <c r="W480" s="99">
        <v>8741.0</v>
      </c>
    </row>
    <row r="481" ht="15.75" customHeight="1">
      <c r="A481" s="95" t="s">
        <v>3228</v>
      </c>
      <c r="B481" s="95" t="s">
        <v>22</v>
      </c>
      <c r="C481" s="96" t="s">
        <v>3229</v>
      </c>
      <c r="D481" s="95" t="s">
        <v>547</v>
      </c>
      <c r="E481" s="95" t="s">
        <v>3230</v>
      </c>
      <c r="F481" s="95" t="s">
        <v>19</v>
      </c>
      <c r="G481" s="95" t="s">
        <v>19</v>
      </c>
      <c r="H481" s="95" t="s">
        <v>21</v>
      </c>
      <c r="I481" s="95" t="s">
        <v>567</v>
      </c>
      <c r="J481" s="97">
        <v>45996.58747664352</v>
      </c>
      <c r="K481" s="96" t="s">
        <v>3231</v>
      </c>
      <c r="L481" s="96" t="s">
        <v>3232</v>
      </c>
      <c r="M481" s="95" t="s">
        <v>54</v>
      </c>
      <c r="N481" s="95" t="s">
        <v>3233</v>
      </c>
      <c r="O481" s="95" t="s">
        <v>3233</v>
      </c>
      <c r="P481" s="95" t="s">
        <v>3234</v>
      </c>
      <c r="Q481" s="98">
        <v>3.0</v>
      </c>
      <c r="R481" s="97">
        <v>45907.93206018519</v>
      </c>
      <c r="S481" s="99">
        <v>154.0</v>
      </c>
      <c r="T481" s="99">
        <v>74.0</v>
      </c>
      <c r="U481" s="99">
        <v>4.0</v>
      </c>
      <c r="V481" s="99">
        <v>46.0</v>
      </c>
      <c r="W481" s="99">
        <v>19062.0</v>
      </c>
    </row>
    <row r="482" ht="15.75" customHeight="1">
      <c r="A482" s="95" t="s">
        <v>3235</v>
      </c>
      <c r="B482" s="95" t="s">
        <v>22</v>
      </c>
      <c r="C482" s="96" t="s">
        <v>3236</v>
      </c>
      <c r="D482" s="95" t="s">
        <v>29</v>
      </c>
      <c r="E482" s="95" t="s">
        <v>29</v>
      </c>
      <c r="F482" s="95" t="s">
        <v>19</v>
      </c>
      <c r="G482" s="95" t="s">
        <v>19</v>
      </c>
      <c r="H482" s="95" t="s">
        <v>21</v>
      </c>
      <c r="I482" s="95" t="s">
        <v>589</v>
      </c>
      <c r="J482" s="97">
        <v>45978.46257831019</v>
      </c>
      <c r="K482" s="95" t="s">
        <v>3237</v>
      </c>
      <c r="L482" s="96" t="s">
        <v>3238</v>
      </c>
      <c r="M482" s="95" t="s">
        <v>17</v>
      </c>
      <c r="N482" s="95" t="s">
        <v>3239</v>
      </c>
      <c r="O482" s="95" t="s">
        <v>3239</v>
      </c>
      <c r="P482" s="95" t="s">
        <v>3240</v>
      </c>
      <c r="Q482" s="98">
        <v>3.0</v>
      </c>
      <c r="R482" s="97">
        <v>45708.42140046296</v>
      </c>
      <c r="S482" s="99">
        <v>1471.0</v>
      </c>
      <c r="T482" s="99">
        <v>31.0</v>
      </c>
      <c r="U482" s="99">
        <v>12.0</v>
      </c>
      <c r="V482" s="99">
        <v>118.0</v>
      </c>
      <c r="W482" s="99">
        <v>80052.0</v>
      </c>
    </row>
    <row r="483" ht="15.75" customHeight="1">
      <c r="A483" s="95" t="s">
        <v>3241</v>
      </c>
      <c r="B483" s="95" t="s">
        <v>22</v>
      </c>
      <c r="C483" s="96" t="s">
        <v>3242</v>
      </c>
      <c r="D483" s="95" t="s">
        <v>29</v>
      </c>
      <c r="E483" s="95" t="s">
        <v>29</v>
      </c>
      <c r="F483" s="95" t="s">
        <v>19</v>
      </c>
      <c r="G483" s="95" t="s">
        <v>839</v>
      </c>
      <c r="H483" s="95" t="s">
        <v>21</v>
      </c>
      <c r="I483" s="95" t="s">
        <v>567</v>
      </c>
      <c r="J483" s="97">
        <v>45975.67934009259</v>
      </c>
      <c r="K483" s="96" t="s">
        <v>3243</v>
      </c>
      <c r="L483" s="96" t="s">
        <v>3244</v>
      </c>
      <c r="M483" s="95" t="s">
        <v>17</v>
      </c>
      <c r="N483" s="95" t="s">
        <v>3239</v>
      </c>
      <c r="O483" s="95" t="s">
        <v>3239</v>
      </c>
      <c r="P483" s="95" t="s">
        <v>3240</v>
      </c>
      <c r="Q483" s="98">
        <v>3.0</v>
      </c>
      <c r="R483" s="97">
        <v>45812.72920138889</v>
      </c>
      <c r="S483" s="99">
        <v>1471.0</v>
      </c>
      <c r="T483" s="99">
        <v>162.0</v>
      </c>
      <c r="U483" s="99">
        <v>33.0</v>
      </c>
      <c r="V483" s="99">
        <v>550.0</v>
      </c>
      <c r="W483" s="99">
        <v>80052.0</v>
      </c>
    </row>
    <row r="484" ht="15.75" customHeight="1">
      <c r="A484" s="95" t="s">
        <v>3245</v>
      </c>
      <c r="B484" s="95" t="s">
        <v>22</v>
      </c>
      <c r="C484" s="96" t="s">
        <v>3246</v>
      </c>
      <c r="D484" s="95" t="s">
        <v>29</v>
      </c>
      <c r="E484" s="95" t="s">
        <v>29</v>
      </c>
      <c r="F484" s="95" t="s">
        <v>19</v>
      </c>
      <c r="G484" s="95" t="s">
        <v>1427</v>
      </c>
      <c r="H484" s="95" t="s">
        <v>21</v>
      </c>
      <c r="I484" s="95" t="s">
        <v>677</v>
      </c>
      <c r="J484" s="97">
        <v>45978.46257831019</v>
      </c>
      <c r="K484" s="95" t="s">
        <v>3247</v>
      </c>
      <c r="L484" s="96" t="s">
        <v>3248</v>
      </c>
      <c r="M484" s="95" t="s">
        <v>17</v>
      </c>
      <c r="N484" s="95" t="s">
        <v>3239</v>
      </c>
      <c r="O484" s="95" t="s">
        <v>3239</v>
      </c>
      <c r="P484" s="95" t="s">
        <v>3240</v>
      </c>
      <c r="Q484" s="98">
        <v>3.0</v>
      </c>
      <c r="R484" s="97">
        <v>45691.85030092593</v>
      </c>
      <c r="S484" s="99">
        <v>1471.0</v>
      </c>
      <c r="T484" s="99">
        <v>1.0</v>
      </c>
      <c r="U484" s="99">
        <v>1.0</v>
      </c>
      <c r="V484" s="99">
        <v>106.0</v>
      </c>
      <c r="W484" s="99">
        <v>80052.0</v>
      </c>
    </row>
    <row r="485" ht="15.75" customHeight="1">
      <c r="A485" s="95" t="s">
        <v>3249</v>
      </c>
      <c r="B485" s="95" t="s">
        <v>22</v>
      </c>
      <c r="C485" s="96" t="s">
        <v>3250</v>
      </c>
      <c r="D485" s="95" t="s">
        <v>168</v>
      </c>
      <c r="E485" s="95" t="s">
        <v>606</v>
      </c>
      <c r="F485" s="95" t="s">
        <v>19</v>
      </c>
      <c r="G485" s="95" t="s">
        <v>19</v>
      </c>
      <c r="H485" s="95" t="s">
        <v>21</v>
      </c>
      <c r="I485" s="95" t="s">
        <v>567</v>
      </c>
      <c r="J485" s="97">
        <v>46021.49382673611</v>
      </c>
      <c r="K485" s="95" t="s">
        <v>3251</v>
      </c>
      <c r="L485" s="96" t="s">
        <v>3252</v>
      </c>
      <c r="M485" s="95" t="s">
        <v>105</v>
      </c>
      <c r="N485" s="95" t="s">
        <v>3253</v>
      </c>
      <c r="O485" s="95" t="s">
        <v>3253</v>
      </c>
      <c r="P485" s="95" t="s">
        <v>3254</v>
      </c>
      <c r="Q485" s="98">
        <v>3.0</v>
      </c>
      <c r="R485" s="97">
        <v>45840.39439814815</v>
      </c>
      <c r="S485" s="99">
        <v>248.0</v>
      </c>
      <c r="T485" s="99">
        <v>2535.0</v>
      </c>
      <c r="U485" s="99">
        <v>35.0</v>
      </c>
      <c r="V485" s="99">
        <v>473.0</v>
      </c>
      <c r="W485" s="99">
        <v>82324.0</v>
      </c>
    </row>
    <row r="486" ht="15.75" customHeight="1">
      <c r="A486" s="95" t="s">
        <v>3255</v>
      </c>
      <c r="B486" s="95" t="s">
        <v>22</v>
      </c>
      <c r="C486" s="96" t="s">
        <v>3256</v>
      </c>
      <c r="D486" s="95" t="s">
        <v>168</v>
      </c>
      <c r="E486" s="95" t="s">
        <v>606</v>
      </c>
      <c r="F486" s="95" t="s">
        <v>19</v>
      </c>
      <c r="G486" s="95" t="s">
        <v>19</v>
      </c>
      <c r="H486" s="95" t="s">
        <v>21</v>
      </c>
      <c r="I486" s="95" t="s">
        <v>567</v>
      </c>
      <c r="J486" s="97">
        <v>45978.45764863426</v>
      </c>
      <c r="K486" s="95" t="s">
        <v>3257</v>
      </c>
      <c r="L486" s="96" t="s">
        <v>3258</v>
      </c>
      <c r="M486" s="95" t="s">
        <v>105</v>
      </c>
      <c r="N486" s="95" t="s">
        <v>3259</v>
      </c>
      <c r="O486" s="95" t="s">
        <v>3259</v>
      </c>
      <c r="P486" s="95" t="s">
        <v>3260</v>
      </c>
      <c r="Q486" s="98">
        <v>3.0</v>
      </c>
      <c r="R486" s="97">
        <v>45722.56870370371</v>
      </c>
      <c r="S486" s="99">
        <v>275.0</v>
      </c>
      <c r="T486" s="99">
        <v>1.0</v>
      </c>
      <c r="U486" s="99">
        <v>2.0</v>
      </c>
      <c r="V486" s="99">
        <v>94.0</v>
      </c>
      <c r="W486" s="99">
        <v>1158022.0</v>
      </c>
    </row>
    <row r="487" ht="15.75" customHeight="1">
      <c r="A487" s="95" t="s">
        <v>3261</v>
      </c>
      <c r="B487" s="95" t="s">
        <v>157</v>
      </c>
      <c r="C487" s="96" t="s">
        <v>3262</v>
      </c>
      <c r="D487" s="95" t="s">
        <v>168</v>
      </c>
      <c r="E487" s="95" t="s">
        <v>606</v>
      </c>
      <c r="F487" s="95" t="s">
        <v>19</v>
      </c>
      <c r="G487" s="95" t="s">
        <v>19</v>
      </c>
      <c r="H487" s="95" t="s">
        <v>89</v>
      </c>
      <c r="I487" s="95" t="s">
        <v>859</v>
      </c>
      <c r="J487" s="97">
        <v>46003.09086516203</v>
      </c>
      <c r="K487" s="95" t="s">
        <v>3263</v>
      </c>
      <c r="L487" s="96" t="s">
        <v>3264</v>
      </c>
      <c r="M487" s="95" t="s">
        <v>105</v>
      </c>
      <c r="N487" s="95" t="s">
        <v>3259</v>
      </c>
      <c r="O487" s="95" t="s">
        <v>3259</v>
      </c>
      <c r="P487" s="95" t="s">
        <v>3260</v>
      </c>
      <c r="Q487" s="98">
        <v>3.0</v>
      </c>
      <c r="R487" s="97">
        <v>45911.45688657407</v>
      </c>
      <c r="S487" s="99">
        <v>275.0</v>
      </c>
      <c r="T487" s="99">
        <v>860.0</v>
      </c>
      <c r="U487" s="99">
        <v>2.0</v>
      </c>
      <c r="V487" s="99">
        <v>68.0</v>
      </c>
      <c r="W487" s="99">
        <v>1158022.0</v>
      </c>
    </row>
    <row r="488" ht="15.75" customHeight="1">
      <c r="A488" s="95" t="s">
        <v>3265</v>
      </c>
      <c r="B488" s="95" t="s">
        <v>22</v>
      </c>
      <c r="C488" s="96" t="s">
        <v>3266</v>
      </c>
      <c r="D488" s="95" t="s">
        <v>547</v>
      </c>
      <c r="E488" s="95" t="s">
        <v>3222</v>
      </c>
      <c r="F488" s="95" t="s">
        <v>19</v>
      </c>
      <c r="G488" s="95" t="s">
        <v>19</v>
      </c>
      <c r="H488" s="95" t="s">
        <v>21</v>
      </c>
      <c r="I488" s="95" t="s">
        <v>567</v>
      </c>
      <c r="J488" s="97">
        <v>46021.49382673611</v>
      </c>
      <c r="K488" s="95" t="s">
        <v>3267</v>
      </c>
      <c r="L488" s="96" t="s">
        <v>3268</v>
      </c>
      <c r="M488" s="95" t="s">
        <v>105</v>
      </c>
      <c r="N488" s="95" t="s">
        <v>3269</v>
      </c>
      <c r="O488" s="95" t="s">
        <v>3269</v>
      </c>
      <c r="P488" s="95" t="s">
        <v>3270</v>
      </c>
      <c r="Q488" s="98">
        <v>3.0</v>
      </c>
      <c r="R488" s="97">
        <v>45930.07744212963</v>
      </c>
      <c r="S488" s="99">
        <v>124.0</v>
      </c>
      <c r="T488" s="99">
        <v>41.0</v>
      </c>
      <c r="U488" s="99">
        <v>1.0</v>
      </c>
      <c r="V488" s="99">
        <v>127.0</v>
      </c>
      <c r="W488" s="99">
        <v>26836.0</v>
      </c>
    </row>
    <row r="489" ht="15.75" customHeight="1">
      <c r="A489" s="95" t="s">
        <v>3271</v>
      </c>
      <c r="B489" s="95" t="s">
        <v>101</v>
      </c>
      <c r="C489" s="96" t="s">
        <v>3272</v>
      </c>
      <c r="D489" s="95" t="s">
        <v>39</v>
      </c>
      <c r="E489" s="95" t="s">
        <v>39</v>
      </c>
      <c r="F489" s="95" t="s">
        <v>19</v>
      </c>
      <c r="G489" s="95" t="s">
        <v>588</v>
      </c>
      <c r="H489" s="95" t="s">
        <v>21</v>
      </c>
      <c r="I489" s="95" t="s">
        <v>955</v>
      </c>
      <c r="J489" s="97">
        <v>46009.8503700463</v>
      </c>
      <c r="K489" s="95" t="s">
        <v>3273</v>
      </c>
      <c r="L489" s="96" t="s">
        <v>3274</v>
      </c>
      <c r="M489" s="95" t="s">
        <v>105</v>
      </c>
      <c r="N489" s="95" t="s">
        <v>3275</v>
      </c>
      <c r="O489" s="95" t="s">
        <v>3275</v>
      </c>
      <c r="P489" s="95" t="s">
        <v>3276</v>
      </c>
      <c r="Q489" s="98">
        <v>3.0</v>
      </c>
      <c r="R489" s="97">
        <v>45564.82133101852</v>
      </c>
      <c r="S489" s="99">
        <v>55.0</v>
      </c>
      <c r="T489" s="99">
        <v>2.0</v>
      </c>
      <c r="U489" s="99">
        <v>6.0</v>
      </c>
      <c r="V489" s="99">
        <v>281.0</v>
      </c>
      <c r="W489" s="99">
        <v>42485.0</v>
      </c>
    </row>
    <row r="490" ht="15.75" customHeight="1">
      <c r="A490" s="95" t="s">
        <v>3277</v>
      </c>
      <c r="B490" s="95" t="s">
        <v>101</v>
      </c>
      <c r="C490" s="96" t="s">
        <v>3278</v>
      </c>
      <c r="D490" s="95" t="s">
        <v>39</v>
      </c>
      <c r="E490" s="95" t="s">
        <v>39</v>
      </c>
      <c r="F490" s="95" t="s">
        <v>19</v>
      </c>
      <c r="G490" s="95" t="s">
        <v>574</v>
      </c>
      <c r="H490" s="95" t="s">
        <v>21</v>
      </c>
      <c r="I490" s="95" t="s">
        <v>1497</v>
      </c>
      <c r="J490" s="97">
        <v>46021.49434631944</v>
      </c>
      <c r="K490" s="95" t="s">
        <v>3279</v>
      </c>
      <c r="L490" s="96" t="s">
        <v>3280</v>
      </c>
      <c r="M490" s="95" t="s">
        <v>105</v>
      </c>
      <c r="N490" s="95" t="s">
        <v>3275</v>
      </c>
      <c r="O490" s="95" t="s">
        <v>3275</v>
      </c>
      <c r="P490" s="95" t="s">
        <v>3276</v>
      </c>
      <c r="Q490" s="98">
        <v>3.0</v>
      </c>
      <c r="R490" s="97">
        <v>45409.91420138889</v>
      </c>
      <c r="S490" s="99">
        <v>55.0</v>
      </c>
      <c r="T490" s="99">
        <v>252.0</v>
      </c>
      <c r="U490" s="99">
        <v>41.0</v>
      </c>
      <c r="V490" s="99">
        <v>531.0</v>
      </c>
      <c r="W490" s="99">
        <v>42485.0</v>
      </c>
    </row>
    <row r="491" ht="15.75" customHeight="1">
      <c r="A491" s="95" t="s">
        <v>3281</v>
      </c>
      <c r="B491" s="95" t="s">
        <v>22</v>
      </c>
      <c r="C491" s="96" t="s">
        <v>3282</v>
      </c>
      <c r="D491" s="95" t="s">
        <v>59</v>
      </c>
      <c r="E491" s="95" t="s">
        <v>738</v>
      </c>
      <c r="F491" s="95" t="s">
        <v>19</v>
      </c>
      <c r="G491" s="95" t="s">
        <v>19</v>
      </c>
      <c r="H491" s="95" t="s">
        <v>21</v>
      </c>
      <c r="I491" s="95" t="s">
        <v>567</v>
      </c>
      <c r="J491" s="97">
        <v>45975.67932418981</v>
      </c>
      <c r="K491" s="96" t="s">
        <v>3283</v>
      </c>
      <c r="L491" s="96" t="s">
        <v>3284</v>
      </c>
      <c r="M491" s="95" t="s">
        <v>93</v>
      </c>
      <c r="N491" s="95" t="s">
        <v>3285</v>
      </c>
      <c r="O491" s="95" t="s">
        <v>3285</v>
      </c>
      <c r="P491" s="95" t="s">
        <v>3286</v>
      </c>
      <c r="Q491" s="98">
        <v>3.0</v>
      </c>
      <c r="R491" s="97">
        <v>44964.62046296296</v>
      </c>
      <c r="S491" s="99">
        <v>3173.0</v>
      </c>
      <c r="T491" s="99">
        <v>334.0</v>
      </c>
      <c r="U491" s="99">
        <v>3.0</v>
      </c>
      <c r="V491" s="99">
        <v>119.0</v>
      </c>
      <c r="W491" s="99">
        <v>46176.0</v>
      </c>
    </row>
    <row r="492" ht="15.75" customHeight="1">
      <c r="A492" s="95" t="s">
        <v>3287</v>
      </c>
      <c r="B492" s="95" t="s">
        <v>157</v>
      </c>
      <c r="C492" s="96" t="s">
        <v>3288</v>
      </c>
      <c r="D492" s="95" t="s">
        <v>20</v>
      </c>
      <c r="E492" s="95" t="s">
        <v>3289</v>
      </c>
      <c r="F492" s="95" t="s">
        <v>88</v>
      </c>
      <c r="G492" s="95" t="s">
        <v>88</v>
      </c>
      <c r="H492" s="95" t="s">
        <v>89</v>
      </c>
      <c r="I492" s="95" t="s">
        <v>897</v>
      </c>
      <c r="J492" s="97">
        <v>45980.94037962963</v>
      </c>
      <c r="K492" s="95" t="s">
        <v>3290</v>
      </c>
      <c r="L492" s="96" t="s">
        <v>3291</v>
      </c>
      <c r="M492" s="95" t="s">
        <v>54</v>
      </c>
      <c r="N492" s="95" t="s">
        <v>3292</v>
      </c>
      <c r="O492" s="95" t="s">
        <v>3292</v>
      </c>
      <c r="P492" s="95" t="s">
        <v>3293</v>
      </c>
      <c r="Q492" s="98">
        <v>3.0</v>
      </c>
      <c r="R492" s="97">
        <v>45945.47082175926</v>
      </c>
      <c r="S492" s="99">
        <v>1507.0</v>
      </c>
      <c r="T492" s="99">
        <v>4.0</v>
      </c>
      <c r="U492" s="99">
        <v>10.0</v>
      </c>
      <c r="V492" s="99">
        <v>72.0</v>
      </c>
      <c r="W492" s="99">
        <v>98975.0</v>
      </c>
    </row>
    <row r="493" ht="15.75" customHeight="1">
      <c r="A493" s="95" t="s">
        <v>3294</v>
      </c>
      <c r="B493" s="95" t="s">
        <v>22</v>
      </c>
      <c r="C493" s="96" t="s">
        <v>3295</v>
      </c>
      <c r="D493" s="95" t="s">
        <v>39</v>
      </c>
      <c r="E493" s="95" t="s">
        <v>3296</v>
      </c>
      <c r="F493" s="95" t="s">
        <v>19</v>
      </c>
      <c r="G493" s="95" t="s">
        <v>19</v>
      </c>
      <c r="H493" s="95" t="s">
        <v>21</v>
      </c>
      <c r="I493" s="95" t="s">
        <v>711</v>
      </c>
      <c r="J493" s="97">
        <v>45975.6793321412</v>
      </c>
      <c r="K493" s="96" t="s">
        <v>3297</v>
      </c>
      <c r="L493" s="96" t="s">
        <v>3298</v>
      </c>
      <c r="M493" s="95" t="s">
        <v>503</v>
      </c>
      <c r="N493" s="95" t="s">
        <v>3299</v>
      </c>
      <c r="O493" s="95" t="s">
        <v>3299</v>
      </c>
      <c r="P493" s="95" t="s">
        <v>3300</v>
      </c>
      <c r="Q493" s="98">
        <v>3.0</v>
      </c>
      <c r="R493" s="97">
        <v>45860.18340277778</v>
      </c>
      <c r="S493" s="99">
        <v>30982.0</v>
      </c>
      <c r="T493" s="99">
        <v>39.0</v>
      </c>
      <c r="U493" s="99">
        <v>2.0</v>
      </c>
      <c r="V493" s="99">
        <v>28.0</v>
      </c>
      <c r="W493" s="99">
        <v>19542.0</v>
      </c>
    </row>
    <row r="494" ht="15.75" customHeight="1">
      <c r="A494" s="95" t="s">
        <v>3301</v>
      </c>
      <c r="B494" s="95" t="s">
        <v>22</v>
      </c>
      <c r="C494" s="96" t="s">
        <v>3302</v>
      </c>
      <c r="D494" s="95" t="s">
        <v>29</v>
      </c>
      <c r="E494" s="95" t="s">
        <v>29</v>
      </c>
      <c r="F494" s="95" t="s">
        <v>19</v>
      </c>
      <c r="G494" s="95" t="s">
        <v>19</v>
      </c>
      <c r="H494" s="95" t="s">
        <v>21</v>
      </c>
      <c r="I494" s="95" t="s">
        <v>589</v>
      </c>
      <c r="J494" s="97">
        <v>46006.50470166666</v>
      </c>
      <c r="K494" s="95" t="s">
        <v>3303</v>
      </c>
      <c r="L494" s="96" t="s">
        <v>3304</v>
      </c>
      <c r="M494" s="95" t="s">
        <v>504</v>
      </c>
      <c r="N494" s="95" t="s">
        <v>3305</v>
      </c>
      <c r="O494" s="95" t="s">
        <v>3305</v>
      </c>
      <c r="P494" s="95" t="s">
        <v>3306</v>
      </c>
      <c r="Q494" s="98">
        <v>3.0</v>
      </c>
      <c r="R494" s="97">
        <v>45725.78679398148</v>
      </c>
      <c r="S494" s="99">
        <v>4099.0</v>
      </c>
      <c r="T494" s="99">
        <v>5.0</v>
      </c>
      <c r="U494" s="99">
        <v>1.0</v>
      </c>
      <c r="V494" s="99">
        <v>33.0</v>
      </c>
      <c r="W494" s="99">
        <v>56936.0</v>
      </c>
    </row>
    <row r="495" ht="15.75" customHeight="1">
      <c r="A495" s="95" t="s">
        <v>3307</v>
      </c>
      <c r="B495" s="95" t="s">
        <v>22</v>
      </c>
      <c r="C495" s="96" t="s">
        <v>3308</v>
      </c>
      <c r="D495" s="95" t="s">
        <v>39</v>
      </c>
      <c r="E495" s="95" t="s">
        <v>1269</v>
      </c>
      <c r="F495" s="95" t="s">
        <v>19</v>
      </c>
      <c r="G495" s="95" t="s">
        <v>19</v>
      </c>
      <c r="H495" s="95" t="s">
        <v>21</v>
      </c>
      <c r="I495" s="95" t="s">
        <v>567</v>
      </c>
      <c r="J495" s="97">
        <v>46006.50470166666</v>
      </c>
      <c r="K495" s="95" t="s">
        <v>3309</v>
      </c>
      <c r="L495" s="96" t="s">
        <v>3310</v>
      </c>
      <c r="M495" s="95" t="s">
        <v>504</v>
      </c>
      <c r="N495" s="95" t="s">
        <v>3311</v>
      </c>
      <c r="O495" s="95" t="s">
        <v>3311</v>
      </c>
      <c r="P495" s="95" t="s">
        <v>3312</v>
      </c>
      <c r="Q495" s="98">
        <v>3.0</v>
      </c>
      <c r="R495" s="97">
        <v>45662.43765046296</v>
      </c>
      <c r="S495" s="99">
        <v>9658.0</v>
      </c>
      <c r="T495" s="99">
        <v>12.0</v>
      </c>
      <c r="U495" s="99">
        <v>119.0</v>
      </c>
      <c r="V495" s="99">
        <v>104.0</v>
      </c>
      <c r="W495" s="99">
        <v>73698.0</v>
      </c>
    </row>
    <row r="496" ht="15.75" customHeight="1">
      <c r="A496" s="95" t="s">
        <v>3313</v>
      </c>
      <c r="B496" s="95" t="s">
        <v>22</v>
      </c>
      <c r="C496" s="96" t="s">
        <v>3314</v>
      </c>
      <c r="D496" s="95" t="s">
        <v>39</v>
      </c>
      <c r="E496" s="95" t="s">
        <v>614</v>
      </c>
      <c r="F496" s="95" t="s">
        <v>19</v>
      </c>
      <c r="G496" s="95" t="s">
        <v>574</v>
      </c>
      <c r="H496" s="95" t="s">
        <v>21</v>
      </c>
      <c r="I496" s="95" t="s">
        <v>567</v>
      </c>
      <c r="J496" s="97">
        <v>46006.50470166666</v>
      </c>
      <c r="K496" s="95" t="s">
        <v>3315</v>
      </c>
      <c r="L496" s="95"/>
      <c r="M496" s="95" t="s">
        <v>504</v>
      </c>
      <c r="N496" s="95" t="s">
        <v>3311</v>
      </c>
      <c r="O496" s="95" t="s">
        <v>3311</v>
      </c>
      <c r="P496" s="95" t="s">
        <v>3312</v>
      </c>
      <c r="Q496" s="98">
        <v>3.0</v>
      </c>
      <c r="R496" s="97">
        <v>45943.50311342593</v>
      </c>
      <c r="S496" s="99">
        <v>9658.0</v>
      </c>
      <c r="T496" s="99">
        <v>141.0</v>
      </c>
      <c r="U496" s="99">
        <v>5.0</v>
      </c>
      <c r="V496" s="99">
        <v>81.0</v>
      </c>
      <c r="W496" s="99">
        <v>73698.0</v>
      </c>
    </row>
    <row r="497" ht="15.75" customHeight="1">
      <c r="A497" s="95" t="s">
        <v>3316</v>
      </c>
      <c r="B497" s="95" t="s">
        <v>22</v>
      </c>
      <c r="C497" s="96" t="s">
        <v>3317</v>
      </c>
      <c r="D497" s="95" t="s">
        <v>59</v>
      </c>
      <c r="E497" s="95" t="s">
        <v>738</v>
      </c>
      <c r="F497" s="95" t="s">
        <v>19</v>
      </c>
      <c r="G497" s="95" t="s">
        <v>574</v>
      </c>
      <c r="H497" s="95" t="s">
        <v>21</v>
      </c>
      <c r="I497" s="95" t="s">
        <v>567</v>
      </c>
      <c r="J497" s="97">
        <v>46021.50375386574</v>
      </c>
      <c r="K497" s="95" t="s">
        <v>3318</v>
      </c>
      <c r="L497" s="96" t="s">
        <v>3319</v>
      </c>
      <c r="M497" s="95" t="s">
        <v>74</v>
      </c>
      <c r="N497" s="95" t="s">
        <v>3320</v>
      </c>
      <c r="O497" s="95" t="s">
        <v>3320</v>
      </c>
      <c r="P497" s="95" t="s">
        <v>3321</v>
      </c>
      <c r="Q497" s="98">
        <v>3.0</v>
      </c>
      <c r="R497" s="97">
        <v>45870.97121527778</v>
      </c>
      <c r="S497" s="99">
        <v>76.0</v>
      </c>
      <c r="T497" s="99">
        <v>38.0</v>
      </c>
      <c r="U497" s="99">
        <v>2.0</v>
      </c>
      <c r="V497" s="99">
        <v>107.0</v>
      </c>
      <c r="W497" s="99">
        <v>3678.0</v>
      </c>
    </row>
    <row r="498" ht="15.75" customHeight="1">
      <c r="A498" s="95" t="s">
        <v>3322</v>
      </c>
      <c r="B498" s="95" t="s">
        <v>22</v>
      </c>
      <c r="C498" s="96" t="s">
        <v>3323</v>
      </c>
      <c r="D498" s="95" t="s">
        <v>124</v>
      </c>
      <c r="E498" s="95" t="s">
        <v>794</v>
      </c>
      <c r="F498" s="95" t="s">
        <v>19</v>
      </c>
      <c r="G498" s="95" t="s">
        <v>19</v>
      </c>
      <c r="H498" s="95" t="s">
        <v>21</v>
      </c>
      <c r="I498" s="95" t="s">
        <v>567</v>
      </c>
      <c r="J498" s="97">
        <v>46072.72135280092</v>
      </c>
      <c r="K498" s="95" t="s">
        <v>3324</v>
      </c>
      <c r="L498" s="95"/>
      <c r="M498" s="95" t="s">
        <v>93</v>
      </c>
      <c r="N498" s="95" t="s">
        <v>3325</v>
      </c>
      <c r="O498" s="95" t="s">
        <v>3325</v>
      </c>
      <c r="P498" s="95" t="s">
        <v>3326</v>
      </c>
      <c r="Q498" s="98">
        <v>3.0</v>
      </c>
      <c r="R498" s="97">
        <v>45678.91777777778</v>
      </c>
      <c r="S498" s="99">
        <v>914.0</v>
      </c>
      <c r="T498" s="99">
        <v>1142.0</v>
      </c>
      <c r="U498" s="99">
        <v>14.0</v>
      </c>
      <c r="V498" s="99">
        <v>125.0</v>
      </c>
      <c r="W498" s="95"/>
    </row>
    <row r="499" ht="15.75" customHeight="1">
      <c r="A499" s="95" t="s">
        <v>3327</v>
      </c>
      <c r="B499" s="95" t="s">
        <v>22</v>
      </c>
      <c r="C499" s="96" t="s">
        <v>3328</v>
      </c>
      <c r="D499" s="95" t="s">
        <v>29</v>
      </c>
      <c r="E499" s="95" t="s">
        <v>29</v>
      </c>
      <c r="F499" s="95" t="s">
        <v>19</v>
      </c>
      <c r="G499" s="95" t="s">
        <v>19</v>
      </c>
      <c r="H499" s="95" t="s">
        <v>21</v>
      </c>
      <c r="I499" s="95" t="s">
        <v>567</v>
      </c>
      <c r="J499" s="97">
        <v>45993.78544196759</v>
      </c>
      <c r="K499" s="96" t="s">
        <v>3329</v>
      </c>
      <c r="L499" s="96" t="s">
        <v>3330</v>
      </c>
      <c r="M499" s="95" t="s">
        <v>28</v>
      </c>
      <c r="N499" s="95" t="s">
        <v>3331</v>
      </c>
      <c r="O499" s="95" t="s">
        <v>3331</v>
      </c>
      <c r="P499" s="95" t="s">
        <v>3332</v>
      </c>
      <c r="Q499" s="98">
        <v>3.0</v>
      </c>
      <c r="R499" s="97">
        <v>45737.74525462963</v>
      </c>
      <c r="S499" s="99">
        <v>37344.0</v>
      </c>
      <c r="T499" s="99">
        <v>515.0</v>
      </c>
      <c r="U499" s="99">
        <v>8.0</v>
      </c>
      <c r="V499" s="99">
        <v>70.0</v>
      </c>
      <c r="W499" s="99">
        <v>2010742.0</v>
      </c>
    </row>
    <row r="500" ht="15.75" customHeight="1">
      <c r="A500" s="95" t="s">
        <v>3333</v>
      </c>
      <c r="B500" s="95" t="s">
        <v>157</v>
      </c>
      <c r="C500" s="96" t="s">
        <v>3334</v>
      </c>
      <c r="D500" s="95" t="s">
        <v>29</v>
      </c>
      <c r="E500" s="95" t="s">
        <v>3335</v>
      </c>
      <c r="F500" s="95" t="s">
        <v>19</v>
      </c>
      <c r="G500" s="95" t="s">
        <v>19</v>
      </c>
      <c r="H500" s="95" t="s">
        <v>60</v>
      </c>
      <c r="I500" s="95" t="s">
        <v>3336</v>
      </c>
      <c r="J500" s="97">
        <v>45975.67928111111</v>
      </c>
      <c r="K500" s="96" t="s">
        <v>3337</v>
      </c>
      <c r="L500" s="96" t="s">
        <v>3338</v>
      </c>
      <c r="M500" s="95" t="s">
        <v>28</v>
      </c>
      <c r="N500" s="95" t="s">
        <v>3339</v>
      </c>
      <c r="O500" s="95" t="s">
        <v>3339</v>
      </c>
      <c r="P500" s="95" t="s">
        <v>3340</v>
      </c>
      <c r="Q500" s="98">
        <v>3.0</v>
      </c>
      <c r="R500" s="97">
        <v>45870.64888888889</v>
      </c>
      <c r="S500" s="99">
        <v>14444.0</v>
      </c>
      <c r="T500" s="99">
        <v>1345.0</v>
      </c>
      <c r="U500" s="99">
        <v>4.0</v>
      </c>
      <c r="V500" s="99">
        <v>115.0</v>
      </c>
      <c r="W500" s="99">
        <v>1366100.0</v>
      </c>
    </row>
    <row r="501" ht="15.75" customHeight="1">
      <c r="A501" s="95" t="s">
        <v>3341</v>
      </c>
      <c r="B501" s="95" t="s">
        <v>22</v>
      </c>
      <c r="C501" s="96" t="s">
        <v>3342</v>
      </c>
      <c r="D501" s="95" t="s">
        <v>39</v>
      </c>
      <c r="E501" s="95" t="s">
        <v>960</v>
      </c>
      <c r="F501" s="95" t="s">
        <v>19</v>
      </c>
      <c r="G501" s="95" t="s">
        <v>19</v>
      </c>
      <c r="H501" s="95" t="s">
        <v>21</v>
      </c>
      <c r="I501" s="95" t="s">
        <v>589</v>
      </c>
      <c r="J501" s="97">
        <v>45993.78544196759</v>
      </c>
      <c r="K501" s="96" t="s">
        <v>3343</v>
      </c>
      <c r="L501" s="96" t="s">
        <v>3344</v>
      </c>
      <c r="M501" s="95" t="s">
        <v>28</v>
      </c>
      <c r="N501" s="95" t="s">
        <v>3345</v>
      </c>
      <c r="O501" s="95" t="s">
        <v>3345</v>
      </c>
      <c r="P501" s="95" t="s">
        <v>3346</v>
      </c>
      <c r="Q501" s="98">
        <v>3.0</v>
      </c>
      <c r="R501" s="97">
        <v>45833.14949074074</v>
      </c>
      <c r="S501" s="99">
        <v>954.0</v>
      </c>
      <c r="T501" s="99">
        <v>30.0</v>
      </c>
      <c r="U501" s="99">
        <v>6.0</v>
      </c>
      <c r="V501" s="99">
        <v>50.0</v>
      </c>
      <c r="W501" s="99">
        <v>342251.0</v>
      </c>
    </row>
    <row r="502" ht="15.75" customHeight="1">
      <c r="A502" s="95" t="s">
        <v>3347</v>
      </c>
      <c r="B502" s="95" t="s">
        <v>69</v>
      </c>
      <c r="C502" s="96" t="s">
        <v>3348</v>
      </c>
      <c r="D502" s="95" t="s">
        <v>39</v>
      </c>
      <c r="E502" s="95" t="s">
        <v>39</v>
      </c>
      <c r="F502" s="95" t="s">
        <v>88</v>
      </c>
      <c r="G502" s="95" t="s">
        <v>88</v>
      </c>
      <c r="H502" s="95" t="s">
        <v>89</v>
      </c>
      <c r="I502" s="95" t="s">
        <v>1477</v>
      </c>
      <c r="J502" s="97">
        <v>46069.66215004629</v>
      </c>
      <c r="K502" s="95" t="s">
        <v>3349</v>
      </c>
      <c r="L502" s="96" t="s">
        <v>3350</v>
      </c>
      <c r="M502" s="95" t="s">
        <v>74</v>
      </c>
      <c r="N502" s="95" t="s">
        <v>3351</v>
      </c>
      <c r="O502" s="95" t="s">
        <v>3351</v>
      </c>
      <c r="P502" s="95" t="s">
        <v>3352</v>
      </c>
      <c r="Q502" s="98">
        <v>3.0</v>
      </c>
      <c r="R502" s="97">
        <v>45680.0441087963</v>
      </c>
      <c r="S502" s="99">
        <v>3033.0</v>
      </c>
      <c r="T502" s="99">
        <v>47.0</v>
      </c>
      <c r="U502" s="99">
        <v>1.0</v>
      </c>
      <c r="V502" s="99">
        <v>15.0</v>
      </c>
      <c r="W502" s="99">
        <v>86411.0</v>
      </c>
    </row>
    <row r="503" ht="15.75" customHeight="1">
      <c r="A503" s="95" t="s">
        <v>3353</v>
      </c>
      <c r="B503" s="95" t="s">
        <v>22</v>
      </c>
      <c r="C503" s="96" t="s">
        <v>3354</v>
      </c>
      <c r="D503" s="95" t="s">
        <v>29</v>
      </c>
      <c r="E503" s="95" t="s">
        <v>29</v>
      </c>
      <c r="F503" s="95" t="s">
        <v>19</v>
      </c>
      <c r="G503" s="95" t="s">
        <v>19</v>
      </c>
      <c r="H503" s="95" t="s">
        <v>21</v>
      </c>
      <c r="I503" s="95" t="s">
        <v>567</v>
      </c>
      <c r="J503" s="97">
        <v>45993.78544196759</v>
      </c>
      <c r="K503" s="96" t="s">
        <v>3355</v>
      </c>
      <c r="L503" s="96" t="s">
        <v>3356</v>
      </c>
      <c r="M503" s="95" t="s">
        <v>28</v>
      </c>
      <c r="N503" s="95" t="s">
        <v>3357</v>
      </c>
      <c r="O503" s="95" t="s">
        <v>3357</v>
      </c>
      <c r="P503" s="95" t="s">
        <v>3358</v>
      </c>
      <c r="Q503" s="98">
        <v>3.0</v>
      </c>
      <c r="R503" s="97">
        <v>45715.03388888889</v>
      </c>
      <c r="S503" s="99">
        <v>3999.0</v>
      </c>
      <c r="T503" s="99">
        <v>2217.0</v>
      </c>
      <c r="U503" s="99">
        <v>1.0</v>
      </c>
      <c r="V503" s="99">
        <v>23.0</v>
      </c>
      <c r="W503" s="99">
        <v>251175.0</v>
      </c>
    </row>
    <row r="504" ht="15.75" customHeight="1">
      <c r="A504" s="95" t="s">
        <v>3359</v>
      </c>
      <c r="B504" s="95" t="s">
        <v>22</v>
      </c>
      <c r="C504" s="96" t="s">
        <v>3360</v>
      </c>
      <c r="D504" s="95" t="s">
        <v>29</v>
      </c>
      <c r="E504" s="95" t="s">
        <v>29</v>
      </c>
      <c r="F504" s="95" t="s">
        <v>19</v>
      </c>
      <c r="G504" s="95" t="s">
        <v>19</v>
      </c>
      <c r="H504" s="95" t="s">
        <v>21</v>
      </c>
      <c r="I504" s="95" t="s">
        <v>567</v>
      </c>
      <c r="J504" s="97">
        <v>46021.51218559028</v>
      </c>
      <c r="K504" s="95" t="s">
        <v>3361</v>
      </c>
      <c r="L504" s="96" t="s">
        <v>3362</v>
      </c>
      <c r="M504" s="95" t="s">
        <v>28</v>
      </c>
      <c r="N504" s="95" t="s">
        <v>3357</v>
      </c>
      <c r="O504" s="95" t="s">
        <v>3357</v>
      </c>
      <c r="P504" s="95" t="s">
        <v>3358</v>
      </c>
      <c r="Q504" s="98">
        <v>3.0</v>
      </c>
      <c r="R504" s="97">
        <v>45639.18534722222</v>
      </c>
      <c r="S504" s="99">
        <v>3999.0</v>
      </c>
      <c r="T504" s="99">
        <v>79.0</v>
      </c>
      <c r="U504" s="99">
        <v>2.0</v>
      </c>
      <c r="V504" s="99">
        <v>485.0</v>
      </c>
      <c r="W504" s="99">
        <v>251175.0</v>
      </c>
    </row>
    <row r="505" ht="15.75" customHeight="1">
      <c r="A505" s="95" t="s">
        <v>3363</v>
      </c>
      <c r="B505" s="95" t="s">
        <v>22</v>
      </c>
      <c r="C505" s="96" t="s">
        <v>3364</v>
      </c>
      <c r="D505" s="95" t="s">
        <v>29</v>
      </c>
      <c r="E505" s="95" t="s">
        <v>29</v>
      </c>
      <c r="F505" s="95" t="s">
        <v>19</v>
      </c>
      <c r="G505" s="95" t="s">
        <v>19</v>
      </c>
      <c r="H505" s="95" t="s">
        <v>21</v>
      </c>
      <c r="I505" s="95" t="s">
        <v>567</v>
      </c>
      <c r="J505" s="97">
        <v>46021.51218559028</v>
      </c>
      <c r="K505" s="95" t="s">
        <v>3365</v>
      </c>
      <c r="L505" s="96" t="s">
        <v>3366</v>
      </c>
      <c r="M505" s="95" t="s">
        <v>28</v>
      </c>
      <c r="N505" s="95" t="s">
        <v>3357</v>
      </c>
      <c r="O505" s="95" t="s">
        <v>3357</v>
      </c>
      <c r="P505" s="95" t="s">
        <v>3358</v>
      </c>
      <c r="Q505" s="98">
        <v>3.0</v>
      </c>
      <c r="R505" s="97">
        <v>45656.50377314815</v>
      </c>
      <c r="S505" s="99">
        <v>3999.0</v>
      </c>
      <c r="T505" s="99">
        <v>2139.0</v>
      </c>
      <c r="U505" s="99">
        <v>1.0</v>
      </c>
      <c r="V505" s="99">
        <v>46.0</v>
      </c>
      <c r="W505" s="99">
        <v>251175.0</v>
      </c>
    </row>
    <row r="506" ht="15.75" customHeight="1">
      <c r="A506" s="95" t="s">
        <v>3367</v>
      </c>
      <c r="B506" s="95" t="s">
        <v>22</v>
      </c>
      <c r="C506" s="96" t="s">
        <v>3368</v>
      </c>
      <c r="D506" s="95" t="s">
        <v>20</v>
      </c>
      <c r="E506" s="95" t="s">
        <v>3369</v>
      </c>
      <c r="F506" s="95" t="s">
        <v>19</v>
      </c>
      <c r="G506" s="95" t="s">
        <v>574</v>
      </c>
      <c r="H506" s="95" t="s">
        <v>21</v>
      </c>
      <c r="I506" s="95" t="s">
        <v>677</v>
      </c>
      <c r="J506" s="97">
        <v>46021.50546121527</v>
      </c>
      <c r="K506" s="95" t="s">
        <v>3370</v>
      </c>
      <c r="L506" s="96" t="s">
        <v>3371</v>
      </c>
      <c r="M506" s="95" t="s">
        <v>74</v>
      </c>
      <c r="N506" s="95" t="s">
        <v>3372</v>
      </c>
      <c r="O506" s="95" t="s">
        <v>3372</v>
      </c>
      <c r="P506" s="95" t="s">
        <v>3373</v>
      </c>
      <c r="Q506" s="98">
        <v>3.0</v>
      </c>
      <c r="R506" s="97">
        <v>45738.09670138889</v>
      </c>
      <c r="S506" s="99">
        <v>564.0</v>
      </c>
      <c r="T506" s="99">
        <v>115.0</v>
      </c>
      <c r="U506" s="99">
        <v>1.0</v>
      </c>
      <c r="V506" s="99">
        <v>275.0</v>
      </c>
      <c r="W506" s="99">
        <v>17101.0</v>
      </c>
    </row>
    <row r="507" ht="15.75" customHeight="1">
      <c r="A507" s="95" t="s">
        <v>3374</v>
      </c>
      <c r="B507" s="95" t="s">
        <v>22</v>
      </c>
      <c r="C507" s="96" t="s">
        <v>3375</v>
      </c>
      <c r="D507" s="95" t="s">
        <v>20</v>
      </c>
      <c r="E507" s="95" t="s">
        <v>638</v>
      </c>
      <c r="F507" s="95" t="s">
        <v>19</v>
      </c>
      <c r="G507" s="95" t="s">
        <v>574</v>
      </c>
      <c r="H507" s="95" t="s">
        <v>21</v>
      </c>
      <c r="I507" s="95" t="s">
        <v>567</v>
      </c>
      <c r="J507" s="97">
        <v>46021.50546121527</v>
      </c>
      <c r="K507" s="95" t="s">
        <v>3376</v>
      </c>
      <c r="L507" s="96" t="s">
        <v>3377</v>
      </c>
      <c r="M507" s="95" t="s">
        <v>74</v>
      </c>
      <c r="N507" s="95" t="s">
        <v>3372</v>
      </c>
      <c r="O507" s="95" t="s">
        <v>3372</v>
      </c>
      <c r="P507" s="95" t="s">
        <v>3373</v>
      </c>
      <c r="Q507" s="98">
        <v>3.0</v>
      </c>
      <c r="R507" s="97">
        <v>45734.91837962963</v>
      </c>
      <c r="S507" s="99">
        <v>564.0</v>
      </c>
      <c r="T507" s="99">
        <v>109.0</v>
      </c>
      <c r="U507" s="99">
        <v>14.0</v>
      </c>
      <c r="V507" s="99">
        <v>496.0</v>
      </c>
      <c r="W507" s="99">
        <v>17101.0</v>
      </c>
    </row>
    <row r="508" ht="15.75" customHeight="1">
      <c r="A508" s="95" t="s">
        <v>3378</v>
      </c>
      <c r="B508" s="95" t="s">
        <v>157</v>
      </c>
      <c r="C508" s="96" t="s">
        <v>3379</v>
      </c>
      <c r="D508" s="95" t="s">
        <v>39</v>
      </c>
      <c r="E508" s="95" t="s">
        <v>960</v>
      </c>
      <c r="F508" s="95" t="s">
        <v>88</v>
      </c>
      <c r="G508" s="95" t="s">
        <v>3380</v>
      </c>
      <c r="H508" s="95" t="s">
        <v>89</v>
      </c>
      <c r="I508" s="95" t="s">
        <v>3381</v>
      </c>
      <c r="J508" s="97">
        <v>46006.66584819445</v>
      </c>
      <c r="K508" s="95" t="s">
        <v>3382</v>
      </c>
      <c r="L508" s="96" t="s">
        <v>3383</v>
      </c>
      <c r="M508" s="95" t="s">
        <v>38</v>
      </c>
      <c r="N508" s="95" t="s">
        <v>3384</v>
      </c>
      <c r="O508" s="95" t="s">
        <v>3384</v>
      </c>
      <c r="P508" s="95" t="s">
        <v>3385</v>
      </c>
      <c r="Q508" s="98">
        <v>3.0</v>
      </c>
      <c r="R508" s="97">
        <v>45994.28033564815</v>
      </c>
      <c r="S508" s="99">
        <v>892.0</v>
      </c>
      <c r="T508" s="99">
        <v>125.0</v>
      </c>
      <c r="U508" s="99">
        <v>4.0</v>
      </c>
      <c r="V508" s="99">
        <v>133.0</v>
      </c>
      <c r="W508" s="99">
        <v>250096.0</v>
      </c>
    </row>
    <row r="509" ht="15.75" customHeight="1">
      <c r="A509" s="95" t="s">
        <v>3386</v>
      </c>
      <c r="B509" s="95" t="s">
        <v>22</v>
      </c>
      <c r="C509" s="96" t="s">
        <v>3387</v>
      </c>
      <c r="D509" s="95" t="s">
        <v>39</v>
      </c>
      <c r="E509" s="95" t="s">
        <v>39</v>
      </c>
      <c r="F509" s="95" t="s">
        <v>19</v>
      </c>
      <c r="G509" s="95" t="s">
        <v>19</v>
      </c>
      <c r="H509" s="95" t="s">
        <v>21</v>
      </c>
      <c r="I509" s="95" t="s">
        <v>567</v>
      </c>
      <c r="J509" s="97">
        <v>46021.50546121527</v>
      </c>
      <c r="K509" s="95" t="s">
        <v>3388</v>
      </c>
      <c r="L509" s="96" t="s">
        <v>3389</v>
      </c>
      <c r="M509" s="95" t="s">
        <v>67</v>
      </c>
      <c r="N509" s="95" t="s">
        <v>3390</v>
      </c>
      <c r="O509" s="95" t="s">
        <v>3390</v>
      </c>
      <c r="P509" s="95" t="s">
        <v>3391</v>
      </c>
      <c r="Q509" s="98">
        <v>3.0</v>
      </c>
      <c r="R509" s="97">
        <v>45839.13858796296</v>
      </c>
      <c r="S509" s="99">
        <v>540.0</v>
      </c>
      <c r="T509" s="99">
        <v>170.0</v>
      </c>
      <c r="U509" s="99">
        <v>29.0</v>
      </c>
      <c r="V509" s="99">
        <v>125.0</v>
      </c>
      <c r="W509" s="99">
        <v>13742.0</v>
      </c>
    </row>
    <row r="510" ht="15.75" customHeight="1">
      <c r="A510" s="95" t="s">
        <v>3392</v>
      </c>
      <c r="B510" s="95" t="s">
        <v>22</v>
      </c>
      <c r="C510" s="96" t="s">
        <v>3393</v>
      </c>
      <c r="D510" s="95" t="s">
        <v>59</v>
      </c>
      <c r="E510" s="95" t="s">
        <v>3394</v>
      </c>
      <c r="F510" s="95" t="s">
        <v>19</v>
      </c>
      <c r="G510" s="95" t="s">
        <v>19</v>
      </c>
      <c r="H510" s="95" t="s">
        <v>21</v>
      </c>
      <c r="I510" s="95" t="s">
        <v>567</v>
      </c>
      <c r="J510" s="97">
        <v>45978.46257831019</v>
      </c>
      <c r="K510" s="95" t="s">
        <v>3395</v>
      </c>
      <c r="L510" s="96" t="s">
        <v>3396</v>
      </c>
      <c r="M510" s="95" t="s">
        <v>17</v>
      </c>
      <c r="N510" s="95" t="s">
        <v>3397</v>
      </c>
      <c r="O510" s="95" t="s">
        <v>3397</v>
      </c>
      <c r="P510" s="95" t="s">
        <v>3398</v>
      </c>
      <c r="Q510" s="98">
        <v>3.0</v>
      </c>
      <c r="R510" s="97">
        <v>45859.46630787037</v>
      </c>
      <c r="S510" s="99">
        <v>2029.0</v>
      </c>
      <c r="T510" s="99">
        <v>19.0</v>
      </c>
      <c r="U510" s="99">
        <v>19.0</v>
      </c>
      <c r="V510" s="99">
        <v>143.0</v>
      </c>
      <c r="W510" s="99">
        <v>151298.0</v>
      </c>
    </row>
    <row r="511" ht="15.75" customHeight="1">
      <c r="A511" s="95" t="s">
        <v>3399</v>
      </c>
      <c r="B511" s="95" t="s">
        <v>22</v>
      </c>
      <c r="C511" s="96" t="s">
        <v>3400</v>
      </c>
      <c r="D511" s="95" t="s">
        <v>59</v>
      </c>
      <c r="E511" s="95" t="s">
        <v>1873</v>
      </c>
      <c r="F511" s="95" t="s">
        <v>19</v>
      </c>
      <c r="G511" s="95"/>
      <c r="H511" s="95" t="s">
        <v>21</v>
      </c>
      <c r="I511" s="95" t="s">
        <v>567</v>
      </c>
      <c r="J511" s="97">
        <v>45975.67934009259</v>
      </c>
      <c r="K511" s="96" t="s">
        <v>3401</v>
      </c>
      <c r="L511" s="96" t="s">
        <v>3402</v>
      </c>
      <c r="M511" s="95" t="s">
        <v>17</v>
      </c>
      <c r="N511" s="95" t="s">
        <v>3397</v>
      </c>
      <c r="O511" s="95" t="s">
        <v>3397</v>
      </c>
      <c r="P511" s="95" t="s">
        <v>3398</v>
      </c>
      <c r="Q511" s="98">
        <v>3.0</v>
      </c>
      <c r="R511" s="97">
        <v>45629.32680555555</v>
      </c>
      <c r="S511" s="99">
        <v>2029.0</v>
      </c>
      <c r="T511" s="99">
        <v>9.0</v>
      </c>
      <c r="U511" s="99">
        <v>6.0</v>
      </c>
      <c r="V511" s="99">
        <v>152.0</v>
      </c>
      <c r="W511" s="99">
        <v>151298.0</v>
      </c>
    </row>
    <row r="512" ht="15.75" customHeight="1">
      <c r="A512" s="95" t="s">
        <v>3403</v>
      </c>
      <c r="B512" s="95" t="s">
        <v>22</v>
      </c>
      <c r="C512" s="96" t="s">
        <v>3404</v>
      </c>
      <c r="D512" s="95" t="s">
        <v>20</v>
      </c>
      <c r="E512" s="95" t="s">
        <v>872</v>
      </c>
      <c r="F512" s="95" t="s">
        <v>19</v>
      </c>
      <c r="G512" s="95" t="s">
        <v>19</v>
      </c>
      <c r="H512" s="95" t="s">
        <v>21</v>
      </c>
      <c r="I512" s="95" t="s">
        <v>567</v>
      </c>
      <c r="J512" s="97">
        <v>45975.67934009259</v>
      </c>
      <c r="K512" s="96" t="s">
        <v>3405</v>
      </c>
      <c r="L512" s="96" t="s">
        <v>3406</v>
      </c>
      <c r="M512" s="95" t="s">
        <v>17</v>
      </c>
      <c r="N512" s="95" t="s">
        <v>3397</v>
      </c>
      <c r="O512" s="95" t="s">
        <v>3397</v>
      </c>
      <c r="P512" s="95" t="s">
        <v>3398</v>
      </c>
      <c r="Q512" s="98">
        <v>3.0</v>
      </c>
      <c r="R512" s="97">
        <v>45691.41086805556</v>
      </c>
      <c r="S512" s="99">
        <v>2029.0</v>
      </c>
      <c r="T512" s="99">
        <v>29.0</v>
      </c>
      <c r="U512" s="99">
        <v>13.0</v>
      </c>
      <c r="V512" s="99">
        <v>28.0</v>
      </c>
      <c r="W512" s="99">
        <v>151298.0</v>
      </c>
    </row>
    <row r="513" ht="15.75" customHeight="1">
      <c r="A513" s="95" t="s">
        <v>3407</v>
      </c>
      <c r="B513" s="95" t="s">
        <v>22</v>
      </c>
      <c r="C513" s="96" t="s">
        <v>3408</v>
      </c>
      <c r="D513" s="95" t="s">
        <v>59</v>
      </c>
      <c r="E513" s="95" t="s">
        <v>1873</v>
      </c>
      <c r="F513" s="95" t="s">
        <v>19</v>
      </c>
      <c r="G513" s="95" t="s">
        <v>19</v>
      </c>
      <c r="H513" s="95" t="s">
        <v>21</v>
      </c>
      <c r="I513" s="95" t="s">
        <v>567</v>
      </c>
      <c r="J513" s="97">
        <v>45978.46257831019</v>
      </c>
      <c r="K513" s="95" t="s">
        <v>3409</v>
      </c>
      <c r="L513" s="96" t="s">
        <v>3410</v>
      </c>
      <c r="M513" s="95" t="s">
        <v>17</v>
      </c>
      <c r="N513" s="95" t="s">
        <v>3397</v>
      </c>
      <c r="O513" s="95" t="s">
        <v>3397</v>
      </c>
      <c r="P513" s="95" t="s">
        <v>3398</v>
      </c>
      <c r="Q513" s="98">
        <v>3.0</v>
      </c>
      <c r="R513" s="97">
        <v>45720.30087962963</v>
      </c>
      <c r="S513" s="99">
        <v>2029.0</v>
      </c>
      <c r="T513" s="99">
        <v>708.0</v>
      </c>
      <c r="U513" s="99">
        <v>5.0</v>
      </c>
      <c r="V513" s="99">
        <v>379.0</v>
      </c>
      <c r="W513" s="99">
        <v>151298.0</v>
      </c>
    </row>
    <row r="514" ht="15.75" customHeight="1">
      <c r="A514" s="95" t="s">
        <v>3411</v>
      </c>
      <c r="B514" s="95" t="s">
        <v>22</v>
      </c>
      <c r="C514" s="96" t="s">
        <v>3412</v>
      </c>
      <c r="D514" s="95" t="s">
        <v>59</v>
      </c>
      <c r="E514" s="95" t="s">
        <v>1873</v>
      </c>
      <c r="F514" s="95" t="s">
        <v>19</v>
      </c>
      <c r="G514" s="95" t="s">
        <v>19</v>
      </c>
      <c r="H514" s="95" t="s">
        <v>21</v>
      </c>
      <c r="I514" s="95" t="s">
        <v>567</v>
      </c>
      <c r="J514" s="97">
        <v>45978.46257831019</v>
      </c>
      <c r="K514" s="95" t="s">
        <v>3413</v>
      </c>
      <c r="L514" s="96" t="s">
        <v>3414</v>
      </c>
      <c r="M514" s="95" t="s">
        <v>17</v>
      </c>
      <c r="N514" s="95" t="s">
        <v>3397</v>
      </c>
      <c r="O514" s="95" t="s">
        <v>3397</v>
      </c>
      <c r="P514" s="95" t="s">
        <v>3398</v>
      </c>
      <c r="Q514" s="98">
        <v>3.0</v>
      </c>
      <c r="R514" s="97">
        <v>45701.38543981482</v>
      </c>
      <c r="S514" s="99">
        <v>2029.0</v>
      </c>
      <c r="T514" s="99">
        <v>24.0</v>
      </c>
      <c r="U514" s="99">
        <v>2.0</v>
      </c>
      <c r="V514" s="99">
        <v>172.0</v>
      </c>
      <c r="W514" s="99">
        <v>151298.0</v>
      </c>
    </row>
    <row r="515" ht="15.75" customHeight="1">
      <c r="A515" s="95" t="s">
        <v>3415</v>
      </c>
      <c r="B515" s="95" t="s">
        <v>22</v>
      </c>
      <c r="C515" s="96" t="s">
        <v>3416</v>
      </c>
      <c r="D515" s="95" t="s">
        <v>59</v>
      </c>
      <c r="E515" s="95" t="s">
        <v>3417</v>
      </c>
      <c r="F515" s="95" t="s">
        <v>19</v>
      </c>
      <c r="G515" s="95" t="s">
        <v>19</v>
      </c>
      <c r="H515" s="95" t="s">
        <v>21</v>
      </c>
      <c r="I515" s="95" t="s">
        <v>684</v>
      </c>
      <c r="J515" s="97">
        <v>45978.46257831019</v>
      </c>
      <c r="K515" s="95" t="s">
        <v>3418</v>
      </c>
      <c r="L515" s="96" t="s">
        <v>3419</v>
      </c>
      <c r="M515" s="95" t="s">
        <v>17</v>
      </c>
      <c r="N515" s="95" t="s">
        <v>3397</v>
      </c>
      <c r="O515" s="95" t="s">
        <v>3397</v>
      </c>
      <c r="P515" s="95" t="s">
        <v>3398</v>
      </c>
      <c r="Q515" s="98">
        <v>3.0</v>
      </c>
      <c r="R515" s="97">
        <v>45860.21783564815</v>
      </c>
      <c r="S515" s="99">
        <v>2029.0</v>
      </c>
      <c r="T515" s="99">
        <v>31.0</v>
      </c>
      <c r="U515" s="99">
        <v>3.0</v>
      </c>
      <c r="V515" s="99">
        <v>190.0</v>
      </c>
      <c r="W515" s="99">
        <v>151298.0</v>
      </c>
    </row>
    <row r="516" ht="15.75" customHeight="1">
      <c r="A516" s="95" t="s">
        <v>3420</v>
      </c>
      <c r="B516" s="95" t="s">
        <v>22</v>
      </c>
      <c r="C516" s="96" t="s">
        <v>3421</v>
      </c>
      <c r="D516" s="95" t="s">
        <v>168</v>
      </c>
      <c r="E516" s="95" t="s">
        <v>3422</v>
      </c>
      <c r="F516" s="95" t="s">
        <v>19</v>
      </c>
      <c r="G516" s="95" t="s">
        <v>588</v>
      </c>
      <c r="H516" s="95" t="s">
        <v>21</v>
      </c>
      <c r="I516" s="95" t="s">
        <v>589</v>
      </c>
      <c r="J516" s="97">
        <v>45975.67934009259</v>
      </c>
      <c r="K516" s="96" t="s">
        <v>3423</v>
      </c>
      <c r="L516" s="96" t="s">
        <v>3424</v>
      </c>
      <c r="M516" s="95" t="s">
        <v>17</v>
      </c>
      <c r="N516" s="95" t="s">
        <v>3425</v>
      </c>
      <c r="O516" s="95" t="s">
        <v>3425</v>
      </c>
      <c r="P516" s="95" t="s">
        <v>3426</v>
      </c>
      <c r="Q516" s="98">
        <v>3.0</v>
      </c>
      <c r="R516" s="97">
        <v>45747.65396990741</v>
      </c>
      <c r="S516" s="99">
        <v>107.0</v>
      </c>
      <c r="T516" s="99">
        <v>146.0</v>
      </c>
      <c r="U516" s="99">
        <v>22.0</v>
      </c>
      <c r="V516" s="99">
        <v>33.0</v>
      </c>
      <c r="W516" s="99">
        <v>102067.0</v>
      </c>
    </row>
    <row r="517" ht="15.75" customHeight="1">
      <c r="A517" s="95" t="s">
        <v>3427</v>
      </c>
      <c r="B517" s="95" t="s">
        <v>22</v>
      </c>
      <c r="C517" s="96" t="s">
        <v>3428</v>
      </c>
      <c r="D517" s="95" t="s">
        <v>168</v>
      </c>
      <c r="E517" s="95" t="s">
        <v>1228</v>
      </c>
      <c r="F517" s="95" t="s">
        <v>19</v>
      </c>
      <c r="G517" s="95" t="s">
        <v>19</v>
      </c>
      <c r="H517" s="95" t="s">
        <v>21</v>
      </c>
      <c r="I517" s="95" t="s">
        <v>677</v>
      </c>
      <c r="J517" s="97">
        <v>45975.67934009259</v>
      </c>
      <c r="K517" s="96" t="s">
        <v>3429</v>
      </c>
      <c r="L517" s="96" t="s">
        <v>3430</v>
      </c>
      <c r="M517" s="95" t="s">
        <v>17</v>
      </c>
      <c r="N517" s="95" t="s">
        <v>3425</v>
      </c>
      <c r="O517" s="95" t="s">
        <v>3425</v>
      </c>
      <c r="P517" s="95" t="s">
        <v>3426</v>
      </c>
      <c r="Q517" s="98">
        <v>3.0</v>
      </c>
      <c r="R517" s="97">
        <v>45917.86293981481</v>
      </c>
      <c r="S517" s="99">
        <v>107.0</v>
      </c>
      <c r="T517" s="99">
        <v>3359.0</v>
      </c>
      <c r="U517" s="99">
        <v>72.0</v>
      </c>
      <c r="V517" s="99">
        <v>494.0</v>
      </c>
      <c r="W517" s="99">
        <v>102067.0</v>
      </c>
    </row>
    <row r="518" ht="15.75" customHeight="1">
      <c r="A518" s="95" t="s">
        <v>3431</v>
      </c>
      <c r="B518" s="95" t="s">
        <v>22</v>
      </c>
      <c r="C518" s="96" t="s">
        <v>3432</v>
      </c>
      <c r="D518" s="95" t="s">
        <v>168</v>
      </c>
      <c r="E518" s="95" t="s">
        <v>168</v>
      </c>
      <c r="F518" s="95" t="s">
        <v>19</v>
      </c>
      <c r="G518" s="95" t="s">
        <v>588</v>
      </c>
      <c r="H518" s="95" t="s">
        <v>21</v>
      </c>
      <c r="I518" s="95" t="s">
        <v>589</v>
      </c>
      <c r="J518" s="97">
        <v>45975.67934009259</v>
      </c>
      <c r="K518" s="96" t="s">
        <v>3433</v>
      </c>
      <c r="L518" s="96" t="s">
        <v>3434</v>
      </c>
      <c r="M518" s="95" t="s">
        <v>17</v>
      </c>
      <c r="N518" s="95" t="s">
        <v>3425</v>
      </c>
      <c r="O518" s="95" t="s">
        <v>3425</v>
      </c>
      <c r="P518" s="95" t="s">
        <v>3426</v>
      </c>
      <c r="Q518" s="98">
        <v>3.0</v>
      </c>
      <c r="R518" s="97">
        <v>45909.8095949074</v>
      </c>
      <c r="S518" s="99">
        <v>107.0</v>
      </c>
      <c r="T518" s="99">
        <v>16.0</v>
      </c>
      <c r="U518" s="99">
        <v>16.0</v>
      </c>
      <c r="V518" s="99">
        <v>70.0</v>
      </c>
      <c r="W518" s="99">
        <v>102067.0</v>
      </c>
    </row>
    <row r="519" ht="15.75" customHeight="1">
      <c r="A519" s="95" t="s">
        <v>3435</v>
      </c>
      <c r="B519" s="95" t="s">
        <v>131</v>
      </c>
      <c r="C519" s="96" t="s">
        <v>3436</v>
      </c>
      <c r="D519" s="95" t="s">
        <v>39</v>
      </c>
      <c r="E519" s="95" t="s">
        <v>39</v>
      </c>
      <c r="F519" s="95" t="s">
        <v>19</v>
      </c>
      <c r="G519" s="95" t="s">
        <v>19</v>
      </c>
      <c r="H519" s="95" t="s">
        <v>21</v>
      </c>
      <c r="I519" s="95" t="s">
        <v>647</v>
      </c>
      <c r="J519" s="97">
        <v>46021.49434631944</v>
      </c>
      <c r="K519" s="95" t="s">
        <v>3437</v>
      </c>
      <c r="L519" s="96" t="s">
        <v>3438</v>
      </c>
      <c r="M519" s="95" t="s">
        <v>38</v>
      </c>
      <c r="N519" s="95" t="s">
        <v>3439</v>
      </c>
      <c r="O519" s="95" t="s">
        <v>3439</v>
      </c>
      <c r="P519" s="95" t="s">
        <v>3440</v>
      </c>
      <c r="Q519" s="98">
        <v>3.0</v>
      </c>
      <c r="R519" s="97">
        <v>45602.11701388889</v>
      </c>
      <c r="S519" s="99">
        <v>5244.0</v>
      </c>
      <c r="T519" s="99">
        <v>44.0</v>
      </c>
      <c r="U519" s="99">
        <v>1.0</v>
      </c>
      <c r="V519" s="99">
        <v>33.0</v>
      </c>
      <c r="W519" s="99">
        <v>4611.0</v>
      </c>
    </row>
    <row r="520" ht="15.75" customHeight="1">
      <c r="A520" s="95" t="s">
        <v>3441</v>
      </c>
      <c r="B520" s="95" t="s">
        <v>22</v>
      </c>
      <c r="C520" s="96" t="s">
        <v>3442</v>
      </c>
      <c r="D520" s="95" t="s">
        <v>68</v>
      </c>
      <c r="E520" s="95" t="s">
        <v>1671</v>
      </c>
      <c r="F520" s="95" t="s">
        <v>19</v>
      </c>
      <c r="G520" s="95" t="s">
        <v>19</v>
      </c>
      <c r="H520" s="95" t="s">
        <v>21</v>
      </c>
      <c r="I520" s="95" t="s">
        <v>567</v>
      </c>
      <c r="J520" s="97">
        <v>46021.49299090278</v>
      </c>
      <c r="K520" s="95" t="s">
        <v>3443</v>
      </c>
      <c r="L520" s="96" t="s">
        <v>3444</v>
      </c>
      <c r="M520" s="95" t="s">
        <v>28</v>
      </c>
      <c r="N520" s="95" t="s">
        <v>3445</v>
      </c>
      <c r="O520" s="95" t="s">
        <v>3445</v>
      </c>
      <c r="P520" s="95" t="s">
        <v>3446</v>
      </c>
      <c r="Q520" s="98">
        <v>3.0</v>
      </c>
      <c r="R520" s="97">
        <v>45742.66810185185</v>
      </c>
      <c r="S520" s="99">
        <v>126.0</v>
      </c>
      <c r="T520" s="99">
        <v>403.0</v>
      </c>
      <c r="U520" s="99">
        <v>1.0</v>
      </c>
      <c r="V520" s="99">
        <v>87.0</v>
      </c>
      <c r="W520" s="99">
        <v>114933.0</v>
      </c>
    </row>
    <row r="521" ht="15.75" customHeight="1">
      <c r="A521" s="95" t="s">
        <v>3447</v>
      </c>
      <c r="B521" s="95" t="s">
        <v>22</v>
      </c>
      <c r="C521" s="96" t="s">
        <v>3448</v>
      </c>
      <c r="D521" s="95" t="s">
        <v>39</v>
      </c>
      <c r="E521" s="95" t="s">
        <v>614</v>
      </c>
      <c r="F521" s="95" t="s">
        <v>19</v>
      </c>
      <c r="G521" s="95" t="s">
        <v>588</v>
      </c>
      <c r="H521" s="95" t="s">
        <v>21</v>
      </c>
      <c r="I521" s="95" t="s">
        <v>589</v>
      </c>
      <c r="J521" s="97">
        <v>46002.69413268519</v>
      </c>
      <c r="K521" s="95" t="s">
        <v>3449</v>
      </c>
      <c r="L521" s="96" t="s">
        <v>3450</v>
      </c>
      <c r="M521" s="95" t="s">
        <v>503</v>
      </c>
      <c r="N521" s="95" t="s">
        <v>3451</v>
      </c>
      <c r="O521" s="95" t="s">
        <v>3451</v>
      </c>
      <c r="P521" s="95" t="s">
        <v>3452</v>
      </c>
      <c r="Q521" s="98">
        <v>3.0</v>
      </c>
      <c r="R521" s="97">
        <v>45886.07365740741</v>
      </c>
      <c r="S521" s="99">
        <v>666.0</v>
      </c>
      <c r="T521" s="99">
        <v>67.0</v>
      </c>
      <c r="U521" s="99">
        <v>4.0</v>
      </c>
      <c r="V521" s="99">
        <v>44.0</v>
      </c>
      <c r="W521" s="99">
        <v>121202.0</v>
      </c>
    </row>
    <row r="522" ht="15.75" customHeight="1">
      <c r="A522" s="95" t="s">
        <v>3453</v>
      </c>
      <c r="B522" s="95" t="s">
        <v>22</v>
      </c>
      <c r="C522" s="96" t="s">
        <v>3454</v>
      </c>
      <c r="D522" s="95" t="s">
        <v>39</v>
      </c>
      <c r="E522" s="95" t="s">
        <v>1404</v>
      </c>
      <c r="F522" s="95" t="s">
        <v>19</v>
      </c>
      <c r="G522" s="95" t="s">
        <v>19</v>
      </c>
      <c r="H522" s="95" t="s">
        <v>21</v>
      </c>
      <c r="I522" s="95" t="s">
        <v>589</v>
      </c>
      <c r="J522" s="97">
        <v>45975.67931630787</v>
      </c>
      <c r="K522" s="96" t="s">
        <v>3455</v>
      </c>
      <c r="L522" s="96" t="s">
        <v>3456</v>
      </c>
      <c r="M522" s="95" t="s">
        <v>54</v>
      </c>
      <c r="N522" s="95" t="s">
        <v>3457</v>
      </c>
      <c r="O522" s="95" t="s">
        <v>3457</v>
      </c>
      <c r="P522" s="95" t="s">
        <v>3458</v>
      </c>
      <c r="Q522" s="98">
        <v>3.0</v>
      </c>
      <c r="R522" s="97">
        <v>45918.36578703704</v>
      </c>
      <c r="S522" s="99">
        <v>4957.0</v>
      </c>
      <c r="T522" s="99">
        <v>21.0</v>
      </c>
      <c r="U522" s="99">
        <v>6.0</v>
      </c>
      <c r="V522" s="99">
        <v>34.0</v>
      </c>
      <c r="W522" s="99">
        <v>16201.0</v>
      </c>
    </row>
    <row r="523" ht="15.75" customHeight="1">
      <c r="A523" s="95" t="s">
        <v>3459</v>
      </c>
      <c r="B523" s="95" t="s">
        <v>22</v>
      </c>
      <c r="C523" s="96" t="s">
        <v>3460</v>
      </c>
      <c r="D523" s="95" t="s">
        <v>124</v>
      </c>
      <c r="E523" s="95" t="s">
        <v>3461</v>
      </c>
      <c r="F523" s="95" t="s">
        <v>19</v>
      </c>
      <c r="G523" s="95" t="s">
        <v>19</v>
      </c>
      <c r="H523" s="95" t="s">
        <v>21</v>
      </c>
      <c r="I523" s="95" t="s">
        <v>567</v>
      </c>
      <c r="J523" s="97">
        <v>45986.53542238426</v>
      </c>
      <c r="K523" s="95" t="s">
        <v>3462</v>
      </c>
      <c r="L523" s="96" t="s">
        <v>3463</v>
      </c>
      <c r="M523" s="95" t="s">
        <v>28</v>
      </c>
      <c r="N523" s="95" t="s">
        <v>3464</v>
      </c>
      <c r="O523" s="95" t="s">
        <v>3464</v>
      </c>
      <c r="P523" s="95" t="s">
        <v>3465</v>
      </c>
      <c r="Q523" s="98">
        <v>3.0</v>
      </c>
      <c r="R523" s="97">
        <v>45805.58423611111</v>
      </c>
      <c r="S523" s="99">
        <v>13386.0</v>
      </c>
      <c r="T523" s="99">
        <v>56.0</v>
      </c>
      <c r="U523" s="99">
        <v>3.0</v>
      </c>
      <c r="V523" s="99">
        <v>276.0</v>
      </c>
      <c r="W523" s="99">
        <v>156580.0</v>
      </c>
    </row>
    <row r="524" ht="15.75" customHeight="1">
      <c r="A524" s="95" t="s">
        <v>3466</v>
      </c>
      <c r="B524" s="95" t="s">
        <v>69</v>
      </c>
      <c r="C524" s="96" t="s">
        <v>3467</v>
      </c>
      <c r="D524" s="95" t="s">
        <v>49</v>
      </c>
      <c r="E524" s="95" t="s">
        <v>948</v>
      </c>
      <c r="F524" s="95" t="s">
        <v>19</v>
      </c>
      <c r="G524" s="95" t="s">
        <v>19</v>
      </c>
      <c r="H524" s="95" t="s">
        <v>21</v>
      </c>
      <c r="I524" s="95" t="s">
        <v>998</v>
      </c>
      <c r="J524" s="97">
        <v>45980.93957684028</v>
      </c>
      <c r="K524" s="95" t="s">
        <v>3468</v>
      </c>
      <c r="L524" s="96" t="s">
        <v>3469</v>
      </c>
      <c r="M524" s="95" t="s">
        <v>54</v>
      </c>
      <c r="N524" s="95" t="s">
        <v>3470</v>
      </c>
      <c r="O524" s="95" t="s">
        <v>3470</v>
      </c>
      <c r="P524" s="95" t="s">
        <v>3471</v>
      </c>
      <c r="Q524" s="98">
        <v>3.0</v>
      </c>
      <c r="R524" s="97">
        <v>45705.45756944444</v>
      </c>
      <c r="S524" s="99">
        <v>102.0</v>
      </c>
      <c r="T524" s="99">
        <v>418.0</v>
      </c>
      <c r="U524" s="99">
        <v>1.0</v>
      </c>
      <c r="V524" s="99">
        <v>2586.0</v>
      </c>
      <c r="W524" s="99">
        <v>97242.0</v>
      </c>
    </row>
    <row r="525" ht="15.75" customHeight="1">
      <c r="A525" s="95" t="s">
        <v>3472</v>
      </c>
      <c r="B525" s="95" t="s">
        <v>22</v>
      </c>
      <c r="C525" s="96" t="s">
        <v>3473</v>
      </c>
      <c r="D525" s="95" t="s">
        <v>39</v>
      </c>
      <c r="E525" s="95" t="s">
        <v>39</v>
      </c>
      <c r="F525" s="95" t="s">
        <v>19</v>
      </c>
      <c r="G525" s="95" t="s">
        <v>19</v>
      </c>
      <c r="H525" s="95" t="s">
        <v>21</v>
      </c>
      <c r="I525" s="95" t="s">
        <v>677</v>
      </c>
      <c r="J525" s="97">
        <v>45975.67934009259</v>
      </c>
      <c r="K525" s="96" t="s">
        <v>3474</v>
      </c>
      <c r="L525" s="96" t="s">
        <v>3475</v>
      </c>
      <c r="M525" s="95" t="s">
        <v>17</v>
      </c>
      <c r="N525" s="95" t="s">
        <v>3476</v>
      </c>
      <c r="O525" s="95" t="s">
        <v>3476</v>
      </c>
      <c r="P525" s="95" t="s">
        <v>3477</v>
      </c>
      <c r="Q525" s="98">
        <v>3.0</v>
      </c>
      <c r="R525" s="97">
        <v>45702.46886574074</v>
      </c>
      <c r="S525" s="99">
        <v>4254.0</v>
      </c>
      <c r="T525" s="99">
        <v>7.0</v>
      </c>
      <c r="U525" s="99">
        <v>1.0</v>
      </c>
      <c r="V525" s="99">
        <v>149.0</v>
      </c>
      <c r="W525" s="99">
        <v>64872.0</v>
      </c>
    </row>
    <row r="526" ht="15.75" customHeight="1">
      <c r="A526" s="95" t="s">
        <v>3478</v>
      </c>
      <c r="B526" s="95" t="s">
        <v>22</v>
      </c>
      <c r="C526" s="96" t="s">
        <v>3479</v>
      </c>
      <c r="D526" s="95" t="s">
        <v>59</v>
      </c>
      <c r="E526" s="95" t="s">
        <v>738</v>
      </c>
      <c r="F526" s="95" t="s">
        <v>19</v>
      </c>
      <c r="G526" s="95" t="s">
        <v>19</v>
      </c>
      <c r="H526" s="95" t="s">
        <v>21</v>
      </c>
      <c r="I526" s="95" t="s">
        <v>684</v>
      </c>
      <c r="J526" s="97">
        <v>46021.50546121527</v>
      </c>
      <c r="K526" s="95" t="s">
        <v>3480</v>
      </c>
      <c r="L526" s="96" t="s">
        <v>3481</v>
      </c>
      <c r="M526" s="95" t="s">
        <v>74</v>
      </c>
      <c r="N526" s="95" t="s">
        <v>3482</v>
      </c>
      <c r="O526" s="95" t="s">
        <v>3482</v>
      </c>
      <c r="P526" s="95" t="s">
        <v>3483</v>
      </c>
      <c r="Q526" s="98">
        <v>3.0</v>
      </c>
      <c r="R526" s="97">
        <v>45642.72662037037</v>
      </c>
      <c r="S526" s="99">
        <v>1992.0</v>
      </c>
      <c r="T526" s="99">
        <v>913.0</v>
      </c>
      <c r="U526" s="99">
        <v>16.0</v>
      </c>
      <c r="V526" s="99">
        <v>137.0</v>
      </c>
      <c r="W526" s="99">
        <v>73365.0</v>
      </c>
    </row>
    <row r="527" ht="15.75" customHeight="1">
      <c r="A527" s="95" t="s">
        <v>3484</v>
      </c>
      <c r="B527" s="95" t="s">
        <v>22</v>
      </c>
      <c r="C527" s="96" t="s">
        <v>3485</v>
      </c>
      <c r="D527" s="95" t="s">
        <v>29</v>
      </c>
      <c r="E527" s="95" t="s">
        <v>658</v>
      </c>
      <c r="F527" s="95" t="s">
        <v>19</v>
      </c>
      <c r="G527" s="95" t="s">
        <v>19</v>
      </c>
      <c r="H527" s="95" t="s">
        <v>21</v>
      </c>
      <c r="I527" s="95" t="s">
        <v>589</v>
      </c>
      <c r="J527" s="97">
        <v>46021.50375386574</v>
      </c>
      <c r="K527" s="95" t="s">
        <v>3486</v>
      </c>
      <c r="L527" s="96" t="s">
        <v>3487</v>
      </c>
      <c r="M527" s="95" t="s">
        <v>503</v>
      </c>
      <c r="N527" s="95" t="s">
        <v>3488</v>
      </c>
      <c r="O527" s="95" t="s">
        <v>3488</v>
      </c>
      <c r="P527" s="95" t="s">
        <v>3489</v>
      </c>
      <c r="Q527" s="98">
        <v>3.0</v>
      </c>
      <c r="R527" s="97">
        <v>45797.97190972222</v>
      </c>
      <c r="S527" s="99">
        <v>0.0</v>
      </c>
      <c r="T527" s="99">
        <v>97.0</v>
      </c>
      <c r="U527" s="99">
        <v>5.0</v>
      </c>
      <c r="V527" s="99">
        <v>55.0</v>
      </c>
      <c r="W527" s="99">
        <v>27369.0</v>
      </c>
    </row>
    <row r="528" ht="15.75" customHeight="1">
      <c r="A528" s="95" t="s">
        <v>3490</v>
      </c>
      <c r="B528" s="95" t="s">
        <v>22</v>
      </c>
      <c r="C528" s="96" t="s">
        <v>3491</v>
      </c>
      <c r="D528" s="95" t="s">
        <v>39</v>
      </c>
      <c r="E528" s="95" t="s">
        <v>614</v>
      </c>
      <c r="F528" s="95" t="s">
        <v>19</v>
      </c>
      <c r="G528" s="95" t="s">
        <v>588</v>
      </c>
      <c r="H528" s="95" t="s">
        <v>21</v>
      </c>
      <c r="I528" s="95" t="s">
        <v>589</v>
      </c>
      <c r="J528" s="97">
        <v>46069.66215004629</v>
      </c>
      <c r="K528" s="95" t="s">
        <v>3492</v>
      </c>
      <c r="L528" s="96" t="s">
        <v>3493</v>
      </c>
      <c r="M528" s="95" t="s">
        <v>74</v>
      </c>
      <c r="N528" s="95" t="s">
        <v>3494</v>
      </c>
      <c r="O528" s="95" t="s">
        <v>3494</v>
      </c>
      <c r="P528" s="95" t="s">
        <v>3495</v>
      </c>
      <c r="Q528" s="98">
        <v>3.0</v>
      </c>
      <c r="R528" s="97">
        <v>45728.09533564815</v>
      </c>
      <c r="S528" s="99">
        <v>877.0</v>
      </c>
      <c r="T528" s="99">
        <v>22.0</v>
      </c>
      <c r="U528" s="99">
        <v>4.0</v>
      </c>
      <c r="V528" s="99">
        <v>85.0</v>
      </c>
      <c r="W528" s="99">
        <v>11309.0</v>
      </c>
    </row>
    <row r="529" ht="15.75" customHeight="1">
      <c r="A529" s="95" t="s">
        <v>3496</v>
      </c>
      <c r="B529" s="95" t="s">
        <v>22</v>
      </c>
      <c r="C529" s="96" t="s">
        <v>3497</v>
      </c>
      <c r="D529" s="95" t="s">
        <v>39</v>
      </c>
      <c r="E529" s="95" t="s">
        <v>39</v>
      </c>
      <c r="F529" s="95" t="s">
        <v>19</v>
      </c>
      <c r="G529" s="95" t="s">
        <v>19</v>
      </c>
      <c r="H529" s="95" t="s">
        <v>21</v>
      </c>
      <c r="I529" s="95" t="s">
        <v>567</v>
      </c>
      <c r="J529" s="97">
        <v>46072.60571417824</v>
      </c>
      <c r="K529" s="95" t="s">
        <v>3498</v>
      </c>
      <c r="L529" s="95"/>
      <c r="M529" s="95" t="s">
        <v>93</v>
      </c>
      <c r="N529" s="95" t="s">
        <v>3499</v>
      </c>
      <c r="O529" s="95" t="s">
        <v>3499</v>
      </c>
      <c r="P529" s="95" t="s">
        <v>3500</v>
      </c>
      <c r="Q529" s="98">
        <v>3.0</v>
      </c>
      <c r="R529" s="97">
        <v>42601.34210648148</v>
      </c>
      <c r="S529" s="99">
        <v>2611.0</v>
      </c>
      <c r="T529" s="99">
        <v>1315.0</v>
      </c>
      <c r="U529" s="99">
        <v>5.0</v>
      </c>
      <c r="V529" s="99">
        <v>1491.0</v>
      </c>
      <c r="W529" s="99">
        <v>356319.0</v>
      </c>
    </row>
    <row r="530" ht="15.75" customHeight="1">
      <c r="A530" s="95" t="s">
        <v>3501</v>
      </c>
      <c r="B530" s="95" t="s">
        <v>22</v>
      </c>
      <c r="C530" s="96" t="s">
        <v>3502</v>
      </c>
      <c r="D530" s="95" t="s">
        <v>130</v>
      </c>
      <c r="E530" s="95" t="s">
        <v>3503</v>
      </c>
      <c r="F530" s="95" t="s">
        <v>19</v>
      </c>
      <c r="G530" s="95" t="s">
        <v>19</v>
      </c>
      <c r="H530" s="95" t="s">
        <v>21</v>
      </c>
      <c r="I530" s="95" t="s">
        <v>567</v>
      </c>
      <c r="J530" s="97">
        <v>45975.67932418981</v>
      </c>
      <c r="K530" s="96" t="s">
        <v>3504</v>
      </c>
      <c r="L530" s="95"/>
      <c r="M530" s="95" t="s">
        <v>93</v>
      </c>
      <c r="N530" s="95" t="s">
        <v>3505</v>
      </c>
      <c r="O530" s="95" t="s">
        <v>3505</v>
      </c>
      <c r="P530" s="95" t="s">
        <v>3506</v>
      </c>
      <c r="Q530" s="98">
        <v>3.0</v>
      </c>
      <c r="R530" s="97">
        <v>45931.31930555555</v>
      </c>
      <c r="S530" s="99">
        <v>385.0</v>
      </c>
      <c r="T530" s="99">
        <v>13651.0</v>
      </c>
      <c r="U530" s="99">
        <v>6.0</v>
      </c>
      <c r="V530" s="99">
        <v>85.0</v>
      </c>
      <c r="W530" s="99">
        <v>163347.0</v>
      </c>
    </row>
    <row r="531" ht="15.75" customHeight="1">
      <c r="A531" s="95" t="s">
        <v>3507</v>
      </c>
      <c r="B531" s="95" t="s">
        <v>22</v>
      </c>
      <c r="C531" s="96" t="s">
        <v>3508</v>
      </c>
      <c r="D531" s="95" t="s">
        <v>130</v>
      </c>
      <c r="E531" s="95" t="s">
        <v>1420</v>
      </c>
      <c r="F531" s="95" t="s">
        <v>19</v>
      </c>
      <c r="G531" s="95" t="s">
        <v>19</v>
      </c>
      <c r="H531" s="95" t="s">
        <v>21</v>
      </c>
      <c r="I531" s="95" t="s">
        <v>567</v>
      </c>
      <c r="J531" s="97">
        <v>46039.71626337963</v>
      </c>
      <c r="K531" s="95" t="s">
        <v>3509</v>
      </c>
      <c r="L531" s="95"/>
      <c r="M531" s="95" t="s">
        <v>93</v>
      </c>
      <c r="N531" s="95" t="s">
        <v>3505</v>
      </c>
      <c r="O531" s="95" t="s">
        <v>3505</v>
      </c>
      <c r="P531" s="95" t="s">
        <v>3506</v>
      </c>
      <c r="Q531" s="98">
        <v>3.0</v>
      </c>
      <c r="R531" s="97">
        <v>45905.28842592592</v>
      </c>
      <c r="S531" s="99">
        <v>385.0</v>
      </c>
      <c r="T531" s="99">
        <v>11291.0</v>
      </c>
      <c r="U531" s="99">
        <v>6.0</v>
      </c>
      <c r="V531" s="99">
        <v>340.0</v>
      </c>
      <c r="W531" s="99">
        <v>163347.0</v>
      </c>
    </row>
    <row r="532" ht="15.75" customHeight="1">
      <c r="A532" s="95" t="s">
        <v>3510</v>
      </c>
      <c r="B532" s="95" t="s">
        <v>22</v>
      </c>
      <c r="C532" s="96" t="s">
        <v>3511</v>
      </c>
      <c r="D532" s="95" t="s">
        <v>130</v>
      </c>
      <c r="E532" s="95" t="s">
        <v>917</v>
      </c>
      <c r="F532" s="95" t="s">
        <v>19</v>
      </c>
      <c r="G532" s="95" t="s">
        <v>19</v>
      </c>
      <c r="H532" s="95" t="s">
        <v>21</v>
      </c>
      <c r="I532" s="95" t="s">
        <v>567</v>
      </c>
      <c r="J532" s="97">
        <v>46041.42270692129</v>
      </c>
      <c r="K532" s="95" t="s">
        <v>3512</v>
      </c>
      <c r="L532" s="96" t="s">
        <v>3513</v>
      </c>
      <c r="M532" s="95" t="s">
        <v>93</v>
      </c>
      <c r="N532" s="95" t="s">
        <v>3505</v>
      </c>
      <c r="O532" s="95" t="s">
        <v>3505</v>
      </c>
      <c r="P532" s="95" t="s">
        <v>3506</v>
      </c>
      <c r="Q532" s="98">
        <v>3.0</v>
      </c>
      <c r="R532" s="97">
        <v>45762.33081018519</v>
      </c>
      <c r="S532" s="99">
        <v>385.0</v>
      </c>
      <c r="T532" s="99">
        <v>129.0</v>
      </c>
      <c r="U532" s="99">
        <v>63.0</v>
      </c>
      <c r="V532" s="99">
        <v>108.0</v>
      </c>
      <c r="W532" s="99">
        <v>163347.0</v>
      </c>
    </row>
    <row r="533" ht="15.75" customHeight="1">
      <c r="A533" s="95" t="s">
        <v>3514</v>
      </c>
      <c r="B533" s="95" t="s">
        <v>101</v>
      </c>
      <c r="C533" s="96" t="s">
        <v>3515</v>
      </c>
      <c r="D533" s="95" t="s">
        <v>39</v>
      </c>
      <c r="E533" s="95" t="s">
        <v>39</v>
      </c>
      <c r="F533" s="95" t="s">
        <v>19</v>
      </c>
      <c r="G533" s="95" t="s">
        <v>19</v>
      </c>
      <c r="H533" s="95" t="s">
        <v>21</v>
      </c>
      <c r="I533" s="95" t="s">
        <v>955</v>
      </c>
      <c r="J533" s="97">
        <v>46061.01635195602</v>
      </c>
      <c r="K533" s="95" t="s">
        <v>3516</v>
      </c>
      <c r="L533" s="95"/>
      <c r="M533" s="95" t="s">
        <v>93</v>
      </c>
      <c r="N533" s="95" t="s">
        <v>3517</v>
      </c>
      <c r="O533" s="95" t="s">
        <v>3517</v>
      </c>
      <c r="P533" s="95" t="s">
        <v>3518</v>
      </c>
      <c r="Q533" s="98">
        <v>3.0</v>
      </c>
      <c r="R533" s="97">
        <v>46035.60283564815</v>
      </c>
      <c r="S533" s="99">
        <v>2197.0</v>
      </c>
      <c r="T533" s="99">
        <v>37.0</v>
      </c>
      <c r="U533" s="99">
        <v>2.0</v>
      </c>
      <c r="V533" s="99">
        <v>17.0</v>
      </c>
      <c r="W533" s="99">
        <v>160244.0</v>
      </c>
    </row>
    <row r="534" ht="15.75" customHeight="1">
      <c r="A534" s="95" t="s">
        <v>3519</v>
      </c>
      <c r="B534" s="95" t="s">
        <v>22</v>
      </c>
      <c r="C534" s="96" t="s">
        <v>3520</v>
      </c>
      <c r="D534" s="95" t="s">
        <v>39</v>
      </c>
      <c r="E534" s="95" t="s">
        <v>39</v>
      </c>
      <c r="F534" s="95" t="s">
        <v>19</v>
      </c>
      <c r="G534" s="95" t="s">
        <v>19</v>
      </c>
      <c r="H534" s="95" t="s">
        <v>21</v>
      </c>
      <c r="I534" s="95" t="s">
        <v>567</v>
      </c>
      <c r="J534" s="97">
        <v>46021.50546121527</v>
      </c>
      <c r="K534" s="95" t="s">
        <v>3521</v>
      </c>
      <c r="L534" s="96" t="s">
        <v>3522</v>
      </c>
      <c r="M534" s="95" t="s">
        <v>74</v>
      </c>
      <c r="N534" s="95" t="s">
        <v>3523</v>
      </c>
      <c r="O534" s="95" t="s">
        <v>3523</v>
      </c>
      <c r="P534" s="95" t="s">
        <v>3524</v>
      </c>
      <c r="Q534" s="98">
        <v>3.0</v>
      </c>
      <c r="R534" s="97">
        <v>45821.91508101852</v>
      </c>
      <c r="S534" s="99">
        <v>963.0</v>
      </c>
      <c r="T534" s="99">
        <v>119.0</v>
      </c>
      <c r="U534" s="99">
        <v>3.0</v>
      </c>
      <c r="V534" s="99">
        <v>232.0</v>
      </c>
      <c r="W534" s="99">
        <v>59625.0</v>
      </c>
    </row>
    <row r="535" ht="15.75" customHeight="1">
      <c r="A535" s="95" t="s">
        <v>3525</v>
      </c>
      <c r="B535" s="95" t="s">
        <v>22</v>
      </c>
      <c r="C535" s="96" t="s">
        <v>3526</v>
      </c>
      <c r="D535" s="95" t="s">
        <v>39</v>
      </c>
      <c r="E535" s="95" t="s">
        <v>39</v>
      </c>
      <c r="F535" s="95" t="s">
        <v>19</v>
      </c>
      <c r="G535" s="95" t="s">
        <v>19</v>
      </c>
      <c r="H535" s="95" t="s">
        <v>21</v>
      </c>
      <c r="I535" s="95" t="s">
        <v>567</v>
      </c>
      <c r="J535" s="97">
        <v>46021.50546121527</v>
      </c>
      <c r="K535" s="95" t="s">
        <v>3527</v>
      </c>
      <c r="L535" s="96" t="s">
        <v>3528</v>
      </c>
      <c r="M535" s="95" t="s">
        <v>74</v>
      </c>
      <c r="N535" s="95" t="s">
        <v>3523</v>
      </c>
      <c r="O535" s="95" t="s">
        <v>3523</v>
      </c>
      <c r="P535" s="95" t="s">
        <v>3524</v>
      </c>
      <c r="Q535" s="98">
        <v>3.0</v>
      </c>
      <c r="R535" s="97">
        <v>45847.51461805555</v>
      </c>
      <c r="S535" s="99">
        <v>963.0</v>
      </c>
      <c r="T535" s="99">
        <v>166.0</v>
      </c>
      <c r="U535" s="99">
        <v>9.0</v>
      </c>
      <c r="V535" s="99">
        <v>690.0</v>
      </c>
      <c r="W535" s="99">
        <v>59625.0</v>
      </c>
    </row>
    <row r="536" ht="15.75" customHeight="1">
      <c r="A536" s="95" t="s">
        <v>3529</v>
      </c>
      <c r="B536" s="95" t="s">
        <v>157</v>
      </c>
      <c r="C536" s="96" t="s">
        <v>3530</v>
      </c>
      <c r="D536" s="95" t="s">
        <v>124</v>
      </c>
      <c r="E536" s="95" t="s">
        <v>3531</v>
      </c>
      <c r="F536" s="95" t="s">
        <v>88</v>
      </c>
      <c r="G536" s="95" t="s">
        <v>858</v>
      </c>
      <c r="H536" s="95" t="s">
        <v>89</v>
      </c>
      <c r="I536" s="95" t="s">
        <v>859</v>
      </c>
      <c r="J536" s="97">
        <v>46039.71667966435</v>
      </c>
      <c r="K536" s="95" t="s">
        <v>3532</v>
      </c>
      <c r="L536" s="96" t="s">
        <v>3533</v>
      </c>
      <c r="M536" s="95" t="s">
        <v>93</v>
      </c>
      <c r="N536" s="95" t="s">
        <v>3534</v>
      </c>
      <c r="O536" s="95" t="s">
        <v>3534</v>
      </c>
      <c r="P536" s="95" t="s">
        <v>3535</v>
      </c>
      <c r="Q536" s="98">
        <v>3.0</v>
      </c>
      <c r="R536" s="97">
        <v>45919.38887731481</v>
      </c>
      <c r="S536" s="99">
        <v>75.0</v>
      </c>
      <c r="T536" s="99">
        <v>7.0</v>
      </c>
      <c r="U536" s="99">
        <v>406.0</v>
      </c>
      <c r="V536" s="99">
        <v>687.0</v>
      </c>
      <c r="W536" s="99">
        <v>16587.0</v>
      </c>
    </row>
    <row r="537" ht="15.75" customHeight="1">
      <c r="A537" s="95" t="s">
        <v>3536</v>
      </c>
      <c r="B537" s="95" t="s">
        <v>22</v>
      </c>
      <c r="C537" s="96" t="s">
        <v>3537</v>
      </c>
      <c r="D537" s="95" t="s">
        <v>39</v>
      </c>
      <c r="E537" s="95" t="s">
        <v>614</v>
      </c>
      <c r="F537" s="95" t="s">
        <v>19</v>
      </c>
      <c r="G537" s="95"/>
      <c r="H537" s="95" t="s">
        <v>21</v>
      </c>
      <c r="I537" s="95" t="s">
        <v>567</v>
      </c>
      <c r="J537" s="97">
        <v>46021.50546121527</v>
      </c>
      <c r="K537" s="95" t="s">
        <v>3538</v>
      </c>
      <c r="L537" s="96" t="s">
        <v>3539</v>
      </c>
      <c r="M537" s="95" t="s">
        <v>503</v>
      </c>
      <c r="N537" s="95" t="s">
        <v>3540</v>
      </c>
      <c r="O537" s="95" t="s">
        <v>3540</v>
      </c>
      <c r="P537" s="95" t="s">
        <v>3541</v>
      </c>
      <c r="Q537" s="98">
        <v>3.0</v>
      </c>
      <c r="R537" s="97">
        <v>45620.53376157407</v>
      </c>
      <c r="S537" s="99">
        <v>158.0</v>
      </c>
      <c r="T537" s="99">
        <v>43.0</v>
      </c>
      <c r="U537" s="99">
        <v>3.0</v>
      </c>
      <c r="V537" s="99">
        <v>87.0</v>
      </c>
      <c r="W537" s="99">
        <v>2338.0</v>
      </c>
    </row>
    <row r="538" ht="15.75" customHeight="1">
      <c r="A538" s="95" t="s">
        <v>3542</v>
      </c>
      <c r="B538" s="95" t="s">
        <v>22</v>
      </c>
      <c r="C538" s="96" t="s">
        <v>3543</v>
      </c>
      <c r="D538" s="95" t="s">
        <v>39</v>
      </c>
      <c r="E538" s="95" t="s">
        <v>39</v>
      </c>
      <c r="F538" s="95" t="s">
        <v>19</v>
      </c>
      <c r="G538" s="95" t="s">
        <v>19</v>
      </c>
      <c r="H538" s="95" t="s">
        <v>21</v>
      </c>
      <c r="I538" s="95" t="s">
        <v>589</v>
      </c>
      <c r="J538" s="97">
        <v>46021.50546121527</v>
      </c>
      <c r="K538" s="95" t="s">
        <v>3544</v>
      </c>
      <c r="L538" s="96" t="s">
        <v>3545</v>
      </c>
      <c r="M538" s="95" t="s">
        <v>74</v>
      </c>
      <c r="N538" s="95" t="s">
        <v>3546</v>
      </c>
      <c r="O538" s="95" t="s">
        <v>3546</v>
      </c>
      <c r="P538" s="95" t="s">
        <v>3547</v>
      </c>
      <c r="Q538" s="98">
        <v>3.0</v>
      </c>
      <c r="R538" s="97">
        <v>45789.51979166667</v>
      </c>
      <c r="S538" s="99">
        <v>336.0</v>
      </c>
      <c r="T538" s="99">
        <v>4.0</v>
      </c>
      <c r="U538" s="99">
        <v>108.0</v>
      </c>
      <c r="V538" s="99">
        <v>77.0</v>
      </c>
      <c r="W538" s="99">
        <v>29897.0</v>
      </c>
    </row>
    <row r="539" ht="15.75" customHeight="1">
      <c r="A539" s="95" t="s">
        <v>3548</v>
      </c>
      <c r="B539" s="95" t="s">
        <v>22</v>
      </c>
      <c r="C539" s="96" t="s">
        <v>3549</v>
      </c>
      <c r="D539" s="95" t="s">
        <v>39</v>
      </c>
      <c r="E539" s="95" t="s">
        <v>39</v>
      </c>
      <c r="F539" s="95" t="s">
        <v>19</v>
      </c>
      <c r="G539" s="95" t="s">
        <v>19</v>
      </c>
      <c r="H539" s="95" t="s">
        <v>21</v>
      </c>
      <c r="I539" s="95" t="s">
        <v>567</v>
      </c>
      <c r="J539" s="97">
        <v>46021.51218559028</v>
      </c>
      <c r="K539" s="95" t="s">
        <v>3550</v>
      </c>
      <c r="L539" s="96" t="s">
        <v>3551</v>
      </c>
      <c r="M539" s="95" t="s">
        <v>28</v>
      </c>
      <c r="N539" s="95" t="s">
        <v>3552</v>
      </c>
      <c r="O539" s="95" t="s">
        <v>3552</v>
      </c>
      <c r="P539" s="95" t="s">
        <v>3553</v>
      </c>
      <c r="Q539" s="98">
        <v>3.0</v>
      </c>
      <c r="R539" s="97">
        <v>45864.91847222222</v>
      </c>
      <c r="S539" s="99">
        <v>248.0</v>
      </c>
      <c r="T539" s="99">
        <v>47105.0</v>
      </c>
      <c r="U539" s="99">
        <v>406.0</v>
      </c>
      <c r="V539" s="99">
        <v>1324.0</v>
      </c>
      <c r="W539" s="99">
        <v>48350.0</v>
      </c>
    </row>
    <row r="540" ht="15.75" customHeight="1">
      <c r="A540" s="95" t="s">
        <v>3554</v>
      </c>
      <c r="B540" s="95" t="s">
        <v>22</v>
      </c>
      <c r="C540" s="96" t="s">
        <v>3555</v>
      </c>
      <c r="D540" s="95" t="s">
        <v>168</v>
      </c>
      <c r="E540" s="95" t="s">
        <v>168</v>
      </c>
      <c r="F540" s="95" t="s">
        <v>19</v>
      </c>
      <c r="G540" s="95" t="s">
        <v>19</v>
      </c>
      <c r="H540" s="95" t="s">
        <v>21</v>
      </c>
      <c r="I540" s="95" t="s">
        <v>567</v>
      </c>
      <c r="J540" s="97">
        <v>46003.09290072916</v>
      </c>
      <c r="K540" s="95" t="s">
        <v>3556</v>
      </c>
      <c r="L540" s="96" t="s">
        <v>3557</v>
      </c>
      <c r="M540" s="95" t="s">
        <v>38</v>
      </c>
      <c r="N540" s="95" t="s">
        <v>3558</v>
      </c>
      <c r="O540" s="95" t="s">
        <v>3558</v>
      </c>
      <c r="P540" s="95" t="s">
        <v>3559</v>
      </c>
      <c r="Q540" s="98">
        <v>3.0</v>
      </c>
      <c r="R540" s="97">
        <v>45814.17337962963</v>
      </c>
      <c r="S540" s="99">
        <v>829.0</v>
      </c>
      <c r="T540" s="99">
        <v>184.0</v>
      </c>
      <c r="U540" s="99">
        <v>2.0</v>
      </c>
      <c r="V540" s="99">
        <v>1418.0</v>
      </c>
      <c r="W540" s="99">
        <v>49574.0</v>
      </c>
    </row>
    <row r="541" ht="15.75" customHeight="1">
      <c r="A541" s="95" t="s">
        <v>3560</v>
      </c>
      <c r="B541" s="95" t="s">
        <v>22</v>
      </c>
      <c r="C541" s="96" t="s">
        <v>3561</v>
      </c>
      <c r="D541" s="95" t="s">
        <v>168</v>
      </c>
      <c r="E541" s="95" t="s">
        <v>780</v>
      </c>
      <c r="F541" s="95" t="s">
        <v>19</v>
      </c>
      <c r="G541" s="95" t="s">
        <v>1367</v>
      </c>
      <c r="H541" s="95" t="s">
        <v>21</v>
      </c>
      <c r="I541" s="95" t="s">
        <v>567</v>
      </c>
      <c r="J541" s="97">
        <v>45975.67937972222</v>
      </c>
      <c r="K541" s="96" t="s">
        <v>3562</v>
      </c>
      <c r="L541" s="96" t="s">
        <v>3563</v>
      </c>
      <c r="M541" s="95" t="s">
        <v>38</v>
      </c>
      <c r="N541" s="95" t="s">
        <v>3564</v>
      </c>
      <c r="O541" s="95" t="s">
        <v>3564</v>
      </c>
      <c r="P541" s="95" t="s">
        <v>3565</v>
      </c>
      <c r="Q541" s="98">
        <v>3.0</v>
      </c>
      <c r="R541" s="97">
        <v>45880.81219907408</v>
      </c>
      <c r="S541" s="99">
        <v>102.0</v>
      </c>
      <c r="T541" s="99">
        <v>78.0</v>
      </c>
      <c r="U541" s="99">
        <v>3.0</v>
      </c>
      <c r="V541" s="99">
        <v>132.0</v>
      </c>
      <c r="W541" s="99">
        <v>11569.0</v>
      </c>
    </row>
    <row r="542" ht="15.75" customHeight="1">
      <c r="A542" s="95" t="s">
        <v>3566</v>
      </c>
      <c r="B542" s="95" t="s">
        <v>22</v>
      </c>
      <c r="C542" s="96" t="s">
        <v>3567</v>
      </c>
      <c r="D542" s="95" t="s">
        <v>548</v>
      </c>
      <c r="E542" s="95" t="s">
        <v>3568</v>
      </c>
      <c r="F542" s="95" t="s">
        <v>19</v>
      </c>
      <c r="G542" s="95" t="s">
        <v>19</v>
      </c>
      <c r="H542" s="95" t="s">
        <v>21</v>
      </c>
      <c r="I542" s="95" t="s">
        <v>567</v>
      </c>
      <c r="J542" s="97">
        <v>46021.49434631944</v>
      </c>
      <c r="K542" s="95" t="s">
        <v>3569</v>
      </c>
      <c r="L542" s="96" t="s">
        <v>3570</v>
      </c>
      <c r="M542" s="95" t="s">
        <v>105</v>
      </c>
      <c r="N542" s="95" t="s">
        <v>3571</v>
      </c>
      <c r="O542" s="95" t="s">
        <v>3571</v>
      </c>
      <c r="P542" s="95" t="s">
        <v>3572</v>
      </c>
      <c r="Q542" s="98">
        <v>3.0</v>
      </c>
      <c r="R542" s="97">
        <v>45471.54894675926</v>
      </c>
      <c r="S542" s="99">
        <v>276.0</v>
      </c>
      <c r="T542" s="99">
        <v>397.0</v>
      </c>
      <c r="U542" s="99">
        <v>3.0</v>
      </c>
      <c r="V542" s="99">
        <v>51.0</v>
      </c>
      <c r="W542" s="99">
        <v>27087.0</v>
      </c>
    </row>
    <row r="543" ht="15.75" customHeight="1">
      <c r="A543" s="95" t="s">
        <v>3573</v>
      </c>
      <c r="B543" s="95" t="s">
        <v>22</v>
      </c>
      <c r="C543" s="96" t="s">
        <v>3574</v>
      </c>
      <c r="D543" s="95" t="s">
        <v>130</v>
      </c>
      <c r="E543" s="95" t="s">
        <v>917</v>
      </c>
      <c r="F543" s="95" t="s">
        <v>19</v>
      </c>
      <c r="G543" s="95" t="s">
        <v>19</v>
      </c>
      <c r="H543" s="95" t="s">
        <v>21</v>
      </c>
      <c r="I543" s="95" t="s">
        <v>567</v>
      </c>
      <c r="J543" s="97">
        <v>45975.67931630787</v>
      </c>
      <c r="K543" s="96" t="s">
        <v>3575</v>
      </c>
      <c r="L543" s="96" t="s">
        <v>3576</v>
      </c>
      <c r="M543" s="95" t="s">
        <v>54</v>
      </c>
      <c r="N543" s="95" t="s">
        <v>3577</v>
      </c>
      <c r="O543" s="95" t="s">
        <v>3577</v>
      </c>
      <c r="P543" s="95" t="s">
        <v>3578</v>
      </c>
      <c r="Q543" s="98">
        <v>3.0</v>
      </c>
      <c r="R543" s="97">
        <v>45797.35600694444</v>
      </c>
      <c r="S543" s="99">
        <v>12547.0</v>
      </c>
      <c r="T543" s="99">
        <v>41.0</v>
      </c>
      <c r="U543" s="99">
        <v>9.0</v>
      </c>
      <c r="V543" s="99">
        <v>37.0</v>
      </c>
      <c r="W543" s="99">
        <v>2152672.0</v>
      </c>
    </row>
    <row r="544" ht="15.75" customHeight="1">
      <c r="A544" s="95" t="s">
        <v>3579</v>
      </c>
      <c r="B544" s="95" t="s">
        <v>22</v>
      </c>
      <c r="C544" s="96" t="s">
        <v>3580</v>
      </c>
      <c r="D544" s="95" t="s">
        <v>130</v>
      </c>
      <c r="E544" s="95" t="s">
        <v>2879</v>
      </c>
      <c r="F544" s="95" t="s">
        <v>19</v>
      </c>
      <c r="G544" s="95" t="s">
        <v>19</v>
      </c>
      <c r="H544" s="95" t="s">
        <v>21</v>
      </c>
      <c r="I544" s="95" t="s">
        <v>589</v>
      </c>
      <c r="J544" s="97">
        <v>45975.67931630787</v>
      </c>
      <c r="K544" s="96" t="s">
        <v>3581</v>
      </c>
      <c r="L544" s="96" t="s">
        <v>3582</v>
      </c>
      <c r="M544" s="95" t="s">
        <v>54</v>
      </c>
      <c r="N544" s="95" t="s">
        <v>3577</v>
      </c>
      <c r="O544" s="95" t="s">
        <v>3577</v>
      </c>
      <c r="P544" s="95" t="s">
        <v>3578</v>
      </c>
      <c r="Q544" s="98">
        <v>3.0</v>
      </c>
      <c r="R544" s="97">
        <v>45799.87582175926</v>
      </c>
      <c r="S544" s="99">
        <v>12547.0</v>
      </c>
      <c r="T544" s="99">
        <v>50.0</v>
      </c>
      <c r="U544" s="99">
        <v>6.0</v>
      </c>
      <c r="V544" s="99">
        <v>52.0</v>
      </c>
      <c r="W544" s="99">
        <v>2152672.0</v>
      </c>
    </row>
    <row r="545" ht="15.75" customHeight="1">
      <c r="A545" s="95" t="s">
        <v>3583</v>
      </c>
      <c r="B545" s="95" t="s">
        <v>22</v>
      </c>
      <c r="C545" s="96" t="s">
        <v>3584</v>
      </c>
      <c r="D545" s="95" t="s">
        <v>130</v>
      </c>
      <c r="E545" s="95" t="s">
        <v>917</v>
      </c>
      <c r="F545" s="95" t="s">
        <v>19</v>
      </c>
      <c r="G545" s="95" t="s">
        <v>574</v>
      </c>
      <c r="H545" s="95" t="s">
        <v>21</v>
      </c>
      <c r="I545" s="95" t="s">
        <v>567</v>
      </c>
      <c r="J545" s="97">
        <v>45975.67931630787</v>
      </c>
      <c r="K545" s="96" t="s">
        <v>3585</v>
      </c>
      <c r="L545" s="96" t="s">
        <v>3586</v>
      </c>
      <c r="M545" s="95" t="s">
        <v>54</v>
      </c>
      <c r="N545" s="95" t="s">
        <v>3577</v>
      </c>
      <c r="O545" s="95" t="s">
        <v>3577</v>
      </c>
      <c r="P545" s="95" t="s">
        <v>3578</v>
      </c>
      <c r="Q545" s="98">
        <v>3.0</v>
      </c>
      <c r="R545" s="97">
        <v>45764.59952546296</v>
      </c>
      <c r="S545" s="99">
        <v>12547.0</v>
      </c>
      <c r="T545" s="99">
        <v>2.0</v>
      </c>
      <c r="U545" s="99">
        <v>4.0</v>
      </c>
      <c r="V545" s="99">
        <v>105.0</v>
      </c>
      <c r="W545" s="99">
        <v>2152672.0</v>
      </c>
    </row>
    <row r="546" ht="15.75" customHeight="1">
      <c r="A546" s="95" t="s">
        <v>3587</v>
      </c>
      <c r="B546" s="95" t="s">
        <v>69</v>
      </c>
      <c r="C546" s="96" t="s">
        <v>3588</v>
      </c>
      <c r="D546" s="95" t="s">
        <v>130</v>
      </c>
      <c r="E546" s="95" t="s">
        <v>3503</v>
      </c>
      <c r="F546" s="95" t="s">
        <v>88</v>
      </c>
      <c r="G546" s="95" t="s">
        <v>88</v>
      </c>
      <c r="H546" s="95" t="s">
        <v>89</v>
      </c>
      <c r="I546" s="95" t="s">
        <v>640</v>
      </c>
      <c r="J546" s="97">
        <v>45993.78544196759</v>
      </c>
      <c r="K546" s="96" t="s">
        <v>3589</v>
      </c>
      <c r="L546" s="96" t="s">
        <v>3590</v>
      </c>
      <c r="M546" s="95" t="s">
        <v>54</v>
      </c>
      <c r="N546" s="95" t="s">
        <v>3577</v>
      </c>
      <c r="O546" s="95" t="s">
        <v>3577</v>
      </c>
      <c r="P546" s="95" t="s">
        <v>3578</v>
      </c>
      <c r="Q546" s="98">
        <v>3.0</v>
      </c>
      <c r="R546" s="97">
        <v>45882.8946875</v>
      </c>
      <c r="S546" s="99">
        <v>12547.0</v>
      </c>
      <c r="T546" s="99">
        <v>83.0</v>
      </c>
      <c r="U546" s="99">
        <v>1.0</v>
      </c>
      <c r="V546" s="99">
        <v>51.0</v>
      </c>
      <c r="W546" s="99">
        <v>2152672.0</v>
      </c>
    </row>
    <row r="547" ht="15.75" customHeight="1">
      <c r="A547" s="95" t="s">
        <v>3591</v>
      </c>
      <c r="B547" s="95" t="s">
        <v>101</v>
      </c>
      <c r="C547" s="96" t="s">
        <v>3592</v>
      </c>
      <c r="D547" s="95" t="s">
        <v>39</v>
      </c>
      <c r="E547" s="95" t="s">
        <v>39</v>
      </c>
      <c r="F547" s="95" t="s">
        <v>19</v>
      </c>
      <c r="G547" s="95" t="s">
        <v>19</v>
      </c>
      <c r="H547" s="95" t="s">
        <v>21</v>
      </c>
      <c r="I547" s="95" t="s">
        <v>1504</v>
      </c>
      <c r="J547" s="97">
        <v>46003.09290072916</v>
      </c>
      <c r="K547" s="95" t="s">
        <v>3593</v>
      </c>
      <c r="L547" s="96" t="s">
        <v>3594</v>
      </c>
      <c r="M547" s="95" t="s">
        <v>38</v>
      </c>
      <c r="N547" s="95" t="s">
        <v>3595</v>
      </c>
      <c r="O547" s="95" t="s">
        <v>3595</v>
      </c>
      <c r="P547" s="95" t="s">
        <v>3596</v>
      </c>
      <c r="Q547" s="98">
        <v>3.0</v>
      </c>
      <c r="R547" s="97">
        <v>45760.68699074074</v>
      </c>
      <c r="S547" s="99">
        <v>1856.0</v>
      </c>
      <c r="T547" s="99">
        <v>208.0</v>
      </c>
      <c r="U547" s="99">
        <v>5.0</v>
      </c>
      <c r="V547" s="99">
        <v>448.0</v>
      </c>
      <c r="W547" s="99">
        <v>29651.0</v>
      </c>
    </row>
    <row r="548" ht="15.75" customHeight="1">
      <c r="A548" s="95" t="s">
        <v>3597</v>
      </c>
      <c r="B548" s="95" t="s">
        <v>22</v>
      </c>
      <c r="C548" s="96" t="s">
        <v>3598</v>
      </c>
      <c r="D548" s="95" t="s">
        <v>39</v>
      </c>
      <c r="E548" s="95" t="s">
        <v>39</v>
      </c>
      <c r="F548" s="95" t="s">
        <v>19</v>
      </c>
      <c r="G548" s="95" t="s">
        <v>19</v>
      </c>
      <c r="H548" s="95" t="s">
        <v>21</v>
      </c>
      <c r="I548" s="95" t="s">
        <v>567</v>
      </c>
      <c r="J548" s="97">
        <v>45978.45911076389</v>
      </c>
      <c r="K548" s="95" t="s">
        <v>3599</v>
      </c>
      <c r="L548" s="95"/>
      <c r="M548" s="95" t="s">
        <v>38</v>
      </c>
      <c r="N548" s="95" t="s">
        <v>3595</v>
      </c>
      <c r="O548" s="95" t="s">
        <v>3595</v>
      </c>
      <c r="P548" s="95" t="s">
        <v>3596</v>
      </c>
      <c r="Q548" s="98">
        <v>3.0</v>
      </c>
      <c r="R548" s="97">
        <v>45732.7733912037</v>
      </c>
      <c r="S548" s="99">
        <v>1856.0</v>
      </c>
      <c r="T548" s="99">
        <v>207.0</v>
      </c>
      <c r="U548" s="99">
        <v>1.0</v>
      </c>
      <c r="V548" s="99">
        <v>226.0</v>
      </c>
      <c r="W548" s="99">
        <v>29651.0</v>
      </c>
    </row>
    <row r="549" ht="15.75" customHeight="1">
      <c r="A549" s="95" t="s">
        <v>3600</v>
      </c>
      <c r="B549" s="95" t="s">
        <v>101</v>
      </c>
      <c r="C549" s="96" t="s">
        <v>3601</v>
      </c>
      <c r="D549" s="95" t="s">
        <v>39</v>
      </c>
      <c r="E549" s="95" t="s">
        <v>39</v>
      </c>
      <c r="F549" s="95" t="s">
        <v>19</v>
      </c>
      <c r="G549" s="95" t="s">
        <v>588</v>
      </c>
      <c r="H549" s="95" t="s">
        <v>21</v>
      </c>
      <c r="I549" s="95" t="s">
        <v>1504</v>
      </c>
      <c r="J549" s="97">
        <v>45993.7854622338</v>
      </c>
      <c r="K549" s="96" t="s">
        <v>3602</v>
      </c>
      <c r="L549" s="95"/>
      <c r="M549" s="95" t="s">
        <v>38</v>
      </c>
      <c r="N549" s="95" t="s">
        <v>3595</v>
      </c>
      <c r="O549" s="95" t="s">
        <v>3595</v>
      </c>
      <c r="P549" s="95" t="s">
        <v>3596</v>
      </c>
      <c r="Q549" s="98">
        <v>3.0</v>
      </c>
      <c r="R549" s="97">
        <v>45627.8643287037</v>
      </c>
      <c r="S549" s="99">
        <v>1856.0</v>
      </c>
      <c r="T549" s="99">
        <v>193.0</v>
      </c>
      <c r="U549" s="99">
        <v>2.0</v>
      </c>
      <c r="V549" s="99">
        <v>160.0</v>
      </c>
      <c r="W549" s="99">
        <v>29651.0</v>
      </c>
    </row>
    <row r="550" ht="15.75" customHeight="1">
      <c r="A550" s="95" t="s">
        <v>3603</v>
      </c>
      <c r="B550" s="95" t="s">
        <v>22</v>
      </c>
      <c r="C550" s="96" t="s">
        <v>3604</v>
      </c>
      <c r="D550" s="95" t="s">
        <v>130</v>
      </c>
      <c r="E550" s="95" t="s">
        <v>130</v>
      </c>
      <c r="F550" s="95" t="s">
        <v>19</v>
      </c>
      <c r="G550" s="95" t="s">
        <v>574</v>
      </c>
      <c r="H550" s="95" t="s">
        <v>21</v>
      </c>
      <c r="I550" s="95" t="s">
        <v>567</v>
      </c>
      <c r="J550" s="97">
        <v>46021.50546121527</v>
      </c>
      <c r="K550" s="95" t="s">
        <v>3605</v>
      </c>
      <c r="L550" s="96" t="s">
        <v>3606</v>
      </c>
      <c r="M550" s="95" t="s">
        <v>38</v>
      </c>
      <c r="N550" s="95" t="s">
        <v>3607</v>
      </c>
      <c r="O550" s="95" t="s">
        <v>3607</v>
      </c>
      <c r="P550" s="95" t="s">
        <v>3608</v>
      </c>
      <c r="Q550" s="98">
        <v>3.0</v>
      </c>
      <c r="R550" s="97">
        <v>45771.00542824074</v>
      </c>
      <c r="S550" s="99">
        <v>150.0</v>
      </c>
      <c r="T550" s="99">
        <v>38.0</v>
      </c>
      <c r="U550" s="99">
        <v>1.0</v>
      </c>
      <c r="V550" s="99">
        <v>18.0</v>
      </c>
      <c r="W550" s="99">
        <v>23498.0</v>
      </c>
    </row>
    <row r="551" ht="15.75" customHeight="1">
      <c r="A551" s="95" t="s">
        <v>3609</v>
      </c>
      <c r="B551" s="95" t="s">
        <v>22</v>
      </c>
      <c r="C551" s="96" t="s">
        <v>3610</v>
      </c>
      <c r="D551" s="95" t="s">
        <v>29</v>
      </c>
      <c r="E551" s="95" t="s">
        <v>29</v>
      </c>
      <c r="F551" s="95" t="s">
        <v>19</v>
      </c>
      <c r="G551" s="95" t="s">
        <v>19</v>
      </c>
      <c r="H551" s="95" t="s">
        <v>21</v>
      </c>
      <c r="I551" s="95" t="s">
        <v>711</v>
      </c>
      <c r="J551" s="97">
        <v>45975.67938763889</v>
      </c>
      <c r="K551" s="96" t="s">
        <v>3611</v>
      </c>
      <c r="L551" s="96" t="s">
        <v>3612</v>
      </c>
      <c r="M551" s="95" t="s">
        <v>74</v>
      </c>
      <c r="N551" s="95" t="s">
        <v>3613</v>
      </c>
      <c r="O551" s="95" t="s">
        <v>3613</v>
      </c>
      <c r="P551" s="95" t="s">
        <v>3614</v>
      </c>
      <c r="Q551" s="98">
        <v>3.0</v>
      </c>
      <c r="R551" s="97">
        <v>45612.655625</v>
      </c>
      <c r="S551" s="99">
        <v>26697.0</v>
      </c>
      <c r="T551" s="99">
        <v>29.0</v>
      </c>
      <c r="U551" s="99">
        <v>1.0</v>
      </c>
      <c r="V551" s="99">
        <v>6.0</v>
      </c>
      <c r="W551" s="99">
        <v>999999.0</v>
      </c>
    </row>
    <row r="552" ht="15.75" customHeight="1">
      <c r="A552" s="95" t="s">
        <v>3615</v>
      </c>
      <c r="B552" s="95" t="s">
        <v>22</v>
      </c>
      <c r="C552" s="96" t="s">
        <v>3616</v>
      </c>
      <c r="D552" s="95" t="s">
        <v>39</v>
      </c>
      <c r="E552" s="95" t="s">
        <v>39</v>
      </c>
      <c r="F552" s="95" t="s">
        <v>19</v>
      </c>
      <c r="G552" s="95" t="s">
        <v>19</v>
      </c>
      <c r="H552" s="95" t="s">
        <v>21</v>
      </c>
      <c r="I552" s="95" t="s">
        <v>567</v>
      </c>
      <c r="J552" s="97">
        <v>45975.67934009259</v>
      </c>
      <c r="K552" s="96" t="s">
        <v>3617</v>
      </c>
      <c r="L552" s="96" t="s">
        <v>3618</v>
      </c>
      <c r="M552" s="95" t="s">
        <v>17</v>
      </c>
      <c r="N552" s="95" t="s">
        <v>3619</v>
      </c>
      <c r="O552" s="95" t="s">
        <v>3619</v>
      </c>
      <c r="P552" s="95" t="s">
        <v>3620</v>
      </c>
      <c r="Q552" s="98">
        <v>3.0</v>
      </c>
      <c r="R552" s="97">
        <v>45664.75320601852</v>
      </c>
      <c r="S552" s="99">
        <v>0.0</v>
      </c>
      <c r="T552" s="99">
        <v>40.0</v>
      </c>
      <c r="U552" s="99">
        <v>1.0</v>
      </c>
      <c r="V552" s="99">
        <v>157.0</v>
      </c>
      <c r="W552" s="99">
        <v>2495.0</v>
      </c>
    </row>
    <row r="553" ht="15.75" customHeight="1">
      <c r="A553" s="95" t="s">
        <v>3621</v>
      </c>
      <c r="B553" s="95" t="s">
        <v>22</v>
      </c>
      <c r="C553" s="96" t="s">
        <v>3622</v>
      </c>
      <c r="D553" s="95" t="s">
        <v>39</v>
      </c>
      <c r="E553" s="95" t="s">
        <v>614</v>
      </c>
      <c r="F553" s="95" t="s">
        <v>19</v>
      </c>
      <c r="G553" s="95" t="s">
        <v>19</v>
      </c>
      <c r="H553" s="95" t="s">
        <v>21</v>
      </c>
      <c r="I553" s="95" t="s">
        <v>1026</v>
      </c>
      <c r="J553" s="97">
        <v>46021.51218559028</v>
      </c>
      <c r="K553" s="95" t="s">
        <v>3623</v>
      </c>
      <c r="L553" s="96" t="s">
        <v>3624</v>
      </c>
      <c r="M553" s="95" t="s">
        <v>74</v>
      </c>
      <c r="N553" s="95" t="s">
        <v>3625</v>
      </c>
      <c r="O553" s="95" t="s">
        <v>3625</v>
      </c>
      <c r="P553" s="95" t="s">
        <v>3626</v>
      </c>
      <c r="Q553" s="98">
        <v>3.0</v>
      </c>
      <c r="R553" s="97">
        <v>45653.03976851852</v>
      </c>
      <c r="S553" s="99">
        <v>94.0</v>
      </c>
      <c r="T553" s="99">
        <v>16.0</v>
      </c>
      <c r="U553" s="99">
        <v>2.0</v>
      </c>
      <c r="V553" s="99">
        <v>86.0</v>
      </c>
      <c r="W553" s="99">
        <v>2212.0</v>
      </c>
    </row>
    <row r="554" ht="15.75" customHeight="1">
      <c r="A554" s="95" t="s">
        <v>3627</v>
      </c>
      <c r="B554" s="95" t="s">
        <v>69</v>
      </c>
      <c r="C554" s="96" t="s">
        <v>3628</v>
      </c>
      <c r="D554" s="95" t="s">
        <v>20</v>
      </c>
      <c r="E554" s="95" t="s">
        <v>1991</v>
      </c>
      <c r="F554" s="95" t="s">
        <v>19</v>
      </c>
      <c r="G554" s="95" t="s">
        <v>574</v>
      </c>
      <c r="H554" s="95" t="s">
        <v>77</v>
      </c>
      <c r="I554" s="95" t="s">
        <v>2527</v>
      </c>
      <c r="J554" s="97">
        <v>46008.62902922454</v>
      </c>
      <c r="K554" s="96" t="s">
        <v>3629</v>
      </c>
      <c r="L554" s="96" t="s">
        <v>3630</v>
      </c>
      <c r="M554" s="95" t="s">
        <v>17</v>
      </c>
      <c r="N554" s="95" t="s">
        <v>3631</v>
      </c>
      <c r="O554" s="95" t="s">
        <v>3631</v>
      </c>
      <c r="P554" s="95" t="s">
        <v>3632</v>
      </c>
      <c r="Q554" s="98">
        <v>3.0</v>
      </c>
      <c r="R554" s="97">
        <v>45607.70428240741</v>
      </c>
      <c r="S554" s="99">
        <v>431.0</v>
      </c>
      <c r="T554" s="99">
        <v>1386.0</v>
      </c>
      <c r="U554" s="99">
        <v>113.0</v>
      </c>
      <c r="V554" s="99">
        <v>390.0</v>
      </c>
      <c r="W554" s="99">
        <v>83419.0</v>
      </c>
    </row>
    <row r="555" ht="15.75" customHeight="1">
      <c r="A555" s="95" t="s">
        <v>3633</v>
      </c>
      <c r="B555" s="95" t="s">
        <v>22</v>
      </c>
      <c r="C555" s="96" t="s">
        <v>3634</v>
      </c>
      <c r="D555" s="95" t="s">
        <v>39</v>
      </c>
      <c r="E555" s="95" t="s">
        <v>960</v>
      </c>
      <c r="F555" s="95" t="s">
        <v>19</v>
      </c>
      <c r="G555" s="95" t="s">
        <v>588</v>
      </c>
      <c r="H555" s="95" t="s">
        <v>21</v>
      </c>
      <c r="I555" s="95" t="s">
        <v>567</v>
      </c>
      <c r="J555" s="97">
        <v>46021.50546121527</v>
      </c>
      <c r="K555" s="95" t="s">
        <v>3635</v>
      </c>
      <c r="L555" s="96" t="s">
        <v>3636</v>
      </c>
      <c r="M555" s="95" t="s">
        <v>38</v>
      </c>
      <c r="N555" s="95" t="s">
        <v>3637</v>
      </c>
      <c r="O555" s="95" t="s">
        <v>3637</v>
      </c>
      <c r="P555" s="95" t="s">
        <v>3638</v>
      </c>
      <c r="Q555" s="98">
        <v>3.0</v>
      </c>
      <c r="R555" s="97">
        <v>45665.36979166666</v>
      </c>
      <c r="S555" s="99">
        <v>170.0</v>
      </c>
      <c r="T555" s="99">
        <v>295.0</v>
      </c>
      <c r="U555" s="99">
        <v>2.0</v>
      </c>
      <c r="V555" s="99">
        <v>148.0</v>
      </c>
      <c r="W555" s="99">
        <v>39785.0</v>
      </c>
    </row>
    <row r="556" ht="15.75" customHeight="1">
      <c r="A556" s="95" t="s">
        <v>3639</v>
      </c>
      <c r="B556" s="95" t="s">
        <v>157</v>
      </c>
      <c r="C556" s="96" t="s">
        <v>3640</v>
      </c>
      <c r="D556" s="95" t="s">
        <v>39</v>
      </c>
      <c r="E556" s="95" t="s">
        <v>39</v>
      </c>
      <c r="F556" s="95" t="s">
        <v>88</v>
      </c>
      <c r="G556" s="95"/>
      <c r="H556" s="95" t="s">
        <v>60</v>
      </c>
      <c r="I556" s="95" t="s">
        <v>3641</v>
      </c>
      <c r="J556" s="97">
        <v>45994.72131434028</v>
      </c>
      <c r="K556" s="96" t="s">
        <v>3642</v>
      </c>
      <c r="L556" s="96" t="s">
        <v>3643</v>
      </c>
      <c r="M556" s="95" t="s">
        <v>38</v>
      </c>
      <c r="N556" s="95" t="s">
        <v>3644</v>
      </c>
      <c r="O556" s="95" t="s">
        <v>3644</v>
      </c>
      <c r="P556" s="95" t="s">
        <v>3645</v>
      </c>
      <c r="Q556" s="98">
        <v>3.0</v>
      </c>
      <c r="R556" s="97">
        <v>45734.10925925926</v>
      </c>
      <c r="S556" s="99">
        <v>340.0</v>
      </c>
      <c r="T556" s="99">
        <v>254.0</v>
      </c>
      <c r="U556" s="99">
        <v>10.0</v>
      </c>
      <c r="V556" s="99">
        <v>843.0</v>
      </c>
      <c r="W556" s="99">
        <v>131682.0</v>
      </c>
    </row>
    <row r="557" ht="15.75" customHeight="1">
      <c r="A557" s="95" t="s">
        <v>3646</v>
      </c>
      <c r="B557" s="95" t="s">
        <v>22</v>
      </c>
      <c r="C557" s="96" t="s">
        <v>3647</v>
      </c>
      <c r="D557" s="95" t="s">
        <v>68</v>
      </c>
      <c r="E557" s="95" t="s">
        <v>769</v>
      </c>
      <c r="F557" s="95" t="s">
        <v>19</v>
      </c>
      <c r="G557" s="95" t="s">
        <v>19</v>
      </c>
      <c r="H557" s="95" t="s">
        <v>21</v>
      </c>
      <c r="I557" s="95" t="s">
        <v>567</v>
      </c>
      <c r="J557" s="97">
        <v>46056.93918255787</v>
      </c>
      <c r="K557" s="95" t="s">
        <v>3648</v>
      </c>
      <c r="L557" s="96" t="s">
        <v>3649</v>
      </c>
      <c r="M557" s="95" t="s">
        <v>503</v>
      </c>
      <c r="N557" s="95" t="s">
        <v>3650</v>
      </c>
      <c r="O557" s="95" t="s">
        <v>3650</v>
      </c>
      <c r="P557" s="95" t="s">
        <v>3651</v>
      </c>
      <c r="Q557" s="98">
        <v>3.0</v>
      </c>
      <c r="R557" s="97">
        <v>45862.95075231481</v>
      </c>
      <c r="S557" s="99">
        <v>973.0</v>
      </c>
      <c r="T557" s="99">
        <v>686.0</v>
      </c>
      <c r="U557" s="99">
        <v>4.0</v>
      </c>
      <c r="V557" s="99">
        <v>631.0</v>
      </c>
      <c r="W557" s="99">
        <v>786909.0</v>
      </c>
    </row>
    <row r="558" ht="15.75" customHeight="1">
      <c r="A558" s="95" t="s">
        <v>3652</v>
      </c>
      <c r="B558" s="95" t="s">
        <v>131</v>
      </c>
      <c r="C558" s="96" t="s">
        <v>3653</v>
      </c>
      <c r="D558" s="95" t="s">
        <v>20</v>
      </c>
      <c r="E558" s="95" t="s">
        <v>638</v>
      </c>
      <c r="F558" s="95" t="s">
        <v>517</v>
      </c>
      <c r="G558" s="95" t="s">
        <v>1532</v>
      </c>
      <c r="H558" s="95" t="s">
        <v>60</v>
      </c>
      <c r="I558" s="95" t="s">
        <v>3654</v>
      </c>
      <c r="J558" s="97">
        <v>46021.49434631944</v>
      </c>
      <c r="K558" s="95" t="s">
        <v>3655</v>
      </c>
      <c r="L558" s="96" t="s">
        <v>3656</v>
      </c>
      <c r="M558" s="95" t="s">
        <v>74</v>
      </c>
      <c r="N558" s="95" t="s">
        <v>3657</v>
      </c>
      <c r="O558" s="95" t="s">
        <v>3657</v>
      </c>
      <c r="P558" s="95" t="s">
        <v>3658</v>
      </c>
      <c r="Q558" s="98">
        <v>3.0</v>
      </c>
      <c r="R558" s="97">
        <v>45898.44439814815</v>
      </c>
      <c r="S558" s="99">
        <v>215.0</v>
      </c>
      <c r="T558" s="99">
        <v>115.0</v>
      </c>
      <c r="U558" s="99">
        <v>27.0</v>
      </c>
      <c r="V558" s="99">
        <v>873.0</v>
      </c>
      <c r="W558" s="99">
        <v>37481.0</v>
      </c>
    </row>
    <row r="559" ht="15.75" customHeight="1">
      <c r="A559" s="95" t="s">
        <v>3659</v>
      </c>
      <c r="B559" s="95" t="s">
        <v>22</v>
      </c>
      <c r="C559" s="96" t="s">
        <v>3660</v>
      </c>
      <c r="D559" s="95" t="s">
        <v>20</v>
      </c>
      <c r="E559" s="95" t="s">
        <v>2261</v>
      </c>
      <c r="F559" s="95" t="s">
        <v>19</v>
      </c>
      <c r="G559" s="95" t="s">
        <v>19</v>
      </c>
      <c r="H559" s="95" t="s">
        <v>21</v>
      </c>
      <c r="I559" s="95" t="s">
        <v>567</v>
      </c>
      <c r="J559" s="97">
        <v>45993.7854622338</v>
      </c>
      <c r="K559" s="96" t="s">
        <v>3661</v>
      </c>
      <c r="L559" s="96" t="s">
        <v>3662</v>
      </c>
      <c r="M559" s="95" t="s">
        <v>17</v>
      </c>
      <c r="N559" s="95" t="s">
        <v>3663</v>
      </c>
      <c r="O559" s="95" t="s">
        <v>3663</v>
      </c>
      <c r="P559" s="95" t="s">
        <v>3664</v>
      </c>
      <c r="Q559" s="98">
        <v>3.0</v>
      </c>
      <c r="R559" s="97">
        <v>45670.55366898148</v>
      </c>
      <c r="S559" s="99">
        <v>1483.0</v>
      </c>
      <c r="T559" s="99">
        <v>30.0</v>
      </c>
      <c r="U559" s="99">
        <v>7.0</v>
      </c>
      <c r="V559" s="99">
        <v>1305.0</v>
      </c>
      <c r="W559" s="99">
        <v>18617.0</v>
      </c>
    </row>
    <row r="560" ht="15.75" customHeight="1">
      <c r="A560" s="95" t="s">
        <v>3665</v>
      </c>
      <c r="B560" s="95" t="s">
        <v>22</v>
      </c>
      <c r="C560" s="96" t="s">
        <v>3666</v>
      </c>
      <c r="D560" s="95" t="s">
        <v>124</v>
      </c>
      <c r="E560" s="95" t="s">
        <v>3127</v>
      </c>
      <c r="F560" s="95" t="s">
        <v>19</v>
      </c>
      <c r="G560" s="95" t="s">
        <v>574</v>
      </c>
      <c r="H560" s="95" t="s">
        <v>21</v>
      </c>
      <c r="I560" s="95" t="s">
        <v>567</v>
      </c>
      <c r="J560" s="97">
        <v>46021.51218559028</v>
      </c>
      <c r="K560" s="95" t="s">
        <v>3667</v>
      </c>
      <c r="L560" s="96" t="s">
        <v>3668</v>
      </c>
      <c r="M560" s="95" t="s">
        <v>93</v>
      </c>
      <c r="N560" s="95" t="s">
        <v>3669</v>
      </c>
      <c r="O560" s="95" t="s">
        <v>3669</v>
      </c>
      <c r="P560" s="95" t="s">
        <v>3670</v>
      </c>
      <c r="Q560" s="98">
        <v>3.0</v>
      </c>
      <c r="R560" s="97">
        <v>45999.62674768519</v>
      </c>
      <c r="S560" s="99">
        <v>208.0</v>
      </c>
      <c r="T560" s="99">
        <v>260.0</v>
      </c>
      <c r="U560" s="99">
        <v>2.0</v>
      </c>
      <c r="V560" s="99">
        <v>93.0</v>
      </c>
      <c r="W560" s="99">
        <v>338400.0</v>
      </c>
    </row>
    <row r="561" ht="15.75" customHeight="1">
      <c r="A561" s="95" t="s">
        <v>3671</v>
      </c>
      <c r="B561" s="95" t="s">
        <v>157</v>
      </c>
      <c r="C561" s="96" t="s">
        <v>3672</v>
      </c>
      <c r="D561" s="95" t="s">
        <v>29</v>
      </c>
      <c r="E561" s="95" t="s">
        <v>910</v>
      </c>
      <c r="F561" s="95" t="s">
        <v>88</v>
      </c>
      <c r="G561" s="95" t="s">
        <v>88</v>
      </c>
      <c r="H561" s="95" t="s">
        <v>89</v>
      </c>
      <c r="I561" s="95" t="s">
        <v>897</v>
      </c>
      <c r="J561" s="97">
        <v>46039.71731052083</v>
      </c>
      <c r="K561" s="95" t="s">
        <v>3673</v>
      </c>
      <c r="L561" s="96" t="s">
        <v>3674</v>
      </c>
      <c r="M561" s="95" t="s">
        <v>93</v>
      </c>
      <c r="N561" s="95" t="s">
        <v>3669</v>
      </c>
      <c r="O561" s="95" t="s">
        <v>3669</v>
      </c>
      <c r="P561" s="95" t="s">
        <v>3670</v>
      </c>
      <c r="Q561" s="98">
        <v>3.0</v>
      </c>
      <c r="R561" s="97">
        <v>45649.37516203704</v>
      </c>
      <c r="S561" s="99">
        <v>208.0</v>
      </c>
      <c r="T561" s="99">
        <v>134.0</v>
      </c>
      <c r="U561" s="99">
        <v>15.0</v>
      </c>
      <c r="V561" s="99">
        <v>70.0</v>
      </c>
      <c r="W561" s="99">
        <v>338400.0</v>
      </c>
    </row>
    <row r="562" ht="15.75" customHeight="1">
      <c r="A562" s="95" t="s">
        <v>3675</v>
      </c>
      <c r="B562" s="95" t="s">
        <v>101</v>
      </c>
      <c r="C562" s="96" t="s">
        <v>3676</v>
      </c>
      <c r="D562" s="95" t="s">
        <v>59</v>
      </c>
      <c r="E562" s="95" t="s">
        <v>1873</v>
      </c>
      <c r="F562" s="95" t="s">
        <v>19</v>
      </c>
      <c r="G562" s="95" t="s">
        <v>19</v>
      </c>
      <c r="H562" s="95" t="s">
        <v>21</v>
      </c>
      <c r="I562" s="95" t="s">
        <v>776</v>
      </c>
      <c r="J562" s="97">
        <v>46003.09721050926</v>
      </c>
      <c r="K562" s="95" t="s">
        <v>3677</v>
      </c>
      <c r="L562" s="96" t="s">
        <v>3678</v>
      </c>
      <c r="M562" s="95" t="s">
        <v>54</v>
      </c>
      <c r="N562" s="95" t="s">
        <v>3679</v>
      </c>
      <c r="O562" s="95" t="s">
        <v>3679</v>
      </c>
      <c r="P562" s="95" t="s">
        <v>3680</v>
      </c>
      <c r="Q562" s="98">
        <v>3.0</v>
      </c>
      <c r="R562" s="97">
        <v>45943.73480324074</v>
      </c>
      <c r="S562" s="99">
        <v>1168.0</v>
      </c>
      <c r="T562" s="99">
        <v>182.0</v>
      </c>
      <c r="U562" s="99">
        <v>12.0</v>
      </c>
      <c r="V562" s="99">
        <v>88.0</v>
      </c>
      <c r="W562" s="99">
        <v>230412.0</v>
      </c>
    </row>
    <row r="563" ht="15.75" customHeight="1">
      <c r="A563" s="95" t="s">
        <v>3681</v>
      </c>
      <c r="B563" s="95" t="s">
        <v>22</v>
      </c>
      <c r="C563" s="96" t="s">
        <v>3682</v>
      </c>
      <c r="D563" s="95" t="s">
        <v>29</v>
      </c>
      <c r="E563" s="95" t="s">
        <v>598</v>
      </c>
      <c r="F563" s="95" t="s">
        <v>19</v>
      </c>
      <c r="G563" s="95" t="s">
        <v>588</v>
      </c>
      <c r="H563" s="95" t="s">
        <v>21</v>
      </c>
      <c r="I563" s="95" t="s">
        <v>677</v>
      </c>
      <c r="J563" s="97">
        <v>46021.50546121527</v>
      </c>
      <c r="K563" s="95" t="s">
        <v>3683</v>
      </c>
      <c r="L563" s="96" t="s">
        <v>3684</v>
      </c>
      <c r="M563" s="95" t="s">
        <v>74</v>
      </c>
      <c r="N563" s="95" t="s">
        <v>3685</v>
      </c>
      <c r="O563" s="95" t="s">
        <v>3685</v>
      </c>
      <c r="P563" s="95" t="s">
        <v>3686</v>
      </c>
      <c r="Q563" s="98">
        <v>3.0</v>
      </c>
      <c r="R563" s="97">
        <v>45766.92820601852</v>
      </c>
      <c r="S563" s="99">
        <v>213.0</v>
      </c>
      <c r="T563" s="99">
        <v>1.0</v>
      </c>
      <c r="U563" s="99">
        <v>1.0</v>
      </c>
      <c r="V563" s="99">
        <v>82.0</v>
      </c>
      <c r="W563" s="99">
        <v>32062.0</v>
      </c>
    </row>
    <row r="564" ht="15.75" customHeight="1">
      <c r="A564" s="95" t="s">
        <v>3687</v>
      </c>
      <c r="B564" s="95" t="s">
        <v>22</v>
      </c>
      <c r="C564" s="96" t="s">
        <v>3688</v>
      </c>
      <c r="D564" s="95" t="s">
        <v>29</v>
      </c>
      <c r="E564" s="95" t="s">
        <v>598</v>
      </c>
      <c r="F564" s="95" t="s">
        <v>19</v>
      </c>
      <c r="G564" s="95" t="s">
        <v>588</v>
      </c>
      <c r="H564" s="95" t="s">
        <v>21</v>
      </c>
      <c r="I564" s="95" t="s">
        <v>567</v>
      </c>
      <c r="J564" s="97">
        <v>45975.67938763889</v>
      </c>
      <c r="K564" s="96" t="s">
        <v>3689</v>
      </c>
      <c r="L564" s="96" t="s">
        <v>3690</v>
      </c>
      <c r="M564" s="95" t="s">
        <v>74</v>
      </c>
      <c r="N564" s="95" t="s">
        <v>3685</v>
      </c>
      <c r="O564" s="95" t="s">
        <v>3685</v>
      </c>
      <c r="P564" s="95" t="s">
        <v>3686</v>
      </c>
      <c r="Q564" s="98">
        <v>3.0</v>
      </c>
      <c r="R564" s="97">
        <v>45638.03586805556</v>
      </c>
      <c r="S564" s="99">
        <v>213.0</v>
      </c>
      <c r="T564" s="99">
        <v>213.0</v>
      </c>
      <c r="U564" s="99">
        <v>27.0</v>
      </c>
      <c r="V564" s="99">
        <v>291.0</v>
      </c>
      <c r="W564" s="99">
        <v>32062.0</v>
      </c>
    </row>
    <row r="565" ht="15.75" customHeight="1">
      <c r="A565" s="95" t="s">
        <v>3691</v>
      </c>
      <c r="B565" s="95" t="s">
        <v>22</v>
      </c>
      <c r="C565" s="96" t="s">
        <v>3692</v>
      </c>
      <c r="D565" s="95" t="s">
        <v>39</v>
      </c>
      <c r="E565" s="95" t="s">
        <v>614</v>
      </c>
      <c r="F565" s="95" t="s">
        <v>19</v>
      </c>
      <c r="G565" s="95" t="s">
        <v>19</v>
      </c>
      <c r="H565" s="95" t="s">
        <v>21</v>
      </c>
      <c r="I565" s="95" t="s">
        <v>677</v>
      </c>
      <c r="J565" s="97">
        <v>46021.50375386574</v>
      </c>
      <c r="K565" s="95" t="s">
        <v>3693</v>
      </c>
      <c r="L565" s="96" t="s">
        <v>3694</v>
      </c>
      <c r="M565" s="95" t="s">
        <v>74</v>
      </c>
      <c r="N565" s="95" t="s">
        <v>3685</v>
      </c>
      <c r="O565" s="95" t="s">
        <v>3685</v>
      </c>
      <c r="P565" s="95" t="s">
        <v>3686</v>
      </c>
      <c r="Q565" s="98">
        <v>3.0</v>
      </c>
      <c r="R565" s="97">
        <v>45641.0675</v>
      </c>
      <c r="S565" s="99">
        <v>213.0</v>
      </c>
      <c r="T565" s="99">
        <v>37.0</v>
      </c>
      <c r="U565" s="99">
        <v>1.0</v>
      </c>
      <c r="V565" s="99">
        <v>45.0</v>
      </c>
      <c r="W565" s="99">
        <v>32062.0</v>
      </c>
    </row>
    <row r="566" ht="15.75" customHeight="1">
      <c r="A566" s="95" t="s">
        <v>3695</v>
      </c>
      <c r="B566" s="95" t="s">
        <v>22</v>
      </c>
      <c r="C566" s="96" t="s">
        <v>3696</v>
      </c>
      <c r="D566" s="95" t="s">
        <v>39</v>
      </c>
      <c r="E566" s="95" t="s">
        <v>614</v>
      </c>
      <c r="F566" s="95" t="s">
        <v>19</v>
      </c>
      <c r="G566" s="95" t="s">
        <v>19</v>
      </c>
      <c r="H566" s="95" t="s">
        <v>21</v>
      </c>
      <c r="I566" s="95" t="s">
        <v>567</v>
      </c>
      <c r="J566" s="97">
        <v>45975.67938763889</v>
      </c>
      <c r="K566" s="96" t="s">
        <v>3697</v>
      </c>
      <c r="L566" s="96" t="s">
        <v>3698</v>
      </c>
      <c r="M566" s="95" t="s">
        <v>74</v>
      </c>
      <c r="N566" s="95" t="s">
        <v>3685</v>
      </c>
      <c r="O566" s="95" t="s">
        <v>3685</v>
      </c>
      <c r="P566" s="95" t="s">
        <v>3686</v>
      </c>
      <c r="Q566" s="98">
        <v>3.0</v>
      </c>
      <c r="R566" s="97">
        <v>45646.94443287037</v>
      </c>
      <c r="S566" s="99">
        <v>213.0</v>
      </c>
      <c r="T566" s="99">
        <v>59.0</v>
      </c>
      <c r="U566" s="99">
        <v>5.0</v>
      </c>
      <c r="V566" s="99">
        <v>90.0</v>
      </c>
      <c r="W566" s="99">
        <v>32062.0</v>
      </c>
    </row>
    <row r="567" ht="15.75" customHeight="1">
      <c r="A567" s="95" t="s">
        <v>3699</v>
      </c>
      <c r="B567" s="95" t="s">
        <v>22</v>
      </c>
      <c r="C567" s="96" t="s">
        <v>3700</v>
      </c>
      <c r="D567" s="95" t="s">
        <v>59</v>
      </c>
      <c r="E567" s="95" t="s">
        <v>665</v>
      </c>
      <c r="F567" s="95" t="s">
        <v>19</v>
      </c>
      <c r="G567" s="95" t="s">
        <v>19</v>
      </c>
      <c r="H567" s="95" t="s">
        <v>21</v>
      </c>
      <c r="I567" s="95" t="s">
        <v>567</v>
      </c>
      <c r="J567" s="97">
        <v>46021.51218559028</v>
      </c>
      <c r="K567" s="95" t="s">
        <v>3701</v>
      </c>
      <c r="L567" s="96" t="s">
        <v>3702</v>
      </c>
      <c r="M567" s="95" t="s">
        <v>54</v>
      </c>
      <c r="N567" s="95" t="s">
        <v>3703</v>
      </c>
      <c r="O567" s="95" t="s">
        <v>3703</v>
      </c>
      <c r="P567" s="95" t="s">
        <v>3704</v>
      </c>
      <c r="Q567" s="98">
        <v>3.0</v>
      </c>
      <c r="R567" s="97">
        <v>45950.41679398148</v>
      </c>
      <c r="S567" s="99">
        <v>65.0</v>
      </c>
      <c r="T567" s="99">
        <v>782.0</v>
      </c>
      <c r="U567" s="99">
        <v>31.0</v>
      </c>
      <c r="V567" s="99">
        <v>371.0</v>
      </c>
      <c r="W567" s="99">
        <v>86508.0</v>
      </c>
    </row>
    <row r="568" ht="15.75" customHeight="1">
      <c r="A568" s="95" t="s">
        <v>3705</v>
      </c>
      <c r="B568" s="95" t="s">
        <v>157</v>
      </c>
      <c r="C568" s="96" t="s">
        <v>3706</v>
      </c>
      <c r="D568" s="95" t="s">
        <v>168</v>
      </c>
      <c r="E568" s="95" t="s">
        <v>3707</v>
      </c>
      <c r="F568" s="95" t="s">
        <v>88</v>
      </c>
      <c r="G568" s="95" t="s">
        <v>88</v>
      </c>
      <c r="H568" s="95" t="s">
        <v>89</v>
      </c>
      <c r="I568" s="95" t="s">
        <v>897</v>
      </c>
      <c r="J568" s="97">
        <v>45975.67930055556</v>
      </c>
      <c r="K568" s="96" t="s">
        <v>3708</v>
      </c>
      <c r="L568" s="96" t="s">
        <v>3709</v>
      </c>
      <c r="M568" s="95" t="s">
        <v>105</v>
      </c>
      <c r="N568" s="95" t="s">
        <v>3710</v>
      </c>
      <c r="O568" s="95" t="s">
        <v>3710</v>
      </c>
      <c r="P568" s="95" t="s">
        <v>3711</v>
      </c>
      <c r="Q568" s="98">
        <v>3.0</v>
      </c>
      <c r="R568" s="97">
        <v>45287.44269675926</v>
      </c>
      <c r="S568" s="99">
        <v>367.0</v>
      </c>
      <c r="T568" s="99">
        <v>144.0</v>
      </c>
      <c r="U568" s="99">
        <v>2.0</v>
      </c>
      <c r="V568" s="99">
        <v>159.0</v>
      </c>
      <c r="W568" s="99">
        <v>3144546.0</v>
      </c>
    </row>
    <row r="569" ht="15.75" customHeight="1">
      <c r="A569" s="95" t="s">
        <v>3712</v>
      </c>
      <c r="B569" s="95" t="s">
        <v>69</v>
      </c>
      <c r="C569" s="96" t="s">
        <v>3713</v>
      </c>
      <c r="D569" s="95" t="s">
        <v>168</v>
      </c>
      <c r="E569" s="95" t="s">
        <v>168</v>
      </c>
      <c r="F569" s="95" t="s">
        <v>88</v>
      </c>
      <c r="G569" s="95" t="s">
        <v>88</v>
      </c>
      <c r="H569" s="95" t="s">
        <v>60</v>
      </c>
      <c r="I569" s="95" t="s">
        <v>2410</v>
      </c>
      <c r="J569" s="97">
        <v>45992.53576396991</v>
      </c>
      <c r="K569" s="95" t="s">
        <v>3714</v>
      </c>
      <c r="L569" s="95"/>
      <c r="M569" s="95" t="s">
        <v>105</v>
      </c>
      <c r="N569" s="95" t="s">
        <v>3715</v>
      </c>
      <c r="O569" s="95" t="s">
        <v>3715</v>
      </c>
      <c r="P569" s="95" t="s">
        <v>3716</v>
      </c>
      <c r="Q569" s="98">
        <v>3.0</v>
      </c>
      <c r="R569" s="97">
        <v>45975.49784722222</v>
      </c>
      <c r="S569" s="99">
        <v>115.0</v>
      </c>
      <c r="T569" s="99">
        <v>325.0</v>
      </c>
      <c r="U569" s="99">
        <v>5.0</v>
      </c>
      <c r="V569" s="99">
        <v>812.0</v>
      </c>
      <c r="W569" s="99">
        <v>72300.0</v>
      </c>
    </row>
    <row r="570" ht="15.75" customHeight="1">
      <c r="A570" s="95" t="s">
        <v>3717</v>
      </c>
      <c r="B570" s="95" t="s">
        <v>22</v>
      </c>
      <c r="C570" s="96" t="s">
        <v>3718</v>
      </c>
      <c r="D570" s="95" t="s">
        <v>124</v>
      </c>
      <c r="E570" s="95" t="s">
        <v>124</v>
      </c>
      <c r="F570" s="95" t="s">
        <v>19</v>
      </c>
      <c r="G570" s="95" t="s">
        <v>19</v>
      </c>
      <c r="H570" s="95" t="s">
        <v>21</v>
      </c>
      <c r="I570" s="95" t="s">
        <v>567</v>
      </c>
      <c r="J570" s="97">
        <v>46021.51218559028</v>
      </c>
      <c r="K570" s="95" t="s">
        <v>3719</v>
      </c>
      <c r="L570" s="96" t="s">
        <v>3720</v>
      </c>
      <c r="M570" s="95" t="s">
        <v>54</v>
      </c>
      <c r="N570" s="95" t="s">
        <v>3721</v>
      </c>
      <c r="O570" s="95" t="s">
        <v>3721</v>
      </c>
      <c r="P570" s="95" t="s">
        <v>3722</v>
      </c>
      <c r="Q570" s="98">
        <v>3.0</v>
      </c>
      <c r="R570" s="97">
        <v>45922.66668981482</v>
      </c>
      <c r="S570" s="99">
        <v>54.0</v>
      </c>
      <c r="T570" s="99">
        <v>1966.0</v>
      </c>
      <c r="U570" s="99">
        <v>5.0</v>
      </c>
      <c r="V570" s="99">
        <v>750.0</v>
      </c>
      <c r="W570" s="99">
        <v>153970.0</v>
      </c>
    </row>
    <row r="571" ht="15.75" customHeight="1">
      <c r="A571" s="95" t="s">
        <v>3723</v>
      </c>
      <c r="B571" s="95" t="s">
        <v>22</v>
      </c>
      <c r="C571" s="96" t="s">
        <v>3724</v>
      </c>
      <c r="D571" s="95" t="s">
        <v>124</v>
      </c>
      <c r="E571" s="95" t="s">
        <v>124</v>
      </c>
      <c r="F571" s="95" t="s">
        <v>19</v>
      </c>
      <c r="G571" s="95" t="s">
        <v>19</v>
      </c>
      <c r="H571" s="95" t="s">
        <v>21</v>
      </c>
      <c r="I571" s="95" t="s">
        <v>567</v>
      </c>
      <c r="J571" s="97">
        <v>46021.51218559028</v>
      </c>
      <c r="K571" s="95" t="s">
        <v>3725</v>
      </c>
      <c r="L571" s="96" t="s">
        <v>3726</v>
      </c>
      <c r="M571" s="95" t="s">
        <v>54</v>
      </c>
      <c r="N571" s="95" t="s">
        <v>3721</v>
      </c>
      <c r="O571" s="95" t="s">
        <v>3721</v>
      </c>
      <c r="P571" s="95" t="s">
        <v>3722</v>
      </c>
      <c r="Q571" s="98">
        <v>3.0</v>
      </c>
      <c r="R571" s="97">
        <v>45946.77131944444</v>
      </c>
      <c r="S571" s="99">
        <v>54.0</v>
      </c>
      <c r="T571" s="99">
        <v>1989.0</v>
      </c>
      <c r="U571" s="99">
        <v>1.0</v>
      </c>
      <c r="V571" s="99">
        <v>124.0</v>
      </c>
      <c r="W571" s="99">
        <v>153970.0</v>
      </c>
    </row>
    <row r="572" ht="15.75" customHeight="1">
      <c r="A572" s="95" t="s">
        <v>3727</v>
      </c>
      <c r="B572" s="95" t="s">
        <v>22</v>
      </c>
      <c r="C572" s="96" t="s">
        <v>3728</v>
      </c>
      <c r="D572" s="95" t="s">
        <v>39</v>
      </c>
      <c r="E572" s="95" t="s">
        <v>614</v>
      </c>
      <c r="F572" s="95" t="s">
        <v>19</v>
      </c>
      <c r="G572" s="95"/>
      <c r="H572" s="95" t="s">
        <v>21</v>
      </c>
      <c r="I572" s="95" t="s">
        <v>589</v>
      </c>
      <c r="J572" s="97">
        <v>46069.66372851852</v>
      </c>
      <c r="K572" s="95" t="s">
        <v>3729</v>
      </c>
      <c r="L572" s="96" t="s">
        <v>3730</v>
      </c>
      <c r="M572" s="95" t="s">
        <v>503</v>
      </c>
      <c r="N572" s="95" t="s">
        <v>3731</v>
      </c>
      <c r="O572" s="95" t="s">
        <v>3731</v>
      </c>
      <c r="P572" s="95" t="s">
        <v>3732</v>
      </c>
      <c r="Q572" s="98">
        <v>3.0</v>
      </c>
      <c r="R572" s="97">
        <v>45717.84443287037</v>
      </c>
      <c r="S572" s="99">
        <v>2370.0</v>
      </c>
      <c r="T572" s="99">
        <v>402.0</v>
      </c>
      <c r="U572" s="99">
        <v>6.0</v>
      </c>
      <c r="V572" s="99">
        <v>45.0</v>
      </c>
      <c r="W572" s="99">
        <v>320780.0</v>
      </c>
    </row>
    <row r="573" ht="15.75" customHeight="1">
      <c r="A573" s="95" t="s">
        <v>150</v>
      </c>
      <c r="B573" s="95" t="s">
        <v>131</v>
      </c>
      <c r="C573" s="96" t="s">
        <v>154</v>
      </c>
      <c r="D573" s="95" t="s">
        <v>49</v>
      </c>
      <c r="E573" s="95" t="s">
        <v>948</v>
      </c>
      <c r="F573" s="95" t="s">
        <v>19</v>
      </c>
      <c r="G573" s="95" t="s">
        <v>19</v>
      </c>
      <c r="H573" s="95" t="s">
        <v>21</v>
      </c>
      <c r="I573" s="95" t="s">
        <v>647</v>
      </c>
      <c r="J573" s="97">
        <v>46021.49434631944</v>
      </c>
      <c r="K573" s="95" t="s">
        <v>153</v>
      </c>
      <c r="L573" s="96" t="s">
        <v>152</v>
      </c>
      <c r="M573" s="95" t="s">
        <v>54</v>
      </c>
      <c r="N573" s="95" t="s">
        <v>151</v>
      </c>
      <c r="O573" s="95" t="s">
        <v>151</v>
      </c>
      <c r="P573" s="95" t="s">
        <v>3733</v>
      </c>
      <c r="Q573" s="98">
        <v>3.0</v>
      </c>
      <c r="R573" s="97">
        <v>45757.64092592592</v>
      </c>
      <c r="S573" s="99">
        <v>200.0</v>
      </c>
      <c r="T573" s="99">
        <v>93.0</v>
      </c>
      <c r="U573" s="99">
        <v>10.0</v>
      </c>
      <c r="V573" s="99">
        <v>703.0</v>
      </c>
      <c r="W573" s="99">
        <v>18961.0</v>
      </c>
    </row>
    <row r="574" ht="15.75" customHeight="1">
      <c r="A574" s="95" t="s">
        <v>3734</v>
      </c>
      <c r="B574" s="95" t="s">
        <v>22</v>
      </c>
      <c r="C574" s="96" t="s">
        <v>3735</v>
      </c>
      <c r="D574" s="95" t="s">
        <v>49</v>
      </c>
      <c r="E574" s="95" t="s">
        <v>948</v>
      </c>
      <c r="F574" s="95" t="s">
        <v>88</v>
      </c>
      <c r="G574" s="95" t="s">
        <v>88</v>
      </c>
      <c r="H574" s="95" t="s">
        <v>21</v>
      </c>
      <c r="I574" s="95" t="s">
        <v>567</v>
      </c>
      <c r="J574" s="97">
        <v>46002.69323605324</v>
      </c>
      <c r="K574" s="95" t="s">
        <v>3736</v>
      </c>
      <c r="L574" s="96" t="s">
        <v>3737</v>
      </c>
      <c r="M574" s="95" t="s">
        <v>54</v>
      </c>
      <c r="N574" s="95" t="s">
        <v>3738</v>
      </c>
      <c r="O574" s="95" t="s">
        <v>3738</v>
      </c>
      <c r="P574" s="95" t="s">
        <v>3739</v>
      </c>
      <c r="Q574" s="98">
        <v>3.0</v>
      </c>
      <c r="R574" s="97">
        <v>45699.10226851852</v>
      </c>
      <c r="S574" s="99">
        <v>807.0</v>
      </c>
      <c r="T574" s="99">
        <v>6.0</v>
      </c>
      <c r="U574" s="99">
        <v>13.0</v>
      </c>
      <c r="V574" s="99">
        <v>129.0</v>
      </c>
      <c r="W574" s="99">
        <v>25200.0</v>
      </c>
    </row>
    <row r="575" ht="15.75" customHeight="1">
      <c r="A575" s="95" t="s">
        <v>3740</v>
      </c>
      <c r="B575" s="95" t="s">
        <v>131</v>
      </c>
      <c r="C575" s="96" t="s">
        <v>3741</v>
      </c>
      <c r="D575" s="95" t="s">
        <v>39</v>
      </c>
      <c r="E575" s="95" t="s">
        <v>39</v>
      </c>
      <c r="F575" s="95" t="s">
        <v>58</v>
      </c>
      <c r="G575" s="95" t="s">
        <v>1450</v>
      </c>
      <c r="H575" s="95" t="s">
        <v>60</v>
      </c>
      <c r="I575" s="95" t="s">
        <v>795</v>
      </c>
      <c r="J575" s="97">
        <v>46021.51218559028</v>
      </c>
      <c r="K575" s="95" t="s">
        <v>3742</v>
      </c>
      <c r="L575" s="96" t="s">
        <v>3743</v>
      </c>
      <c r="M575" s="95" t="s">
        <v>38</v>
      </c>
      <c r="N575" s="95" t="s">
        <v>3744</v>
      </c>
      <c r="O575" s="95" t="s">
        <v>3744</v>
      </c>
      <c r="P575" s="95" t="s">
        <v>3745</v>
      </c>
      <c r="Q575" s="98">
        <v>3.0</v>
      </c>
      <c r="R575" s="97">
        <v>45975.88690972222</v>
      </c>
      <c r="S575" s="99">
        <v>69.0</v>
      </c>
      <c r="T575" s="99">
        <v>93.0</v>
      </c>
      <c r="U575" s="99">
        <v>3.0</v>
      </c>
      <c r="V575" s="99">
        <v>20.0</v>
      </c>
      <c r="W575" s="99">
        <v>24947.0</v>
      </c>
    </row>
    <row r="576" ht="15.75" customHeight="1">
      <c r="A576" s="95" t="s">
        <v>3746</v>
      </c>
      <c r="B576" s="95" t="s">
        <v>131</v>
      </c>
      <c r="C576" s="96" t="s">
        <v>3747</v>
      </c>
      <c r="D576" s="95" t="s">
        <v>20</v>
      </c>
      <c r="E576" s="95" t="s">
        <v>762</v>
      </c>
      <c r="F576" s="95" t="s">
        <v>19</v>
      </c>
      <c r="G576" s="95" t="s">
        <v>574</v>
      </c>
      <c r="H576" s="95" t="s">
        <v>21</v>
      </c>
      <c r="I576" s="95" t="s">
        <v>647</v>
      </c>
      <c r="J576" s="97">
        <v>45975.67938763889</v>
      </c>
      <c r="K576" s="96" t="s">
        <v>3748</v>
      </c>
      <c r="L576" s="96" t="s">
        <v>3749</v>
      </c>
      <c r="M576" s="95" t="s">
        <v>74</v>
      </c>
      <c r="N576" s="95" t="s">
        <v>3750</v>
      </c>
      <c r="O576" s="95" t="s">
        <v>3750</v>
      </c>
      <c r="P576" s="95" t="s">
        <v>3751</v>
      </c>
      <c r="Q576" s="98">
        <v>3.0</v>
      </c>
      <c r="R576" s="97">
        <v>45861.65628472222</v>
      </c>
      <c r="S576" s="99">
        <v>101.0</v>
      </c>
      <c r="T576" s="99">
        <v>34.0</v>
      </c>
      <c r="U576" s="99">
        <v>7.0</v>
      </c>
      <c r="V576" s="99">
        <v>305.0</v>
      </c>
      <c r="W576" s="99">
        <v>26844.0</v>
      </c>
    </row>
    <row r="577" ht="15.75" customHeight="1">
      <c r="A577" s="95" t="s">
        <v>3752</v>
      </c>
      <c r="B577" s="95" t="s">
        <v>22</v>
      </c>
      <c r="C577" s="96" t="s">
        <v>3753</v>
      </c>
      <c r="D577" s="95" t="s">
        <v>124</v>
      </c>
      <c r="E577" s="95" t="s">
        <v>983</v>
      </c>
      <c r="F577" s="95" t="s">
        <v>19</v>
      </c>
      <c r="G577" s="95" t="s">
        <v>19</v>
      </c>
      <c r="H577" s="95" t="s">
        <v>21</v>
      </c>
      <c r="I577" s="95" t="s">
        <v>567</v>
      </c>
      <c r="J577" s="97">
        <v>46072.52187609953</v>
      </c>
      <c r="K577" s="95" t="s">
        <v>3754</v>
      </c>
      <c r="L577" s="95"/>
      <c r="M577" s="95" t="s">
        <v>74</v>
      </c>
      <c r="N577" s="95" t="s">
        <v>3755</v>
      </c>
      <c r="O577" s="95" t="s">
        <v>3755</v>
      </c>
      <c r="P577" s="95" t="s">
        <v>3756</v>
      </c>
      <c r="Q577" s="98">
        <v>3.0</v>
      </c>
      <c r="R577" s="97">
        <v>45840.53425925926</v>
      </c>
      <c r="S577" s="99">
        <v>2555.0</v>
      </c>
      <c r="T577" s="99">
        <v>184.0</v>
      </c>
      <c r="U577" s="99">
        <v>2.0</v>
      </c>
      <c r="V577" s="99">
        <v>590.0</v>
      </c>
      <c r="W577" s="99">
        <v>161366.0</v>
      </c>
    </row>
    <row r="578" ht="15.75" customHeight="1">
      <c r="A578" s="95" t="s">
        <v>3757</v>
      </c>
      <c r="B578" s="95" t="s">
        <v>69</v>
      </c>
      <c r="C578" s="96" t="s">
        <v>3758</v>
      </c>
      <c r="D578" s="95" t="s">
        <v>49</v>
      </c>
      <c r="E578" s="95" t="s">
        <v>948</v>
      </c>
      <c r="F578" s="95" t="s">
        <v>19</v>
      </c>
      <c r="G578" s="95" t="s">
        <v>19</v>
      </c>
      <c r="H578" s="95" t="s">
        <v>21</v>
      </c>
      <c r="I578" s="95" t="s">
        <v>998</v>
      </c>
      <c r="J578" s="97">
        <v>46021.51218559028</v>
      </c>
      <c r="K578" s="95" t="s">
        <v>3759</v>
      </c>
      <c r="L578" s="96" t="s">
        <v>3760</v>
      </c>
      <c r="M578" s="95" t="s">
        <v>54</v>
      </c>
      <c r="N578" s="95" t="s">
        <v>3761</v>
      </c>
      <c r="O578" s="95" t="s">
        <v>3761</v>
      </c>
      <c r="P578" s="95" t="s">
        <v>3762</v>
      </c>
      <c r="Q578" s="98">
        <v>3.0</v>
      </c>
      <c r="R578" s="97">
        <v>45951.70719907407</v>
      </c>
      <c r="S578" s="99">
        <v>358.0</v>
      </c>
      <c r="T578" s="99">
        <v>121.0</v>
      </c>
      <c r="U578" s="99">
        <v>9.0</v>
      </c>
      <c r="V578" s="99">
        <v>151.0</v>
      </c>
      <c r="W578" s="99">
        <v>76344.0</v>
      </c>
    </row>
    <row r="579" ht="15.75" customHeight="1">
      <c r="A579" s="95" t="s">
        <v>3763</v>
      </c>
      <c r="B579" s="95" t="s">
        <v>22</v>
      </c>
      <c r="C579" s="96" t="s">
        <v>3764</v>
      </c>
      <c r="D579" s="95" t="s">
        <v>49</v>
      </c>
      <c r="E579" s="95" t="s">
        <v>948</v>
      </c>
      <c r="F579" s="95" t="s">
        <v>19</v>
      </c>
      <c r="G579" s="95" t="s">
        <v>19</v>
      </c>
      <c r="H579" s="95" t="s">
        <v>21</v>
      </c>
      <c r="I579" s="95" t="s">
        <v>567</v>
      </c>
      <c r="J579" s="97">
        <v>46021.49434631944</v>
      </c>
      <c r="K579" s="95" t="s">
        <v>3765</v>
      </c>
      <c r="L579" s="96" t="s">
        <v>3766</v>
      </c>
      <c r="M579" s="95" t="s">
        <v>54</v>
      </c>
      <c r="N579" s="95" t="s">
        <v>3761</v>
      </c>
      <c r="O579" s="95" t="s">
        <v>3761</v>
      </c>
      <c r="P579" s="95" t="s">
        <v>3762</v>
      </c>
      <c r="Q579" s="98">
        <v>3.0</v>
      </c>
      <c r="R579" s="97">
        <v>45832.69145833333</v>
      </c>
      <c r="S579" s="99">
        <v>358.0</v>
      </c>
      <c r="T579" s="99">
        <v>263.0</v>
      </c>
      <c r="U579" s="99">
        <v>8.0</v>
      </c>
      <c r="V579" s="99">
        <v>74.0</v>
      </c>
      <c r="W579" s="99">
        <v>76344.0</v>
      </c>
    </row>
    <row r="580" ht="15.75" customHeight="1">
      <c r="A580" s="95" t="s">
        <v>3767</v>
      </c>
      <c r="B580" s="95" t="s">
        <v>22</v>
      </c>
      <c r="C580" s="96" t="s">
        <v>3768</v>
      </c>
      <c r="D580" s="95" t="s">
        <v>39</v>
      </c>
      <c r="E580" s="95" t="s">
        <v>614</v>
      </c>
      <c r="F580" s="95" t="s">
        <v>19</v>
      </c>
      <c r="G580" s="95" t="s">
        <v>574</v>
      </c>
      <c r="H580" s="95" t="s">
        <v>21</v>
      </c>
      <c r="I580" s="95" t="s">
        <v>567</v>
      </c>
      <c r="J580" s="97">
        <v>46021.51218559028</v>
      </c>
      <c r="K580" s="95" t="s">
        <v>3769</v>
      </c>
      <c r="L580" s="96" t="s">
        <v>3770</v>
      </c>
      <c r="M580" s="95" t="s">
        <v>93</v>
      </c>
      <c r="N580" s="95" t="s">
        <v>3771</v>
      </c>
      <c r="O580" s="95" t="s">
        <v>3771</v>
      </c>
      <c r="P580" s="95" t="s">
        <v>3772</v>
      </c>
      <c r="Q580" s="98">
        <v>3.0</v>
      </c>
      <c r="R580" s="97">
        <v>45786.60152777778</v>
      </c>
      <c r="S580" s="99">
        <v>110.0</v>
      </c>
      <c r="T580" s="99">
        <v>327.0</v>
      </c>
      <c r="U580" s="99">
        <v>9.0</v>
      </c>
      <c r="V580" s="99">
        <v>293.0</v>
      </c>
      <c r="W580" s="99">
        <v>62235.0</v>
      </c>
    </row>
    <row r="581" ht="15.75" customHeight="1">
      <c r="A581" s="95" t="s">
        <v>3773</v>
      </c>
      <c r="B581" s="95" t="s">
        <v>101</v>
      </c>
      <c r="C581" s="96" t="s">
        <v>3774</v>
      </c>
      <c r="D581" s="95" t="s">
        <v>130</v>
      </c>
      <c r="E581" s="95" t="s">
        <v>917</v>
      </c>
      <c r="F581" s="95" t="s">
        <v>19</v>
      </c>
      <c r="G581" s="95" t="s">
        <v>19</v>
      </c>
      <c r="H581" s="95" t="s">
        <v>21</v>
      </c>
      <c r="I581" s="95" t="s">
        <v>3775</v>
      </c>
      <c r="J581" s="97">
        <v>46008.62902928241</v>
      </c>
      <c r="K581" s="96" t="s">
        <v>3776</v>
      </c>
      <c r="L581" s="96" t="s">
        <v>3777</v>
      </c>
      <c r="M581" s="95" t="s">
        <v>17</v>
      </c>
      <c r="N581" s="95" t="s">
        <v>3778</v>
      </c>
      <c r="O581" s="95" t="s">
        <v>3778</v>
      </c>
      <c r="P581" s="95" t="s">
        <v>3779</v>
      </c>
      <c r="Q581" s="98">
        <v>3.0</v>
      </c>
      <c r="R581" s="97">
        <v>45880.47982638889</v>
      </c>
      <c r="S581" s="99">
        <v>78.0</v>
      </c>
      <c r="T581" s="99">
        <v>90.0</v>
      </c>
      <c r="U581" s="99">
        <v>7.0</v>
      </c>
      <c r="V581" s="99">
        <v>243.0</v>
      </c>
      <c r="W581" s="99">
        <v>36628.0</v>
      </c>
    </row>
    <row r="582" ht="15.75" customHeight="1">
      <c r="A582" s="95" t="s">
        <v>3780</v>
      </c>
      <c r="B582" s="95" t="s">
        <v>22</v>
      </c>
      <c r="C582" s="96" t="s">
        <v>3781</v>
      </c>
      <c r="D582" s="95" t="s">
        <v>39</v>
      </c>
      <c r="E582" s="95" t="s">
        <v>39</v>
      </c>
      <c r="F582" s="95" t="s">
        <v>19</v>
      </c>
      <c r="G582" s="95" t="s">
        <v>19</v>
      </c>
      <c r="H582" s="95" t="s">
        <v>21</v>
      </c>
      <c r="I582" s="95" t="s">
        <v>567</v>
      </c>
      <c r="J582" s="97">
        <v>46056.94379803241</v>
      </c>
      <c r="K582" s="95" t="s">
        <v>3782</v>
      </c>
      <c r="L582" s="96" t="s">
        <v>3783</v>
      </c>
      <c r="M582" s="95" t="s">
        <v>93</v>
      </c>
      <c r="N582" s="95" t="s">
        <v>3784</v>
      </c>
      <c r="O582" s="95" t="s">
        <v>3784</v>
      </c>
      <c r="P582" s="95" t="s">
        <v>3785</v>
      </c>
      <c r="Q582" s="98">
        <v>3.0</v>
      </c>
      <c r="R582" s="97">
        <v>46012.67002314814</v>
      </c>
      <c r="S582" s="99">
        <v>226.0</v>
      </c>
      <c r="T582" s="99">
        <v>456.0</v>
      </c>
      <c r="U582" s="99">
        <v>15.0</v>
      </c>
      <c r="V582" s="99">
        <v>147.0</v>
      </c>
      <c r="W582" s="99">
        <v>18280.0</v>
      </c>
    </row>
    <row r="583" ht="15.75" customHeight="1">
      <c r="A583" s="95" t="s">
        <v>3786</v>
      </c>
      <c r="B583" s="95" t="s">
        <v>157</v>
      </c>
      <c r="C583" s="96" t="s">
        <v>3787</v>
      </c>
      <c r="D583" s="95" t="s">
        <v>124</v>
      </c>
      <c r="E583" s="95" t="s">
        <v>124</v>
      </c>
      <c r="F583" s="95" t="s">
        <v>88</v>
      </c>
      <c r="G583" s="95" t="s">
        <v>88</v>
      </c>
      <c r="H583" s="95" t="s">
        <v>89</v>
      </c>
      <c r="I583" s="95" t="s">
        <v>897</v>
      </c>
      <c r="J583" s="97">
        <v>45975.67938763889</v>
      </c>
      <c r="K583" s="96" t="s">
        <v>3788</v>
      </c>
      <c r="L583" s="95"/>
      <c r="M583" s="95" t="s">
        <v>74</v>
      </c>
      <c r="N583" s="95" t="s">
        <v>3789</v>
      </c>
      <c r="O583" s="95" t="s">
        <v>3789</v>
      </c>
      <c r="P583" s="95" t="s">
        <v>3790</v>
      </c>
      <c r="Q583" s="98">
        <v>3.0</v>
      </c>
      <c r="R583" s="97">
        <v>45930.53107638889</v>
      </c>
      <c r="S583" s="99">
        <v>4723.0</v>
      </c>
      <c r="T583" s="99">
        <v>27.0</v>
      </c>
      <c r="U583" s="99">
        <v>3.0</v>
      </c>
      <c r="V583" s="99">
        <v>69.0</v>
      </c>
      <c r="W583" s="99">
        <v>999999.0</v>
      </c>
    </row>
    <row r="584" ht="15.75" customHeight="1">
      <c r="A584" s="95" t="s">
        <v>3791</v>
      </c>
      <c r="B584" s="95" t="s">
        <v>22</v>
      </c>
      <c r="C584" s="96" t="s">
        <v>3792</v>
      </c>
      <c r="D584" s="95" t="s">
        <v>29</v>
      </c>
      <c r="E584" s="95" t="s">
        <v>3793</v>
      </c>
      <c r="F584" s="95" t="s">
        <v>19</v>
      </c>
      <c r="G584" s="95" t="s">
        <v>19</v>
      </c>
      <c r="H584" s="95" t="s">
        <v>21</v>
      </c>
      <c r="I584" s="95" t="s">
        <v>1026</v>
      </c>
      <c r="J584" s="97">
        <v>45975.67938763889</v>
      </c>
      <c r="K584" s="96" t="s">
        <v>3794</v>
      </c>
      <c r="L584" s="95"/>
      <c r="M584" s="95" t="s">
        <v>74</v>
      </c>
      <c r="N584" s="95" t="s">
        <v>3795</v>
      </c>
      <c r="O584" s="95" t="s">
        <v>3795</v>
      </c>
      <c r="P584" s="95" t="s">
        <v>3796</v>
      </c>
      <c r="Q584" s="98">
        <v>3.0</v>
      </c>
      <c r="R584" s="97">
        <v>45641.19761574074</v>
      </c>
      <c r="S584" s="99">
        <v>3227.0</v>
      </c>
      <c r="T584" s="99">
        <v>48.0</v>
      </c>
      <c r="U584" s="99">
        <v>5.0</v>
      </c>
      <c r="V584" s="99">
        <v>117.0</v>
      </c>
      <c r="W584" s="99">
        <v>6523.0</v>
      </c>
    </row>
    <row r="585" ht="15.75" customHeight="1">
      <c r="A585" s="95" t="s">
        <v>3797</v>
      </c>
      <c r="B585" s="95" t="s">
        <v>22</v>
      </c>
      <c r="C585" s="96" t="s">
        <v>3798</v>
      </c>
      <c r="D585" s="95" t="s">
        <v>29</v>
      </c>
      <c r="E585" s="95" t="s">
        <v>3793</v>
      </c>
      <c r="F585" s="95" t="s">
        <v>19</v>
      </c>
      <c r="G585" s="95" t="s">
        <v>588</v>
      </c>
      <c r="H585" s="95" t="s">
        <v>21</v>
      </c>
      <c r="I585" s="95" t="s">
        <v>589</v>
      </c>
      <c r="J585" s="97">
        <v>45975.67938763889</v>
      </c>
      <c r="K585" s="96" t="s">
        <v>3799</v>
      </c>
      <c r="L585" s="95"/>
      <c r="M585" s="95" t="s">
        <v>74</v>
      </c>
      <c r="N585" s="95" t="s">
        <v>3795</v>
      </c>
      <c r="O585" s="95" t="s">
        <v>3795</v>
      </c>
      <c r="P585" s="95" t="s">
        <v>3796</v>
      </c>
      <c r="Q585" s="98">
        <v>3.0</v>
      </c>
      <c r="R585" s="97">
        <v>45904.60645833334</v>
      </c>
      <c r="S585" s="99">
        <v>3227.0</v>
      </c>
      <c r="T585" s="99">
        <v>58.0</v>
      </c>
      <c r="U585" s="99">
        <v>2.0</v>
      </c>
      <c r="V585" s="99">
        <v>19.0</v>
      </c>
      <c r="W585" s="99">
        <v>6523.0</v>
      </c>
    </row>
    <row r="586" ht="15.75" customHeight="1">
      <c r="A586" s="95" t="s">
        <v>3800</v>
      </c>
      <c r="B586" s="95" t="s">
        <v>22</v>
      </c>
      <c r="C586" s="96" t="s">
        <v>3801</v>
      </c>
      <c r="D586" s="95" t="s">
        <v>29</v>
      </c>
      <c r="E586" s="95" t="s">
        <v>3793</v>
      </c>
      <c r="F586" s="95" t="s">
        <v>19</v>
      </c>
      <c r="G586" s="95" t="s">
        <v>19</v>
      </c>
      <c r="H586" s="95" t="s">
        <v>21</v>
      </c>
      <c r="I586" s="95" t="s">
        <v>589</v>
      </c>
      <c r="J586" s="97">
        <v>46061.01620353009</v>
      </c>
      <c r="K586" s="95" t="s">
        <v>3802</v>
      </c>
      <c r="L586" s="96" t="s">
        <v>3803</v>
      </c>
      <c r="M586" s="95" t="s">
        <v>74</v>
      </c>
      <c r="N586" s="95" t="s">
        <v>3795</v>
      </c>
      <c r="O586" s="95" t="s">
        <v>3795</v>
      </c>
      <c r="P586" s="95" t="s">
        <v>3796</v>
      </c>
      <c r="Q586" s="98">
        <v>3.0</v>
      </c>
      <c r="R586" s="97">
        <v>45959.62965277778</v>
      </c>
      <c r="S586" s="99">
        <v>3227.0</v>
      </c>
      <c r="T586" s="99">
        <v>60.0</v>
      </c>
      <c r="U586" s="99">
        <v>1.0</v>
      </c>
      <c r="V586" s="99">
        <v>40.0</v>
      </c>
      <c r="W586" s="99">
        <v>6523.0</v>
      </c>
    </row>
    <row r="587" ht="15.75" customHeight="1">
      <c r="A587" s="95" t="s">
        <v>3804</v>
      </c>
      <c r="B587" s="95" t="s">
        <v>22</v>
      </c>
      <c r="C587" s="96" t="s">
        <v>3805</v>
      </c>
      <c r="D587" s="95" t="s">
        <v>59</v>
      </c>
      <c r="E587" s="95" t="s">
        <v>665</v>
      </c>
      <c r="F587" s="95" t="s">
        <v>19</v>
      </c>
      <c r="G587" s="95" t="s">
        <v>19</v>
      </c>
      <c r="H587" s="95" t="s">
        <v>21</v>
      </c>
      <c r="I587" s="95" t="s">
        <v>567</v>
      </c>
      <c r="J587" s="97">
        <v>45975.67931630787</v>
      </c>
      <c r="K587" s="96" t="s">
        <v>3806</v>
      </c>
      <c r="L587" s="96" t="s">
        <v>3807</v>
      </c>
      <c r="M587" s="95" t="s">
        <v>54</v>
      </c>
      <c r="N587" s="95" t="s">
        <v>3808</v>
      </c>
      <c r="O587" s="95" t="s">
        <v>3808</v>
      </c>
      <c r="P587" s="95" t="s">
        <v>3809</v>
      </c>
      <c r="Q587" s="98">
        <v>3.0</v>
      </c>
      <c r="R587" s="97">
        <v>45903.7457175926</v>
      </c>
      <c r="S587" s="99">
        <v>6004.0</v>
      </c>
      <c r="T587" s="99">
        <v>25.0</v>
      </c>
      <c r="U587" s="99">
        <v>13.0</v>
      </c>
      <c r="V587" s="99">
        <v>353.0</v>
      </c>
      <c r="W587" s="99">
        <v>244216.0</v>
      </c>
    </row>
    <row r="588" ht="15.75" customHeight="1">
      <c r="A588" s="95" t="s">
        <v>3810</v>
      </c>
      <c r="B588" s="95" t="s">
        <v>22</v>
      </c>
      <c r="C588" s="96" t="s">
        <v>3811</v>
      </c>
      <c r="D588" s="95" t="s">
        <v>59</v>
      </c>
      <c r="E588" s="95" t="s">
        <v>1151</v>
      </c>
      <c r="F588" s="95" t="s">
        <v>19</v>
      </c>
      <c r="G588" s="95" t="s">
        <v>588</v>
      </c>
      <c r="H588" s="95" t="s">
        <v>21</v>
      </c>
      <c r="I588" s="95" t="s">
        <v>677</v>
      </c>
      <c r="J588" s="97">
        <v>45975.67931630787</v>
      </c>
      <c r="K588" s="96" t="s">
        <v>3812</v>
      </c>
      <c r="L588" s="96" t="s">
        <v>3813</v>
      </c>
      <c r="M588" s="95" t="s">
        <v>54</v>
      </c>
      <c r="N588" s="95" t="s">
        <v>3808</v>
      </c>
      <c r="O588" s="95" t="s">
        <v>3808</v>
      </c>
      <c r="P588" s="95" t="s">
        <v>3809</v>
      </c>
      <c r="Q588" s="98">
        <v>3.0</v>
      </c>
      <c r="R588" s="97">
        <v>45649.26712962963</v>
      </c>
      <c r="S588" s="99">
        <v>6004.0</v>
      </c>
      <c r="T588" s="99">
        <v>64.0</v>
      </c>
      <c r="U588" s="99">
        <v>13.0</v>
      </c>
      <c r="V588" s="99">
        <v>66.0</v>
      </c>
      <c r="W588" s="99">
        <v>244216.0</v>
      </c>
    </row>
    <row r="589" ht="15.75" customHeight="1">
      <c r="A589" s="95" t="s">
        <v>3814</v>
      </c>
      <c r="B589" s="95" t="s">
        <v>22</v>
      </c>
      <c r="C589" s="96" t="s">
        <v>3815</v>
      </c>
      <c r="D589" s="95" t="s">
        <v>39</v>
      </c>
      <c r="E589" s="95" t="s">
        <v>39</v>
      </c>
      <c r="F589" s="95" t="s">
        <v>19</v>
      </c>
      <c r="G589" s="95" t="s">
        <v>19</v>
      </c>
      <c r="H589" s="95" t="s">
        <v>21</v>
      </c>
      <c r="I589" s="95" t="s">
        <v>567</v>
      </c>
      <c r="J589" s="97">
        <v>46021.49434631944</v>
      </c>
      <c r="K589" s="95" t="s">
        <v>3816</v>
      </c>
      <c r="L589" s="96" t="s">
        <v>3817</v>
      </c>
      <c r="M589" s="95" t="s">
        <v>105</v>
      </c>
      <c r="N589" s="95" t="s">
        <v>3818</v>
      </c>
      <c r="O589" s="95" t="s">
        <v>3818</v>
      </c>
      <c r="P589" s="95" t="s">
        <v>3819</v>
      </c>
      <c r="Q589" s="98">
        <v>3.0</v>
      </c>
      <c r="R589" s="97">
        <v>45771.32084490741</v>
      </c>
      <c r="S589" s="99">
        <v>219.0</v>
      </c>
      <c r="T589" s="99">
        <v>65.0</v>
      </c>
      <c r="U589" s="99">
        <v>10.0</v>
      </c>
      <c r="V589" s="99">
        <v>98.0</v>
      </c>
      <c r="W589" s="99">
        <v>9379.0</v>
      </c>
    </row>
    <row r="590" ht="15.75" customHeight="1">
      <c r="A590" s="95" t="s">
        <v>3820</v>
      </c>
      <c r="B590" s="95" t="s">
        <v>22</v>
      </c>
      <c r="C590" s="96" t="s">
        <v>3821</v>
      </c>
      <c r="D590" s="95" t="s">
        <v>124</v>
      </c>
      <c r="E590" s="95" t="s">
        <v>124</v>
      </c>
      <c r="F590" s="95" t="s">
        <v>19</v>
      </c>
      <c r="G590" s="95" t="s">
        <v>19</v>
      </c>
      <c r="H590" s="95" t="s">
        <v>21</v>
      </c>
      <c r="I590" s="95" t="s">
        <v>567</v>
      </c>
      <c r="J590" s="97">
        <v>46021.50546121527</v>
      </c>
      <c r="K590" s="95" t="s">
        <v>3822</v>
      </c>
      <c r="L590" s="96" t="s">
        <v>3823</v>
      </c>
      <c r="M590" s="95" t="s">
        <v>503</v>
      </c>
      <c r="N590" s="95" t="s">
        <v>3824</v>
      </c>
      <c r="O590" s="95" t="s">
        <v>3824</v>
      </c>
      <c r="P590" s="95" t="s">
        <v>3825</v>
      </c>
      <c r="Q590" s="98">
        <v>3.0</v>
      </c>
      <c r="R590" s="97">
        <v>45899.19858796296</v>
      </c>
      <c r="S590" s="99">
        <v>50.0</v>
      </c>
      <c r="T590" s="99">
        <v>390.0</v>
      </c>
      <c r="U590" s="99">
        <v>37.0</v>
      </c>
      <c r="V590" s="99">
        <v>75.0</v>
      </c>
      <c r="W590" s="99">
        <v>24558.0</v>
      </c>
    </row>
    <row r="591" ht="15.75" customHeight="1">
      <c r="A591" s="95" t="s">
        <v>3826</v>
      </c>
      <c r="B591" s="95" t="s">
        <v>22</v>
      </c>
      <c r="C591" s="96" t="s">
        <v>3827</v>
      </c>
      <c r="D591" s="95" t="s">
        <v>59</v>
      </c>
      <c r="E591" s="95" t="s">
        <v>738</v>
      </c>
      <c r="F591" s="95" t="s">
        <v>19</v>
      </c>
      <c r="G591" s="95" t="s">
        <v>19</v>
      </c>
      <c r="H591" s="95" t="s">
        <v>21</v>
      </c>
      <c r="I591" s="95" t="s">
        <v>589</v>
      </c>
      <c r="J591" s="97">
        <v>46021.51218559028</v>
      </c>
      <c r="K591" s="95" t="s">
        <v>3828</v>
      </c>
      <c r="L591" s="96" t="s">
        <v>3829</v>
      </c>
      <c r="M591" s="95" t="s">
        <v>93</v>
      </c>
      <c r="N591" s="95" t="s">
        <v>3830</v>
      </c>
      <c r="O591" s="95" t="s">
        <v>3830</v>
      </c>
      <c r="P591" s="95" t="s">
        <v>3831</v>
      </c>
      <c r="Q591" s="98">
        <v>3.0</v>
      </c>
      <c r="R591" s="97">
        <v>45857.65792824074</v>
      </c>
      <c r="S591" s="99">
        <v>1928.0</v>
      </c>
      <c r="T591" s="99">
        <v>905.0</v>
      </c>
      <c r="U591" s="99">
        <v>1.0</v>
      </c>
      <c r="V591" s="99">
        <v>17.0</v>
      </c>
      <c r="W591" s="99">
        <v>50129.0</v>
      </c>
    </row>
    <row r="592" ht="15.75" customHeight="1">
      <c r="A592" s="95" t="s">
        <v>3832</v>
      </c>
      <c r="B592" s="95" t="s">
        <v>22</v>
      </c>
      <c r="C592" s="96" t="s">
        <v>3833</v>
      </c>
      <c r="D592" s="95" t="s">
        <v>39</v>
      </c>
      <c r="E592" s="95" t="s">
        <v>39</v>
      </c>
      <c r="F592" s="95" t="s">
        <v>19</v>
      </c>
      <c r="G592" s="95" t="s">
        <v>19</v>
      </c>
      <c r="H592" s="95" t="s">
        <v>21</v>
      </c>
      <c r="I592" s="95" t="s">
        <v>567</v>
      </c>
      <c r="J592" s="97">
        <v>46057.0926012963</v>
      </c>
      <c r="K592" s="95" t="s">
        <v>3834</v>
      </c>
      <c r="L592" s="96" t="s">
        <v>3835</v>
      </c>
      <c r="M592" s="95" t="s">
        <v>93</v>
      </c>
      <c r="N592" s="95" t="s">
        <v>3836</v>
      </c>
      <c r="O592" s="95" t="s">
        <v>3836</v>
      </c>
      <c r="P592" s="95" t="s">
        <v>3837</v>
      </c>
      <c r="Q592" s="98">
        <v>3.0</v>
      </c>
      <c r="R592" s="97">
        <v>44575.63076388889</v>
      </c>
      <c r="S592" s="99">
        <v>2957.0</v>
      </c>
      <c r="T592" s="99">
        <v>5.0</v>
      </c>
      <c r="U592" s="99">
        <v>1.0</v>
      </c>
      <c r="V592" s="99">
        <v>593.0</v>
      </c>
      <c r="W592" s="99">
        <v>92425.0</v>
      </c>
    </row>
    <row r="593" ht="15.75" customHeight="1">
      <c r="A593" s="95" t="s">
        <v>3838</v>
      </c>
      <c r="B593" s="95" t="s">
        <v>157</v>
      </c>
      <c r="C593" s="96" t="s">
        <v>3839</v>
      </c>
      <c r="D593" s="95" t="s">
        <v>39</v>
      </c>
      <c r="E593" s="95" t="s">
        <v>1208</v>
      </c>
      <c r="F593" s="95" t="s">
        <v>88</v>
      </c>
      <c r="G593" s="95" t="s">
        <v>858</v>
      </c>
      <c r="H593" s="95" t="s">
        <v>89</v>
      </c>
      <c r="I593" s="95" t="s">
        <v>859</v>
      </c>
      <c r="J593" s="97">
        <v>46039.71707480324</v>
      </c>
      <c r="K593" s="95" t="s">
        <v>3840</v>
      </c>
      <c r="L593" s="96" t="s">
        <v>3841</v>
      </c>
      <c r="M593" s="95" t="s">
        <v>93</v>
      </c>
      <c r="N593" s="95" t="s">
        <v>3836</v>
      </c>
      <c r="O593" s="95" t="s">
        <v>3836</v>
      </c>
      <c r="P593" s="95" t="s">
        <v>3837</v>
      </c>
      <c r="Q593" s="98">
        <v>3.0</v>
      </c>
      <c r="R593" s="97">
        <v>45697.55990740741</v>
      </c>
      <c r="S593" s="99">
        <v>2957.0</v>
      </c>
      <c r="T593" s="99">
        <v>42.0</v>
      </c>
      <c r="U593" s="99">
        <v>10.0</v>
      </c>
      <c r="V593" s="99">
        <v>795.0</v>
      </c>
      <c r="W593" s="99">
        <v>92425.0</v>
      </c>
    </row>
    <row r="594" ht="15.75" customHeight="1">
      <c r="A594" s="95" t="s">
        <v>3842</v>
      </c>
      <c r="B594" s="95" t="s">
        <v>157</v>
      </c>
      <c r="C594" s="96" t="s">
        <v>3843</v>
      </c>
      <c r="D594" s="95" t="s">
        <v>39</v>
      </c>
      <c r="E594" s="95" t="s">
        <v>1208</v>
      </c>
      <c r="F594" s="95" t="s">
        <v>88</v>
      </c>
      <c r="G594" s="95" t="s">
        <v>858</v>
      </c>
      <c r="H594" s="95" t="s">
        <v>89</v>
      </c>
      <c r="I594" s="95" t="s">
        <v>859</v>
      </c>
      <c r="J594" s="97">
        <v>46057.09201806713</v>
      </c>
      <c r="K594" s="95" t="s">
        <v>3844</v>
      </c>
      <c r="L594" s="96" t="s">
        <v>3845</v>
      </c>
      <c r="M594" s="95" t="s">
        <v>93</v>
      </c>
      <c r="N594" s="95" t="s">
        <v>3846</v>
      </c>
      <c r="O594" s="95" t="s">
        <v>3846</v>
      </c>
      <c r="P594" s="95" t="s">
        <v>3847</v>
      </c>
      <c r="Q594" s="98">
        <v>3.0</v>
      </c>
      <c r="R594" s="97">
        <v>45697.55990740741</v>
      </c>
      <c r="S594" s="99">
        <v>2998.0</v>
      </c>
      <c r="T594" s="99">
        <v>79.0</v>
      </c>
      <c r="U594" s="99">
        <v>10.0</v>
      </c>
      <c r="V594" s="99">
        <v>795.0</v>
      </c>
      <c r="W594" s="99">
        <v>93914.0</v>
      </c>
    </row>
    <row r="595" ht="15.75" customHeight="1">
      <c r="A595" s="95" t="s">
        <v>3848</v>
      </c>
      <c r="B595" s="95" t="s">
        <v>69</v>
      </c>
      <c r="C595" s="96" t="s">
        <v>3849</v>
      </c>
      <c r="D595" s="95" t="s">
        <v>29</v>
      </c>
      <c r="E595" s="95" t="s">
        <v>598</v>
      </c>
      <c r="F595" s="95" t="s">
        <v>19</v>
      </c>
      <c r="G595" s="95" t="s">
        <v>3850</v>
      </c>
      <c r="H595" s="95" t="s">
        <v>77</v>
      </c>
      <c r="I595" s="95" t="s">
        <v>3851</v>
      </c>
      <c r="J595" s="97">
        <v>45975.67938763889</v>
      </c>
      <c r="K595" s="96" t="s">
        <v>3852</v>
      </c>
      <c r="L595" s="95"/>
      <c r="M595" s="95" t="s">
        <v>74</v>
      </c>
      <c r="N595" s="95" t="s">
        <v>3853</v>
      </c>
      <c r="O595" s="95" t="s">
        <v>3853</v>
      </c>
      <c r="P595" s="95" t="s">
        <v>3854</v>
      </c>
      <c r="Q595" s="98">
        <v>3.0</v>
      </c>
      <c r="R595" s="97">
        <v>45792.47361111111</v>
      </c>
      <c r="S595" s="99">
        <v>63812.0</v>
      </c>
      <c r="T595" s="99">
        <v>25.0</v>
      </c>
      <c r="U595" s="99">
        <v>5.0</v>
      </c>
      <c r="V595" s="99">
        <v>71.0</v>
      </c>
      <c r="W595" s="99">
        <v>999999.0</v>
      </c>
    </row>
    <row r="596" ht="15.75" customHeight="1">
      <c r="A596" s="95" t="s">
        <v>3855</v>
      </c>
      <c r="B596" s="95" t="s">
        <v>22</v>
      </c>
      <c r="C596" s="96" t="s">
        <v>3856</v>
      </c>
      <c r="D596" s="95" t="s">
        <v>29</v>
      </c>
      <c r="E596" s="95" t="s">
        <v>598</v>
      </c>
      <c r="F596" s="95" t="s">
        <v>19</v>
      </c>
      <c r="G596" s="95" t="s">
        <v>19</v>
      </c>
      <c r="H596" s="95" t="s">
        <v>21</v>
      </c>
      <c r="I596" s="95" t="s">
        <v>589</v>
      </c>
      <c r="J596" s="97">
        <v>45975.67938763889</v>
      </c>
      <c r="K596" s="96" t="s">
        <v>3857</v>
      </c>
      <c r="L596" s="95"/>
      <c r="M596" s="95" t="s">
        <v>74</v>
      </c>
      <c r="N596" s="95" t="s">
        <v>3853</v>
      </c>
      <c r="O596" s="95" t="s">
        <v>3853</v>
      </c>
      <c r="P596" s="95" t="s">
        <v>3854</v>
      </c>
      <c r="Q596" s="98">
        <v>3.0</v>
      </c>
      <c r="R596" s="97">
        <v>45687.72355324074</v>
      </c>
      <c r="S596" s="99">
        <v>63812.0</v>
      </c>
      <c r="T596" s="99">
        <v>39.0</v>
      </c>
      <c r="U596" s="99">
        <v>4.0</v>
      </c>
      <c r="V596" s="99">
        <v>108.0</v>
      </c>
      <c r="W596" s="99">
        <v>999999.0</v>
      </c>
    </row>
    <row r="597" ht="15.75" customHeight="1">
      <c r="A597" s="95" t="s">
        <v>3858</v>
      </c>
      <c r="B597" s="95" t="s">
        <v>157</v>
      </c>
      <c r="C597" s="96" t="s">
        <v>3859</v>
      </c>
      <c r="D597" s="95" t="s">
        <v>29</v>
      </c>
      <c r="E597" s="95" t="s">
        <v>29</v>
      </c>
      <c r="F597" s="95" t="s">
        <v>88</v>
      </c>
      <c r="G597" s="95"/>
      <c r="H597" s="95" t="s">
        <v>89</v>
      </c>
      <c r="I597" s="95" t="s">
        <v>897</v>
      </c>
      <c r="J597" s="97">
        <v>45975.6793321412</v>
      </c>
      <c r="K597" s="96" t="s">
        <v>3860</v>
      </c>
      <c r="L597" s="95"/>
      <c r="M597" s="95" t="s">
        <v>503</v>
      </c>
      <c r="N597" s="95" t="s">
        <v>3861</v>
      </c>
      <c r="O597" s="95" t="s">
        <v>3861</v>
      </c>
      <c r="P597" s="95" t="s">
        <v>3862</v>
      </c>
      <c r="Q597" s="98">
        <v>3.0</v>
      </c>
      <c r="R597" s="97">
        <v>45806.6369212963</v>
      </c>
      <c r="S597" s="99">
        <v>240055.0</v>
      </c>
      <c r="T597" s="99">
        <v>272.0</v>
      </c>
      <c r="U597" s="99">
        <v>6.0</v>
      </c>
      <c r="V597" s="99">
        <v>167.0</v>
      </c>
      <c r="W597" s="99">
        <v>999999.0</v>
      </c>
    </row>
    <row r="598" ht="15.75" customHeight="1">
      <c r="A598" s="95" t="s">
        <v>3863</v>
      </c>
      <c r="B598" s="95" t="s">
        <v>22</v>
      </c>
      <c r="C598" s="96" t="s">
        <v>3864</v>
      </c>
      <c r="D598" s="95" t="s">
        <v>29</v>
      </c>
      <c r="E598" s="95" t="s">
        <v>3865</v>
      </c>
      <c r="F598" s="95" t="s">
        <v>19</v>
      </c>
      <c r="G598" s="95" t="s">
        <v>19</v>
      </c>
      <c r="H598" s="95" t="s">
        <v>21</v>
      </c>
      <c r="I598" s="95" t="s">
        <v>567</v>
      </c>
      <c r="J598" s="97">
        <v>45975.6793321412</v>
      </c>
      <c r="K598" s="96" t="s">
        <v>3866</v>
      </c>
      <c r="L598" s="95"/>
      <c r="M598" s="95" t="s">
        <v>503</v>
      </c>
      <c r="N598" s="95" t="s">
        <v>3861</v>
      </c>
      <c r="O598" s="95" t="s">
        <v>3861</v>
      </c>
      <c r="P598" s="95" t="s">
        <v>3862</v>
      </c>
      <c r="Q598" s="98">
        <v>3.0</v>
      </c>
      <c r="R598" s="97">
        <v>45755.67479166666</v>
      </c>
      <c r="S598" s="99">
        <v>240055.0</v>
      </c>
      <c r="T598" s="99">
        <v>163.0</v>
      </c>
      <c r="U598" s="99">
        <v>8.0</v>
      </c>
      <c r="V598" s="99">
        <v>264.0</v>
      </c>
      <c r="W598" s="99">
        <v>999999.0</v>
      </c>
    </row>
    <row r="599" ht="15.75" customHeight="1">
      <c r="A599" s="95" t="s">
        <v>3867</v>
      </c>
      <c r="B599" s="95" t="s">
        <v>69</v>
      </c>
      <c r="C599" s="96" t="s">
        <v>3868</v>
      </c>
      <c r="D599" s="95" t="s">
        <v>20</v>
      </c>
      <c r="E599" s="95" t="s">
        <v>872</v>
      </c>
      <c r="F599" s="95" t="s">
        <v>19</v>
      </c>
      <c r="G599" s="95" t="s">
        <v>19</v>
      </c>
      <c r="H599" s="95" t="s">
        <v>21</v>
      </c>
      <c r="I599" s="95" t="s">
        <v>998</v>
      </c>
      <c r="J599" s="97">
        <v>45993.7854622338</v>
      </c>
      <c r="K599" s="96" t="s">
        <v>3869</v>
      </c>
      <c r="L599" s="96" t="s">
        <v>3870</v>
      </c>
      <c r="M599" s="95" t="s">
        <v>17</v>
      </c>
      <c r="N599" s="95" t="s">
        <v>3871</v>
      </c>
      <c r="O599" s="95" t="s">
        <v>3871</v>
      </c>
      <c r="P599" s="95" t="s">
        <v>3872</v>
      </c>
      <c r="Q599" s="98">
        <v>3.0</v>
      </c>
      <c r="R599" s="97">
        <v>45903.72361111111</v>
      </c>
      <c r="S599" s="99">
        <v>95.0</v>
      </c>
      <c r="T599" s="99">
        <v>15.0</v>
      </c>
      <c r="U599" s="99">
        <v>1.0</v>
      </c>
      <c r="V599" s="99">
        <v>171.0</v>
      </c>
      <c r="W599" s="99">
        <v>18442.0</v>
      </c>
    </row>
    <row r="600" ht="15.75" customHeight="1">
      <c r="A600" s="95" t="s">
        <v>3873</v>
      </c>
      <c r="B600" s="95" t="s">
        <v>22</v>
      </c>
      <c r="C600" s="96" t="s">
        <v>3874</v>
      </c>
      <c r="D600" s="95" t="s">
        <v>39</v>
      </c>
      <c r="E600" s="95" t="s">
        <v>39</v>
      </c>
      <c r="F600" s="95" t="s">
        <v>88</v>
      </c>
      <c r="G600" s="95" t="s">
        <v>858</v>
      </c>
      <c r="H600" s="95" t="s">
        <v>21</v>
      </c>
      <c r="I600" s="95" t="s">
        <v>589</v>
      </c>
      <c r="J600" s="97">
        <v>45975.67934009259</v>
      </c>
      <c r="K600" s="96" t="s">
        <v>3875</v>
      </c>
      <c r="L600" s="96" t="s">
        <v>3876</v>
      </c>
      <c r="M600" s="95" t="s">
        <v>17</v>
      </c>
      <c r="N600" s="95" t="s">
        <v>3877</v>
      </c>
      <c r="O600" s="95" t="s">
        <v>3877</v>
      </c>
      <c r="P600" s="95" t="s">
        <v>3878</v>
      </c>
      <c r="Q600" s="98">
        <v>3.0</v>
      </c>
      <c r="R600" s="97">
        <v>45774.89439814815</v>
      </c>
      <c r="S600" s="99">
        <v>1092.0</v>
      </c>
      <c r="T600" s="99">
        <v>64.0</v>
      </c>
      <c r="U600" s="99">
        <v>8.0</v>
      </c>
      <c r="V600" s="99">
        <v>51.0</v>
      </c>
      <c r="W600" s="99">
        <v>96011.0</v>
      </c>
    </row>
    <row r="601" ht="15.75" customHeight="1">
      <c r="A601" s="95" t="s">
        <v>3879</v>
      </c>
      <c r="B601" s="95" t="s">
        <v>101</v>
      </c>
      <c r="C601" s="96" t="s">
        <v>3880</v>
      </c>
      <c r="D601" s="95" t="s">
        <v>39</v>
      </c>
      <c r="E601" s="95" t="s">
        <v>960</v>
      </c>
      <c r="F601" s="95" t="s">
        <v>19</v>
      </c>
      <c r="G601" s="95" t="s">
        <v>1427</v>
      </c>
      <c r="H601" s="95" t="s">
        <v>21</v>
      </c>
      <c r="I601" s="95" t="s">
        <v>1504</v>
      </c>
      <c r="J601" s="97">
        <v>45993.7854622338</v>
      </c>
      <c r="K601" s="96" t="s">
        <v>3881</v>
      </c>
      <c r="L601" s="96" t="s">
        <v>3882</v>
      </c>
      <c r="M601" s="95" t="s">
        <v>17</v>
      </c>
      <c r="N601" s="95" t="s">
        <v>3883</v>
      </c>
      <c r="O601" s="95" t="s">
        <v>3883</v>
      </c>
      <c r="P601" s="95" t="s">
        <v>3884</v>
      </c>
      <c r="Q601" s="98">
        <v>3.0</v>
      </c>
      <c r="R601" s="97">
        <v>45795.79959490741</v>
      </c>
      <c r="S601" s="99">
        <v>93.0</v>
      </c>
      <c r="T601" s="99">
        <v>5.0</v>
      </c>
      <c r="U601" s="99">
        <v>118.0</v>
      </c>
      <c r="V601" s="99">
        <v>37.0</v>
      </c>
      <c r="W601" s="99">
        <v>10532.0</v>
      </c>
    </row>
    <row r="602" ht="15.75" customHeight="1">
      <c r="A602" s="95" t="s">
        <v>3885</v>
      </c>
      <c r="B602" s="95" t="s">
        <v>22</v>
      </c>
      <c r="C602" s="96" t="s">
        <v>3886</v>
      </c>
      <c r="D602" s="95" t="s">
        <v>39</v>
      </c>
      <c r="E602" s="95" t="s">
        <v>39</v>
      </c>
      <c r="F602" s="95" t="s">
        <v>19</v>
      </c>
      <c r="G602" s="95" t="s">
        <v>19</v>
      </c>
      <c r="H602" s="95" t="s">
        <v>21</v>
      </c>
      <c r="I602" s="95" t="s">
        <v>567</v>
      </c>
      <c r="J602" s="97">
        <v>45993.7854622338</v>
      </c>
      <c r="K602" s="96" t="s">
        <v>3887</v>
      </c>
      <c r="L602" s="95"/>
      <c r="M602" s="95" t="s">
        <v>38</v>
      </c>
      <c r="N602" s="95" t="s">
        <v>3888</v>
      </c>
      <c r="O602" s="95" t="s">
        <v>3888</v>
      </c>
      <c r="P602" s="95" t="s">
        <v>3889</v>
      </c>
      <c r="Q602" s="98">
        <v>3.0</v>
      </c>
      <c r="R602" s="97">
        <v>45758.85224537037</v>
      </c>
      <c r="S602" s="99">
        <v>2433.0</v>
      </c>
      <c r="T602" s="99">
        <v>121.0</v>
      </c>
      <c r="U602" s="99">
        <v>4.0</v>
      </c>
      <c r="V602" s="99">
        <v>1428.0</v>
      </c>
      <c r="W602" s="99">
        <v>251495.0</v>
      </c>
    </row>
    <row r="603" ht="15.75" customHeight="1">
      <c r="A603" s="95" t="s">
        <v>3890</v>
      </c>
      <c r="B603" s="95" t="s">
        <v>22</v>
      </c>
      <c r="C603" s="96" t="s">
        <v>3891</v>
      </c>
      <c r="D603" s="95" t="s">
        <v>130</v>
      </c>
      <c r="E603" s="95" t="s">
        <v>2109</v>
      </c>
      <c r="F603" s="95" t="s">
        <v>19</v>
      </c>
      <c r="G603" s="95" t="s">
        <v>19</v>
      </c>
      <c r="H603" s="95" t="s">
        <v>21</v>
      </c>
      <c r="I603" s="95" t="s">
        <v>567</v>
      </c>
      <c r="J603" s="97">
        <v>45993.78544196759</v>
      </c>
      <c r="K603" s="96" t="s">
        <v>3892</v>
      </c>
      <c r="L603" s="95"/>
      <c r="M603" s="95" t="s">
        <v>93</v>
      </c>
      <c r="N603" s="95" t="s">
        <v>3893</v>
      </c>
      <c r="O603" s="95" t="s">
        <v>3893</v>
      </c>
      <c r="P603" s="95" t="s">
        <v>3894</v>
      </c>
      <c r="Q603" s="98">
        <v>3.0</v>
      </c>
      <c r="R603" s="97">
        <v>45910.49122685185</v>
      </c>
      <c r="S603" s="99">
        <v>5110.0</v>
      </c>
      <c r="T603" s="99">
        <v>230.0</v>
      </c>
      <c r="U603" s="99">
        <v>5.0</v>
      </c>
      <c r="V603" s="99">
        <v>272.0</v>
      </c>
      <c r="W603" s="99">
        <v>50200.0</v>
      </c>
    </row>
    <row r="604" ht="15.75" customHeight="1">
      <c r="A604" s="95" t="s">
        <v>3895</v>
      </c>
      <c r="B604" s="95" t="s">
        <v>131</v>
      </c>
      <c r="C604" s="96" t="s">
        <v>3896</v>
      </c>
      <c r="D604" s="95" t="s">
        <v>39</v>
      </c>
      <c r="E604" s="95" t="s">
        <v>39</v>
      </c>
      <c r="F604" s="95" t="s">
        <v>58</v>
      </c>
      <c r="G604" s="95" t="s">
        <v>58</v>
      </c>
      <c r="H604" s="95" t="s">
        <v>136</v>
      </c>
      <c r="I604" s="95" t="s">
        <v>2306</v>
      </c>
      <c r="J604" s="97">
        <v>45975.67934009259</v>
      </c>
      <c r="K604" s="96" t="s">
        <v>3897</v>
      </c>
      <c r="L604" s="95"/>
      <c r="M604" s="95" t="s">
        <v>17</v>
      </c>
      <c r="N604" s="95" t="s">
        <v>3898</v>
      </c>
      <c r="O604" s="95" t="s">
        <v>3898</v>
      </c>
      <c r="P604" s="95" t="s">
        <v>3899</v>
      </c>
      <c r="Q604" s="98">
        <v>3.0</v>
      </c>
      <c r="R604" s="97">
        <v>45603.703125</v>
      </c>
      <c r="S604" s="99">
        <v>18817.0</v>
      </c>
      <c r="T604" s="99">
        <v>401.0</v>
      </c>
      <c r="U604" s="99">
        <v>325.0</v>
      </c>
      <c r="V604" s="99">
        <v>17.0</v>
      </c>
      <c r="W604" s="99">
        <v>28228.0</v>
      </c>
    </row>
    <row r="605" ht="15.75" customHeight="1">
      <c r="A605" s="95" t="s">
        <v>3900</v>
      </c>
      <c r="B605" s="95" t="s">
        <v>22</v>
      </c>
      <c r="C605" s="96" t="s">
        <v>3901</v>
      </c>
      <c r="D605" s="95" t="s">
        <v>39</v>
      </c>
      <c r="E605" s="95" t="s">
        <v>39</v>
      </c>
      <c r="F605" s="95" t="s">
        <v>19</v>
      </c>
      <c r="G605" s="95" t="s">
        <v>19</v>
      </c>
      <c r="H605" s="95" t="s">
        <v>21</v>
      </c>
      <c r="I605" s="95" t="s">
        <v>567</v>
      </c>
      <c r="J605" s="97">
        <v>46039.71724146991</v>
      </c>
      <c r="K605" s="95" t="s">
        <v>3902</v>
      </c>
      <c r="L605" s="95"/>
      <c r="M605" s="95" t="s">
        <v>93</v>
      </c>
      <c r="N605" s="95" t="s">
        <v>3903</v>
      </c>
      <c r="O605" s="95" t="s">
        <v>3903</v>
      </c>
      <c r="P605" s="95" t="s">
        <v>3904</v>
      </c>
      <c r="Q605" s="98">
        <v>3.0</v>
      </c>
      <c r="R605" s="97">
        <v>45742.07310185185</v>
      </c>
      <c r="S605" s="99">
        <v>3683.0</v>
      </c>
      <c r="T605" s="99">
        <v>3670.0</v>
      </c>
      <c r="U605" s="99">
        <v>54.0</v>
      </c>
      <c r="V605" s="99">
        <v>2063.0</v>
      </c>
      <c r="W605" s="99">
        <v>247668.0</v>
      </c>
    </row>
    <row r="606" ht="15.75" customHeight="1">
      <c r="A606" s="95" t="s">
        <v>3905</v>
      </c>
      <c r="B606" s="95" t="s">
        <v>131</v>
      </c>
      <c r="C606" s="96" t="s">
        <v>3906</v>
      </c>
      <c r="D606" s="95" t="s">
        <v>39</v>
      </c>
      <c r="E606" s="95" t="s">
        <v>39</v>
      </c>
      <c r="F606" s="95" t="s">
        <v>58</v>
      </c>
      <c r="G606" s="95" t="s">
        <v>1450</v>
      </c>
      <c r="H606" s="95" t="s">
        <v>60</v>
      </c>
      <c r="I606" s="95" t="s">
        <v>795</v>
      </c>
      <c r="J606" s="97">
        <v>46069.65883778935</v>
      </c>
      <c r="K606" s="95" t="s">
        <v>3907</v>
      </c>
      <c r="L606" s="95"/>
      <c r="M606" s="95" t="s">
        <v>93</v>
      </c>
      <c r="N606" s="95" t="s">
        <v>3903</v>
      </c>
      <c r="O606" s="95" t="s">
        <v>3903</v>
      </c>
      <c r="P606" s="95" t="s">
        <v>3904</v>
      </c>
      <c r="Q606" s="98">
        <v>3.0</v>
      </c>
      <c r="R606" s="97">
        <v>46056.18423611111</v>
      </c>
      <c r="S606" s="99">
        <v>3683.0</v>
      </c>
      <c r="T606" s="99">
        <v>5200.0</v>
      </c>
      <c r="U606" s="99">
        <v>3.0</v>
      </c>
      <c r="V606" s="99">
        <v>469.0</v>
      </c>
      <c r="W606" s="99">
        <v>247668.0</v>
      </c>
    </row>
    <row r="607" ht="15.75" customHeight="1">
      <c r="A607" s="95" t="s">
        <v>3908</v>
      </c>
      <c r="B607" s="95" t="s">
        <v>22</v>
      </c>
      <c r="C607" s="96" t="s">
        <v>3909</v>
      </c>
      <c r="D607" s="95" t="s">
        <v>39</v>
      </c>
      <c r="E607" s="95" t="s">
        <v>1269</v>
      </c>
      <c r="F607" s="95" t="s">
        <v>19</v>
      </c>
      <c r="G607" s="95" t="s">
        <v>19</v>
      </c>
      <c r="H607" s="95" t="s">
        <v>21</v>
      </c>
      <c r="I607" s="95" t="s">
        <v>567</v>
      </c>
      <c r="J607" s="97">
        <v>46056.94163324074</v>
      </c>
      <c r="K607" s="95" t="s">
        <v>3910</v>
      </c>
      <c r="L607" s="95"/>
      <c r="M607" s="95" t="s">
        <v>93</v>
      </c>
      <c r="N607" s="95" t="s">
        <v>3903</v>
      </c>
      <c r="O607" s="95" t="s">
        <v>3903</v>
      </c>
      <c r="P607" s="95" t="s">
        <v>3904</v>
      </c>
      <c r="Q607" s="98">
        <v>3.0</v>
      </c>
      <c r="R607" s="97">
        <v>46013.79252314815</v>
      </c>
      <c r="S607" s="99">
        <v>3683.0</v>
      </c>
      <c r="T607" s="99">
        <v>4832.0</v>
      </c>
      <c r="U607" s="99">
        <v>17.0</v>
      </c>
      <c r="V607" s="99">
        <v>373.0</v>
      </c>
      <c r="W607" s="99">
        <v>247668.0</v>
      </c>
    </row>
    <row r="608" ht="15.75" customHeight="1">
      <c r="A608" s="95" t="s">
        <v>3911</v>
      </c>
      <c r="B608" s="95" t="s">
        <v>22</v>
      </c>
      <c r="C608" s="96" t="s">
        <v>3912</v>
      </c>
      <c r="D608" s="95" t="s">
        <v>39</v>
      </c>
      <c r="E608" s="95" t="s">
        <v>1269</v>
      </c>
      <c r="F608" s="95" t="s">
        <v>19</v>
      </c>
      <c r="G608" s="95" t="s">
        <v>19</v>
      </c>
      <c r="H608" s="95" t="s">
        <v>21</v>
      </c>
      <c r="I608" s="95" t="s">
        <v>567</v>
      </c>
      <c r="J608" s="97">
        <v>46056.94365949074</v>
      </c>
      <c r="K608" s="95" t="s">
        <v>3913</v>
      </c>
      <c r="L608" s="95"/>
      <c r="M608" s="95" t="s">
        <v>93</v>
      </c>
      <c r="N608" s="95" t="s">
        <v>3903</v>
      </c>
      <c r="O608" s="95" t="s">
        <v>3903</v>
      </c>
      <c r="P608" s="95" t="s">
        <v>3904</v>
      </c>
      <c r="Q608" s="98">
        <v>3.0</v>
      </c>
      <c r="R608" s="97">
        <v>46020.12780092593</v>
      </c>
      <c r="S608" s="99">
        <v>3683.0</v>
      </c>
      <c r="T608" s="99">
        <v>4850.0</v>
      </c>
      <c r="U608" s="99">
        <v>19.0</v>
      </c>
      <c r="V608" s="99">
        <v>677.0</v>
      </c>
      <c r="W608" s="99">
        <v>247668.0</v>
      </c>
    </row>
    <row r="609" ht="15.75" customHeight="1">
      <c r="A609" s="95" t="s">
        <v>3914</v>
      </c>
      <c r="B609" s="95" t="s">
        <v>22</v>
      </c>
      <c r="C609" s="96" t="s">
        <v>3915</v>
      </c>
      <c r="D609" s="95" t="s">
        <v>39</v>
      </c>
      <c r="E609" s="95" t="s">
        <v>614</v>
      </c>
      <c r="F609" s="95" t="s">
        <v>19</v>
      </c>
      <c r="G609" s="95" t="s">
        <v>19</v>
      </c>
      <c r="H609" s="95" t="s">
        <v>21</v>
      </c>
      <c r="I609" s="95" t="s">
        <v>567</v>
      </c>
      <c r="J609" s="97">
        <v>46061.01635195602</v>
      </c>
      <c r="K609" s="95" t="s">
        <v>3916</v>
      </c>
      <c r="L609" s="95"/>
      <c r="M609" s="95" t="s">
        <v>93</v>
      </c>
      <c r="N609" s="95" t="s">
        <v>3903</v>
      </c>
      <c r="O609" s="95" t="s">
        <v>3903</v>
      </c>
      <c r="P609" s="95" t="s">
        <v>3904</v>
      </c>
      <c r="Q609" s="98">
        <v>3.0</v>
      </c>
      <c r="R609" s="97">
        <v>46035.16465277778</v>
      </c>
      <c r="S609" s="99">
        <v>3683.0</v>
      </c>
      <c r="T609" s="99">
        <v>4944.0</v>
      </c>
      <c r="U609" s="99">
        <v>9.0</v>
      </c>
      <c r="V609" s="99">
        <v>154.0</v>
      </c>
      <c r="W609" s="99">
        <v>247668.0</v>
      </c>
    </row>
    <row r="610" ht="15.75" customHeight="1">
      <c r="A610" s="95" t="s">
        <v>3917</v>
      </c>
      <c r="B610" s="95" t="s">
        <v>22</v>
      </c>
      <c r="C610" s="96" t="s">
        <v>3918</v>
      </c>
      <c r="D610" s="95" t="s">
        <v>39</v>
      </c>
      <c r="E610" s="95" t="s">
        <v>614</v>
      </c>
      <c r="F610" s="95" t="s">
        <v>88</v>
      </c>
      <c r="G610" s="95"/>
      <c r="H610" s="95" t="s">
        <v>21</v>
      </c>
      <c r="I610" s="95" t="s">
        <v>567</v>
      </c>
      <c r="J610" s="97">
        <v>46061.01635195602</v>
      </c>
      <c r="K610" s="95" t="s">
        <v>3919</v>
      </c>
      <c r="L610" s="95"/>
      <c r="M610" s="95" t="s">
        <v>93</v>
      </c>
      <c r="N610" s="95" t="s">
        <v>3903</v>
      </c>
      <c r="O610" s="95" t="s">
        <v>3903</v>
      </c>
      <c r="P610" s="95" t="s">
        <v>3904</v>
      </c>
      <c r="Q610" s="98">
        <v>3.0</v>
      </c>
      <c r="R610" s="97">
        <v>46035.13288194445</v>
      </c>
      <c r="S610" s="99">
        <v>3683.0</v>
      </c>
      <c r="T610" s="99">
        <v>4939.0</v>
      </c>
      <c r="U610" s="99">
        <v>5.0</v>
      </c>
      <c r="V610" s="99">
        <v>173.0</v>
      </c>
      <c r="W610" s="99">
        <v>247668.0</v>
      </c>
    </row>
    <row r="611" ht="15.75" customHeight="1">
      <c r="A611" s="95" t="s">
        <v>3920</v>
      </c>
      <c r="B611" s="95" t="s">
        <v>22</v>
      </c>
      <c r="C611" s="96" t="s">
        <v>3921</v>
      </c>
      <c r="D611" s="95" t="s">
        <v>39</v>
      </c>
      <c r="E611" s="95" t="s">
        <v>614</v>
      </c>
      <c r="F611" s="95" t="s">
        <v>19</v>
      </c>
      <c r="G611" s="95" t="s">
        <v>19</v>
      </c>
      <c r="H611" s="95" t="s">
        <v>21</v>
      </c>
      <c r="I611" s="95" t="s">
        <v>567</v>
      </c>
      <c r="J611" s="97">
        <v>46039.71626337963</v>
      </c>
      <c r="K611" s="95" t="s">
        <v>3922</v>
      </c>
      <c r="L611" s="95"/>
      <c r="M611" s="95" t="s">
        <v>93</v>
      </c>
      <c r="N611" s="95" t="s">
        <v>3923</v>
      </c>
      <c r="O611" s="95" t="s">
        <v>3923</v>
      </c>
      <c r="P611" s="95" t="s">
        <v>3924</v>
      </c>
      <c r="Q611" s="98">
        <v>3.0</v>
      </c>
      <c r="R611" s="97">
        <v>45601.09327546296</v>
      </c>
      <c r="S611" s="99">
        <v>87.0</v>
      </c>
      <c r="T611" s="99">
        <v>170.0</v>
      </c>
      <c r="U611" s="99">
        <v>6.0</v>
      </c>
      <c r="V611" s="99">
        <v>439.0</v>
      </c>
      <c r="W611" s="99">
        <v>641812.0</v>
      </c>
    </row>
    <row r="612" ht="15.75" customHeight="1">
      <c r="A612" s="95" t="s">
        <v>3925</v>
      </c>
      <c r="B612" s="95" t="s">
        <v>22</v>
      </c>
      <c r="C612" s="96" t="s">
        <v>3926</v>
      </c>
      <c r="D612" s="95" t="s">
        <v>168</v>
      </c>
      <c r="E612" s="95" t="s">
        <v>780</v>
      </c>
      <c r="F612" s="95" t="s">
        <v>19</v>
      </c>
      <c r="G612" s="95" t="s">
        <v>19</v>
      </c>
      <c r="H612" s="95" t="s">
        <v>21</v>
      </c>
      <c r="I612" s="95" t="s">
        <v>567</v>
      </c>
      <c r="J612" s="97">
        <v>46021.49452240741</v>
      </c>
      <c r="K612" s="95" t="s">
        <v>3927</v>
      </c>
      <c r="L612" s="96" t="s">
        <v>3928</v>
      </c>
      <c r="M612" s="95" t="s">
        <v>105</v>
      </c>
      <c r="N612" s="95" t="s">
        <v>3929</v>
      </c>
      <c r="O612" s="95" t="s">
        <v>3929</v>
      </c>
      <c r="P612" s="95" t="s">
        <v>3930</v>
      </c>
      <c r="Q612" s="98">
        <v>3.0</v>
      </c>
      <c r="R612" s="97">
        <v>45617.75158564815</v>
      </c>
      <c r="S612" s="99">
        <v>1931.0</v>
      </c>
      <c r="T612" s="99">
        <v>10.0</v>
      </c>
      <c r="U612" s="99">
        <v>1.0</v>
      </c>
      <c r="V612" s="99">
        <v>117.0</v>
      </c>
      <c r="W612" s="99">
        <v>12885.0</v>
      </c>
    </row>
    <row r="613" ht="15.75" customHeight="1">
      <c r="A613" s="95" t="s">
        <v>3931</v>
      </c>
      <c r="B613" s="95" t="s">
        <v>22</v>
      </c>
      <c r="C613" s="96" t="s">
        <v>3932</v>
      </c>
      <c r="D613" s="95" t="s">
        <v>130</v>
      </c>
      <c r="E613" s="95" t="s">
        <v>1470</v>
      </c>
      <c r="F613" s="95" t="s">
        <v>19</v>
      </c>
      <c r="G613" s="95" t="s">
        <v>1427</v>
      </c>
      <c r="H613" s="95" t="s">
        <v>21</v>
      </c>
      <c r="I613" s="95" t="s">
        <v>567</v>
      </c>
      <c r="J613" s="97">
        <v>46021.50375386574</v>
      </c>
      <c r="K613" s="95" t="s">
        <v>3933</v>
      </c>
      <c r="L613" s="96" t="s">
        <v>3934</v>
      </c>
      <c r="M613" s="95" t="s">
        <v>67</v>
      </c>
      <c r="N613" s="95" t="s">
        <v>3935</v>
      </c>
      <c r="O613" s="95" t="s">
        <v>3935</v>
      </c>
      <c r="P613" s="95" t="s">
        <v>3936</v>
      </c>
      <c r="Q613" s="98">
        <v>3.0</v>
      </c>
      <c r="R613" s="97">
        <v>45942.55502314815</v>
      </c>
      <c r="S613" s="99">
        <v>707.0</v>
      </c>
      <c r="T613" s="99">
        <v>2.0</v>
      </c>
      <c r="U613" s="99">
        <v>1.0</v>
      </c>
      <c r="V613" s="99">
        <v>42.0</v>
      </c>
      <c r="W613" s="99">
        <v>14117.0</v>
      </c>
    </row>
    <row r="614" ht="15.75" customHeight="1">
      <c r="A614" s="95" t="s">
        <v>3937</v>
      </c>
      <c r="B614" s="95" t="s">
        <v>69</v>
      </c>
      <c r="C614" s="96" t="s">
        <v>3938</v>
      </c>
      <c r="D614" s="95" t="s">
        <v>124</v>
      </c>
      <c r="E614" s="95" t="s">
        <v>1138</v>
      </c>
      <c r="F614" s="95" t="s">
        <v>88</v>
      </c>
      <c r="G614" s="95" t="s">
        <v>88</v>
      </c>
      <c r="H614" s="95" t="s">
        <v>89</v>
      </c>
      <c r="I614" s="95" t="s">
        <v>1477</v>
      </c>
      <c r="J614" s="97">
        <v>45975.67938763889</v>
      </c>
      <c r="K614" s="96" t="s">
        <v>3939</v>
      </c>
      <c r="L614" s="96" t="s">
        <v>3940</v>
      </c>
      <c r="M614" s="95" t="s">
        <v>74</v>
      </c>
      <c r="N614" s="95" t="s">
        <v>3941</v>
      </c>
      <c r="O614" s="95" t="s">
        <v>3941</v>
      </c>
      <c r="P614" s="95" t="s">
        <v>3942</v>
      </c>
      <c r="Q614" s="98">
        <v>3.0</v>
      </c>
      <c r="R614" s="97">
        <v>45607.49924768518</v>
      </c>
      <c r="S614" s="99">
        <v>0.0</v>
      </c>
      <c r="T614" s="99">
        <v>24.0</v>
      </c>
      <c r="U614" s="99">
        <v>1.0</v>
      </c>
      <c r="V614" s="99">
        <v>28.0</v>
      </c>
      <c r="W614" s="99">
        <v>45712.0</v>
      </c>
    </row>
    <row r="615" ht="15.75" customHeight="1">
      <c r="A615" s="95" t="s">
        <v>3943</v>
      </c>
      <c r="B615" s="95" t="s">
        <v>22</v>
      </c>
      <c r="C615" s="96" t="s">
        <v>3944</v>
      </c>
      <c r="D615" s="95" t="s">
        <v>547</v>
      </c>
      <c r="E615" s="95" t="s">
        <v>710</v>
      </c>
      <c r="F615" s="95" t="s">
        <v>19</v>
      </c>
      <c r="G615" s="95" t="s">
        <v>588</v>
      </c>
      <c r="H615" s="95" t="s">
        <v>21</v>
      </c>
      <c r="I615" s="95" t="s">
        <v>711</v>
      </c>
      <c r="J615" s="97">
        <v>45977.67833747685</v>
      </c>
      <c r="K615" s="95" t="s">
        <v>3945</v>
      </c>
      <c r="L615" s="96" t="s">
        <v>3946</v>
      </c>
      <c r="M615" s="95" t="s">
        <v>17</v>
      </c>
      <c r="N615" s="95" t="s">
        <v>3947</v>
      </c>
      <c r="O615" s="95" t="s">
        <v>3947</v>
      </c>
      <c r="P615" s="95" t="s">
        <v>3948</v>
      </c>
      <c r="Q615" s="98">
        <v>3.0</v>
      </c>
      <c r="R615" s="97">
        <v>45883.62813657407</v>
      </c>
      <c r="S615" s="99">
        <v>631.0</v>
      </c>
      <c r="T615" s="99">
        <v>19.0</v>
      </c>
      <c r="U615" s="99">
        <v>1.0</v>
      </c>
      <c r="V615" s="99">
        <v>1811.0</v>
      </c>
      <c r="W615" s="99">
        <v>23133.0</v>
      </c>
    </row>
    <row r="616" ht="15.75" customHeight="1">
      <c r="A616" s="95" t="s">
        <v>3949</v>
      </c>
      <c r="B616" s="95" t="s">
        <v>22</v>
      </c>
      <c r="C616" s="96" t="s">
        <v>3950</v>
      </c>
      <c r="D616" s="95" t="s">
        <v>29</v>
      </c>
      <c r="E616" s="95" t="s">
        <v>598</v>
      </c>
      <c r="F616" s="95" t="s">
        <v>19</v>
      </c>
      <c r="G616" s="95" t="s">
        <v>19</v>
      </c>
      <c r="H616" s="95" t="s">
        <v>21</v>
      </c>
      <c r="I616" s="95" t="s">
        <v>684</v>
      </c>
      <c r="J616" s="97">
        <v>45993.7854622338</v>
      </c>
      <c r="K616" s="96" t="s">
        <v>3951</v>
      </c>
      <c r="L616" s="96" t="s">
        <v>3952</v>
      </c>
      <c r="M616" s="95" t="s">
        <v>17</v>
      </c>
      <c r="N616" s="95" t="s">
        <v>3947</v>
      </c>
      <c r="O616" s="95" t="s">
        <v>3947</v>
      </c>
      <c r="P616" s="95" t="s">
        <v>3948</v>
      </c>
      <c r="Q616" s="98">
        <v>3.0</v>
      </c>
      <c r="R616" s="97">
        <v>45844.92319444445</v>
      </c>
      <c r="S616" s="99">
        <v>631.0</v>
      </c>
      <c r="T616" s="99">
        <v>39.0</v>
      </c>
      <c r="U616" s="99">
        <v>2.0</v>
      </c>
      <c r="V616" s="99">
        <v>43.0</v>
      </c>
      <c r="W616" s="99">
        <v>23133.0</v>
      </c>
    </row>
    <row r="617" ht="15.75" customHeight="1">
      <c r="A617" s="95" t="s">
        <v>3953</v>
      </c>
      <c r="B617" s="95" t="s">
        <v>22</v>
      </c>
      <c r="C617" s="96" t="s">
        <v>3954</v>
      </c>
      <c r="D617" s="95" t="s">
        <v>20</v>
      </c>
      <c r="E617" s="95" t="s">
        <v>1991</v>
      </c>
      <c r="F617" s="95" t="s">
        <v>19</v>
      </c>
      <c r="G617" s="95" t="s">
        <v>574</v>
      </c>
      <c r="H617" s="95" t="s">
        <v>21</v>
      </c>
      <c r="I617" s="95" t="s">
        <v>567</v>
      </c>
      <c r="J617" s="97">
        <v>45977.14561378472</v>
      </c>
      <c r="K617" s="96" t="s">
        <v>3955</v>
      </c>
      <c r="L617" s="96" t="s">
        <v>3956</v>
      </c>
      <c r="M617" s="95" t="s">
        <v>17</v>
      </c>
      <c r="N617" s="95" t="s">
        <v>3957</v>
      </c>
      <c r="O617" s="95" t="s">
        <v>3957</v>
      </c>
      <c r="P617" s="95" t="s">
        <v>3958</v>
      </c>
      <c r="Q617" s="98">
        <v>3.0</v>
      </c>
      <c r="R617" s="97">
        <v>45907.73424768518</v>
      </c>
      <c r="S617" s="99">
        <v>66.0</v>
      </c>
      <c r="T617" s="99">
        <v>1.0</v>
      </c>
      <c r="U617" s="99">
        <v>19.0</v>
      </c>
      <c r="V617" s="99">
        <v>171.0</v>
      </c>
      <c r="W617" s="99">
        <v>38594.0</v>
      </c>
    </row>
    <row r="618" ht="15.75" customHeight="1">
      <c r="A618" s="95" t="s">
        <v>3959</v>
      </c>
      <c r="B618" s="95" t="s">
        <v>131</v>
      </c>
      <c r="C618" s="96" t="s">
        <v>3960</v>
      </c>
      <c r="D618" s="95" t="s">
        <v>59</v>
      </c>
      <c r="E618" s="95" t="s">
        <v>3394</v>
      </c>
      <c r="F618" s="95" t="s">
        <v>88</v>
      </c>
      <c r="G618" s="95" t="s">
        <v>858</v>
      </c>
      <c r="H618" s="95" t="s">
        <v>89</v>
      </c>
      <c r="I618" s="95" t="s">
        <v>726</v>
      </c>
      <c r="J618" s="97">
        <v>45975.67931630787</v>
      </c>
      <c r="K618" s="96" t="s">
        <v>3961</v>
      </c>
      <c r="L618" s="96" t="s">
        <v>3962</v>
      </c>
      <c r="M618" s="95" t="s">
        <v>54</v>
      </c>
      <c r="N618" s="95" t="s">
        <v>3963</v>
      </c>
      <c r="O618" s="95" t="s">
        <v>3963</v>
      </c>
      <c r="P618" s="95" t="s">
        <v>3964</v>
      </c>
      <c r="Q618" s="98">
        <v>3.0</v>
      </c>
      <c r="R618" s="97">
        <v>45748.59636574074</v>
      </c>
      <c r="S618" s="99">
        <v>10609.0</v>
      </c>
      <c r="T618" s="99">
        <v>152.0</v>
      </c>
      <c r="U618" s="99">
        <v>2.0</v>
      </c>
      <c r="V618" s="99">
        <v>175.0</v>
      </c>
      <c r="W618" s="99">
        <v>113151.0</v>
      </c>
    </row>
    <row r="619" ht="15.75" customHeight="1">
      <c r="A619" s="95" t="s">
        <v>3965</v>
      </c>
      <c r="B619" s="95" t="s">
        <v>69</v>
      </c>
      <c r="C619" s="96" t="s">
        <v>3966</v>
      </c>
      <c r="D619" s="95" t="s">
        <v>39</v>
      </c>
      <c r="E619" s="95" t="s">
        <v>39</v>
      </c>
      <c r="F619" s="95" t="s">
        <v>58</v>
      </c>
      <c r="G619" s="95" t="s">
        <v>2409</v>
      </c>
      <c r="H619" s="95" t="s">
        <v>77</v>
      </c>
      <c r="I619" s="95" t="s">
        <v>599</v>
      </c>
      <c r="J619" s="97">
        <v>45993.78544196759</v>
      </c>
      <c r="K619" s="96" t="s">
        <v>3967</v>
      </c>
      <c r="L619" s="96" t="s">
        <v>3968</v>
      </c>
      <c r="M619" s="95" t="s">
        <v>93</v>
      </c>
      <c r="N619" s="95" t="s">
        <v>3969</v>
      </c>
      <c r="O619" s="95" t="s">
        <v>3969</v>
      </c>
      <c r="P619" s="95" t="s">
        <v>3970</v>
      </c>
      <c r="Q619" s="98">
        <v>3.0</v>
      </c>
      <c r="R619" s="97">
        <v>45900.45483796296</v>
      </c>
      <c r="S619" s="99">
        <v>58.0</v>
      </c>
      <c r="T619" s="99">
        <v>86.0</v>
      </c>
      <c r="U619" s="99">
        <v>22.0</v>
      </c>
      <c r="V619" s="99">
        <v>296.0</v>
      </c>
      <c r="W619" s="99">
        <v>8117.0</v>
      </c>
    </row>
    <row r="620" ht="15.75" customHeight="1">
      <c r="A620" s="95" t="s">
        <v>3971</v>
      </c>
      <c r="B620" s="95" t="s">
        <v>22</v>
      </c>
      <c r="C620" s="96" t="s">
        <v>3972</v>
      </c>
      <c r="D620" s="95" t="s">
        <v>59</v>
      </c>
      <c r="E620" s="95" t="s">
        <v>3394</v>
      </c>
      <c r="F620" s="95" t="s">
        <v>19</v>
      </c>
      <c r="G620" s="95" t="s">
        <v>19</v>
      </c>
      <c r="H620" s="95" t="s">
        <v>21</v>
      </c>
      <c r="I620" s="95" t="s">
        <v>567</v>
      </c>
      <c r="J620" s="97">
        <v>45975.67928111111</v>
      </c>
      <c r="K620" s="96" t="s">
        <v>3973</v>
      </c>
      <c r="L620" s="96" t="s">
        <v>3974</v>
      </c>
      <c r="M620" s="95" t="s">
        <v>105</v>
      </c>
      <c r="N620" s="95" t="s">
        <v>3975</v>
      </c>
      <c r="O620" s="95" t="s">
        <v>3975</v>
      </c>
      <c r="P620" s="95" t="s">
        <v>3976</v>
      </c>
      <c r="Q620" s="98">
        <v>3.0</v>
      </c>
      <c r="R620" s="97">
        <v>45494.71081018518</v>
      </c>
      <c r="S620" s="99">
        <v>5757.0</v>
      </c>
      <c r="T620" s="99">
        <v>6.0</v>
      </c>
      <c r="U620" s="99">
        <v>1.0</v>
      </c>
      <c r="V620" s="99">
        <v>81.0</v>
      </c>
      <c r="W620" s="99">
        <v>470991.0</v>
      </c>
    </row>
    <row r="621" ht="15.75" customHeight="1">
      <c r="A621" s="95" t="s">
        <v>3977</v>
      </c>
      <c r="B621" s="95" t="s">
        <v>22</v>
      </c>
      <c r="C621" s="96" t="s">
        <v>3978</v>
      </c>
      <c r="D621" s="95" t="s">
        <v>68</v>
      </c>
      <c r="E621" s="95" t="s">
        <v>3979</v>
      </c>
      <c r="F621" s="95" t="s">
        <v>19</v>
      </c>
      <c r="G621" s="95" t="s">
        <v>19</v>
      </c>
      <c r="H621" s="95" t="s">
        <v>21</v>
      </c>
      <c r="I621" s="95" t="s">
        <v>567</v>
      </c>
      <c r="J621" s="97">
        <v>46008.62896773148</v>
      </c>
      <c r="K621" s="96" t="s">
        <v>3980</v>
      </c>
      <c r="L621" s="96" t="s">
        <v>3981</v>
      </c>
      <c r="M621" s="95" t="s">
        <v>54</v>
      </c>
      <c r="N621" s="95" t="s">
        <v>3982</v>
      </c>
      <c r="O621" s="95" t="s">
        <v>3982</v>
      </c>
      <c r="P621" s="95" t="s">
        <v>3983</v>
      </c>
      <c r="Q621" s="98">
        <v>3.0</v>
      </c>
      <c r="R621" s="97">
        <v>45752.73283564814</v>
      </c>
      <c r="S621" s="99">
        <v>15024.0</v>
      </c>
      <c r="T621" s="99">
        <v>36.0</v>
      </c>
      <c r="U621" s="99">
        <v>1.0</v>
      </c>
      <c r="V621" s="99">
        <v>127.0</v>
      </c>
      <c r="W621" s="99">
        <v>7060.0</v>
      </c>
    </row>
    <row r="622" ht="15.75" customHeight="1">
      <c r="A622" s="95" t="s">
        <v>3984</v>
      </c>
      <c r="B622" s="95" t="s">
        <v>22</v>
      </c>
      <c r="C622" s="96" t="s">
        <v>3985</v>
      </c>
      <c r="D622" s="95" t="s">
        <v>59</v>
      </c>
      <c r="E622" s="95" t="s">
        <v>3394</v>
      </c>
      <c r="F622" s="95" t="s">
        <v>19</v>
      </c>
      <c r="G622" s="95" t="s">
        <v>19</v>
      </c>
      <c r="H622" s="95" t="s">
        <v>21</v>
      </c>
      <c r="I622" s="95" t="s">
        <v>677</v>
      </c>
      <c r="J622" s="97">
        <v>46021.51218559028</v>
      </c>
      <c r="K622" s="95" t="s">
        <v>3986</v>
      </c>
      <c r="L622" s="96" t="s">
        <v>3987</v>
      </c>
      <c r="M622" s="95" t="s">
        <v>93</v>
      </c>
      <c r="N622" s="95" t="s">
        <v>3988</v>
      </c>
      <c r="O622" s="95" t="s">
        <v>3988</v>
      </c>
      <c r="P622" s="95" t="s">
        <v>3989</v>
      </c>
      <c r="Q622" s="98">
        <v>3.0</v>
      </c>
      <c r="R622" s="97">
        <v>45618.48679398148</v>
      </c>
      <c r="S622" s="99">
        <v>64.0</v>
      </c>
      <c r="T622" s="99">
        <v>17.0</v>
      </c>
      <c r="U622" s="99">
        <v>23.0</v>
      </c>
      <c r="V622" s="99">
        <v>269.0</v>
      </c>
      <c r="W622" s="99">
        <v>1146353.0</v>
      </c>
    </row>
    <row r="623" ht="15.75" customHeight="1">
      <c r="A623" s="95" t="s">
        <v>3990</v>
      </c>
      <c r="B623" s="95" t="s">
        <v>69</v>
      </c>
      <c r="C623" s="96" t="s">
        <v>3991</v>
      </c>
      <c r="D623" s="95" t="s">
        <v>39</v>
      </c>
      <c r="E623" s="95" t="s">
        <v>39</v>
      </c>
      <c r="F623" s="95" t="s">
        <v>88</v>
      </c>
      <c r="G623" s="95"/>
      <c r="H623" s="95" t="s">
        <v>89</v>
      </c>
      <c r="I623" s="95" t="s">
        <v>3992</v>
      </c>
      <c r="J623" s="97">
        <v>45986.53189861111</v>
      </c>
      <c r="K623" s="95" t="s">
        <v>3993</v>
      </c>
      <c r="L623" s="96" t="s">
        <v>3994</v>
      </c>
      <c r="M623" s="95" t="s">
        <v>17</v>
      </c>
      <c r="N623" s="95" t="s">
        <v>3995</v>
      </c>
      <c r="O623" s="95" t="s">
        <v>3995</v>
      </c>
      <c r="P623" s="95" t="s">
        <v>3996</v>
      </c>
      <c r="Q623" s="98">
        <v>3.0</v>
      </c>
      <c r="R623" s="97">
        <v>45597.81142361111</v>
      </c>
      <c r="S623" s="99">
        <v>1142.0</v>
      </c>
      <c r="T623" s="99">
        <v>262.0</v>
      </c>
      <c r="U623" s="99">
        <v>1.0</v>
      </c>
      <c r="V623" s="99">
        <v>15.0</v>
      </c>
      <c r="W623" s="99">
        <v>10417.0</v>
      </c>
    </row>
    <row r="624" ht="15.75" customHeight="1">
      <c r="A624" s="95" t="s">
        <v>3997</v>
      </c>
      <c r="B624" s="95" t="s">
        <v>101</v>
      </c>
      <c r="C624" s="96" t="s">
        <v>3998</v>
      </c>
      <c r="D624" s="95" t="s">
        <v>20</v>
      </c>
      <c r="E624" s="95" t="s">
        <v>638</v>
      </c>
      <c r="F624" s="95" t="s">
        <v>19</v>
      </c>
      <c r="G624" s="95"/>
      <c r="H624" s="95" t="s">
        <v>21</v>
      </c>
      <c r="I624" s="95" t="s">
        <v>1497</v>
      </c>
      <c r="J624" s="97">
        <v>46021.51218559028</v>
      </c>
      <c r="K624" s="95" t="s">
        <v>3999</v>
      </c>
      <c r="L624" s="96" t="s">
        <v>4000</v>
      </c>
      <c r="M624" s="95" t="s">
        <v>74</v>
      </c>
      <c r="N624" s="95" t="s">
        <v>4001</v>
      </c>
      <c r="O624" s="95" t="s">
        <v>4001</v>
      </c>
      <c r="P624" s="95" t="s">
        <v>4002</v>
      </c>
      <c r="Q624" s="98">
        <v>3.0</v>
      </c>
      <c r="R624" s="97">
        <v>45915.54584490741</v>
      </c>
      <c r="S624" s="99">
        <v>76.0</v>
      </c>
      <c r="T624" s="99">
        <v>57.0</v>
      </c>
      <c r="U624" s="99">
        <v>11.0</v>
      </c>
      <c r="V624" s="99">
        <v>630.0</v>
      </c>
      <c r="W624" s="99">
        <v>24799.0</v>
      </c>
    </row>
    <row r="625" ht="15.75" customHeight="1">
      <c r="A625" s="95" t="s">
        <v>4003</v>
      </c>
      <c r="B625" s="95" t="s">
        <v>69</v>
      </c>
      <c r="C625" s="96" t="s">
        <v>4004</v>
      </c>
      <c r="D625" s="95" t="s">
        <v>49</v>
      </c>
      <c r="E625" s="95" t="s">
        <v>948</v>
      </c>
      <c r="F625" s="95" t="s">
        <v>19</v>
      </c>
      <c r="G625" s="95" t="s">
        <v>1427</v>
      </c>
      <c r="H625" s="95" t="s">
        <v>21</v>
      </c>
      <c r="I625" s="95" t="s">
        <v>998</v>
      </c>
      <c r="J625" s="97">
        <v>45993.78544196759</v>
      </c>
      <c r="K625" s="96" t="s">
        <v>4005</v>
      </c>
      <c r="L625" s="96" t="s">
        <v>4006</v>
      </c>
      <c r="M625" s="95" t="s">
        <v>54</v>
      </c>
      <c r="N625" s="95" t="s">
        <v>4007</v>
      </c>
      <c r="O625" s="95" t="s">
        <v>4007</v>
      </c>
      <c r="P625" s="95" t="s">
        <v>4008</v>
      </c>
      <c r="Q625" s="98">
        <v>3.0</v>
      </c>
      <c r="R625" s="97">
        <v>45903.65215277778</v>
      </c>
      <c r="S625" s="99">
        <v>2969.0</v>
      </c>
      <c r="T625" s="99">
        <v>15.0</v>
      </c>
      <c r="U625" s="99">
        <v>1.0</v>
      </c>
      <c r="V625" s="99">
        <v>369.0</v>
      </c>
      <c r="W625" s="99">
        <v>404059.0</v>
      </c>
    </row>
    <row r="626" ht="15.75" customHeight="1">
      <c r="A626" s="95" t="s">
        <v>4009</v>
      </c>
      <c r="B626" s="95" t="s">
        <v>157</v>
      </c>
      <c r="C626" s="96" t="s">
        <v>4010</v>
      </c>
      <c r="D626" s="95" t="s">
        <v>68</v>
      </c>
      <c r="E626" s="95" t="s">
        <v>1901</v>
      </c>
      <c r="F626" s="95" t="s">
        <v>19</v>
      </c>
      <c r="G626" s="95" t="s">
        <v>574</v>
      </c>
      <c r="H626" s="95" t="s">
        <v>89</v>
      </c>
      <c r="I626" s="95" t="s">
        <v>859</v>
      </c>
      <c r="J626" s="97">
        <v>45975.6793321412</v>
      </c>
      <c r="K626" s="96" t="s">
        <v>4011</v>
      </c>
      <c r="L626" s="95"/>
      <c r="M626" s="95" t="s">
        <v>503</v>
      </c>
      <c r="N626" s="95" t="s">
        <v>4012</v>
      </c>
      <c r="O626" s="95" t="s">
        <v>4012</v>
      </c>
      <c r="P626" s="95" t="s">
        <v>4013</v>
      </c>
      <c r="Q626" s="98">
        <v>3.0</v>
      </c>
      <c r="R626" s="97">
        <v>45758.80276620371</v>
      </c>
      <c r="S626" s="99">
        <v>0.0</v>
      </c>
      <c r="T626" s="99">
        <v>66.0</v>
      </c>
      <c r="U626" s="99">
        <v>2.0</v>
      </c>
      <c r="V626" s="99">
        <v>84.0</v>
      </c>
      <c r="W626" s="99">
        <v>41275.0</v>
      </c>
    </row>
    <row r="627" ht="15.75" customHeight="1">
      <c r="A627" s="95" t="s">
        <v>4014</v>
      </c>
      <c r="B627" s="95" t="s">
        <v>22</v>
      </c>
      <c r="C627" s="96" t="s">
        <v>4015</v>
      </c>
      <c r="D627" s="95" t="s">
        <v>39</v>
      </c>
      <c r="E627" s="95" t="s">
        <v>39</v>
      </c>
      <c r="F627" s="95" t="s">
        <v>19</v>
      </c>
      <c r="G627" s="95" t="s">
        <v>19</v>
      </c>
      <c r="H627" s="95" t="s">
        <v>21</v>
      </c>
      <c r="I627" s="95" t="s">
        <v>567</v>
      </c>
      <c r="J627" s="97">
        <v>46021.49299090278</v>
      </c>
      <c r="K627" s="95" t="s">
        <v>4016</v>
      </c>
      <c r="L627" s="96" t="s">
        <v>4017</v>
      </c>
      <c r="M627" s="95" t="s">
        <v>105</v>
      </c>
      <c r="N627" s="95" t="s">
        <v>4018</v>
      </c>
      <c r="O627" s="95" t="s">
        <v>4018</v>
      </c>
      <c r="P627" s="95" t="s">
        <v>4019</v>
      </c>
      <c r="Q627" s="98">
        <v>3.0</v>
      </c>
      <c r="R627" s="97">
        <v>45487.92648148148</v>
      </c>
      <c r="S627" s="99">
        <v>145.0</v>
      </c>
      <c r="T627" s="99">
        <v>36.0</v>
      </c>
      <c r="U627" s="99">
        <v>1.0</v>
      </c>
      <c r="V627" s="99">
        <v>49.0</v>
      </c>
      <c r="W627" s="99">
        <v>32160.0</v>
      </c>
    </row>
    <row r="628" ht="15.75" customHeight="1">
      <c r="A628" s="95" t="s">
        <v>4020</v>
      </c>
      <c r="B628" s="95" t="s">
        <v>22</v>
      </c>
      <c r="C628" s="96" t="s">
        <v>4021</v>
      </c>
      <c r="D628" s="95" t="s">
        <v>124</v>
      </c>
      <c r="E628" s="95" t="s">
        <v>2195</v>
      </c>
      <c r="F628" s="95" t="s">
        <v>19</v>
      </c>
      <c r="G628" s="95" t="s">
        <v>19</v>
      </c>
      <c r="H628" s="95" t="s">
        <v>21</v>
      </c>
      <c r="I628" s="95" t="s">
        <v>567</v>
      </c>
      <c r="J628" s="97">
        <v>46021.51218559028</v>
      </c>
      <c r="K628" s="95" t="s">
        <v>4022</v>
      </c>
      <c r="L628" s="96" t="s">
        <v>4023</v>
      </c>
      <c r="M628" s="95" t="s">
        <v>503</v>
      </c>
      <c r="N628" s="95" t="s">
        <v>4024</v>
      </c>
      <c r="O628" s="95" t="s">
        <v>4024</v>
      </c>
      <c r="P628" s="95" t="s">
        <v>4025</v>
      </c>
      <c r="Q628" s="98">
        <v>3.0</v>
      </c>
      <c r="R628" s="97">
        <v>45966.56979166667</v>
      </c>
      <c r="S628" s="99">
        <v>376.0</v>
      </c>
      <c r="T628" s="99">
        <v>21.0</v>
      </c>
      <c r="U628" s="99">
        <v>1.0</v>
      </c>
      <c r="V628" s="99">
        <v>49.0</v>
      </c>
      <c r="W628" s="99">
        <v>200263.0</v>
      </c>
    </row>
    <row r="629" ht="15.75" customHeight="1">
      <c r="A629" s="95" t="s">
        <v>4026</v>
      </c>
      <c r="B629" s="95" t="s">
        <v>101</v>
      </c>
      <c r="C629" s="96" t="s">
        <v>4027</v>
      </c>
      <c r="D629" s="95" t="s">
        <v>59</v>
      </c>
      <c r="E629" s="95" t="s">
        <v>3394</v>
      </c>
      <c r="F629" s="95" t="s">
        <v>19</v>
      </c>
      <c r="G629" s="95" t="s">
        <v>19</v>
      </c>
      <c r="H629" s="95" t="s">
        <v>21</v>
      </c>
      <c r="I629" s="95" t="s">
        <v>4028</v>
      </c>
      <c r="J629" s="97">
        <v>46056.93918255787</v>
      </c>
      <c r="K629" s="95" t="s">
        <v>4029</v>
      </c>
      <c r="L629" s="96" t="s">
        <v>4030</v>
      </c>
      <c r="M629" s="95" t="s">
        <v>503</v>
      </c>
      <c r="N629" s="95" t="s">
        <v>4024</v>
      </c>
      <c r="O629" s="95" t="s">
        <v>4024</v>
      </c>
      <c r="P629" s="95" t="s">
        <v>4025</v>
      </c>
      <c r="Q629" s="98">
        <v>3.0</v>
      </c>
      <c r="R629" s="97">
        <v>45811.38954861111</v>
      </c>
      <c r="S629" s="99">
        <v>376.0</v>
      </c>
      <c r="T629" s="99">
        <v>15.0</v>
      </c>
      <c r="U629" s="99">
        <v>1.0</v>
      </c>
      <c r="V629" s="99">
        <v>142.0</v>
      </c>
      <c r="W629" s="99">
        <v>200263.0</v>
      </c>
    </row>
    <row r="630" ht="15.75" customHeight="1">
      <c r="A630" s="95" t="s">
        <v>4031</v>
      </c>
      <c r="B630" s="95" t="s">
        <v>22</v>
      </c>
      <c r="C630" s="96" t="s">
        <v>4032</v>
      </c>
      <c r="D630" s="95" t="s">
        <v>39</v>
      </c>
      <c r="E630" s="95" t="s">
        <v>614</v>
      </c>
      <c r="F630" s="95" t="s">
        <v>19</v>
      </c>
      <c r="G630" s="95" t="s">
        <v>19</v>
      </c>
      <c r="H630" s="95" t="s">
        <v>21</v>
      </c>
      <c r="I630" s="95" t="s">
        <v>567</v>
      </c>
      <c r="J630" s="97">
        <v>46021.50546121527</v>
      </c>
      <c r="K630" s="95" t="s">
        <v>4033</v>
      </c>
      <c r="L630" s="96" t="s">
        <v>4034</v>
      </c>
      <c r="M630" s="95" t="s">
        <v>74</v>
      </c>
      <c r="N630" s="95" t="s">
        <v>4035</v>
      </c>
      <c r="O630" s="95" t="s">
        <v>4035</v>
      </c>
      <c r="P630" s="95" t="s">
        <v>4036</v>
      </c>
      <c r="Q630" s="98">
        <v>3.0</v>
      </c>
      <c r="R630" s="97">
        <v>45707.91846064815</v>
      </c>
      <c r="S630" s="99">
        <v>288.0</v>
      </c>
      <c r="T630" s="99">
        <v>392.0</v>
      </c>
      <c r="U630" s="99">
        <v>21.0</v>
      </c>
      <c r="V630" s="99">
        <v>306.0</v>
      </c>
      <c r="W630" s="99">
        <v>23940.0</v>
      </c>
    </row>
    <row r="631" ht="15.75" customHeight="1">
      <c r="A631" s="95" t="s">
        <v>4037</v>
      </c>
      <c r="B631" s="95" t="s">
        <v>22</v>
      </c>
      <c r="C631" s="96" t="s">
        <v>4038</v>
      </c>
      <c r="D631" s="95" t="s">
        <v>29</v>
      </c>
      <c r="E631" s="95" t="s">
        <v>29</v>
      </c>
      <c r="F631" s="95" t="s">
        <v>19</v>
      </c>
      <c r="G631" s="95" t="s">
        <v>19</v>
      </c>
      <c r="H631" s="95" t="s">
        <v>21</v>
      </c>
      <c r="I631" s="95" t="s">
        <v>567</v>
      </c>
      <c r="J631" s="97">
        <v>46021.50546121527</v>
      </c>
      <c r="K631" s="95" t="s">
        <v>4039</v>
      </c>
      <c r="L631" s="96" t="s">
        <v>4040</v>
      </c>
      <c r="M631" s="95" t="s">
        <v>74</v>
      </c>
      <c r="N631" s="95" t="s">
        <v>146</v>
      </c>
      <c r="O631" s="95" t="s">
        <v>146</v>
      </c>
      <c r="P631" s="95" t="s">
        <v>4041</v>
      </c>
      <c r="Q631" s="98">
        <v>3.0</v>
      </c>
      <c r="R631" s="97">
        <v>45646.79981481482</v>
      </c>
      <c r="S631" s="99">
        <v>417.0</v>
      </c>
      <c r="T631" s="99">
        <v>9.0</v>
      </c>
      <c r="U631" s="99">
        <v>3.0</v>
      </c>
      <c r="V631" s="99">
        <v>86.0</v>
      </c>
      <c r="W631" s="99">
        <v>30342.0</v>
      </c>
    </row>
    <row r="632" ht="15.75" customHeight="1">
      <c r="A632" s="95" t="s">
        <v>145</v>
      </c>
      <c r="B632" s="95" t="s">
        <v>131</v>
      </c>
      <c r="C632" s="96" t="s">
        <v>149</v>
      </c>
      <c r="D632" s="95" t="s">
        <v>29</v>
      </c>
      <c r="E632" s="95" t="s">
        <v>29</v>
      </c>
      <c r="F632" s="95" t="s">
        <v>19</v>
      </c>
      <c r="G632" s="95" t="s">
        <v>19</v>
      </c>
      <c r="H632" s="95" t="s">
        <v>21</v>
      </c>
      <c r="I632" s="95" t="s">
        <v>2428</v>
      </c>
      <c r="J632" s="97">
        <v>46021.50375386574</v>
      </c>
      <c r="K632" s="95" t="s">
        <v>148</v>
      </c>
      <c r="L632" s="96" t="s">
        <v>147</v>
      </c>
      <c r="M632" s="95" t="s">
        <v>74</v>
      </c>
      <c r="N632" s="95" t="s">
        <v>146</v>
      </c>
      <c r="O632" s="95" t="s">
        <v>146</v>
      </c>
      <c r="P632" s="95" t="s">
        <v>4041</v>
      </c>
      <c r="Q632" s="98">
        <v>3.0</v>
      </c>
      <c r="R632" s="97">
        <v>45619.13960648148</v>
      </c>
      <c r="S632" s="99">
        <v>417.0</v>
      </c>
      <c r="T632" s="99">
        <v>17.0</v>
      </c>
      <c r="U632" s="99">
        <v>2.0</v>
      </c>
      <c r="V632" s="99">
        <v>104.0</v>
      </c>
      <c r="W632" s="99">
        <v>30342.0</v>
      </c>
    </row>
    <row r="633" ht="15.75" customHeight="1">
      <c r="A633" s="95" t="s">
        <v>4042</v>
      </c>
      <c r="B633" s="95" t="s">
        <v>22</v>
      </c>
      <c r="C633" s="96" t="s">
        <v>4043</v>
      </c>
      <c r="D633" s="95" t="s">
        <v>29</v>
      </c>
      <c r="E633" s="95" t="s">
        <v>598</v>
      </c>
      <c r="F633" s="95" t="s">
        <v>19</v>
      </c>
      <c r="G633" s="95" t="s">
        <v>574</v>
      </c>
      <c r="H633" s="95" t="s">
        <v>21</v>
      </c>
      <c r="I633" s="95" t="s">
        <v>567</v>
      </c>
      <c r="J633" s="97">
        <v>46021.51218559028</v>
      </c>
      <c r="K633" s="95" t="s">
        <v>4044</v>
      </c>
      <c r="L633" s="96" t="s">
        <v>4045</v>
      </c>
      <c r="M633" s="95" t="s">
        <v>74</v>
      </c>
      <c r="N633" s="95" t="s">
        <v>146</v>
      </c>
      <c r="O633" s="95" t="s">
        <v>146</v>
      </c>
      <c r="P633" s="95" t="s">
        <v>4041</v>
      </c>
      <c r="Q633" s="98">
        <v>3.0</v>
      </c>
      <c r="R633" s="97">
        <v>45601.02565972223</v>
      </c>
      <c r="S633" s="99">
        <v>417.0</v>
      </c>
      <c r="T633" s="99">
        <v>250.0</v>
      </c>
      <c r="U633" s="99">
        <v>22.0</v>
      </c>
      <c r="V633" s="99">
        <v>357.0</v>
      </c>
      <c r="W633" s="99">
        <v>30342.0</v>
      </c>
    </row>
    <row r="634" ht="15.75" customHeight="1">
      <c r="A634" s="95" t="s">
        <v>4046</v>
      </c>
      <c r="B634" s="95" t="s">
        <v>22</v>
      </c>
      <c r="C634" s="96" t="s">
        <v>4047</v>
      </c>
      <c r="D634" s="95" t="s">
        <v>548</v>
      </c>
      <c r="E634" s="95" t="s">
        <v>2757</v>
      </c>
      <c r="F634" s="95" t="s">
        <v>19</v>
      </c>
      <c r="G634" s="95" t="s">
        <v>19</v>
      </c>
      <c r="H634" s="95" t="s">
        <v>21</v>
      </c>
      <c r="I634" s="95" t="s">
        <v>567</v>
      </c>
      <c r="J634" s="97">
        <v>46021.49452240741</v>
      </c>
      <c r="K634" s="95" t="s">
        <v>4048</v>
      </c>
      <c r="L634" s="96" t="s">
        <v>4049</v>
      </c>
      <c r="M634" s="95" t="s">
        <v>105</v>
      </c>
      <c r="N634" s="95" t="s">
        <v>4050</v>
      </c>
      <c r="O634" s="95" t="s">
        <v>4050</v>
      </c>
      <c r="P634" s="95" t="s">
        <v>4051</v>
      </c>
      <c r="Q634" s="98">
        <v>3.0</v>
      </c>
      <c r="R634" s="97">
        <v>45823.84967592593</v>
      </c>
      <c r="S634" s="99">
        <v>226.0</v>
      </c>
      <c r="T634" s="99">
        <v>60.0</v>
      </c>
      <c r="U634" s="99">
        <v>10.0</v>
      </c>
      <c r="V634" s="99">
        <v>58.0</v>
      </c>
      <c r="W634" s="99">
        <v>8695.0</v>
      </c>
    </row>
    <row r="635" ht="15.75" customHeight="1">
      <c r="A635" s="95" t="s">
        <v>4052</v>
      </c>
      <c r="B635" s="95" t="s">
        <v>131</v>
      </c>
      <c r="C635" s="96" t="s">
        <v>4053</v>
      </c>
      <c r="D635" s="95" t="s">
        <v>29</v>
      </c>
      <c r="E635" s="95" t="s">
        <v>3865</v>
      </c>
      <c r="F635" s="95" t="s">
        <v>19</v>
      </c>
      <c r="G635" s="95" t="s">
        <v>19</v>
      </c>
      <c r="H635" s="95" t="s">
        <v>21</v>
      </c>
      <c r="I635" s="95" t="s">
        <v>647</v>
      </c>
      <c r="J635" s="97">
        <v>46072.73736467592</v>
      </c>
      <c r="K635" s="95" t="s">
        <v>4054</v>
      </c>
      <c r="L635" s="96" t="s">
        <v>4055</v>
      </c>
      <c r="M635" s="95" t="s">
        <v>74</v>
      </c>
      <c r="N635" s="95" t="s">
        <v>4056</v>
      </c>
      <c r="O635" s="95" t="s">
        <v>4056</v>
      </c>
      <c r="P635" s="95" t="s">
        <v>4057</v>
      </c>
      <c r="Q635" s="98">
        <v>3.0</v>
      </c>
      <c r="R635" s="97">
        <v>45931.84388888889</v>
      </c>
      <c r="S635" s="99">
        <v>3736.0</v>
      </c>
      <c r="T635" s="99">
        <v>153.0</v>
      </c>
      <c r="U635" s="99">
        <v>20.0</v>
      </c>
      <c r="V635" s="99">
        <v>235.0</v>
      </c>
      <c r="W635" s="99">
        <v>3034.0</v>
      </c>
    </row>
    <row r="636" ht="15.75" customHeight="1">
      <c r="A636" s="95" t="s">
        <v>4058</v>
      </c>
      <c r="B636" s="95" t="s">
        <v>22</v>
      </c>
      <c r="C636" s="96" t="s">
        <v>4059</v>
      </c>
      <c r="D636" s="95" t="s">
        <v>68</v>
      </c>
      <c r="E636" s="95" t="s">
        <v>1901</v>
      </c>
      <c r="F636" s="95" t="s">
        <v>19</v>
      </c>
      <c r="G636" s="95" t="s">
        <v>19</v>
      </c>
      <c r="H636" s="95" t="s">
        <v>21</v>
      </c>
      <c r="I636" s="95" t="s">
        <v>567</v>
      </c>
      <c r="J636" s="97">
        <v>46021.49299090278</v>
      </c>
      <c r="K636" s="95" t="s">
        <v>4060</v>
      </c>
      <c r="L636" s="96" t="s">
        <v>4061</v>
      </c>
      <c r="M636" s="95" t="s">
        <v>54</v>
      </c>
      <c r="N636" s="95" t="s">
        <v>4062</v>
      </c>
      <c r="O636" s="95" t="s">
        <v>4062</v>
      </c>
      <c r="P636" s="95" t="s">
        <v>4063</v>
      </c>
      <c r="Q636" s="98">
        <v>3.0</v>
      </c>
      <c r="R636" s="97">
        <v>45914.83809027778</v>
      </c>
      <c r="S636" s="99">
        <v>157.0</v>
      </c>
      <c r="T636" s="99">
        <v>57.0</v>
      </c>
      <c r="U636" s="99">
        <v>5.0</v>
      </c>
      <c r="V636" s="99">
        <v>78.0</v>
      </c>
      <c r="W636" s="99">
        <v>6222.0</v>
      </c>
    </row>
    <row r="637" ht="15.75" customHeight="1">
      <c r="A637" s="95" t="s">
        <v>4064</v>
      </c>
      <c r="B637" s="95" t="s">
        <v>22</v>
      </c>
      <c r="C637" s="96" t="s">
        <v>4065</v>
      </c>
      <c r="D637" s="95" t="s">
        <v>124</v>
      </c>
      <c r="E637" s="95" t="s">
        <v>1138</v>
      </c>
      <c r="F637" s="95" t="s">
        <v>19</v>
      </c>
      <c r="G637" s="95" t="s">
        <v>588</v>
      </c>
      <c r="H637" s="95" t="s">
        <v>21</v>
      </c>
      <c r="I637" s="95" t="s">
        <v>589</v>
      </c>
      <c r="J637" s="97">
        <v>45975.67934811342</v>
      </c>
      <c r="K637" s="96" t="s">
        <v>4066</v>
      </c>
      <c r="L637" s="95"/>
      <c r="M637" s="95" t="s">
        <v>17</v>
      </c>
      <c r="N637" s="95" t="s">
        <v>4067</v>
      </c>
      <c r="O637" s="95" t="s">
        <v>4067</v>
      </c>
      <c r="P637" s="95" t="s">
        <v>4068</v>
      </c>
      <c r="Q637" s="98">
        <v>3.0</v>
      </c>
      <c r="R637" s="97">
        <v>45650.60385416666</v>
      </c>
      <c r="S637" s="99">
        <v>46660.0</v>
      </c>
      <c r="T637" s="99">
        <v>107.0</v>
      </c>
      <c r="U637" s="99">
        <v>2.0</v>
      </c>
      <c r="V637" s="99">
        <v>51.0</v>
      </c>
      <c r="W637" s="99">
        <v>999999.0</v>
      </c>
    </row>
    <row r="638" ht="15.75" customHeight="1">
      <c r="A638" s="95" t="s">
        <v>4069</v>
      </c>
      <c r="B638" s="95" t="s">
        <v>131</v>
      </c>
      <c r="C638" s="96" t="s">
        <v>4070</v>
      </c>
      <c r="D638" s="95" t="s">
        <v>49</v>
      </c>
      <c r="E638" s="95" t="s">
        <v>948</v>
      </c>
      <c r="F638" s="95" t="s">
        <v>88</v>
      </c>
      <c r="G638" s="95" t="s">
        <v>639</v>
      </c>
      <c r="H638" s="95" t="s">
        <v>89</v>
      </c>
      <c r="I638" s="95" t="s">
        <v>1628</v>
      </c>
      <c r="J638" s="97">
        <v>45975.67937972222</v>
      </c>
      <c r="K638" s="96" t="s">
        <v>4071</v>
      </c>
      <c r="L638" s="96" t="s">
        <v>4072</v>
      </c>
      <c r="M638" s="95" t="s">
        <v>38</v>
      </c>
      <c r="N638" s="95" t="s">
        <v>4073</v>
      </c>
      <c r="O638" s="95" t="s">
        <v>4073</v>
      </c>
      <c r="P638" s="95" t="s">
        <v>4074</v>
      </c>
      <c r="Q638" s="98">
        <v>3.0</v>
      </c>
      <c r="R638" s="97">
        <v>45933.94571759259</v>
      </c>
      <c r="S638" s="99">
        <v>56.0</v>
      </c>
      <c r="T638" s="99">
        <v>277.0</v>
      </c>
      <c r="U638" s="99">
        <v>1.0</v>
      </c>
      <c r="V638" s="99">
        <v>54.0</v>
      </c>
      <c r="W638" s="99">
        <v>89962.0</v>
      </c>
    </row>
    <row r="639" ht="15.75" customHeight="1">
      <c r="A639" s="95" t="s">
        <v>4075</v>
      </c>
      <c r="B639" s="95" t="s">
        <v>22</v>
      </c>
      <c r="C639" s="96" t="s">
        <v>4076</v>
      </c>
      <c r="D639" s="95" t="s">
        <v>49</v>
      </c>
      <c r="E639" s="95" t="s">
        <v>1082</v>
      </c>
      <c r="F639" s="95" t="s">
        <v>19</v>
      </c>
      <c r="G639" s="95" t="s">
        <v>19</v>
      </c>
      <c r="H639" s="95" t="s">
        <v>21</v>
      </c>
      <c r="I639" s="95" t="s">
        <v>567</v>
      </c>
      <c r="J639" s="97">
        <v>45996.65484809028</v>
      </c>
      <c r="K639" s="95" t="s">
        <v>4077</v>
      </c>
      <c r="L639" s="95"/>
      <c r="M639" s="95" t="s">
        <v>38</v>
      </c>
      <c r="N639" s="95" t="s">
        <v>4078</v>
      </c>
      <c r="O639" s="95" t="s">
        <v>4078</v>
      </c>
      <c r="P639" s="95" t="s">
        <v>4079</v>
      </c>
      <c r="Q639" s="98">
        <v>3.0</v>
      </c>
      <c r="R639" s="97">
        <v>45842.31958333333</v>
      </c>
      <c r="S639" s="99">
        <v>62067.0</v>
      </c>
      <c r="T639" s="99">
        <v>7.0</v>
      </c>
      <c r="U639" s="99">
        <v>3.0</v>
      </c>
      <c r="V639" s="99">
        <v>418.0</v>
      </c>
      <c r="W639" s="99">
        <v>294061.0</v>
      </c>
    </row>
    <row r="640" ht="15.75" customHeight="1">
      <c r="A640" s="95" t="s">
        <v>4080</v>
      </c>
      <c r="B640" s="95" t="s">
        <v>101</v>
      </c>
      <c r="C640" s="96" t="s">
        <v>4081</v>
      </c>
      <c r="D640" s="95" t="s">
        <v>124</v>
      </c>
      <c r="E640" s="95" t="s">
        <v>124</v>
      </c>
      <c r="F640" s="95" t="s">
        <v>19</v>
      </c>
      <c r="G640" s="95" t="s">
        <v>19</v>
      </c>
      <c r="H640" s="95" t="s">
        <v>21</v>
      </c>
      <c r="I640" s="95" t="s">
        <v>1589</v>
      </c>
      <c r="J640" s="97">
        <v>46057.09172366898</v>
      </c>
      <c r="K640" s="95" t="s">
        <v>4082</v>
      </c>
      <c r="L640" s="96" t="s">
        <v>4083</v>
      </c>
      <c r="M640" s="95" t="s">
        <v>93</v>
      </c>
      <c r="N640" s="95" t="s">
        <v>4084</v>
      </c>
      <c r="O640" s="95" t="s">
        <v>4084</v>
      </c>
      <c r="P640" s="95" t="s">
        <v>4085</v>
      </c>
      <c r="Q640" s="98">
        <v>3.0</v>
      </c>
      <c r="R640" s="97">
        <v>45656.72770833333</v>
      </c>
      <c r="S640" s="99">
        <v>429.0</v>
      </c>
      <c r="T640" s="99">
        <v>52.0</v>
      </c>
      <c r="U640" s="99">
        <v>2.0</v>
      </c>
      <c r="V640" s="99">
        <v>144.0</v>
      </c>
      <c r="W640" s="99">
        <v>36260.0</v>
      </c>
    </row>
    <row r="641" ht="15.75" customHeight="1">
      <c r="A641" s="95" t="s">
        <v>4086</v>
      </c>
      <c r="B641" s="95" t="s">
        <v>22</v>
      </c>
      <c r="C641" s="96" t="s">
        <v>4087</v>
      </c>
      <c r="D641" s="95" t="s">
        <v>168</v>
      </c>
      <c r="E641" s="95" t="s">
        <v>168</v>
      </c>
      <c r="F641" s="95" t="s">
        <v>19</v>
      </c>
      <c r="G641" s="95" t="s">
        <v>19</v>
      </c>
      <c r="H641" s="95" t="s">
        <v>21</v>
      </c>
      <c r="I641" s="95" t="s">
        <v>677</v>
      </c>
      <c r="J641" s="97">
        <v>46003.09023479166</v>
      </c>
      <c r="K641" s="95" t="s">
        <v>4088</v>
      </c>
      <c r="L641" s="96" t="s">
        <v>4089</v>
      </c>
      <c r="M641" s="95" t="s">
        <v>105</v>
      </c>
      <c r="N641" s="95" t="s">
        <v>4090</v>
      </c>
      <c r="O641" s="95" t="s">
        <v>4090</v>
      </c>
      <c r="P641" s="95" t="s">
        <v>4091</v>
      </c>
      <c r="Q641" s="98">
        <v>3.0</v>
      </c>
      <c r="R641" s="97">
        <v>45994.60712962963</v>
      </c>
      <c r="S641" s="99">
        <v>481.0</v>
      </c>
      <c r="T641" s="99">
        <v>1183.0</v>
      </c>
      <c r="U641" s="99">
        <v>8.0</v>
      </c>
      <c r="V641" s="99">
        <v>135.0</v>
      </c>
      <c r="W641" s="99">
        <v>100679.0</v>
      </c>
    </row>
    <row r="642" ht="15.75" customHeight="1">
      <c r="A642" s="95" t="s">
        <v>4092</v>
      </c>
      <c r="B642" s="95" t="s">
        <v>22</v>
      </c>
      <c r="C642" s="96" t="s">
        <v>4093</v>
      </c>
      <c r="D642" s="95" t="s">
        <v>168</v>
      </c>
      <c r="E642" s="95" t="s">
        <v>606</v>
      </c>
      <c r="F642" s="95" t="s">
        <v>19</v>
      </c>
      <c r="G642" s="95" t="s">
        <v>19</v>
      </c>
      <c r="H642" s="95" t="s">
        <v>21</v>
      </c>
      <c r="I642" s="95" t="s">
        <v>567</v>
      </c>
      <c r="J642" s="97">
        <v>45978.46270384259</v>
      </c>
      <c r="K642" s="95" t="s">
        <v>4094</v>
      </c>
      <c r="L642" s="96" t="s">
        <v>4095</v>
      </c>
      <c r="M642" s="95" t="s">
        <v>17</v>
      </c>
      <c r="N642" s="95" t="s">
        <v>4096</v>
      </c>
      <c r="O642" s="95" t="s">
        <v>4096</v>
      </c>
      <c r="P642" s="95" t="s">
        <v>4097</v>
      </c>
      <c r="Q642" s="98">
        <v>3.0</v>
      </c>
      <c r="R642" s="97">
        <v>45790.42295138889</v>
      </c>
      <c r="S642" s="99">
        <v>265.0</v>
      </c>
      <c r="T642" s="99">
        <v>50.0</v>
      </c>
      <c r="U642" s="99">
        <v>4.0</v>
      </c>
      <c r="V642" s="99">
        <v>230.0</v>
      </c>
      <c r="W642" s="99">
        <v>121406.0</v>
      </c>
    </row>
    <row r="643" ht="15.75" customHeight="1">
      <c r="A643" s="95" t="s">
        <v>4098</v>
      </c>
      <c r="B643" s="95" t="s">
        <v>101</v>
      </c>
      <c r="C643" s="96" t="s">
        <v>4099</v>
      </c>
      <c r="D643" s="95" t="s">
        <v>68</v>
      </c>
      <c r="E643" s="95" t="s">
        <v>1671</v>
      </c>
      <c r="F643" s="95" t="s">
        <v>19</v>
      </c>
      <c r="G643" s="95" t="s">
        <v>997</v>
      </c>
      <c r="H643" s="95" t="s">
        <v>21</v>
      </c>
      <c r="I643" s="95" t="s">
        <v>607</v>
      </c>
      <c r="J643" s="97">
        <v>46021.49452240741</v>
      </c>
      <c r="K643" s="95" t="s">
        <v>4100</v>
      </c>
      <c r="L643" s="96" t="s">
        <v>4101</v>
      </c>
      <c r="M643" s="95" t="s">
        <v>28</v>
      </c>
      <c r="N643" s="95" t="s">
        <v>4102</v>
      </c>
      <c r="O643" s="95" t="s">
        <v>4102</v>
      </c>
      <c r="P643" s="95" t="s">
        <v>4103</v>
      </c>
      <c r="Q643" s="98">
        <v>3.0</v>
      </c>
      <c r="R643" s="97">
        <v>45931.48543981482</v>
      </c>
      <c r="S643" s="99">
        <v>307.0</v>
      </c>
      <c r="T643" s="99">
        <v>120.0</v>
      </c>
      <c r="U643" s="99">
        <v>30.0</v>
      </c>
      <c r="V643" s="99">
        <v>365.0</v>
      </c>
      <c r="W643" s="99">
        <v>9685.0</v>
      </c>
    </row>
    <row r="644" ht="15.75" customHeight="1">
      <c r="A644" s="95" t="s">
        <v>4104</v>
      </c>
      <c r="B644" s="95" t="s">
        <v>101</v>
      </c>
      <c r="C644" s="96" t="s">
        <v>4105</v>
      </c>
      <c r="D644" s="95" t="s">
        <v>68</v>
      </c>
      <c r="E644" s="95" t="s">
        <v>1671</v>
      </c>
      <c r="F644" s="95" t="s">
        <v>19</v>
      </c>
      <c r="G644" s="95" t="s">
        <v>19</v>
      </c>
      <c r="H644" s="95" t="s">
        <v>21</v>
      </c>
      <c r="I644" s="95" t="s">
        <v>607</v>
      </c>
      <c r="J644" s="97">
        <v>46021.51245517361</v>
      </c>
      <c r="K644" s="95" t="s">
        <v>4106</v>
      </c>
      <c r="L644" s="96" t="s">
        <v>4107</v>
      </c>
      <c r="M644" s="95" t="s">
        <v>28</v>
      </c>
      <c r="N644" s="95" t="s">
        <v>4102</v>
      </c>
      <c r="O644" s="95" t="s">
        <v>4102</v>
      </c>
      <c r="P644" s="95" t="s">
        <v>4103</v>
      </c>
      <c r="Q644" s="98">
        <v>3.0</v>
      </c>
      <c r="R644" s="97">
        <v>45872.81177083333</v>
      </c>
      <c r="S644" s="99">
        <v>307.0</v>
      </c>
      <c r="T644" s="99">
        <v>64.0</v>
      </c>
      <c r="U644" s="99">
        <v>52.0</v>
      </c>
      <c r="V644" s="99">
        <v>623.0</v>
      </c>
      <c r="W644" s="99">
        <v>9685.0</v>
      </c>
    </row>
    <row r="645" ht="15.75" customHeight="1">
      <c r="A645" s="95" t="s">
        <v>4108</v>
      </c>
      <c r="B645" s="95" t="s">
        <v>22</v>
      </c>
      <c r="C645" s="96" t="s">
        <v>4109</v>
      </c>
      <c r="D645" s="95" t="s">
        <v>59</v>
      </c>
      <c r="E645" s="95" t="s">
        <v>1826</v>
      </c>
      <c r="F645" s="95" t="s">
        <v>19</v>
      </c>
      <c r="G645" s="95" t="s">
        <v>19</v>
      </c>
      <c r="H645" s="95" t="s">
        <v>21</v>
      </c>
      <c r="I645" s="95" t="s">
        <v>567</v>
      </c>
      <c r="J645" s="97">
        <v>46069.66098399305</v>
      </c>
      <c r="K645" s="95" t="s">
        <v>4110</v>
      </c>
      <c r="L645" s="95"/>
      <c r="M645" s="95" t="s">
        <v>74</v>
      </c>
      <c r="N645" s="95" t="s">
        <v>4111</v>
      </c>
      <c r="O645" s="95" t="s">
        <v>4111</v>
      </c>
      <c r="P645" s="95" t="s">
        <v>4112</v>
      </c>
      <c r="Q645" s="98">
        <v>3.0</v>
      </c>
      <c r="R645" s="97">
        <v>45791.52974537037</v>
      </c>
      <c r="S645" s="99">
        <v>2434.0</v>
      </c>
      <c r="T645" s="99">
        <v>8.0</v>
      </c>
      <c r="U645" s="99">
        <v>10.0</v>
      </c>
      <c r="V645" s="99">
        <v>155.0</v>
      </c>
      <c r="W645" s="99">
        <v>283907.0</v>
      </c>
    </row>
    <row r="646" ht="15.75" customHeight="1">
      <c r="A646" s="95" t="s">
        <v>4113</v>
      </c>
      <c r="B646" s="95" t="s">
        <v>131</v>
      </c>
      <c r="C646" s="96" t="s">
        <v>4114</v>
      </c>
      <c r="D646" s="95" t="s">
        <v>59</v>
      </c>
      <c r="E646" s="95" t="s">
        <v>1347</v>
      </c>
      <c r="F646" s="95" t="s">
        <v>19</v>
      </c>
      <c r="G646" s="95" t="s">
        <v>1427</v>
      </c>
      <c r="H646" s="95" t="s">
        <v>21</v>
      </c>
      <c r="I646" s="95" t="s">
        <v>1724</v>
      </c>
      <c r="J646" s="97">
        <v>46003.09685071759</v>
      </c>
      <c r="K646" s="95" t="s">
        <v>4115</v>
      </c>
      <c r="L646" s="96" t="s">
        <v>4116</v>
      </c>
      <c r="M646" s="95" t="s">
        <v>54</v>
      </c>
      <c r="N646" s="95" t="s">
        <v>4117</v>
      </c>
      <c r="O646" s="95" t="s">
        <v>4117</v>
      </c>
      <c r="P646" s="95" t="s">
        <v>4118</v>
      </c>
      <c r="Q646" s="98">
        <v>3.0</v>
      </c>
      <c r="R646" s="97">
        <v>45640.47589120371</v>
      </c>
      <c r="S646" s="99">
        <v>267.0</v>
      </c>
      <c r="T646" s="99">
        <v>45.0</v>
      </c>
      <c r="U646" s="99">
        <v>13.0</v>
      </c>
      <c r="V646" s="99">
        <v>839.0</v>
      </c>
      <c r="W646" s="99">
        <v>26463.0</v>
      </c>
    </row>
    <row r="647" ht="15.75" customHeight="1">
      <c r="A647" s="95" t="s">
        <v>4119</v>
      </c>
      <c r="B647" s="95" t="s">
        <v>101</v>
      </c>
      <c r="C647" s="96" t="s">
        <v>4120</v>
      </c>
      <c r="D647" s="95" t="s">
        <v>548</v>
      </c>
      <c r="E647" s="95" t="s">
        <v>4121</v>
      </c>
      <c r="F647" s="95" t="s">
        <v>19</v>
      </c>
      <c r="G647" s="95" t="s">
        <v>19</v>
      </c>
      <c r="H647" s="95" t="s">
        <v>21</v>
      </c>
      <c r="I647" s="95" t="s">
        <v>4122</v>
      </c>
      <c r="J647" s="97">
        <v>46002.69323605324</v>
      </c>
      <c r="K647" s="95" t="s">
        <v>4123</v>
      </c>
      <c r="L647" s="96" t="s">
        <v>4124</v>
      </c>
      <c r="M647" s="95" t="s">
        <v>105</v>
      </c>
      <c r="N647" s="95" t="s">
        <v>4125</v>
      </c>
      <c r="O647" s="95" t="s">
        <v>4125</v>
      </c>
      <c r="P647" s="95" t="s">
        <v>4126</v>
      </c>
      <c r="Q647" s="98">
        <v>3.0</v>
      </c>
      <c r="R647" s="97">
        <v>45728.59267361111</v>
      </c>
      <c r="S647" s="99">
        <v>71.0</v>
      </c>
      <c r="T647" s="99">
        <v>570.0</v>
      </c>
      <c r="U647" s="99">
        <v>7.0</v>
      </c>
      <c r="V647" s="99">
        <v>153.0</v>
      </c>
      <c r="W647" s="99">
        <v>69400.0</v>
      </c>
    </row>
    <row r="648" ht="15.75" customHeight="1">
      <c r="A648" s="95" t="s">
        <v>4127</v>
      </c>
      <c r="B648" s="95" t="s">
        <v>131</v>
      </c>
      <c r="C648" s="96" t="s">
        <v>4128</v>
      </c>
      <c r="D648" s="95" t="s">
        <v>39</v>
      </c>
      <c r="E648" s="95" t="s">
        <v>39</v>
      </c>
      <c r="F648" s="95" t="s">
        <v>58</v>
      </c>
      <c r="G648" s="95" t="s">
        <v>58</v>
      </c>
      <c r="H648" s="95" t="s">
        <v>136</v>
      </c>
      <c r="I648" s="95" t="s">
        <v>2306</v>
      </c>
      <c r="J648" s="97">
        <v>46002.69323605324</v>
      </c>
      <c r="K648" s="95" t="s">
        <v>4129</v>
      </c>
      <c r="L648" s="96" t="s">
        <v>4130</v>
      </c>
      <c r="M648" s="95" t="s">
        <v>105</v>
      </c>
      <c r="N648" s="95" t="s">
        <v>4131</v>
      </c>
      <c r="O648" s="95" t="s">
        <v>4131</v>
      </c>
      <c r="P648" s="95" t="s">
        <v>4132</v>
      </c>
      <c r="Q648" s="98">
        <v>3.0</v>
      </c>
      <c r="R648" s="97">
        <v>45874.85011574074</v>
      </c>
      <c r="S648" s="99">
        <v>1538.0</v>
      </c>
      <c r="T648" s="99">
        <v>358.0</v>
      </c>
      <c r="U648" s="99">
        <v>1.0</v>
      </c>
      <c r="V648" s="99">
        <v>69.0</v>
      </c>
      <c r="W648" s="99">
        <v>32031.0</v>
      </c>
    </row>
    <row r="649" ht="15.75" customHeight="1">
      <c r="A649" s="95" t="s">
        <v>4133</v>
      </c>
      <c r="B649" s="95" t="s">
        <v>101</v>
      </c>
      <c r="C649" s="96" t="s">
        <v>4134</v>
      </c>
      <c r="D649" s="95" t="s">
        <v>39</v>
      </c>
      <c r="E649" s="95" t="s">
        <v>39</v>
      </c>
      <c r="F649" s="95" t="s">
        <v>19</v>
      </c>
      <c r="G649" s="95" t="s">
        <v>19</v>
      </c>
      <c r="H649" s="95" t="s">
        <v>21</v>
      </c>
      <c r="I649" s="95" t="s">
        <v>955</v>
      </c>
      <c r="J649" s="97">
        <v>46021.49452240741</v>
      </c>
      <c r="K649" s="95" t="s">
        <v>4135</v>
      </c>
      <c r="L649" s="96" t="s">
        <v>4136</v>
      </c>
      <c r="M649" s="95" t="s">
        <v>105</v>
      </c>
      <c r="N649" s="95" t="s">
        <v>4131</v>
      </c>
      <c r="O649" s="95" t="s">
        <v>4131</v>
      </c>
      <c r="P649" s="95" t="s">
        <v>4132</v>
      </c>
      <c r="Q649" s="98">
        <v>3.0</v>
      </c>
      <c r="R649" s="97">
        <v>45780.68819444445</v>
      </c>
      <c r="S649" s="99">
        <v>1538.0</v>
      </c>
      <c r="T649" s="99">
        <v>652.0</v>
      </c>
      <c r="U649" s="99">
        <v>3.0</v>
      </c>
      <c r="V649" s="99">
        <v>18.0</v>
      </c>
      <c r="W649" s="99">
        <v>32031.0</v>
      </c>
    </row>
    <row r="650" ht="15.75" customHeight="1">
      <c r="A650" s="95" t="s">
        <v>4137</v>
      </c>
      <c r="B650" s="95" t="s">
        <v>22</v>
      </c>
      <c r="C650" s="96" t="s">
        <v>4138</v>
      </c>
      <c r="D650" s="95" t="s">
        <v>39</v>
      </c>
      <c r="E650" s="95" t="s">
        <v>39</v>
      </c>
      <c r="F650" s="95" t="s">
        <v>19</v>
      </c>
      <c r="G650" s="95" t="s">
        <v>19</v>
      </c>
      <c r="H650" s="95" t="s">
        <v>21</v>
      </c>
      <c r="I650" s="95" t="s">
        <v>567</v>
      </c>
      <c r="J650" s="97">
        <v>46002.69323605324</v>
      </c>
      <c r="K650" s="95" t="s">
        <v>4139</v>
      </c>
      <c r="L650" s="96" t="s">
        <v>4140</v>
      </c>
      <c r="M650" s="95" t="s">
        <v>105</v>
      </c>
      <c r="N650" s="95" t="s">
        <v>4131</v>
      </c>
      <c r="O650" s="95" t="s">
        <v>4131</v>
      </c>
      <c r="P650" s="95" t="s">
        <v>4132</v>
      </c>
      <c r="Q650" s="98">
        <v>3.0</v>
      </c>
      <c r="R650" s="97">
        <v>45888.06596064815</v>
      </c>
      <c r="S650" s="99">
        <v>1538.0</v>
      </c>
      <c r="T650" s="99">
        <v>735.0</v>
      </c>
      <c r="U650" s="99">
        <v>4.0</v>
      </c>
      <c r="V650" s="99">
        <v>213.0</v>
      </c>
      <c r="W650" s="99">
        <v>32031.0</v>
      </c>
    </row>
    <row r="651" ht="15.75" customHeight="1">
      <c r="A651" s="95" t="s">
        <v>4141</v>
      </c>
      <c r="B651" s="95" t="s">
        <v>22</v>
      </c>
      <c r="C651" s="96" t="s">
        <v>4142</v>
      </c>
      <c r="D651" s="95" t="s">
        <v>39</v>
      </c>
      <c r="E651" s="95" t="s">
        <v>39</v>
      </c>
      <c r="F651" s="95" t="s">
        <v>19</v>
      </c>
      <c r="G651" s="95" t="s">
        <v>588</v>
      </c>
      <c r="H651" s="95" t="s">
        <v>21</v>
      </c>
      <c r="I651" s="95" t="s">
        <v>677</v>
      </c>
      <c r="J651" s="97">
        <v>46021.51245517361</v>
      </c>
      <c r="K651" s="95" t="s">
        <v>4143</v>
      </c>
      <c r="L651" s="96" t="s">
        <v>4144</v>
      </c>
      <c r="M651" s="95" t="s">
        <v>105</v>
      </c>
      <c r="N651" s="95" t="s">
        <v>4131</v>
      </c>
      <c r="O651" s="95" t="s">
        <v>4131</v>
      </c>
      <c r="P651" s="95" t="s">
        <v>4132</v>
      </c>
      <c r="Q651" s="98">
        <v>3.0</v>
      </c>
      <c r="R651" s="97">
        <v>45235.75940972222</v>
      </c>
      <c r="S651" s="99">
        <v>1538.0</v>
      </c>
      <c r="T651" s="99">
        <v>3.0</v>
      </c>
      <c r="U651" s="99">
        <v>1.0</v>
      </c>
      <c r="V651" s="99">
        <v>41.0</v>
      </c>
      <c r="W651" s="99">
        <v>32031.0</v>
      </c>
    </row>
    <row r="652" ht="15.75" customHeight="1">
      <c r="A652" s="95" t="s">
        <v>4145</v>
      </c>
      <c r="B652" s="95" t="s">
        <v>22</v>
      </c>
      <c r="C652" s="96" t="s">
        <v>4146</v>
      </c>
      <c r="D652" s="95" t="s">
        <v>59</v>
      </c>
      <c r="E652" s="95" t="s">
        <v>1347</v>
      </c>
      <c r="F652" s="95" t="s">
        <v>19</v>
      </c>
      <c r="G652" s="95" t="s">
        <v>19</v>
      </c>
      <c r="H652" s="95" t="s">
        <v>21</v>
      </c>
      <c r="I652" s="95" t="s">
        <v>567</v>
      </c>
      <c r="J652" s="97">
        <v>46039.71707480324</v>
      </c>
      <c r="K652" s="96" t="s">
        <v>4147</v>
      </c>
      <c r="L652" s="96" t="s">
        <v>4148</v>
      </c>
      <c r="M652" s="95" t="s">
        <v>93</v>
      </c>
      <c r="N652" s="95" t="s">
        <v>4149</v>
      </c>
      <c r="O652" s="95" t="s">
        <v>4149</v>
      </c>
      <c r="P652" s="95" t="s">
        <v>4150</v>
      </c>
      <c r="Q652" s="98">
        <v>3.0</v>
      </c>
      <c r="R652" s="97">
        <v>45898.49116898148</v>
      </c>
      <c r="S652" s="99">
        <v>90.0</v>
      </c>
      <c r="T652" s="99">
        <v>1300.0</v>
      </c>
      <c r="U652" s="99">
        <v>12.0</v>
      </c>
      <c r="V652" s="99">
        <v>244.0</v>
      </c>
      <c r="W652" s="99">
        <v>514222.0</v>
      </c>
    </row>
    <row r="653" ht="15.75" customHeight="1">
      <c r="A653" s="95" t="s">
        <v>4151</v>
      </c>
      <c r="B653" s="95" t="s">
        <v>131</v>
      </c>
      <c r="C653" s="96" t="s">
        <v>4152</v>
      </c>
      <c r="D653" s="95" t="s">
        <v>59</v>
      </c>
      <c r="E653" s="95" t="s">
        <v>1347</v>
      </c>
      <c r="F653" s="95" t="s">
        <v>58</v>
      </c>
      <c r="G653" s="95" t="s">
        <v>58</v>
      </c>
      <c r="H653" s="95" t="s">
        <v>60</v>
      </c>
      <c r="I653" s="95" t="s">
        <v>795</v>
      </c>
      <c r="J653" s="97">
        <v>46039.71667966435</v>
      </c>
      <c r="K653" s="95" t="s">
        <v>4153</v>
      </c>
      <c r="L653" s="96" t="s">
        <v>4154</v>
      </c>
      <c r="M653" s="95" t="s">
        <v>93</v>
      </c>
      <c r="N653" s="95" t="s">
        <v>4149</v>
      </c>
      <c r="O653" s="95" t="s">
        <v>4149</v>
      </c>
      <c r="P653" s="95" t="s">
        <v>4150</v>
      </c>
      <c r="Q653" s="98">
        <v>3.0</v>
      </c>
      <c r="R653" s="97">
        <v>45770.56202546296</v>
      </c>
      <c r="S653" s="99">
        <v>90.0</v>
      </c>
      <c r="T653" s="99">
        <v>1622.0</v>
      </c>
      <c r="U653" s="99">
        <v>8.0</v>
      </c>
      <c r="V653" s="99">
        <v>640.0</v>
      </c>
      <c r="W653" s="99">
        <v>514222.0</v>
      </c>
    </row>
    <row r="654" ht="15.75" customHeight="1">
      <c r="A654" s="95" t="s">
        <v>4155</v>
      </c>
      <c r="B654" s="95" t="s">
        <v>101</v>
      </c>
      <c r="C654" s="96" t="s">
        <v>4156</v>
      </c>
      <c r="D654" s="95" t="s">
        <v>130</v>
      </c>
      <c r="E654" s="95" t="s">
        <v>917</v>
      </c>
      <c r="F654" s="95" t="s">
        <v>19</v>
      </c>
      <c r="G654" s="95" t="s">
        <v>19</v>
      </c>
      <c r="H654" s="95" t="s">
        <v>21</v>
      </c>
      <c r="I654" s="95" t="s">
        <v>2990</v>
      </c>
      <c r="J654" s="97">
        <v>46021.50375386574</v>
      </c>
      <c r="K654" s="95" t="s">
        <v>4157</v>
      </c>
      <c r="L654" s="96" t="s">
        <v>4158</v>
      </c>
      <c r="M654" s="95" t="s">
        <v>93</v>
      </c>
      <c r="N654" s="95" t="s">
        <v>4149</v>
      </c>
      <c r="O654" s="95" t="s">
        <v>4149</v>
      </c>
      <c r="P654" s="95" t="s">
        <v>4150</v>
      </c>
      <c r="Q654" s="98">
        <v>3.0</v>
      </c>
      <c r="R654" s="97">
        <v>45827.62106481481</v>
      </c>
      <c r="S654" s="99">
        <v>90.0</v>
      </c>
      <c r="T654" s="99">
        <v>572.0</v>
      </c>
      <c r="U654" s="99">
        <v>1.0</v>
      </c>
      <c r="V654" s="99">
        <v>71.0</v>
      </c>
      <c r="W654" s="99">
        <v>514222.0</v>
      </c>
    </row>
    <row r="655" ht="15.75" customHeight="1">
      <c r="A655" s="95" t="s">
        <v>4159</v>
      </c>
      <c r="B655" s="95" t="s">
        <v>69</v>
      </c>
      <c r="C655" s="96" t="s">
        <v>4160</v>
      </c>
      <c r="D655" s="95" t="s">
        <v>59</v>
      </c>
      <c r="E655" s="95" t="s">
        <v>1347</v>
      </c>
      <c r="F655" s="95" t="s">
        <v>19</v>
      </c>
      <c r="G655" s="95" t="s">
        <v>19</v>
      </c>
      <c r="H655" s="95" t="s">
        <v>60</v>
      </c>
      <c r="I655" s="95" t="s">
        <v>4161</v>
      </c>
      <c r="J655" s="97">
        <v>46021.51245517361</v>
      </c>
      <c r="K655" s="95" t="s">
        <v>4162</v>
      </c>
      <c r="L655" s="96" t="s">
        <v>4163</v>
      </c>
      <c r="M655" s="95" t="s">
        <v>93</v>
      </c>
      <c r="N655" s="95" t="s">
        <v>4149</v>
      </c>
      <c r="O655" s="95" t="s">
        <v>4149</v>
      </c>
      <c r="P655" s="95" t="s">
        <v>4150</v>
      </c>
      <c r="Q655" s="98">
        <v>3.0</v>
      </c>
      <c r="R655" s="97">
        <v>45987.5515625</v>
      </c>
      <c r="S655" s="99">
        <v>90.0</v>
      </c>
      <c r="T655" s="99">
        <v>1488.0</v>
      </c>
      <c r="U655" s="99">
        <v>2.0</v>
      </c>
      <c r="V655" s="99">
        <v>45.0</v>
      </c>
      <c r="W655" s="99">
        <v>514222.0</v>
      </c>
    </row>
    <row r="656" ht="15.75" customHeight="1">
      <c r="A656" s="95" t="s">
        <v>4164</v>
      </c>
      <c r="B656" s="95" t="s">
        <v>22</v>
      </c>
      <c r="C656" s="96" t="s">
        <v>4165</v>
      </c>
      <c r="D656" s="95" t="s">
        <v>130</v>
      </c>
      <c r="E656" s="95" t="s">
        <v>917</v>
      </c>
      <c r="F656" s="95" t="s">
        <v>19</v>
      </c>
      <c r="G656" s="95" t="s">
        <v>19</v>
      </c>
      <c r="H656" s="95" t="s">
        <v>21</v>
      </c>
      <c r="I656" s="95" t="s">
        <v>567</v>
      </c>
      <c r="J656" s="97">
        <v>46039.71667966435</v>
      </c>
      <c r="K656" s="96" t="s">
        <v>4166</v>
      </c>
      <c r="L656" s="96" t="s">
        <v>4167</v>
      </c>
      <c r="M656" s="95" t="s">
        <v>93</v>
      </c>
      <c r="N656" s="95" t="s">
        <v>4149</v>
      </c>
      <c r="O656" s="95" t="s">
        <v>4149</v>
      </c>
      <c r="P656" s="95" t="s">
        <v>4150</v>
      </c>
      <c r="Q656" s="98">
        <v>3.0</v>
      </c>
      <c r="R656" s="97">
        <v>45902.46804398148</v>
      </c>
      <c r="S656" s="99">
        <v>90.0</v>
      </c>
      <c r="T656" s="99">
        <v>1235.0</v>
      </c>
      <c r="U656" s="99">
        <v>26.0</v>
      </c>
      <c r="V656" s="99">
        <v>169.0</v>
      </c>
      <c r="W656" s="99">
        <v>514222.0</v>
      </c>
    </row>
    <row r="657" ht="15.75" customHeight="1">
      <c r="A657" s="95" t="s">
        <v>4168</v>
      </c>
      <c r="B657" s="95" t="s">
        <v>69</v>
      </c>
      <c r="C657" s="96" t="s">
        <v>4169</v>
      </c>
      <c r="D657" s="95" t="s">
        <v>59</v>
      </c>
      <c r="E657" s="95" t="s">
        <v>1347</v>
      </c>
      <c r="F657" s="95" t="s">
        <v>19</v>
      </c>
      <c r="G657" s="95" t="s">
        <v>574</v>
      </c>
      <c r="H657" s="95" t="s">
        <v>77</v>
      </c>
      <c r="I657" s="95" t="s">
        <v>599</v>
      </c>
      <c r="J657" s="97">
        <v>46039.71707480324</v>
      </c>
      <c r="K657" s="96" t="s">
        <v>4170</v>
      </c>
      <c r="L657" s="96" t="s">
        <v>4171</v>
      </c>
      <c r="M657" s="95" t="s">
        <v>93</v>
      </c>
      <c r="N657" s="95" t="s">
        <v>4149</v>
      </c>
      <c r="O657" s="95" t="s">
        <v>4149</v>
      </c>
      <c r="P657" s="95" t="s">
        <v>4150</v>
      </c>
      <c r="Q657" s="98">
        <v>3.0</v>
      </c>
      <c r="R657" s="97">
        <v>45792.60856481481</v>
      </c>
      <c r="S657" s="99">
        <v>90.0</v>
      </c>
      <c r="T657" s="99">
        <v>1134.0</v>
      </c>
      <c r="U657" s="99">
        <v>6.0</v>
      </c>
      <c r="V657" s="99">
        <v>245.0</v>
      </c>
      <c r="W657" s="99">
        <v>514222.0</v>
      </c>
    </row>
    <row r="658" ht="15.75" customHeight="1">
      <c r="A658" s="95" t="s">
        <v>4172</v>
      </c>
      <c r="B658" s="95" t="s">
        <v>22</v>
      </c>
      <c r="C658" s="96" t="s">
        <v>4173</v>
      </c>
      <c r="D658" s="95" t="s">
        <v>20</v>
      </c>
      <c r="E658" s="95" t="s">
        <v>638</v>
      </c>
      <c r="F658" s="95" t="s">
        <v>19</v>
      </c>
      <c r="G658" s="95" t="s">
        <v>19</v>
      </c>
      <c r="H658" s="95" t="s">
        <v>21</v>
      </c>
      <c r="I658" s="95" t="s">
        <v>567</v>
      </c>
      <c r="J658" s="97">
        <v>46021.50557226852</v>
      </c>
      <c r="K658" s="95" t="s">
        <v>4174</v>
      </c>
      <c r="L658" s="96" t="s">
        <v>4175</v>
      </c>
      <c r="M658" s="95" t="s">
        <v>74</v>
      </c>
      <c r="N658" s="95" t="s">
        <v>4176</v>
      </c>
      <c r="O658" s="95" t="s">
        <v>4176</v>
      </c>
      <c r="P658" s="95" t="s">
        <v>4177</v>
      </c>
      <c r="Q658" s="98">
        <v>3.0</v>
      </c>
      <c r="R658" s="97">
        <v>45727.02452546296</v>
      </c>
      <c r="S658" s="99">
        <v>524.0</v>
      </c>
      <c r="T658" s="99">
        <v>6.0</v>
      </c>
      <c r="U658" s="99">
        <v>2.0</v>
      </c>
      <c r="V658" s="99">
        <v>268.0</v>
      </c>
      <c r="W658" s="99">
        <v>87004.0</v>
      </c>
    </row>
    <row r="659" ht="15.75" customHeight="1">
      <c r="A659" s="95" t="s">
        <v>4178</v>
      </c>
      <c r="B659" s="95" t="s">
        <v>22</v>
      </c>
      <c r="C659" s="96" t="s">
        <v>4179</v>
      </c>
      <c r="D659" s="95" t="s">
        <v>68</v>
      </c>
      <c r="E659" s="95" t="s">
        <v>1901</v>
      </c>
      <c r="F659" s="95" t="s">
        <v>19</v>
      </c>
      <c r="G659" s="95" t="s">
        <v>574</v>
      </c>
      <c r="H659" s="95" t="s">
        <v>21</v>
      </c>
      <c r="I659" s="95" t="s">
        <v>567</v>
      </c>
      <c r="J659" s="97">
        <v>46039.71707480324</v>
      </c>
      <c r="K659" s="95" t="s">
        <v>4180</v>
      </c>
      <c r="L659" s="96" t="s">
        <v>4181</v>
      </c>
      <c r="M659" s="95" t="s">
        <v>93</v>
      </c>
      <c r="N659" s="95" t="s">
        <v>4182</v>
      </c>
      <c r="O659" s="95" t="s">
        <v>4182</v>
      </c>
      <c r="P659" s="95" t="s">
        <v>4183</v>
      </c>
      <c r="Q659" s="98">
        <v>3.0</v>
      </c>
      <c r="R659" s="97">
        <v>45708.66876157407</v>
      </c>
      <c r="S659" s="99">
        <v>110.0</v>
      </c>
      <c r="T659" s="99">
        <v>122.0</v>
      </c>
      <c r="U659" s="99">
        <v>1.0</v>
      </c>
      <c r="V659" s="99">
        <v>1248.0</v>
      </c>
      <c r="W659" s="99">
        <v>24793.0</v>
      </c>
    </row>
    <row r="660" ht="15.75" customHeight="1">
      <c r="A660" s="95" t="s">
        <v>4184</v>
      </c>
      <c r="B660" s="95" t="s">
        <v>22</v>
      </c>
      <c r="C660" s="96" t="s">
        <v>4185</v>
      </c>
      <c r="D660" s="95" t="s">
        <v>124</v>
      </c>
      <c r="E660" s="95" t="s">
        <v>4186</v>
      </c>
      <c r="F660" s="95" t="s">
        <v>19</v>
      </c>
      <c r="G660" s="95" t="s">
        <v>19</v>
      </c>
      <c r="H660" s="95" t="s">
        <v>21</v>
      </c>
      <c r="I660" s="95" t="s">
        <v>567</v>
      </c>
      <c r="J660" s="97">
        <v>45994.70090201389</v>
      </c>
      <c r="K660" s="95" t="s">
        <v>4187</v>
      </c>
      <c r="L660" s="96" t="s">
        <v>4188</v>
      </c>
      <c r="M660" s="95" t="s">
        <v>105</v>
      </c>
      <c r="N660" s="95" t="s">
        <v>4189</v>
      </c>
      <c r="O660" s="95" t="s">
        <v>4189</v>
      </c>
      <c r="P660" s="95" t="s">
        <v>4190</v>
      </c>
      <c r="Q660" s="98">
        <v>3.0</v>
      </c>
      <c r="R660" s="97">
        <v>45741.86954861111</v>
      </c>
      <c r="S660" s="99">
        <v>1314.0</v>
      </c>
      <c r="T660" s="99">
        <v>112.0</v>
      </c>
      <c r="U660" s="99">
        <v>1.0</v>
      </c>
      <c r="V660" s="99">
        <v>117.0</v>
      </c>
      <c r="W660" s="99">
        <v>125316.0</v>
      </c>
    </row>
    <row r="661" ht="15.75" customHeight="1">
      <c r="A661" s="95" t="s">
        <v>4191</v>
      </c>
      <c r="B661" s="95" t="s">
        <v>22</v>
      </c>
      <c r="C661" s="96" t="s">
        <v>4192</v>
      </c>
      <c r="D661" s="95" t="s">
        <v>124</v>
      </c>
      <c r="E661" s="95" t="s">
        <v>794</v>
      </c>
      <c r="F661" s="95" t="s">
        <v>19</v>
      </c>
      <c r="G661" s="95" t="s">
        <v>588</v>
      </c>
      <c r="H661" s="95" t="s">
        <v>21</v>
      </c>
      <c r="I661" s="95" t="s">
        <v>711</v>
      </c>
      <c r="J661" s="97">
        <v>46056.93918255787</v>
      </c>
      <c r="K661" s="95" t="s">
        <v>4193</v>
      </c>
      <c r="L661" s="96" t="s">
        <v>4194</v>
      </c>
      <c r="M661" s="95" t="s">
        <v>503</v>
      </c>
      <c r="N661" s="95" t="s">
        <v>4195</v>
      </c>
      <c r="O661" s="95" t="s">
        <v>4195</v>
      </c>
      <c r="P661" s="95" t="s">
        <v>4196</v>
      </c>
      <c r="Q661" s="98">
        <v>3.0</v>
      </c>
      <c r="R661" s="97">
        <v>45613.76626157408</v>
      </c>
      <c r="S661" s="99">
        <v>371.0</v>
      </c>
      <c r="T661" s="99">
        <v>61.0</v>
      </c>
      <c r="U661" s="99">
        <v>3.0</v>
      </c>
      <c r="V661" s="99">
        <v>133.0</v>
      </c>
      <c r="W661" s="99">
        <v>44075.0</v>
      </c>
    </row>
    <row r="662" ht="15.75" customHeight="1">
      <c r="A662" s="95" t="s">
        <v>4197</v>
      </c>
      <c r="B662" s="95" t="s">
        <v>22</v>
      </c>
      <c r="C662" s="96" t="s">
        <v>4198</v>
      </c>
      <c r="D662" s="95" t="s">
        <v>59</v>
      </c>
      <c r="E662" s="95" t="s">
        <v>738</v>
      </c>
      <c r="F662" s="95" t="s">
        <v>19</v>
      </c>
      <c r="G662" s="95" t="s">
        <v>19</v>
      </c>
      <c r="H662" s="95" t="s">
        <v>21</v>
      </c>
      <c r="I662" s="95" t="s">
        <v>567</v>
      </c>
      <c r="J662" s="97">
        <v>45977.67582832176</v>
      </c>
      <c r="K662" s="95" t="s">
        <v>4199</v>
      </c>
      <c r="L662" s="95"/>
      <c r="M662" s="95" t="s">
        <v>17</v>
      </c>
      <c r="N662" s="95" t="s">
        <v>4200</v>
      </c>
      <c r="O662" s="95" t="s">
        <v>4200</v>
      </c>
      <c r="P662" s="95" t="s">
        <v>4201</v>
      </c>
      <c r="Q662" s="98">
        <v>3.0</v>
      </c>
      <c r="R662" s="97">
        <v>45804.33940972222</v>
      </c>
      <c r="S662" s="99">
        <v>8190.0</v>
      </c>
      <c r="T662" s="99">
        <v>46.0</v>
      </c>
      <c r="U662" s="99">
        <v>14.0</v>
      </c>
      <c r="V662" s="99">
        <v>209.0</v>
      </c>
      <c r="W662" s="99">
        <v>3144328.0</v>
      </c>
    </row>
    <row r="663" ht="15.75" customHeight="1">
      <c r="A663" s="95" t="s">
        <v>4202</v>
      </c>
      <c r="B663" s="95" t="s">
        <v>22</v>
      </c>
      <c r="C663" s="96" t="s">
        <v>4203</v>
      </c>
      <c r="D663" s="95" t="s">
        <v>124</v>
      </c>
      <c r="E663" s="95" t="s">
        <v>1966</v>
      </c>
      <c r="F663" s="95" t="s">
        <v>19</v>
      </c>
      <c r="G663" s="95" t="s">
        <v>19</v>
      </c>
      <c r="H663" s="95" t="s">
        <v>21</v>
      </c>
      <c r="I663" s="95" t="s">
        <v>567</v>
      </c>
      <c r="J663" s="97">
        <v>46056.94211379629</v>
      </c>
      <c r="K663" s="95" t="s">
        <v>4204</v>
      </c>
      <c r="L663" s="95"/>
      <c r="M663" s="95" t="s">
        <v>93</v>
      </c>
      <c r="N663" s="95" t="s">
        <v>4205</v>
      </c>
      <c r="O663" s="95" t="s">
        <v>4205</v>
      </c>
      <c r="P663" s="95" t="s">
        <v>4206</v>
      </c>
      <c r="Q663" s="98">
        <v>3.0</v>
      </c>
      <c r="R663" s="97">
        <v>45772.53423611111</v>
      </c>
      <c r="S663" s="99">
        <v>744.0</v>
      </c>
      <c r="T663" s="99">
        <v>2547.0</v>
      </c>
      <c r="U663" s="99">
        <v>8.0</v>
      </c>
      <c r="V663" s="99">
        <v>32.0</v>
      </c>
      <c r="W663" s="99">
        <v>184842.0</v>
      </c>
    </row>
    <row r="664" ht="15.75" customHeight="1">
      <c r="A664" s="95" t="s">
        <v>4207</v>
      </c>
      <c r="B664" s="95" t="s">
        <v>101</v>
      </c>
      <c r="C664" s="96" t="s">
        <v>4208</v>
      </c>
      <c r="D664" s="95" t="s">
        <v>124</v>
      </c>
      <c r="E664" s="95" t="s">
        <v>1966</v>
      </c>
      <c r="F664" s="95" t="s">
        <v>19</v>
      </c>
      <c r="G664" s="95" t="s">
        <v>574</v>
      </c>
      <c r="H664" s="95" t="s">
        <v>21</v>
      </c>
      <c r="I664" s="95" t="s">
        <v>1497</v>
      </c>
      <c r="J664" s="97">
        <v>46069.1361972338</v>
      </c>
      <c r="K664" s="95" t="s">
        <v>4209</v>
      </c>
      <c r="L664" s="96" t="s">
        <v>4210</v>
      </c>
      <c r="M664" s="95" t="s">
        <v>93</v>
      </c>
      <c r="N664" s="95" t="s">
        <v>4205</v>
      </c>
      <c r="O664" s="95" t="s">
        <v>4205</v>
      </c>
      <c r="P664" s="95" t="s">
        <v>4206</v>
      </c>
      <c r="Q664" s="98">
        <v>3.0</v>
      </c>
      <c r="R664" s="97">
        <v>45757.68809027778</v>
      </c>
      <c r="S664" s="99">
        <v>744.0</v>
      </c>
      <c r="T664" s="99">
        <v>73.0</v>
      </c>
      <c r="U664" s="99">
        <v>5.0</v>
      </c>
      <c r="V664" s="99">
        <v>283.0</v>
      </c>
      <c r="W664" s="99">
        <v>184842.0</v>
      </c>
    </row>
    <row r="665" ht="15.75" customHeight="1">
      <c r="A665" s="95" t="s">
        <v>4211</v>
      </c>
      <c r="B665" s="95" t="s">
        <v>22</v>
      </c>
      <c r="C665" s="96" t="s">
        <v>4212</v>
      </c>
      <c r="D665" s="95" t="s">
        <v>39</v>
      </c>
      <c r="E665" s="95" t="s">
        <v>39</v>
      </c>
      <c r="F665" s="95" t="s">
        <v>19</v>
      </c>
      <c r="G665" s="95" t="s">
        <v>19</v>
      </c>
      <c r="H665" s="95" t="s">
        <v>21</v>
      </c>
      <c r="I665" s="95" t="s">
        <v>567</v>
      </c>
      <c r="J665" s="97">
        <v>45975.67937972222</v>
      </c>
      <c r="K665" s="96" t="s">
        <v>4213</v>
      </c>
      <c r="L665" s="96" t="s">
        <v>4214</v>
      </c>
      <c r="M665" s="95" t="s">
        <v>74</v>
      </c>
      <c r="N665" s="95" t="s">
        <v>4215</v>
      </c>
      <c r="O665" s="95" t="s">
        <v>4215</v>
      </c>
      <c r="P665" s="95" t="s">
        <v>4216</v>
      </c>
      <c r="Q665" s="98">
        <v>3.0</v>
      </c>
      <c r="R665" s="97">
        <v>45863.48118055556</v>
      </c>
      <c r="S665" s="99">
        <v>8584.0</v>
      </c>
      <c r="T665" s="99">
        <v>148.0</v>
      </c>
      <c r="U665" s="99">
        <v>14.0</v>
      </c>
      <c r="V665" s="99">
        <v>93.0</v>
      </c>
      <c r="W665" s="99">
        <v>352505.0</v>
      </c>
    </row>
    <row r="666" ht="15.75" customHeight="1">
      <c r="A666" s="95" t="s">
        <v>4217</v>
      </c>
      <c r="B666" s="95" t="s">
        <v>22</v>
      </c>
      <c r="C666" s="96" t="s">
        <v>4218</v>
      </c>
      <c r="D666" s="95" t="s">
        <v>39</v>
      </c>
      <c r="E666" s="95" t="s">
        <v>960</v>
      </c>
      <c r="F666" s="95" t="s">
        <v>19</v>
      </c>
      <c r="G666" s="95" t="s">
        <v>574</v>
      </c>
      <c r="H666" s="95" t="s">
        <v>21</v>
      </c>
      <c r="I666" s="95" t="s">
        <v>567</v>
      </c>
      <c r="J666" s="97">
        <v>45975.67934811342</v>
      </c>
      <c r="K666" s="96" t="s">
        <v>4219</v>
      </c>
      <c r="L666" s="96" t="s">
        <v>4220</v>
      </c>
      <c r="M666" s="95" t="s">
        <v>17</v>
      </c>
      <c r="N666" s="95" t="s">
        <v>4221</v>
      </c>
      <c r="O666" s="95" t="s">
        <v>4221</v>
      </c>
      <c r="P666" s="95" t="s">
        <v>4222</v>
      </c>
      <c r="Q666" s="98">
        <v>3.0</v>
      </c>
      <c r="R666" s="97">
        <v>45869.51395833334</v>
      </c>
      <c r="S666" s="99">
        <v>2093.0</v>
      </c>
      <c r="T666" s="99">
        <v>38.0</v>
      </c>
      <c r="U666" s="99">
        <v>23.0</v>
      </c>
      <c r="V666" s="99">
        <v>32.0</v>
      </c>
      <c r="W666" s="99">
        <v>100335.0</v>
      </c>
    </row>
    <row r="667" ht="15.75" customHeight="1">
      <c r="A667" s="95" t="s">
        <v>4223</v>
      </c>
      <c r="B667" s="95" t="s">
        <v>22</v>
      </c>
      <c r="C667" s="96" t="s">
        <v>4224</v>
      </c>
      <c r="D667" s="95" t="s">
        <v>39</v>
      </c>
      <c r="E667" s="95" t="s">
        <v>614</v>
      </c>
      <c r="F667" s="95" t="s">
        <v>19</v>
      </c>
      <c r="G667" s="95" t="s">
        <v>574</v>
      </c>
      <c r="H667" s="95" t="s">
        <v>21</v>
      </c>
      <c r="I667" s="95" t="s">
        <v>567</v>
      </c>
      <c r="J667" s="97">
        <v>46069.13722578704</v>
      </c>
      <c r="K667" s="95" t="s">
        <v>4225</v>
      </c>
      <c r="L667" s="96" t="s">
        <v>4226</v>
      </c>
      <c r="M667" s="95" t="s">
        <v>74</v>
      </c>
      <c r="N667" s="95" t="s">
        <v>4227</v>
      </c>
      <c r="O667" s="95" t="s">
        <v>4227</v>
      </c>
      <c r="P667" s="95" t="s">
        <v>4228</v>
      </c>
      <c r="Q667" s="98">
        <v>3.0</v>
      </c>
      <c r="R667" s="97">
        <v>45702.37521990741</v>
      </c>
      <c r="S667" s="99">
        <v>1763.0</v>
      </c>
      <c r="T667" s="99">
        <v>20.0</v>
      </c>
      <c r="U667" s="99">
        <v>3.0</v>
      </c>
      <c r="V667" s="99">
        <v>126.0</v>
      </c>
      <c r="W667" s="99">
        <v>57571.0</v>
      </c>
    </row>
    <row r="668" ht="15.75" customHeight="1">
      <c r="A668" s="95" t="s">
        <v>4229</v>
      </c>
      <c r="B668" s="95" t="s">
        <v>22</v>
      </c>
      <c r="C668" s="96" t="s">
        <v>4230</v>
      </c>
      <c r="D668" s="95" t="s">
        <v>39</v>
      </c>
      <c r="E668" s="95" t="s">
        <v>39</v>
      </c>
      <c r="F668" s="95" t="s">
        <v>19</v>
      </c>
      <c r="G668" s="95" t="s">
        <v>19</v>
      </c>
      <c r="H668" s="95" t="s">
        <v>21</v>
      </c>
      <c r="I668" s="95" t="s">
        <v>567</v>
      </c>
      <c r="J668" s="97">
        <v>46021.50557226852</v>
      </c>
      <c r="K668" s="95" t="s">
        <v>4231</v>
      </c>
      <c r="L668" s="96" t="s">
        <v>4232</v>
      </c>
      <c r="M668" s="95" t="s">
        <v>67</v>
      </c>
      <c r="N668" s="95" t="s">
        <v>4233</v>
      </c>
      <c r="O668" s="95" t="s">
        <v>4233</v>
      </c>
      <c r="P668" s="95" t="s">
        <v>4234</v>
      </c>
      <c r="Q668" s="98">
        <v>3.0</v>
      </c>
      <c r="R668" s="97">
        <v>45797.52774305556</v>
      </c>
      <c r="S668" s="99">
        <v>983.0</v>
      </c>
      <c r="T668" s="99">
        <v>23.0</v>
      </c>
      <c r="U668" s="99">
        <v>4.0</v>
      </c>
      <c r="V668" s="99">
        <v>59.0</v>
      </c>
      <c r="W668" s="99">
        <v>34993.0</v>
      </c>
    </row>
    <row r="669" ht="15.75" customHeight="1">
      <c r="A669" s="95" t="s">
        <v>4235</v>
      </c>
      <c r="B669" s="95" t="s">
        <v>69</v>
      </c>
      <c r="C669" s="96" t="s">
        <v>4236</v>
      </c>
      <c r="D669" s="95" t="s">
        <v>29</v>
      </c>
      <c r="E669" s="95" t="s">
        <v>910</v>
      </c>
      <c r="F669" s="95" t="s">
        <v>88</v>
      </c>
      <c r="G669" s="95" t="s">
        <v>88</v>
      </c>
      <c r="H669" s="95" t="s">
        <v>89</v>
      </c>
      <c r="I669" s="95" t="s">
        <v>640</v>
      </c>
      <c r="J669" s="97">
        <v>46040.56582103009</v>
      </c>
      <c r="K669" s="95" t="s">
        <v>4237</v>
      </c>
      <c r="L669" s="96" t="s">
        <v>4238</v>
      </c>
      <c r="M669" s="95" t="s">
        <v>503</v>
      </c>
      <c r="N669" s="95" t="s">
        <v>4239</v>
      </c>
      <c r="O669" s="95" t="s">
        <v>4239</v>
      </c>
      <c r="P669" s="95" t="s">
        <v>4240</v>
      </c>
      <c r="Q669" s="98">
        <v>3.0</v>
      </c>
      <c r="R669" s="97">
        <v>45645.42429398148</v>
      </c>
      <c r="S669" s="99">
        <v>0.0</v>
      </c>
      <c r="T669" s="99">
        <v>14.0</v>
      </c>
      <c r="U669" s="99">
        <v>2.0</v>
      </c>
      <c r="V669" s="99">
        <v>52.0</v>
      </c>
      <c r="W669" s="99">
        <v>76201.0</v>
      </c>
    </row>
    <row r="670" ht="15.75" customHeight="1">
      <c r="A670" s="95" t="s">
        <v>4241</v>
      </c>
      <c r="B670" s="95" t="s">
        <v>22</v>
      </c>
      <c r="C670" s="96" t="s">
        <v>4242</v>
      </c>
      <c r="D670" s="95" t="s">
        <v>20</v>
      </c>
      <c r="E670" s="95" t="s">
        <v>1991</v>
      </c>
      <c r="F670" s="95" t="s">
        <v>19</v>
      </c>
      <c r="G670" s="95"/>
      <c r="H670" s="95" t="s">
        <v>21</v>
      </c>
      <c r="I670" s="95" t="s">
        <v>567</v>
      </c>
      <c r="J670" s="97">
        <v>45975.67930055556</v>
      </c>
      <c r="K670" s="96" t="s">
        <v>4243</v>
      </c>
      <c r="L670" s="96" t="s">
        <v>4244</v>
      </c>
      <c r="M670" s="95" t="s">
        <v>105</v>
      </c>
      <c r="N670" s="95" t="s">
        <v>4245</v>
      </c>
      <c r="O670" s="95" t="s">
        <v>4245</v>
      </c>
      <c r="P670" s="95" t="s">
        <v>4246</v>
      </c>
      <c r="Q670" s="98">
        <v>3.0</v>
      </c>
      <c r="R670" s="97">
        <v>45260.75211805556</v>
      </c>
      <c r="S670" s="99">
        <v>13676.0</v>
      </c>
      <c r="T670" s="99">
        <v>18.0</v>
      </c>
      <c r="U670" s="99">
        <v>2.0</v>
      </c>
      <c r="V670" s="99">
        <v>836.0</v>
      </c>
      <c r="W670" s="99">
        <v>209999.0</v>
      </c>
    </row>
    <row r="671" ht="15.75" customHeight="1">
      <c r="A671" s="95" t="s">
        <v>4247</v>
      </c>
      <c r="B671" s="95" t="s">
        <v>22</v>
      </c>
      <c r="C671" s="96" t="s">
        <v>4248</v>
      </c>
      <c r="D671" s="95" t="s">
        <v>20</v>
      </c>
      <c r="E671" s="95" t="s">
        <v>2261</v>
      </c>
      <c r="F671" s="95" t="s">
        <v>19</v>
      </c>
      <c r="G671" s="95" t="s">
        <v>19</v>
      </c>
      <c r="H671" s="95" t="s">
        <v>21</v>
      </c>
      <c r="I671" s="95" t="s">
        <v>589</v>
      </c>
      <c r="J671" s="97">
        <v>45988.61454574074</v>
      </c>
      <c r="K671" s="95" t="s">
        <v>4249</v>
      </c>
      <c r="L671" s="96" t="s">
        <v>4250</v>
      </c>
      <c r="M671" s="95" t="s">
        <v>17</v>
      </c>
      <c r="N671" s="95" t="s">
        <v>4251</v>
      </c>
      <c r="O671" s="95" t="s">
        <v>4251</v>
      </c>
      <c r="P671" s="95" t="s">
        <v>4252</v>
      </c>
      <c r="Q671" s="98">
        <v>3.0</v>
      </c>
      <c r="R671" s="97">
        <v>45923.57510416667</v>
      </c>
      <c r="S671" s="99">
        <v>482.0</v>
      </c>
      <c r="T671" s="99">
        <v>25.0</v>
      </c>
      <c r="U671" s="99">
        <v>3.0</v>
      </c>
      <c r="V671" s="99">
        <v>59.0</v>
      </c>
      <c r="W671" s="99">
        <v>214380.0</v>
      </c>
    </row>
    <row r="672" ht="15.75" customHeight="1">
      <c r="A672" s="95" t="s">
        <v>4253</v>
      </c>
      <c r="B672" s="95" t="s">
        <v>22</v>
      </c>
      <c r="C672" s="96" t="s">
        <v>4254</v>
      </c>
      <c r="D672" s="95" t="s">
        <v>39</v>
      </c>
      <c r="E672" s="95" t="s">
        <v>4255</v>
      </c>
      <c r="F672" s="95" t="s">
        <v>19</v>
      </c>
      <c r="G672" s="95" t="s">
        <v>588</v>
      </c>
      <c r="H672" s="95" t="s">
        <v>21</v>
      </c>
      <c r="I672" s="95" t="s">
        <v>589</v>
      </c>
      <c r="J672" s="97">
        <v>45988.61454574074</v>
      </c>
      <c r="K672" s="95" t="s">
        <v>4256</v>
      </c>
      <c r="L672" s="96" t="s">
        <v>4257</v>
      </c>
      <c r="M672" s="95" t="s">
        <v>17</v>
      </c>
      <c r="N672" s="95" t="s">
        <v>4258</v>
      </c>
      <c r="O672" s="95" t="s">
        <v>4258</v>
      </c>
      <c r="P672" s="95" t="s">
        <v>4259</v>
      </c>
      <c r="Q672" s="98">
        <v>3.0</v>
      </c>
      <c r="R672" s="97">
        <v>45922.72309027778</v>
      </c>
      <c r="S672" s="99">
        <v>1790.0</v>
      </c>
      <c r="T672" s="99">
        <v>223.0</v>
      </c>
      <c r="U672" s="99">
        <v>2.0</v>
      </c>
      <c r="V672" s="99">
        <v>113.0</v>
      </c>
      <c r="W672" s="99">
        <v>15902.0</v>
      </c>
    </row>
    <row r="673" ht="15.75" customHeight="1">
      <c r="A673" s="95" t="s">
        <v>4260</v>
      </c>
      <c r="B673" s="95" t="s">
        <v>22</v>
      </c>
      <c r="C673" s="96" t="s">
        <v>4261</v>
      </c>
      <c r="D673" s="95" t="s">
        <v>39</v>
      </c>
      <c r="E673" s="95" t="s">
        <v>1208</v>
      </c>
      <c r="F673" s="95" t="s">
        <v>19</v>
      </c>
      <c r="G673" s="95" t="s">
        <v>19</v>
      </c>
      <c r="H673" s="95" t="s">
        <v>21</v>
      </c>
      <c r="I673" s="95" t="s">
        <v>567</v>
      </c>
      <c r="J673" s="97">
        <v>46021.49452240741</v>
      </c>
      <c r="K673" s="95" t="s">
        <v>4262</v>
      </c>
      <c r="L673" s="96" t="s">
        <v>4263</v>
      </c>
      <c r="M673" s="95" t="s">
        <v>105</v>
      </c>
      <c r="N673" s="95" t="s">
        <v>4264</v>
      </c>
      <c r="O673" s="95" t="s">
        <v>4264</v>
      </c>
      <c r="P673" s="95" t="s">
        <v>4265</v>
      </c>
      <c r="Q673" s="98">
        <v>3.0</v>
      </c>
      <c r="R673" s="97">
        <v>45732.67699074074</v>
      </c>
      <c r="S673" s="99">
        <v>267.0</v>
      </c>
      <c r="T673" s="99">
        <v>54.0</v>
      </c>
      <c r="U673" s="99">
        <v>7.0</v>
      </c>
      <c r="V673" s="99">
        <v>301.0</v>
      </c>
      <c r="W673" s="99">
        <v>10593.0</v>
      </c>
    </row>
    <row r="674" ht="15.75" customHeight="1">
      <c r="A674" s="95" t="s">
        <v>4266</v>
      </c>
      <c r="B674" s="95" t="s">
        <v>22</v>
      </c>
      <c r="C674" s="96" t="s">
        <v>4267</v>
      </c>
      <c r="D674" s="95" t="s">
        <v>29</v>
      </c>
      <c r="E674" s="95" t="s">
        <v>658</v>
      </c>
      <c r="F674" s="95" t="s">
        <v>19</v>
      </c>
      <c r="G674" s="95" t="s">
        <v>588</v>
      </c>
      <c r="H674" s="95" t="s">
        <v>21</v>
      </c>
      <c r="I674" s="95" t="s">
        <v>567</v>
      </c>
      <c r="J674" s="97">
        <v>45975.67931630787</v>
      </c>
      <c r="K674" s="96" t="s">
        <v>4268</v>
      </c>
      <c r="L674" s="96" t="s">
        <v>4269</v>
      </c>
      <c r="M674" s="95" t="s">
        <v>54</v>
      </c>
      <c r="N674" s="95" t="s">
        <v>4270</v>
      </c>
      <c r="O674" s="95" t="s">
        <v>4270</v>
      </c>
      <c r="P674" s="95" t="s">
        <v>4271</v>
      </c>
      <c r="Q674" s="98">
        <v>3.0</v>
      </c>
      <c r="R674" s="97">
        <v>45767.67449074074</v>
      </c>
      <c r="S674" s="99">
        <v>86802.0</v>
      </c>
      <c r="T674" s="99">
        <v>510.0</v>
      </c>
      <c r="U674" s="99">
        <v>7.0</v>
      </c>
      <c r="V674" s="99">
        <v>45.0</v>
      </c>
      <c r="W674" s="99">
        <v>21795.0</v>
      </c>
    </row>
    <row r="675" ht="15.75" customHeight="1">
      <c r="A675" s="95" t="s">
        <v>4272</v>
      </c>
      <c r="B675" s="95" t="s">
        <v>22</v>
      </c>
      <c r="C675" s="96" t="s">
        <v>4273</v>
      </c>
      <c r="D675" s="95" t="s">
        <v>39</v>
      </c>
      <c r="E675" s="95" t="s">
        <v>960</v>
      </c>
      <c r="F675" s="95" t="s">
        <v>19</v>
      </c>
      <c r="G675" s="95" t="s">
        <v>574</v>
      </c>
      <c r="H675" s="95" t="s">
        <v>21</v>
      </c>
      <c r="I675" s="95" t="s">
        <v>567</v>
      </c>
      <c r="J675" s="97">
        <v>46021.51245517361</v>
      </c>
      <c r="K675" s="95" t="s">
        <v>4274</v>
      </c>
      <c r="L675" s="96" t="s">
        <v>4275</v>
      </c>
      <c r="M675" s="95" t="s">
        <v>28</v>
      </c>
      <c r="N675" s="95" t="s">
        <v>4276</v>
      </c>
      <c r="O675" s="95" t="s">
        <v>4276</v>
      </c>
      <c r="P675" s="95" t="s">
        <v>4277</v>
      </c>
      <c r="Q675" s="98">
        <v>3.0</v>
      </c>
      <c r="R675" s="97">
        <v>45681.07587962963</v>
      </c>
      <c r="S675" s="99">
        <v>391.0</v>
      </c>
      <c r="T675" s="99">
        <v>859.0</v>
      </c>
      <c r="U675" s="99">
        <v>7.0</v>
      </c>
      <c r="V675" s="99">
        <v>194.0</v>
      </c>
      <c r="W675" s="99">
        <v>43189.0</v>
      </c>
    </row>
    <row r="676" ht="15.75" customHeight="1">
      <c r="A676" s="95" t="s">
        <v>4278</v>
      </c>
      <c r="B676" s="95" t="s">
        <v>101</v>
      </c>
      <c r="C676" s="96" t="s">
        <v>4279</v>
      </c>
      <c r="D676" s="95" t="s">
        <v>59</v>
      </c>
      <c r="E676" s="95" t="s">
        <v>59</v>
      </c>
      <c r="F676" s="95" t="s">
        <v>19</v>
      </c>
      <c r="G676" s="95" t="s">
        <v>19</v>
      </c>
      <c r="H676" s="95" t="s">
        <v>21</v>
      </c>
      <c r="I676" s="95" t="s">
        <v>1589</v>
      </c>
      <c r="J676" s="97">
        <v>45975.67931630787</v>
      </c>
      <c r="K676" s="96" t="s">
        <v>4280</v>
      </c>
      <c r="L676" s="96" t="s">
        <v>4281</v>
      </c>
      <c r="M676" s="95" t="s">
        <v>54</v>
      </c>
      <c r="N676" s="95" t="s">
        <v>4282</v>
      </c>
      <c r="O676" s="95" t="s">
        <v>4282</v>
      </c>
      <c r="P676" s="95" t="s">
        <v>4283</v>
      </c>
      <c r="Q676" s="98">
        <v>3.0</v>
      </c>
      <c r="R676" s="97">
        <v>45719.71210648148</v>
      </c>
      <c r="S676" s="99">
        <v>13017.0</v>
      </c>
      <c r="T676" s="99">
        <v>44.0</v>
      </c>
      <c r="U676" s="99">
        <v>2.0</v>
      </c>
      <c r="V676" s="99">
        <v>169.0</v>
      </c>
      <c r="W676" s="99">
        <v>613362.0</v>
      </c>
    </row>
    <row r="677" ht="15.75" customHeight="1">
      <c r="A677" s="95" t="s">
        <v>4284</v>
      </c>
      <c r="B677" s="95" t="s">
        <v>69</v>
      </c>
      <c r="C677" s="96" t="s">
        <v>4285</v>
      </c>
      <c r="D677" s="95" t="s">
        <v>39</v>
      </c>
      <c r="E677" s="95" t="s">
        <v>960</v>
      </c>
      <c r="F677" s="95" t="s">
        <v>88</v>
      </c>
      <c r="G677" s="95"/>
      <c r="H677" s="95" t="s">
        <v>89</v>
      </c>
      <c r="I677" s="95" t="s">
        <v>4286</v>
      </c>
      <c r="J677" s="97">
        <v>46040.67613298611</v>
      </c>
      <c r="K677" s="95" t="s">
        <v>4287</v>
      </c>
      <c r="L677" s="96" t="s">
        <v>4288</v>
      </c>
      <c r="M677" s="95" t="s">
        <v>503</v>
      </c>
      <c r="N677" s="95" t="s">
        <v>4289</v>
      </c>
      <c r="O677" s="95" t="s">
        <v>4289</v>
      </c>
      <c r="P677" s="95" t="s">
        <v>4290</v>
      </c>
      <c r="Q677" s="98">
        <v>3.0</v>
      </c>
      <c r="R677" s="97">
        <v>45797.71896990741</v>
      </c>
      <c r="S677" s="99">
        <v>834.0</v>
      </c>
      <c r="T677" s="99">
        <v>17.0</v>
      </c>
      <c r="U677" s="99">
        <v>6.0</v>
      </c>
      <c r="V677" s="99">
        <v>179.0</v>
      </c>
      <c r="W677" s="99">
        <v>17388.0</v>
      </c>
    </row>
    <row r="678" ht="15.75" customHeight="1">
      <c r="A678" s="95" t="s">
        <v>4291</v>
      </c>
      <c r="B678" s="95" t="s">
        <v>101</v>
      </c>
      <c r="C678" s="96" t="s">
        <v>4292</v>
      </c>
      <c r="D678" s="95" t="s">
        <v>39</v>
      </c>
      <c r="E678" s="95" t="s">
        <v>4293</v>
      </c>
      <c r="F678" s="95" t="s">
        <v>19</v>
      </c>
      <c r="G678" s="95" t="s">
        <v>997</v>
      </c>
      <c r="H678" s="95" t="s">
        <v>21</v>
      </c>
      <c r="I678" s="95" t="s">
        <v>1504</v>
      </c>
      <c r="J678" s="97">
        <v>46021.51245517361</v>
      </c>
      <c r="K678" s="95" t="s">
        <v>4294</v>
      </c>
      <c r="L678" s="96" t="s">
        <v>4295</v>
      </c>
      <c r="M678" s="95" t="s">
        <v>54</v>
      </c>
      <c r="N678" s="95" t="s">
        <v>4296</v>
      </c>
      <c r="O678" s="95" t="s">
        <v>4296</v>
      </c>
      <c r="P678" s="95" t="s">
        <v>4297</v>
      </c>
      <c r="Q678" s="98">
        <v>3.0</v>
      </c>
      <c r="R678" s="97">
        <v>45889.27299768518</v>
      </c>
      <c r="S678" s="99">
        <v>210.0</v>
      </c>
      <c r="T678" s="99">
        <v>723.0</v>
      </c>
      <c r="U678" s="99">
        <v>3.0</v>
      </c>
      <c r="V678" s="99">
        <v>112.0</v>
      </c>
      <c r="W678" s="99">
        <v>582623.0</v>
      </c>
    </row>
    <row r="679" ht="15.75" customHeight="1">
      <c r="A679" s="95" t="s">
        <v>4298</v>
      </c>
      <c r="B679" s="95" t="s">
        <v>101</v>
      </c>
      <c r="C679" s="96" t="s">
        <v>4299</v>
      </c>
      <c r="D679" s="95" t="s">
        <v>20</v>
      </c>
      <c r="E679" s="95" t="s">
        <v>4300</v>
      </c>
      <c r="F679" s="95" t="s">
        <v>19</v>
      </c>
      <c r="G679" s="95" t="s">
        <v>19</v>
      </c>
      <c r="H679" s="95" t="s">
        <v>21</v>
      </c>
      <c r="I679" s="95" t="s">
        <v>955</v>
      </c>
      <c r="J679" s="97">
        <v>46021.51245517361</v>
      </c>
      <c r="K679" s="95" t="s">
        <v>4301</v>
      </c>
      <c r="L679" s="96" t="s">
        <v>4302</v>
      </c>
      <c r="M679" s="95" t="s">
        <v>54</v>
      </c>
      <c r="N679" s="95" t="s">
        <v>4296</v>
      </c>
      <c r="O679" s="95" t="s">
        <v>4296</v>
      </c>
      <c r="P679" s="95" t="s">
        <v>4297</v>
      </c>
      <c r="Q679" s="98">
        <v>3.0</v>
      </c>
      <c r="R679" s="97">
        <v>45889.0358912037</v>
      </c>
      <c r="S679" s="99">
        <v>210.0</v>
      </c>
      <c r="T679" s="99">
        <v>721.0</v>
      </c>
      <c r="U679" s="99">
        <v>2.0</v>
      </c>
      <c r="V679" s="99">
        <v>114.0</v>
      </c>
      <c r="W679" s="99">
        <v>582623.0</v>
      </c>
    </row>
    <row r="680" ht="15.75" customHeight="1">
      <c r="A680" s="95" t="s">
        <v>4303</v>
      </c>
      <c r="B680" s="95" t="s">
        <v>22</v>
      </c>
      <c r="C680" s="96" t="s">
        <v>4304</v>
      </c>
      <c r="D680" s="95" t="s">
        <v>39</v>
      </c>
      <c r="E680" s="95" t="s">
        <v>4293</v>
      </c>
      <c r="F680" s="95" t="s">
        <v>19</v>
      </c>
      <c r="G680" s="95" t="s">
        <v>574</v>
      </c>
      <c r="H680" s="95" t="s">
        <v>21</v>
      </c>
      <c r="I680" s="95" t="s">
        <v>567</v>
      </c>
      <c r="J680" s="97">
        <v>46021.51245517361</v>
      </c>
      <c r="K680" s="95" t="s">
        <v>4305</v>
      </c>
      <c r="L680" s="96" t="s">
        <v>4306</v>
      </c>
      <c r="M680" s="95" t="s">
        <v>54</v>
      </c>
      <c r="N680" s="95" t="s">
        <v>4296</v>
      </c>
      <c r="O680" s="95" t="s">
        <v>4296</v>
      </c>
      <c r="P680" s="95" t="s">
        <v>4297</v>
      </c>
      <c r="Q680" s="98">
        <v>3.0</v>
      </c>
      <c r="R680" s="97">
        <v>45882.19424768518</v>
      </c>
      <c r="S680" s="99">
        <v>210.0</v>
      </c>
      <c r="T680" s="99">
        <v>781.0</v>
      </c>
      <c r="U680" s="99">
        <v>6.0</v>
      </c>
      <c r="V680" s="99">
        <v>58.0</v>
      </c>
      <c r="W680" s="99">
        <v>582623.0</v>
      </c>
    </row>
    <row r="681" ht="15.75" customHeight="1">
      <c r="A681" s="95" t="s">
        <v>4307</v>
      </c>
      <c r="B681" s="95" t="s">
        <v>22</v>
      </c>
      <c r="C681" s="96" t="s">
        <v>4308</v>
      </c>
      <c r="D681" s="95" t="s">
        <v>124</v>
      </c>
      <c r="E681" s="95" t="s">
        <v>1731</v>
      </c>
      <c r="F681" s="95" t="s">
        <v>19</v>
      </c>
      <c r="G681" s="95" t="s">
        <v>19</v>
      </c>
      <c r="H681" s="95" t="s">
        <v>21</v>
      </c>
      <c r="I681" s="95" t="s">
        <v>567</v>
      </c>
      <c r="J681" s="97">
        <v>46069.66260454861</v>
      </c>
      <c r="K681" s="95" t="s">
        <v>4309</v>
      </c>
      <c r="L681" s="96" t="s">
        <v>4310</v>
      </c>
      <c r="M681" s="95" t="s">
        <v>74</v>
      </c>
      <c r="N681" s="95" t="s">
        <v>4311</v>
      </c>
      <c r="O681" s="95" t="s">
        <v>4311</v>
      </c>
      <c r="P681" s="95" t="s">
        <v>4312</v>
      </c>
      <c r="Q681" s="98">
        <v>3.0</v>
      </c>
      <c r="R681" s="97">
        <v>46046.18799768519</v>
      </c>
      <c r="S681" s="99">
        <v>5172.0</v>
      </c>
      <c r="T681" s="99">
        <v>39.0</v>
      </c>
      <c r="U681" s="99">
        <v>3.0</v>
      </c>
      <c r="V681" s="99">
        <v>65.0</v>
      </c>
      <c r="W681" s="99">
        <v>40876.0</v>
      </c>
    </row>
    <row r="682" ht="15.75" customHeight="1">
      <c r="A682" s="95" t="s">
        <v>4313</v>
      </c>
      <c r="B682" s="95" t="s">
        <v>131</v>
      </c>
      <c r="C682" s="96" t="s">
        <v>4314</v>
      </c>
      <c r="D682" s="95" t="s">
        <v>124</v>
      </c>
      <c r="E682" s="95" t="s">
        <v>2195</v>
      </c>
      <c r="F682" s="95" t="s">
        <v>19</v>
      </c>
      <c r="G682" s="95" t="s">
        <v>574</v>
      </c>
      <c r="H682" s="95" t="s">
        <v>60</v>
      </c>
      <c r="I682" s="95" t="s">
        <v>2332</v>
      </c>
      <c r="J682" s="97">
        <v>46069.66260454861</v>
      </c>
      <c r="K682" s="95" t="s">
        <v>4315</v>
      </c>
      <c r="L682" s="96" t="s">
        <v>4316</v>
      </c>
      <c r="M682" s="95" t="s">
        <v>74</v>
      </c>
      <c r="N682" s="95" t="s">
        <v>4311</v>
      </c>
      <c r="O682" s="95" t="s">
        <v>4311</v>
      </c>
      <c r="P682" s="95" t="s">
        <v>4312</v>
      </c>
      <c r="Q682" s="98">
        <v>3.0</v>
      </c>
      <c r="R682" s="97">
        <v>46047.61709490741</v>
      </c>
      <c r="S682" s="99">
        <v>5172.0</v>
      </c>
      <c r="T682" s="99">
        <v>802.0</v>
      </c>
      <c r="U682" s="99">
        <v>15.0</v>
      </c>
      <c r="V682" s="99">
        <v>486.0</v>
      </c>
      <c r="W682" s="99">
        <v>40876.0</v>
      </c>
    </row>
    <row r="683" ht="15.75" customHeight="1">
      <c r="A683" s="95" t="s">
        <v>4317</v>
      </c>
      <c r="B683" s="95" t="s">
        <v>101</v>
      </c>
      <c r="C683" s="96" t="s">
        <v>4318</v>
      </c>
      <c r="D683" s="95" t="s">
        <v>49</v>
      </c>
      <c r="E683" s="95" t="s">
        <v>4319</v>
      </c>
      <c r="F683" s="95" t="s">
        <v>19</v>
      </c>
      <c r="G683" s="95" t="s">
        <v>588</v>
      </c>
      <c r="H683" s="95" t="s">
        <v>21</v>
      </c>
      <c r="I683" s="95" t="s">
        <v>745</v>
      </c>
      <c r="J683" s="97">
        <v>46021.51245517361</v>
      </c>
      <c r="K683" s="95" t="s">
        <v>4320</v>
      </c>
      <c r="L683" s="96" t="s">
        <v>4321</v>
      </c>
      <c r="M683" s="95" t="s">
        <v>38</v>
      </c>
      <c r="N683" s="95" t="s">
        <v>4322</v>
      </c>
      <c r="O683" s="95" t="s">
        <v>4322</v>
      </c>
      <c r="P683" s="95" t="s">
        <v>4323</v>
      </c>
      <c r="Q683" s="98">
        <v>3.0</v>
      </c>
      <c r="R683" s="97">
        <v>45755.36135416666</v>
      </c>
      <c r="S683" s="99">
        <v>51.0</v>
      </c>
      <c r="T683" s="99">
        <v>17.0</v>
      </c>
      <c r="U683" s="99">
        <v>1.0</v>
      </c>
      <c r="V683" s="99">
        <v>509.0</v>
      </c>
      <c r="W683" s="99">
        <v>18394.0</v>
      </c>
    </row>
    <row r="684" ht="15.75" customHeight="1">
      <c r="A684" s="95" t="s">
        <v>4324</v>
      </c>
      <c r="B684" s="95" t="s">
        <v>69</v>
      </c>
      <c r="C684" s="96" t="s">
        <v>4325</v>
      </c>
      <c r="D684" s="95" t="s">
        <v>39</v>
      </c>
      <c r="E684" s="95" t="s">
        <v>39</v>
      </c>
      <c r="F684" s="95" t="s">
        <v>19</v>
      </c>
      <c r="G684" s="95" t="s">
        <v>19</v>
      </c>
      <c r="H684" s="95" t="s">
        <v>21</v>
      </c>
      <c r="I684" s="95" t="s">
        <v>1044</v>
      </c>
      <c r="J684" s="97">
        <v>46021.51245517361</v>
      </c>
      <c r="K684" s="95" t="s">
        <v>4326</v>
      </c>
      <c r="L684" s="96" t="s">
        <v>4327</v>
      </c>
      <c r="M684" s="95" t="s">
        <v>54</v>
      </c>
      <c r="N684" s="95" t="s">
        <v>4328</v>
      </c>
      <c r="O684" s="95" t="s">
        <v>4328</v>
      </c>
      <c r="P684" s="95" t="s">
        <v>4329</v>
      </c>
      <c r="Q684" s="98">
        <v>3.0</v>
      </c>
      <c r="R684" s="97">
        <v>45651.49533564815</v>
      </c>
      <c r="S684" s="99">
        <v>237.0</v>
      </c>
      <c r="T684" s="99">
        <v>248.0</v>
      </c>
      <c r="U684" s="99">
        <v>34.0</v>
      </c>
      <c r="V684" s="99">
        <v>461.0</v>
      </c>
      <c r="W684" s="99">
        <v>7222.0</v>
      </c>
    </row>
    <row r="685" ht="15.75" customHeight="1">
      <c r="A685" s="95" t="s">
        <v>4330</v>
      </c>
      <c r="B685" s="95" t="s">
        <v>22</v>
      </c>
      <c r="C685" s="96" t="s">
        <v>4331</v>
      </c>
      <c r="D685" s="95" t="s">
        <v>39</v>
      </c>
      <c r="E685" s="95" t="s">
        <v>39</v>
      </c>
      <c r="F685" s="95" t="s">
        <v>19</v>
      </c>
      <c r="G685" s="95" t="s">
        <v>19</v>
      </c>
      <c r="H685" s="95" t="s">
        <v>21</v>
      </c>
      <c r="I685" s="95" t="s">
        <v>589</v>
      </c>
      <c r="J685" s="97">
        <v>46021.49299090278</v>
      </c>
      <c r="K685" s="95" t="s">
        <v>4332</v>
      </c>
      <c r="L685" s="96" t="s">
        <v>4333</v>
      </c>
      <c r="M685" s="95" t="s">
        <v>54</v>
      </c>
      <c r="N685" s="95" t="s">
        <v>4328</v>
      </c>
      <c r="O685" s="95" t="s">
        <v>4328</v>
      </c>
      <c r="P685" s="95" t="s">
        <v>4329</v>
      </c>
      <c r="Q685" s="98">
        <v>3.0</v>
      </c>
      <c r="R685" s="97">
        <v>45812.826875</v>
      </c>
      <c r="S685" s="99">
        <v>237.0</v>
      </c>
      <c r="T685" s="99">
        <v>319.0</v>
      </c>
      <c r="U685" s="99">
        <v>26.0</v>
      </c>
      <c r="V685" s="99">
        <v>155.0</v>
      </c>
      <c r="W685" s="99">
        <v>7222.0</v>
      </c>
    </row>
    <row r="686" ht="15.75" customHeight="1">
      <c r="A686" s="95" t="s">
        <v>4334</v>
      </c>
      <c r="B686" s="95" t="s">
        <v>22</v>
      </c>
      <c r="C686" s="96" t="s">
        <v>4335</v>
      </c>
      <c r="D686" s="95" t="s">
        <v>39</v>
      </c>
      <c r="E686" s="95" t="s">
        <v>39</v>
      </c>
      <c r="F686" s="95" t="s">
        <v>19</v>
      </c>
      <c r="G686" s="95" t="s">
        <v>19</v>
      </c>
      <c r="H686" s="95" t="s">
        <v>21</v>
      </c>
      <c r="I686" s="95" t="s">
        <v>567</v>
      </c>
      <c r="J686" s="97">
        <v>45975.67937972222</v>
      </c>
      <c r="K686" s="96" t="s">
        <v>4336</v>
      </c>
      <c r="L686" s="96" t="s">
        <v>4337</v>
      </c>
      <c r="M686" s="95" t="s">
        <v>38</v>
      </c>
      <c r="N686" s="95" t="s">
        <v>4338</v>
      </c>
      <c r="O686" s="95" t="s">
        <v>4338</v>
      </c>
      <c r="P686" s="95" t="s">
        <v>4339</v>
      </c>
      <c r="Q686" s="98">
        <v>3.0</v>
      </c>
      <c r="R686" s="97">
        <v>45705.57619212963</v>
      </c>
      <c r="S686" s="99">
        <v>20725.0</v>
      </c>
      <c r="T686" s="99">
        <v>3388.0</v>
      </c>
      <c r="U686" s="99">
        <v>6.0</v>
      </c>
      <c r="V686" s="99">
        <v>185.0</v>
      </c>
      <c r="W686" s="99">
        <v>190285.0</v>
      </c>
    </row>
    <row r="687" ht="15.75" customHeight="1">
      <c r="A687" s="95" t="s">
        <v>4340</v>
      </c>
      <c r="B687" s="95" t="s">
        <v>22</v>
      </c>
      <c r="C687" s="96" t="s">
        <v>4341</v>
      </c>
      <c r="D687" s="95" t="s">
        <v>39</v>
      </c>
      <c r="E687" s="95" t="s">
        <v>39</v>
      </c>
      <c r="F687" s="95" t="s">
        <v>19</v>
      </c>
      <c r="G687" s="95" t="s">
        <v>574</v>
      </c>
      <c r="H687" s="95" t="s">
        <v>21</v>
      </c>
      <c r="I687" s="95" t="s">
        <v>567</v>
      </c>
      <c r="J687" s="97">
        <v>45986.72835853009</v>
      </c>
      <c r="K687" s="95" t="s">
        <v>4342</v>
      </c>
      <c r="L687" s="96" t="s">
        <v>4343</v>
      </c>
      <c r="M687" s="95" t="s">
        <v>38</v>
      </c>
      <c r="N687" s="95" t="s">
        <v>4338</v>
      </c>
      <c r="O687" s="95" t="s">
        <v>4338</v>
      </c>
      <c r="P687" s="95" t="s">
        <v>4339</v>
      </c>
      <c r="Q687" s="98">
        <v>3.0</v>
      </c>
      <c r="R687" s="97">
        <v>45812.64136574074</v>
      </c>
      <c r="S687" s="99">
        <v>20725.0</v>
      </c>
      <c r="T687" s="99">
        <v>4103.0</v>
      </c>
      <c r="U687" s="99">
        <v>1.0</v>
      </c>
      <c r="V687" s="99">
        <v>147.0</v>
      </c>
      <c r="W687" s="99">
        <v>190285.0</v>
      </c>
    </row>
    <row r="688" ht="15.75" customHeight="1">
      <c r="A688" s="95" t="s">
        <v>4344</v>
      </c>
      <c r="B688" s="95" t="s">
        <v>22</v>
      </c>
      <c r="C688" s="96" t="s">
        <v>4345</v>
      </c>
      <c r="D688" s="95" t="s">
        <v>39</v>
      </c>
      <c r="E688" s="95" t="s">
        <v>39</v>
      </c>
      <c r="F688" s="95" t="s">
        <v>19</v>
      </c>
      <c r="G688" s="95" t="s">
        <v>19</v>
      </c>
      <c r="H688" s="95" t="s">
        <v>21</v>
      </c>
      <c r="I688" s="95" t="s">
        <v>567</v>
      </c>
      <c r="J688" s="97">
        <v>45992.53610564815</v>
      </c>
      <c r="K688" s="95" t="s">
        <v>4346</v>
      </c>
      <c r="L688" s="95"/>
      <c r="M688" s="95" t="s">
        <v>38</v>
      </c>
      <c r="N688" s="95" t="s">
        <v>4338</v>
      </c>
      <c r="O688" s="95" t="s">
        <v>4338</v>
      </c>
      <c r="P688" s="95" t="s">
        <v>4339</v>
      </c>
      <c r="Q688" s="98">
        <v>3.0</v>
      </c>
      <c r="R688" s="97">
        <v>45832.60052083333</v>
      </c>
      <c r="S688" s="99">
        <v>20725.0</v>
      </c>
      <c r="T688" s="99">
        <v>4155.0</v>
      </c>
      <c r="U688" s="99">
        <v>2.0</v>
      </c>
      <c r="V688" s="99">
        <v>64.0</v>
      </c>
      <c r="W688" s="99">
        <v>190285.0</v>
      </c>
    </row>
    <row r="689" ht="15.75" customHeight="1">
      <c r="A689" s="95" t="s">
        <v>4347</v>
      </c>
      <c r="B689" s="95" t="s">
        <v>22</v>
      </c>
      <c r="C689" s="96" t="s">
        <v>4348</v>
      </c>
      <c r="D689" s="95" t="s">
        <v>39</v>
      </c>
      <c r="E689" s="95" t="s">
        <v>39</v>
      </c>
      <c r="F689" s="95" t="s">
        <v>19</v>
      </c>
      <c r="G689" s="95" t="s">
        <v>19</v>
      </c>
      <c r="H689" s="95" t="s">
        <v>21</v>
      </c>
      <c r="I689" s="95" t="s">
        <v>589</v>
      </c>
      <c r="J689" s="97">
        <v>46011.60146814815</v>
      </c>
      <c r="K689" s="95" t="s">
        <v>4349</v>
      </c>
      <c r="L689" s="95"/>
      <c r="M689" s="95" t="s">
        <v>38</v>
      </c>
      <c r="N689" s="95" t="s">
        <v>4338</v>
      </c>
      <c r="O689" s="95" t="s">
        <v>4338</v>
      </c>
      <c r="P689" s="95" t="s">
        <v>4339</v>
      </c>
      <c r="Q689" s="98">
        <v>3.0</v>
      </c>
      <c r="R689" s="97">
        <v>45995.56127314815</v>
      </c>
      <c r="S689" s="99">
        <v>20725.0</v>
      </c>
      <c r="T689" s="99">
        <v>4690.0</v>
      </c>
      <c r="U689" s="99">
        <v>7.0</v>
      </c>
      <c r="V689" s="99">
        <v>89.0</v>
      </c>
      <c r="W689" s="99">
        <v>190285.0</v>
      </c>
    </row>
    <row r="690" ht="15.75" customHeight="1">
      <c r="A690" s="95" t="s">
        <v>4350</v>
      </c>
      <c r="B690" s="95" t="s">
        <v>22</v>
      </c>
      <c r="C690" s="96" t="s">
        <v>4351</v>
      </c>
      <c r="D690" s="95" t="s">
        <v>124</v>
      </c>
      <c r="E690" s="95" t="s">
        <v>625</v>
      </c>
      <c r="F690" s="95" t="s">
        <v>19</v>
      </c>
      <c r="G690" s="95" t="s">
        <v>19</v>
      </c>
      <c r="H690" s="95" t="s">
        <v>21</v>
      </c>
      <c r="I690" s="95" t="s">
        <v>567</v>
      </c>
      <c r="J690" s="97">
        <v>46021.51245517361</v>
      </c>
      <c r="K690" s="95" t="s">
        <v>4352</v>
      </c>
      <c r="L690" s="96" t="s">
        <v>4353</v>
      </c>
      <c r="M690" s="95" t="s">
        <v>74</v>
      </c>
      <c r="N690" s="95" t="s">
        <v>4354</v>
      </c>
      <c r="O690" s="95" t="s">
        <v>4354</v>
      </c>
      <c r="P690" s="95" t="s">
        <v>4355</v>
      </c>
      <c r="Q690" s="98">
        <v>3.0</v>
      </c>
      <c r="R690" s="97">
        <v>45616.30309027778</v>
      </c>
      <c r="S690" s="99">
        <v>2109.0</v>
      </c>
      <c r="T690" s="99">
        <v>1.0</v>
      </c>
      <c r="U690" s="99">
        <v>1.0</v>
      </c>
      <c r="V690" s="99">
        <v>1346.0</v>
      </c>
      <c r="W690" s="99">
        <v>28616.0</v>
      </c>
    </row>
    <row r="691" ht="15.75" customHeight="1">
      <c r="A691" s="95" t="s">
        <v>4356</v>
      </c>
      <c r="B691" s="95" t="s">
        <v>22</v>
      </c>
      <c r="C691" s="96" t="s">
        <v>4357</v>
      </c>
      <c r="D691" s="95" t="s">
        <v>39</v>
      </c>
      <c r="E691" s="95" t="s">
        <v>39</v>
      </c>
      <c r="F691" s="95" t="s">
        <v>19</v>
      </c>
      <c r="G691" s="95" t="s">
        <v>19</v>
      </c>
      <c r="H691" s="95" t="s">
        <v>21</v>
      </c>
      <c r="I691" s="95" t="s">
        <v>567</v>
      </c>
      <c r="J691" s="97">
        <v>46003.08208643518</v>
      </c>
      <c r="K691" s="95" t="s">
        <v>4358</v>
      </c>
      <c r="L691" s="96" t="s">
        <v>4359</v>
      </c>
      <c r="M691" s="95" t="s">
        <v>105</v>
      </c>
      <c r="N691" s="95" t="s">
        <v>4360</v>
      </c>
      <c r="O691" s="95" t="s">
        <v>4360</v>
      </c>
      <c r="P691" s="95" t="s">
        <v>4361</v>
      </c>
      <c r="Q691" s="98">
        <v>3.0</v>
      </c>
      <c r="R691" s="97">
        <v>45926.43769675926</v>
      </c>
      <c r="S691" s="99">
        <v>122.0</v>
      </c>
      <c r="T691" s="99">
        <v>38.0</v>
      </c>
      <c r="U691" s="99">
        <v>1.0</v>
      </c>
      <c r="V691" s="99">
        <v>61.0</v>
      </c>
      <c r="W691" s="99">
        <v>26254.0</v>
      </c>
    </row>
    <row r="692" ht="15.75" customHeight="1">
      <c r="A692" s="95" t="s">
        <v>4362</v>
      </c>
      <c r="B692" s="95" t="s">
        <v>22</v>
      </c>
      <c r="C692" s="96" t="s">
        <v>4363</v>
      </c>
      <c r="D692" s="95" t="s">
        <v>39</v>
      </c>
      <c r="E692" s="95" t="s">
        <v>39</v>
      </c>
      <c r="F692" s="95" t="s">
        <v>19</v>
      </c>
      <c r="G692" s="95" t="s">
        <v>19</v>
      </c>
      <c r="H692" s="95" t="s">
        <v>21</v>
      </c>
      <c r="I692" s="95" t="s">
        <v>567</v>
      </c>
      <c r="J692" s="97">
        <v>45993.72284407407</v>
      </c>
      <c r="K692" s="95" t="s">
        <v>4364</v>
      </c>
      <c r="L692" s="96" t="s">
        <v>4365</v>
      </c>
      <c r="M692" s="95" t="s">
        <v>105</v>
      </c>
      <c r="N692" s="95" t="s">
        <v>4360</v>
      </c>
      <c r="O692" s="95" t="s">
        <v>4360</v>
      </c>
      <c r="P692" s="95" t="s">
        <v>4361</v>
      </c>
      <c r="Q692" s="98">
        <v>3.0</v>
      </c>
      <c r="R692" s="97">
        <v>45927.42378472222</v>
      </c>
      <c r="S692" s="99">
        <v>122.0</v>
      </c>
      <c r="T692" s="99">
        <v>44.0</v>
      </c>
      <c r="U692" s="99">
        <v>1.0</v>
      </c>
      <c r="V692" s="99">
        <v>54.0</v>
      </c>
      <c r="W692" s="99">
        <v>26254.0</v>
      </c>
    </row>
    <row r="693" ht="15.75" customHeight="1">
      <c r="A693" s="95" t="s">
        <v>4366</v>
      </c>
      <c r="B693" s="95" t="s">
        <v>101</v>
      </c>
      <c r="C693" s="96" t="s">
        <v>4367</v>
      </c>
      <c r="D693" s="95" t="s">
        <v>39</v>
      </c>
      <c r="E693" s="95" t="s">
        <v>39</v>
      </c>
      <c r="F693" s="95" t="s">
        <v>19</v>
      </c>
      <c r="G693" s="95" t="s">
        <v>19</v>
      </c>
      <c r="H693" s="95" t="s">
        <v>21</v>
      </c>
      <c r="I693" s="95" t="s">
        <v>955</v>
      </c>
      <c r="J693" s="97">
        <v>46003.08208643518</v>
      </c>
      <c r="K693" s="95" t="s">
        <v>4368</v>
      </c>
      <c r="L693" s="96" t="s">
        <v>4369</v>
      </c>
      <c r="M693" s="95" t="s">
        <v>105</v>
      </c>
      <c r="N693" s="95" t="s">
        <v>4360</v>
      </c>
      <c r="O693" s="95" t="s">
        <v>4360</v>
      </c>
      <c r="P693" s="95" t="s">
        <v>4361</v>
      </c>
      <c r="Q693" s="98">
        <v>3.0</v>
      </c>
      <c r="R693" s="97">
        <v>45905.68402777778</v>
      </c>
      <c r="S693" s="99">
        <v>122.0</v>
      </c>
      <c r="T693" s="99">
        <v>22.0</v>
      </c>
      <c r="U693" s="99">
        <v>3.0</v>
      </c>
      <c r="V693" s="99">
        <v>377.0</v>
      </c>
      <c r="W693" s="99">
        <v>26254.0</v>
      </c>
    </row>
    <row r="694" ht="15.75" customHeight="1">
      <c r="A694" s="95" t="s">
        <v>4370</v>
      </c>
      <c r="B694" s="95" t="s">
        <v>131</v>
      </c>
      <c r="C694" s="96" t="s">
        <v>4371</v>
      </c>
      <c r="D694" s="95" t="s">
        <v>39</v>
      </c>
      <c r="E694" s="95" t="s">
        <v>39</v>
      </c>
      <c r="F694" s="95" t="s">
        <v>19</v>
      </c>
      <c r="G694" s="95" t="s">
        <v>19</v>
      </c>
      <c r="H694" s="95" t="s">
        <v>21</v>
      </c>
      <c r="I694" s="95" t="s">
        <v>647</v>
      </c>
      <c r="J694" s="97">
        <v>46003.08208643518</v>
      </c>
      <c r="K694" s="95" t="s">
        <v>4372</v>
      </c>
      <c r="L694" s="96" t="s">
        <v>4373</v>
      </c>
      <c r="M694" s="95" t="s">
        <v>105</v>
      </c>
      <c r="N694" s="95" t="s">
        <v>4360</v>
      </c>
      <c r="O694" s="95" t="s">
        <v>4360</v>
      </c>
      <c r="P694" s="95" t="s">
        <v>4361</v>
      </c>
      <c r="Q694" s="98">
        <v>3.0</v>
      </c>
      <c r="R694" s="97">
        <v>45852.78402777778</v>
      </c>
      <c r="S694" s="99">
        <v>122.0</v>
      </c>
      <c r="T694" s="99">
        <v>8.0</v>
      </c>
      <c r="U694" s="99">
        <v>2.0</v>
      </c>
      <c r="V694" s="99">
        <v>174.0</v>
      </c>
      <c r="W694" s="99">
        <v>26254.0</v>
      </c>
    </row>
    <row r="695" ht="15.75" customHeight="1">
      <c r="A695" s="95" t="s">
        <v>4374</v>
      </c>
      <c r="B695" s="95" t="s">
        <v>22</v>
      </c>
      <c r="C695" s="96" t="s">
        <v>4375</v>
      </c>
      <c r="D695" s="95" t="s">
        <v>59</v>
      </c>
      <c r="E695" s="95" t="s">
        <v>738</v>
      </c>
      <c r="F695" s="95" t="s">
        <v>19</v>
      </c>
      <c r="G695" s="95" t="s">
        <v>19</v>
      </c>
      <c r="H695" s="95" t="s">
        <v>21</v>
      </c>
      <c r="I695" s="95" t="s">
        <v>567</v>
      </c>
      <c r="J695" s="97">
        <v>46021.49452240741</v>
      </c>
      <c r="K695" s="95" t="s">
        <v>4376</v>
      </c>
      <c r="L695" s="96" t="s">
        <v>4377</v>
      </c>
      <c r="M695" s="95" t="s">
        <v>54</v>
      </c>
      <c r="N695" s="95" t="s">
        <v>4378</v>
      </c>
      <c r="O695" s="95" t="s">
        <v>4378</v>
      </c>
      <c r="P695" s="95" t="s">
        <v>4379</v>
      </c>
      <c r="Q695" s="98">
        <v>3.0</v>
      </c>
      <c r="R695" s="97">
        <v>45697.71013888889</v>
      </c>
      <c r="S695" s="99">
        <v>197.0</v>
      </c>
      <c r="T695" s="99">
        <v>11.0</v>
      </c>
      <c r="U695" s="99">
        <v>10.0</v>
      </c>
      <c r="V695" s="99">
        <v>251.0</v>
      </c>
      <c r="W695" s="99">
        <v>1780242.0</v>
      </c>
    </row>
    <row r="696" ht="15.75" customHeight="1">
      <c r="A696" s="95" t="s">
        <v>4380</v>
      </c>
      <c r="B696" s="95" t="s">
        <v>22</v>
      </c>
      <c r="C696" s="96" t="s">
        <v>4381</v>
      </c>
      <c r="D696" s="95" t="s">
        <v>39</v>
      </c>
      <c r="E696" s="95" t="s">
        <v>960</v>
      </c>
      <c r="F696" s="95" t="s">
        <v>19</v>
      </c>
      <c r="G696" s="95" t="s">
        <v>19</v>
      </c>
      <c r="H696" s="95" t="s">
        <v>21</v>
      </c>
      <c r="I696" s="95" t="s">
        <v>677</v>
      </c>
      <c r="J696" s="97">
        <v>45992.53224659722</v>
      </c>
      <c r="K696" s="95" t="s">
        <v>4382</v>
      </c>
      <c r="L696" s="96" t="s">
        <v>4383</v>
      </c>
      <c r="M696" s="95" t="s">
        <v>54</v>
      </c>
      <c r="N696" s="95" t="s">
        <v>4384</v>
      </c>
      <c r="O696" s="95" t="s">
        <v>4384</v>
      </c>
      <c r="P696" s="95" t="s">
        <v>4385</v>
      </c>
      <c r="Q696" s="98">
        <v>3.0</v>
      </c>
      <c r="R696" s="97">
        <v>45952.13178240741</v>
      </c>
      <c r="S696" s="99">
        <v>6677.0</v>
      </c>
      <c r="T696" s="99">
        <v>303.0</v>
      </c>
      <c r="U696" s="99">
        <v>9.0</v>
      </c>
      <c r="V696" s="99">
        <v>78.0</v>
      </c>
      <c r="W696" s="99">
        <v>8896.0</v>
      </c>
    </row>
    <row r="697" ht="15.75" customHeight="1">
      <c r="A697" s="95" t="s">
        <v>4386</v>
      </c>
      <c r="B697" s="95" t="s">
        <v>22</v>
      </c>
      <c r="C697" s="96" t="s">
        <v>4387</v>
      </c>
      <c r="D697" s="95" t="s">
        <v>29</v>
      </c>
      <c r="E697" s="95" t="s">
        <v>3793</v>
      </c>
      <c r="F697" s="95" t="s">
        <v>19</v>
      </c>
      <c r="G697" s="95" t="s">
        <v>574</v>
      </c>
      <c r="H697" s="95" t="s">
        <v>21</v>
      </c>
      <c r="I697" s="95" t="s">
        <v>567</v>
      </c>
      <c r="J697" s="97">
        <v>45975.67931630787</v>
      </c>
      <c r="K697" s="96" t="s">
        <v>4388</v>
      </c>
      <c r="L697" s="96" t="s">
        <v>4389</v>
      </c>
      <c r="M697" s="95" t="s">
        <v>54</v>
      </c>
      <c r="N697" s="95" t="s">
        <v>4390</v>
      </c>
      <c r="O697" s="95" t="s">
        <v>4390</v>
      </c>
      <c r="P697" s="95" t="s">
        <v>4391</v>
      </c>
      <c r="Q697" s="98">
        <v>3.0</v>
      </c>
      <c r="R697" s="97">
        <v>45620.14420138889</v>
      </c>
      <c r="S697" s="99">
        <v>11328.0</v>
      </c>
      <c r="T697" s="99">
        <v>456.0</v>
      </c>
      <c r="U697" s="99">
        <v>11.0</v>
      </c>
      <c r="V697" s="99">
        <v>436.0</v>
      </c>
      <c r="W697" s="99">
        <v>16182.0</v>
      </c>
    </row>
    <row r="698" ht="15.75" customHeight="1">
      <c r="A698" s="95" t="s">
        <v>4392</v>
      </c>
      <c r="B698" s="95" t="s">
        <v>22</v>
      </c>
      <c r="C698" s="96" t="s">
        <v>4393</v>
      </c>
      <c r="D698" s="95" t="s">
        <v>39</v>
      </c>
      <c r="E698" s="95" t="s">
        <v>614</v>
      </c>
      <c r="F698" s="95" t="s">
        <v>19</v>
      </c>
      <c r="G698" s="95" t="s">
        <v>19</v>
      </c>
      <c r="H698" s="95" t="s">
        <v>21</v>
      </c>
      <c r="I698" s="95" t="s">
        <v>567</v>
      </c>
      <c r="J698" s="97">
        <v>45975.67931630787</v>
      </c>
      <c r="K698" s="96" t="s">
        <v>4394</v>
      </c>
      <c r="L698" s="96" t="s">
        <v>4395</v>
      </c>
      <c r="M698" s="95" t="s">
        <v>54</v>
      </c>
      <c r="N698" s="95" t="s">
        <v>4390</v>
      </c>
      <c r="O698" s="95" t="s">
        <v>4390</v>
      </c>
      <c r="P698" s="95" t="s">
        <v>4391</v>
      </c>
      <c r="Q698" s="98">
        <v>3.0</v>
      </c>
      <c r="R698" s="97">
        <v>45687.31996527778</v>
      </c>
      <c r="S698" s="99">
        <v>11328.0</v>
      </c>
      <c r="T698" s="99">
        <v>501.0</v>
      </c>
      <c r="U698" s="99">
        <v>1.0</v>
      </c>
      <c r="V698" s="99">
        <v>263.0</v>
      </c>
      <c r="W698" s="99">
        <v>16182.0</v>
      </c>
    </row>
    <row r="699" ht="15.75" customHeight="1">
      <c r="A699" s="95" t="s">
        <v>4396</v>
      </c>
      <c r="B699" s="95" t="s">
        <v>22</v>
      </c>
      <c r="C699" s="96" t="s">
        <v>4397</v>
      </c>
      <c r="D699" s="95" t="s">
        <v>39</v>
      </c>
      <c r="E699" s="95" t="s">
        <v>1269</v>
      </c>
      <c r="F699" s="95" t="s">
        <v>19</v>
      </c>
      <c r="G699" s="95" t="s">
        <v>19</v>
      </c>
      <c r="H699" s="95" t="s">
        <v>21</v>
      </c>
      <c r="I699" s="95" t="s">
        <v>589</v>
      </c>
      <c r="J699" s="97">
        <v>45980.93902726852</v>
      </c>
      <c r="K699" s="95" t="s">
        <v>4398</v>
      </c>
      <c r="L699" s="96" t="s">
        <v>4399</v>
      </c>
      <c r="M699" s="95" t="s">
        <v>17</v>
      </c>
      <c r="N699" s="95" t="s">
        <v>4400</v>
      </c>
      <c r="O699" s="95" t="s">
        <v>4400</v>
      </c>
      <c r="P699" s="95" t="s">
        <v>4401</v>
      </c>
      <c r="Q699" s="98">
        <v>3.0</v>
      </c>
      <c r="R699" s="97">
        <v>45841.26715277778</v>
      </c>
      <c r="S699" s="99">
        <v>88.0</v>
      </c>
      <c r="T699" s="99">
        <v>258.0</v>
      </c>
      <c r="U699" s="99">
        <v>1.0</v>
      </c>
      <c r="V699" s="99">
        <v>59.0</v>
      </c>
      <c r="W699" s="99">
        <v>24498.0</v>
      </c>
    </row>
    <row r="700" ht="15.75" customHeight="1">
      <c r="A700" s="95" t="s">
        <v>4402</v>
      </c>
      <c r="B700" s="95" t="s">
        <v>157</v>
      </c>
      <c r="C700" s="96" t="s">
        <v>4403</v>
      </c>
      <c r="D700" s="95" t="s">
        <v>59</v>
      </c>
      <c r="E700" s="95" t="s">
        <v>738</v>
      </c>
      <c r="F700" s="95" t="s">
        <v>88</v>
      </c>
      <c r="G700" s="95" t="s">
        <v>858</v>
      </c>
      <c r="H700" s="95" t="s">
        <v>89</v>
      </c>
      <c r="I700" s="95" t="s">
        <v>897</v>
      </c>
      <c r="J700" s="97">
        <v>46002.69323605324</v>
      </c>
      <c r="K700" s="95" t="s">
        <v>4404</v>
      </c>
      <c r="L700" s="96" t="s">
        <v>4405</v>
      </c>
      <c r="M700" s="95" t="s">
        <v>54</v>
      </c>
      <c r="N700" s="95" t="s">
        <v>4406</v>
      </c>
      <c r="O700" s="95" t="s">
        <v>4406</v>
      </c>
      <c r="P700" s="95" t="s">
        <v>4407</v>
      </c>
      <c r="Q700" s="98">
        <v>3.0</v>
      </c>
      <c r="R700" s="97">
        <v>45622.6147337963</v>
      </c>
      <c r="S700" s="99">
        <v>87.0</v>
      </c>
      <c r="T700" s="99">
        <v>8.0</v>
      </c>
      <c r="U700" s="99">
        <v>4.0</v>
      </c>
      <c r="V700" s="99">
        <v>451.0</v>
      </c>
      <c r="W700" s="99">
        <v>27648.0</v>
      </c>
    </row>
    <row r="701" ht="15.75" customHeight="1">
      <c r="A701" s="95" t="s">
        <v>4408</v>
      </c>
      <c r="B701" s="95" t="s">
        <v>101</v>
      </c>
      <c r="C701" s="96" t="s">
        <v>4409</v>
      </c>
      <c r="D701" s="95" t="s">
        <v>39</v>
      </c>
      <c r="E701" s="95" t="s">
        <v>39</v>
      </c>
      <c r="F701" s="95" t="s">
        <v>19</v>
      </c>
      <c r="G701" s="95" t="s">
        <v>19</v>
      </c>
      <c r="H701" s="95" t="s">
        <v>21</v>
      </c>
      <c r="I701" s="95" t="s">
        <v>4028</v>
      </c>
      <c r="J701" s="97">
        <v>45993.78544196759</v>
      </c>
      <c r="K701" s="96" t="s">
        <v>4410</v>
      </c>
      <c r="L701" s="96" t="s">
        <v>4411</v>
      </c>
      <c r="M701" s="95" t="s">
        <v>54</v>
      </c>
      <c r="N701" s="95" t="s">
        <v>4412</v>
      </c>
      <c r="O701" s="95" t="s">
        <v>4412</v>
      </c>
      <c r="P701" s="95" t="s">
        <v>4413</v>
      </c>
      <c r="Q701" s="98">
        <v>3.0</v>
      </c>
      <c r="R701" s="97">
        <v>45706.54454861111</v>
      </c>
      <c r="S701" s="99">
        <v>17901.0</v>
      </c>
      <c r="T701" s="99">
        <v>1120.0</v>
      </c>
      <c r="U701" s="99">
        <v>3.0</v>
      </c>
      <c r="V701" s="99">
        <v>321.0</v>
      </c>
      <c r="W701" s="99">
        <v>195773.0</v>
      </c>
    </row>
    <row r="702" ht="15.75" customHeight="1">
      <c r="A702" s="95" t="s">
        <v>4414</v>
      </c>
      <c r="B702" s="95" t="s">
        <v>101</v>
      </c>
      <c r="C702" s="96" t="s">
        <v>4415</v>
      </c>
      <c r="D702" s="95" t="s">
        <v>39</v>
      </c>
      <c r="E702" s="95" t="s">
        <v>1208</v>
      </c>
      <c r="F702" s="95" t="s">
        <v>19</v>
      </c>
      <c r="G702" s="95" t="s">
        <v>19</v>
      </c>
      <c r="H702" s="95" t="s">
        <v>21</v>
      </c>
      <c r="I702" s="95" t="s">
        <v>1504</v>
      </c>
      <c r="J702" s="97">
        <v>45988.61454574074</v>
      </c>
      <c r="K702" s="95" t="s">
        <v>4416</v>
      </c>
      <c r="L702" s="96" t="s">
        <v>4417</v>
      </c>
      <c r="M702" s="95" t="s">
        <v>17</v>
      </c>
      <c r="N702" s="95" t="s">
        <v>4418</v>
      </c>
      <c r="O702" s="95" t="s">
        <v>4418</v>
      </c>
      <c r="P702" s="95" t="s">
        <v>4419</v>
      </c>
      <c r="Q702" s="98">
        <v>3.0</v>
      </c>
      <c r="R702" s="97">
        <v>45749.39011574074</v>
      </c>
      <c r="S702" s="99">
        <v>264.0</v>
      </c>
      <c r="T702" s="99">
        <v>101.0</v>
      </c>
      <c r="U702" s="99">
        <v>3.0</v>
      </c>
      <c r="V702" s="99">
        <v>20.0</v>
      </c>
      <c r="W702" s="99">
        <v>154076.0</v>
      </c>
    </row>
    <row r="703" ht="15.75" customHeight="1">
      <c r="A703" s="95" t="s">
        <v>4420</v>
      </c>
      <c r="B703" s="95" t="s">
        <v>131</v>
      </c>
      <c r="C703" s="96" t="s">
        <v>4421</v>
      </c>
      <c r="D703" s="95" t="s">
        <v>39</v>
      </c>
      <c r="E703" s="95" t="s">
        <v>39</v>
      </c>
      <c r="F703" s="95" t="s">
        <v>19</v>
      </c>
      <c r="G703" s="95" t="s">
        <v>3850</v>
      </c>
      <c r="H703" s="95" t="s">
        <v>536</v>
      </c>
      <c r="I703" s="95" t="s">
        <v>4422</v>
      </c>
      <c r="J703" s="97">
        <v>46008.62902924768</v>
      </c>
      <c r="K703" s="96" t="s">
        <v>4423</v>
      </c>
      <c r="L703" s="96" t="s">
        <v>4424</v>
      </c>
      <c r="M703" s="95" t="s">
        <v>17</v>
      </c>
      <c r="N703" s="95" t="s">
        <v>4418</v>
      </c>
      <c r="O703" s="95" t="s">
        <v>4418</v>
      </c>
      <c r="P703" s="95" t="s">
        <v>4419</v>
      </c>
      <c r="Q703" s="98">
        <v>3.0</v>
      </c>
      <c r="R703" s="97">
        <v>45848.6466087963</v>
      </c>
      <c r="S703" s="99">
        <v>264.0</v>
      </c>
      <c r="T703" s="99">
        <v>237.0</v>
      </c>
      <c r="U703" s="99">
        <v>15.0</v>
      </c>
      <c r="V703" s="99">
        <v>365.0</v>
      </c>
      <c r="W703" s="99">
        <v>154076.0</v>
      </c>
    </row>
    <row r="704" ht="15.75" customHeight="1">
      <c r="A704" s="95" t="s">
        <v>4425</v>
      </c>
      <c r="B704" s="95" t="s">
        <v>22</v>
      </c>
      <c r="C704" s="96" t="s">
        <v>4426</v>
      </c>
      <c r="D704" s="95" t="s">
        <v>168</v>
      </c>
      <c r="E704" s="95" t="s">
        <v>1228</v>
      </c>
      <c r="F704" s="95" t="s">
        <v>19</v>
      </c>
      <c r="G704" s="95" t="s">
        <v>19</v>
      </c>
      <c r="H704" s="95" t="s">
        <v>21</v>
      </c>
      <c r="I704" s="95" t="s">
        <v>567</v>
      </c>
      <c r="J704" s="97">
        <v>45993.7854622338</v>
      </c>
      <c r="K704" s="96" t="s">
        <v>4427</v>
      </c>
      <c r="L704" s="96" t="s">
        <v>4428</v>
      </c>
      <c r="M704" s="95" t="s">
        <v>17</v>
      </c>
      <c r="N704" s="95" t="s">
        <v>4429</v>
      </c>
      <c r="O704" s="95" t="s">
        <v>4429</v>
      </c>
      <c r="P704" s="95" t="s">
        <v>4430</v>
      </c>
      <c r="Q704" s="98">
        <v>3.0</v>
      </c>
      <c r="R704" s="97">
        <v>45783.01956018519</v>
      </c>
      <c r="S704" s="99">
        <v>282.0</v>
      </c>
      <c r="T704" s="99">
        <v>123.0</v>
      </c>
      <c r="U704" s="99">
        <v>1.0</v>
      </c>
      <c r="V704" s="99">
        <v>144.0</v>
      </c>
      <c r="W704" s="99">
        <v>16148.0</v>
      </c>
    </row>
    <row r="705" ht="15.75" customHeight="1">
      <c r="A705" s="95" t="s">
        <v>4431</v>
      </c>
      <c r="B705" s="95" t="s">
        <v>22</v>
      </c>
      <c r="C705" s="96" t="s">
        <v>4432</v>
      </c>
      <c r="D705" s="95" t="s">
        <v>20</v>
      </c>
      <c r="E705" s="95" t="s">
        <v>1991</v>
      </c>
      <c r="F705" s="95" t="s">
        <v>19</v>
      </c>
      <c r="G705" s="95" t="s">
        <v>19</v>
      </c>
      <c r="H705" s="95" t="s">
        <v>21</v>
      </c>
      <c r="I705" s="95" t="s">
        <v>589</v>
      </c>
      <c r="J705" s="97">
        <v>46008.62902922454</v>
      </c>
      <c r="K705" s="96" t="s">
        <v>4433</v>
      </c>
      <c r="L705" s="96" t="s">
        <v>4434</v>
      </c>
      <c r="M705" s="95" t="s">
        <v>17</v>
      </c>
      <c r="N705" s="95" t="s">
        <v>4429</v>
      </c>
      <c r="O705" s="95" t="s">
        <v>4429</v>
      </c>
      <c r="P705" s="95" t="s">
        <v>4430</v>
      </c>
      <c r="Q705" s="98">
        <v>3.0</v>
      </c>
      <c r="R705" s="97">
        <v>45779.80868055556</v>
      </c>
      <c r="S705" s="99">
        <v>282.0</v>
      </c>
      <c r="T705" s="99">
        <v>116.0</v>
      </c>
      <c r="U705" s="99">
        <v>4.0</v>
      </c>
      <c r="V705" s="99">
        <v>164.0</v>
      </c>
      <c r="W705" s="99">
        <v>16148.0</v>
      </c>
    </row>
    <row r="706" ht="15.75" customHeight="1">
      <c r="A706" s="95" t="s">
        <v>4435</v>
      </c>
      <c r="B706" s="95" t="s">
        <v>22</v>
      </c>
      <c r="C706" s="96" t="s">
        <v>4436</v>
      </c>
      <c r="D706" s="95" t="s">
        <v>39</v>
      </c>
      <c r="E706" s="95" t="s">
        <v>1201</v>
      </c>
      <c r="F706" s="95" t="s">
        <v>19</v>
      </c>
      <c r="G706" s="95" t="s">
        <v>1427</v>
      </c>
      <c r="H706" s="95" t="s">
        <v>21</v>
      </c>
      <c r="I706" s="95" t="s">
        <v>567</v>
      </c>
      <c r="J706" s="97">
        <v>46069.13722578704</v>
      </c>
      <c r="K706" s="95" t="s">
        <v>4437</v>
      </c>
      <c r="L706" s="96" t="s">
        <v>4438</v>
      </c>
      <c r="M706" s="95" t="s">
        <v>74</v>
      </c>
      <c r="N706" s="95" t="s">
        <v>4439</v>
      </c>
      <c r="O706" s="95" t="s">
        <v>4439</v>
      </c>
      <c r="P706" s="95" t="s">
        <v>4440</v>
      </c>
      <c r="Q706" s="98">
        <v>3.0</v>
      </c>
      <c r="R706" s="97">
        <v>45957.71616898148</v>
      </c>
      <c r="S706" s="99">
        <v>94658.0</v>
      </c>
      <c r="T706" s="99">
        <v>65.0</v>
      </c>
      <c r="U706" s="99">
        <v>8.0</v>
      </c>
      <c r="V706" s="99">
        <v>503.0</v>
      </c>
      <c r="W706" s="99">
        <v>377105.0</v>
      </c>
    </row>
    <row r="707" ht="15.75" customHeight="1">
      <c r="A707" s="95" t="s">
        <v>4441</v>
      </c>
      <c r="B707" s="95" t="s">
        <v>69</v>
      </c>
      <c r="C707" s="96" t="s">
        <v>4442</v>
      </c>
      <c r="D707" s="95" t="s">
        <v>39</v>
      </c>
      <c r="E707" s="95" t="s">
        <v>39</v>
      </c>
      <c r="F707" s="95" t="s">
        <v>520</v>
      </c>
      <c r="G707" s="95" t="s">
        <v>4443</v>
      </c>
      <c r="H707" s="95" t="s">
        <v>89</v>
      </c>
      <c r="I707" s="95" t="s">
        <v>3992</v>
      </c>
      <c r="J707" s="97">
        <v>45994.66651141204</v>
      </c>
      <c r="K707" s="95" t="s">
        <v>4444</v>
      </c>
      <c r="L707" s="96" t="s">
        <v>4445</v>
      </c>
      <c r="M707" s="95" t="s">
        <v>105</v>
      </c>
      <c r="N707" s="95" t="s">
        <v>4446</v>
      </c>
      <c r="O707" s="95" t="s">
        <v>4446</v>
      </c>
      <c r="P707" s="95" t="s">
        <v>4447</v>
      </c>
      <c r="Q707" s="98">
        <v>3.0</v>
      </c>
      <c r="R707" s="97">
        <v>45733.3877199074</v>
      </c>
      <c r="S707" s="99">
        <v>9876.0</v>
      </c>
      <c r="T707" s="99">
        <v>79.0</v>
      </c>
      <c r="U707" s="99">
        <v>1.0</v>
      </c>
      <c r="V707" s="99">
        <v>62.0</v>
      </c>
      <c r="W707" s="99">
        <v>22100.0</v>
      </c>
    </row>
    <row r="708" ht="15.75" customHeight="1">
      <c r="A708" s="95" t="s">
        <v>4448</v>
      </c>
      <c r="B708" s="95" t="s">
        <v>69</v>
      </c>
      <c r="C708" s="96" t="s">
        <v>4449</v>
      </c>
      <c r="D708" s="95" t="s">
        <v>68</v>
      </c>
      <c r="E708" s="95" t="s">
        <v>4450</v>
      </c>
      <c r="F708" s="95" t="s">
        <v>19</v>
      </c>
      <c r="G708" s="95" t="s">
        <v>588</v>
      </c>
      <c r="H708" s="95" t="s">
        <v>21</v>
      </c>
      <c r="I708" s="95" t="s">
        <v>998</v>
      </c>
      <c r="J708" s="97">
        <v>46021.51245517361</v>
      </c>
      <c r="K708" s="95" t="s">
        <v>4451</v>
      </c>
      <c r="L708" s="96" t="s">
        <v>4452</v>
      </c>
      <c r="M708" s="95" t="s">
        <v>93</v>
      </c>
      <c r="N708" s="95" t="s">
        <v>4453</v>
      </c>
      <c r="O708" s="95" t="s">
        <v>4453</v>
      </c>
      <c r="P708" s="95" t="s">
        <v>4454</v>
      </c>
      <c r="Q708" s="98">
        <v>3.0</v>
      </c>
      <c r="R708" s="97">
        <v>45819.61645833333</v>
      </c>
      <c r="S708" s="99">
        <v>91.0</v>
      </c>
      <c r="T708" s="99">
        <v>58.0</v>
      </c>
      <c r="U708" s="99">
        <v>2.0</v>
      </c>
      <c r="V708" s="99">
        <v>795.0</v>
      </c>
      <c r="W708" s="99">
        <v>13540.0</v>
      </c>
    </row>
    <row r="709" ht="15.75" customHeight="1">
      <c r="A709" s="95" t="s">
        <v>4455</v>
      </c>
      <c r="B709" s="95" t="s">
        <v>69</v>
      </c>
      <c r="C709" s="96" t="s">
        <v>4456</v>
      </c>
      <c r="D709" s="95" t="s">
        <v>39</v>
      </c>
      <c r="E709" s="95" t="s">
        <v>960</v>
      </c>
      <c r="F709" s="95" t="s">
        <v>19</v>
      </c>
      <c r="G709" s="95" t="s">
        <v>1367</v>
      </c>
      <c r="H709" s="95" t="s">
        <v>21</v>
      </c>
      <c r="I709" s="95" t="s">
        <v>998</v>
      </c>
      <c r="J709" s="97">
        <v>46021.51245517361</v>
      </c>
      <c r="K709" s="95" t="s">
        <v>4457</v>
      </c>
      <c r="L709" s="96" t="s">
        <v>4458</v>
      </c>
      <c r="M709" s="95" t="s">
        <v>74</v>
      </c>
      <c r="N709" s="95" t="s">
        <v>4459</v>
      </c>
      <c r="O709" s="95" t="s">
        <v>4459</v>
      </c>
      <c r="P709" s="95" t="s">
        <v>4460</v>
      </c>
      <c r="Q709" s="98">
        <v>3.0</v>
      </c>
      <c r="R709" s="97">
        <v>45774.07701388889</v>
      </c>
      <c r="S709" s="99">
        <v>71.0</v>
      </c>
      <c r="T709" s="99">
        <v>19.0</v>
      </c>
      <c r="U709" s="99">
        <v>5.0</v>
      </c>
      <c r="V709" s="99">
        <v>72.0</v>
      </c>
      <c r="W709" s="99">
        <v>8183.0</v>
      </c>
    </row>
    <row r="710" ht="15.75" customHeight="1">
      <c r="A710" s="95" t="s">
        <v>4461</v>
      </c>
      <c r="B710" s="95" t="s">
        <v>69</v>
      </c>
      <c r="C710" s="96" t="s">
        <v>4462</v>
      </c>
      <c r="D710" s="95" t="s">
        <v>39</v>
      </c>
      <c r="E710" s="95" t="s">
        <v>39</v>
      </c>
      <c r="F710" s="95" t="s">
        <v>19</v>
      </c>
      <c r="G710" s="95" t="s">
        <v>1367</v>
      </c>
      <c r="H710" s="95" t="s">
        <v>21</v>
      </c>
      <c r="I710" s="95" t="s">
        <v>998</v>
      </c>
      <c r="J710" s="97">
        <v>46021.50375386574</v>
      </c>
      <c r="K710" s="95" t="s">
        <v>4463</v>
      </c>
      <c r="L710" s="96" t="s">
        <v>4464</v>
      </c>
      <c r="M710" s="95" t="s">
        <v>93</v>
      </c>
      <c r="N710" s="95" t="s">
        <v>4465</v>
      </c>
      <c r="O710" s="95" t="s">
        <v>4465</v>
      </c>
      <c r="P710" s="95" t="s">
        <v>4466</v>
      </c>
      <c r="Q710" s="98">
        <v>3.0</v>
      </c>
      <c r="R710" s="97">
        <v>45938.62190972222</v>
      </c>
      <c r="S710" s="99">
        <v>6072.0</v>
      </c>
      <c r="T710" s="99">
        <v>1572.0</v>
      </c>
      <c r="U710" s="99">
        <v>1.0</v>
      </c>
      <c r="V710" s="99">
        <v>105.0</v>
      </c>
      <c r="W710" s="99">
        <v>19341.0</v>
      </c>
    </row>
    <row r="711" ht="15.75" customHeight="1">
      <c r="A711" s="95" t="s">
        <v>4467</v>
      </c>
      <c r="B711" s="95" t="s">
        <v>101</v>
      </c>
      <c r="C711" s="96" t="s">
        <v>4468</v>
      </c>
      <c r="D711" s="95" t="s">
        <v>168</v>
      </c>
      <c r="E711" s="95" t="s">
        <v>780</v>
      </c>
      <c r="F711" s="95" t="s">
        <v>19</v>
      </c>
      <c r="G711" s="95" t="s">
        <v>1018</v>
      </c>
      <c r="H711" s="95" t="s">
        <v>21</v>
      </c>
      <c r="I711" s="95" t="s">
        <v>3028</v>
      </c>
      <c r="J711" s="97">
        <v>45989.86453453704</v>
      </c>
      <c r="K711" s="95" t="s">
        <v>4469</v>
      </c>
      <c r="L711" s="96" t="s">
        <v>4470</v>
      </c>
      <c r="M711" s="95" t="s">
        <v>105</v>
      </c>
      <c r="N711" s="95" t="s">
        <v>4471</v>
      </c>
      <c r="O711" s="95" t="s">
        <v>4471</v>
      </c>
      <c r="P711" s="95" t="s">
        <v>4472</v>
      </c>
      <c r="Q711" s="98">
        <v>3.0</v>
      </c>
      <c r="R711" s="97">
        <v>45728.46572916667</v>
      </c>
      <c r="S711" s="99">
        <v>5172.0</v>
      </c>
      <c r="T711" s="99">
        <v>1921.0</v>
      </c>
      <c r="U711" s="99">
        <v>3.0</v>
      </c>
      <c r="V711" s="99">
        <v>434.0</v>
      </c>
      <c r="W711" s="99">
        <v>132702.0</v>
      </c>
    </row>
    <row r="712" ht="15.75" customHeight="1">
      <c r="A712" s="95" t="s">
        <v>4473</v>
      </c>
      <c r="B712" s="95" t="s">
        <v>101</v>
      </c>
      <c r="C712" s="96" t="s">
        <v>4474</v>
      </c>
      <c r="D712" s="95" t="s">
        <v>68</v>
      </c>
      <c r="E712" s="95" t="s">
        <v>1489</v>
      </c>
      <c r="F712" s="95" t="s">
        <v>88</v>
      </c>
      <c r="G712" s="95" t="s">
        <v>639</v>
      </c>
      <c r="H712" s="95" t="s">
        <v>21</v>
      </c>
      <c r="I712" s="95" t="s">
        <v>955</v>
      </c>
      <c r="J712" s="97">
        <v>45978.46128525463</v>
      </c>
      <c r="K712" s="95" t="s">
        <v>4475</v>
      </c>
      <c r="L712" s="96" t="s">
        <v>4476</v>
      </c>
      <c r="M712" s="95" t="s">
        <v>54</v>
      </c>
      <c r="N712" s="95" t="s">
        <v>4477</v>
      </c>
      <c r="O712" s="95" t="s">
        <v>4477</v>
      </c>
      <c r="P712" s="95" t="s">
        <v>4478</v>
      </c>
      <c r="Q712" s="98">
        <v>3.0</v>
      </c>
      <c r="R712" s="97">
        <v>45693.9384375</v>
      </c>
      <c r="S712" s="99">
        <v>664.0</v>
      </c>
      <c r="T712" s="99">
        <v>50.0</v>
      </c>
      <c r="U712" s="99">
        <v>2.0</v>
      </c>
      <c r="V712" s="99">
        <v>26.0</v>
      </c>
      <c r="W712" s="99">
        <v>175981.0</v>
      </c>
    </row>
    <row r="713" ht="15.75" customHeight="1">
      <c r="A713" s="95" t="s">
        <v>4479</v>
      </c>
      <c r="B713" s="95" t="s">
        <v>131</v>
      </c>
      <c r="C713" s="96" t="s">
        <v>4480</v>
      </c>
      <c r="D713" s="95" t="s">
        <v>29</v>
      </c>
      <c r="E713" s="95" t="s">
        <v>3793</v>
      </c>
      <c r="F713" s="95" t="s">
        <v>19</v>
      </c>
      <c r="G713" s="95" t="s">
        <v>574</v>
      </c>
      <c r="H713" s="95" t="s">
        <v>60</v>
      </c>
      <c r="I713" s="95" t="s">
        <v>4481</v>
      </c>
      <c r="J713" s="97">
        <v>46021.49452240741</v>
      </c>
      <c r="K713" s="95" t="s">
        <v>4482</v>
      </c>
      <c r="L713" s="96" t="s">
        <v>4483</v>
      </c>
      <c r="M713" s="95" t="s">
        <v>503</v>
      </c>
      <c r="N713" s="95" t="s">
        <v>4484</v>
      </c>
      <c r="O713" s="95" t="s">
        <v>4484</v>
      </c>
      <c r="P713" s="95" t="s">
        <v>4485</v>
      </c>
      <c r="Q713" s="98">
        <v>3.0</v>
      </c>
      <c r="R713" s="97">
        <v>45930.55208333334</v>
      </c>
      <c r="S713" s="99">
        <v>1331.0</v>
      </c>
      <c r="T713" s="99">
        <v>4.0</v>
      </c>
      <c r="U713" s="99">
        <v>2.0</v>
      </c>
      <c r="V713" s="99">
        <v>254.0</v>
      </c>
      <c r="W713" s="99">
        <v>999999.0</v>
      </c>
    </row>
    <row r="714" ht="15.75" customHeight="1">
      <c r="A714" s="95" t="s">
        <v>4486</v>
      </c>
      <c r="B714" s="95" t="s">
        <v>131</v>
      </c>
      <c r="C714" s="96" t="s">
        <v>4487</v>
      </c>
      <c r="D714" s="95" t="s">
        <v>29</v>
      </c>
      <c r="E714" s="95" t="s">
        <v>910</v>
      </c>
      <c r="F714" s="95" t="s">
        <v>58</v>
      </c>
      <c r="G714" s="95" t="s">
        <v>58</v>
      </c>
      <c r="H714" s="95" t="s">
        <v>21</v>
      </c>
      <c r="I714" s="95" t="s">
        <v>2428</v>
      </c>
      <c r="J714" s="97">
        <v>46069.66341646991</v>
      </c>
      <c r="K714" s="95" t="s">
        <v>4488</v>
      </c>
      <c r="L714" s="95"/>
      <c r="M714" s="95" t="s">
        <v>503</v>
      </c>
      <c r="N714" s="95" t="s">
        <v>4484</v>
      </c>
      <c r="O714" s="95" t="s">
        <v>4484</v>
      </c>
      <c r="P714" s="95" t="s">
        <v>4485</v>
      </c>
      <c r="Q714" s="98">
        <v>3.0</v>
      </c>
      <c r="R714" s="97">
        <v>45917.56612268519</v>
      </c>
      <c r="S714" s="99">
        <v>1331.0</v>
      </c>
      <c r="T714" s="99">
        <v>86.0</v>
      </c>
      <c r="U714" s="99">
        <v>4.0</v>
      </c>
      <c r="V714" s="99">
        <v>479.0</v>
      </c>
      <c r="W714" s="99">
        <v>999999.0</v>
      </c>
    </row>
    <row r="715" ht="15.75" customHeight="1">
      <c r="A715" s="95" t="s">
        <v>4489</v>
      </c>
      <c r="B715" s="95" t="s">
        <v>101</v>
      </c>
      <c r="C715" s="96" t="s">
        <v>4490</v>
      </c>
      <c r="D715" s="95" t="s">
        <v>29</v>
      </c>
      <c r="E715" s="95" t="s">
        <v>910</v>
      </c>
      <c r="F715" s="95" t="s">
        <v>19</v>
      </c>
      <c r="G715" s="95" t="s">
        <v>19</v>
      </c>
      <c r="H715" s="95" t="s">
        <v>21</v>
      </c>
      <c r="I715" s="95" t="s">
        <v>1589</v>
      </c>
      <c r="J715" s="97">
        <v>46021.50557226852</v>
      </c>
      <c r="K715" s="95" t="s">
        <v>4491</v>
      </c>
      <c r="L715" s="96" t="s">
        <v>4492</v>
      </c>
      <c r="M715" s="95" t="s">
        <v>503</v>
      </c>
      <c r="N715" s="95" t="s">
        <v>4484</v>
      </c>
      <c r="O715" s="95" t="s">
        <v>4484</v>
      </c>
      <c r="P715" s="95" t="s">
        <v>4485</v>
      </c>
      <c r="Q715" s="98">
        <v>3.0</v>
      </c>
      <c r="R715" s="97">
        <v>45720.42505787037</v>
      </c>
      <c r="S715" s="99">
        <v>1331.0</v>
      </c>
      <c r="T715" s="99">
        <v>8.0</v>
      </c>
      <c r="U715" s="99">
        <v>7.0</v>
      </c>
      <c r="V715" s="99">
        <v>358.0</v>
      </c>
      <c r="W715" s="99">
        <v>999999.0</v>
      </c>
    </row>
    <row r="716" ht="15.75" customHeight="1">
      <c r="A716" s="95" t="s">
        <v>4493</v>
      </c>
      <c r="B716" s="95" t="s">
        <v>22</v>
      </c>
      <c r="C716" s="96" t="s">
        <v>4494</v>
      </c>
      <c r="D716" s="95" t="s">
        <v>124</v>
      </c>
      <c r="E716" s="95" t="s">
        <v>794</v>
      </c>
      <c r="F716" s="95" t="s">
        <v>517</v>
      </c>
      <c r="G716" s="95" t="s">
        <v>517</v>
      </c>
      <c r="H716" s="95" t="s">
        <v>21</v>
      </c>
      <c r="I716" s="95" t="s">
        <v>567</v>
      </c>
      <c r="J716" s="97">
        <v>46021.50375386574</v>
      </c>
      <c r="K716" s="95" t="s">
        <v>4495</v>
      </c>
      <c r="L716" s="96" t="s">
        <v>4496</v>
      </c>
      <c r="M716" s="95" t="s">
        <v>503</v>
      </c>
      <c r="N716" s="95" t="s">
        <v>4484</v>
      </c>
      <c r="O716" s="95" t="s">
        <v>4484</v>
      </c>
      <c r="P716" s="95" t="s">
        <v>4485</v>
      </c>
      <c r="Q716" s="98">
        <v>3.0</v>
      </c>
      <c r="R716" s="97">
        <v>45616.85359953704</v>
      </c>
      <c r="S716" s="99">
        <v>1331.0</v>
      </c>
      <c r="T716" s="99">
        <v>29.0</v>
      </c>
      <c r="U716" s="99">
        <v>5.0</v>
      </c>
      <c r="V716" s="99">
        <v>97.0</v>
      </c>
      <c r="W716" s="99">
        <v>999999.0</v>
      </c>
    </row>
    <row r="717" ht="15.75" customHeight="1">
      <c r="A717" s="95" t="s">
        <v>4497</v>
      </c>
      <c r="B717" s="95" t="s">
        <v>157</v>
      </c>
      <c r="C717" s="96" t="s">
        <v>4498</v>
      </c>
      <c r="D717" s="95" t="s">
        <v>29</v>
      </c>
      <c r="E717" s="95" t="s">
        <v>910</v>
      </c>
      <c r="F717" s="95" t="s">
        <v>88</v>
      </c>
      <c r="G717" s="95" t="s">
        <v>858</v>
      </c>
      <c r="H717" s="95" t="s">
        <v>89</v>
      </c>
      <c r="I717" s="95" t="s">
        <v>897</v>
      </c>
      <c r="J717" s="97">
        <v>46040.67606414352</v>
      </c>
      <c r="K717" s="95" t="s">
        <v>4499</v>
      </c>
      <c r="L717" s="96" t="s">
        <v>4500</v>
      </c>
      <c r="M717" s="95" t="s">
        <v>503</v>
      </c>
      <c r="N717" s="95" t="s">
        <v>4484</v>
      </c>
      <c r="O717" s="95" t="s">
        <v>4484</v>
      </c>
      <c r="P717" s="95" t="s">
        <v>4485</v>
      </c>
      <c r="Q717" s="98">
        <v>3.0</v>
      </c>
      <c r="R717" s="97">
        <v>45667.53883101852</v>
      </c>
      <c r="S717" s="99">
        <v>1331.0</v>
      </c>
      <c r="T717" s="99">
        <v>11.0</v>
      </c>
      <c r="U717" s="99">
        <v>1.0</v>
      </c>
      <c r="V717" s="99">
        <v>157.0</v>
      </c>
      <c r="W717" s="99">
        <v>999999.0</v>
      </c>
    </row>
    <row r="718" ht="15.75" customHeight="1">
      <c r="A718" s="95" t="s">
        <v>4501</v>
      </c>
      <c r="B718" s="95" t="s">
        <v>131</v>
      </c>
      <c r="C718" s="96" t="s">
        <v>4502</v>
      </c>
      <c r="D718" s="95" t="s">
        <v>29</v>
      </c>
      <c r="E718" s="95" t="s">
        <v>598</v>
      </c>
      <c r="F718" s="95" t="s">
        <v>58</v>
      </c>
      <c r="G718" s="95" t="s">
        <v>58</v>
      </c>
      <c r="H718" s="95" t="s">
        <v>60</v>
      </c>
      <c r="I718" s="95" t="s">
        <v>1354</v>
      </c>
      <c r="J718" s="97">
        <v>46069.66341646991</v>
      </c>
      <c r="K718" s="95" t="s">
        <v>4503</v>
      </c>
      <c r="L718" s="95"/>
      <c r="M718" s="95" t="s">
        <v>503</v>
      </c>
      <c r="N718" s="95" t="s">
        <v>4484</v>
      </c>
      <c r="O718" s="95" t="s">
        <v>4484</v>
      </c>
      <c r="P718" s="95" t="s">
        <v>4485</v>
      </c>
      <c r="Q718" s="98">
        <v>3.0</v>
      </c>
      <c r="R718" s="97">
        <v>45844.19331018518</v>
      </c>
      <c r="S718" s="99">
        <v>1331.0</v>
      </c>
      <c r="T718" s="99">
        <v>106.0</v>
      </c>
      <c r="U718" s="99">
        <v>13.0</v>
      </c>
      <c r="V718" s="99">
        <v>30.0</v>
      </c>
      <c r="W718" s="99">
        <v>999999.0</v>
      </c>
    </row>
    <row r="719" ht="15.75" customHeight="1">
      <c r="A719" s="95" t="s">
        <v>4504</v>
      </c>
      <c r="B719" s="95" t="s">
        <v>22</v>
      </c>
      <c r="C719" s="96" t="s">
        <v>4505</v>
      </c>
      <c r="D719" s="95" t="s">
        <v>20</v>
      </c>
      <c r="E719" s="95" t="s">
        <v>4506</v>
      </c>
      <c r="F719" s="95" t="s">
        <v>19</v>
      </c>
      <c r="G719" s="95" t="s">
        <v>19</v>
      </c>
      <c r="H719" s="95" t="s">
        <v>21</v>
      </c>
      <c r="I719" s="95" t="s">
        <v>711</v>
      </c>
      <c r="J719" s="97">
        <v>45975.67931630787</v>
      </c>
      <c r="K719" s="96" t="s">
        <v>4507</v>
      </c>
      <c r="L719" s="96" t="s">
        <v>4508</v>
      </c>
      <c r="M719" s="95" t="s">
        <v>54</v>
      </c>
      <c r="N719" s="95" t="s">
        <v>4509</v>
      </c>
      <c r="O719" s="95" t="s">
        <v>4509</v>
      </c>
      <c r="P719" s="95" t="s">
        <v>4510</v>
      </c>
      <c r="Q719" s="98">
        <v>3.0</v>
      </c>
      <c r="R719" s="97">
        <v>45883.85695601852</v>
      </c>
      <c r="S719" s="99">
        <v>11276.0</v>
      </c>
      <c r="T719" s="99">
        <v>617.0</v>
      </c>
      <c r="U719" s="99">
        <v>4.0</v>
      </c>
      <c r="V719" s="99">
        <v>176.0</v>
      </c>
      <c r="W719" s="99">
        <v>999999.0</v>
      </c>
    </row>
    <row r="720" ht="15.75" customHeight="1">
      <c r="A720" s="95" t="s">
        <v>4511</v>
      </c>
      <c r="B720" s="95" t="s">
        <v>101</v>
      </c>
      <c r="C720" s="96" t="s">
        <v>4512</v>
      </c>
      <c r="D720" s="95" t="s">
        <v>20</v>
      </c>
      <c r="E720" s="95" t="s">
        <v>4513</v>
      </c>
      <c r="F720" s="95" t="s">
        <v>19</v>
      </c>
      <c r="G720" s="95" t="s">
        <v>574</v>
      </c>
      <c r="H720" s="95" t="s">
        <v>21</v>
      </c>
      <c r="I720" s="95" t="s">
        <v>1504</v>
      </c>
      <c r="J720" s="97">
        <v>45975.67931630787</v>
      </c>
      <c r="K720" s="96" t="s">
        <v>4514</v>
      </c>
      <c r="L720" s="96" t="s">
        <v>4515</v>
      </c>
      <c r="M720" s="95" t="s">
        <v>54</v>
      </c>
      <c r="N720" s="95" t="s">
        <v>4509</v>
      </c>
      <c r="O720" s="95" t="s">
        <v>4509</v>
      </c>
      <c r="P720" s="95" t="s">
        <v>4510</v>
      </c>
      <c r="Q720" s="98">
        <v>3.0</v>
      </c>
      <c r="R720" s="97">
        <v>45887.65290509259</v>
      </c>
      <c r="S720" s="99">
        <v>11276.0</v>
      </c>
      <c r="T720" s="99">
        <v>618.0</v>
      </c>
      <c r="U720" s="99">
        <v>11.0</v>
      </c>
      <c r="V720" s="99">
        <v>382.0</v>
      </c>
      <c r="W720" s="99">
        <v>999999.0</v>
      </c>
    </row>
    <row r="721" ht="15.75" customHeight="1">
      <c r="A721" s="95" t="s">
        <v>4516</v>
      </c>
      <c r="B721" s="95" t="s">
        <v>101</v>
      </c>
      <c r="C721" s="96" t="s">
        <v>4517</v>
      </c>
      <c r="D721" s="95" t="s">
        <v>20</v>
      </c>
      <c r="E721" s="95" t="s">
        <v>4506</v>
      </c>
      <c r="F721" s="95" t="s">
        <v>19</v>
      </c>
      <c r="G721" s="95" t="s">
        <v>19</v>
      </c>
      <c r="H721" s="95" t="s">
        <v>21</v>
      </c>
      <c r="I721" s="95" t="s">
        <v>4518</v>
      </c>
      <c r="J721" s="97">
        <v>46008.62897545139</v>
      </c>
      <c r="K721" s="96" t="s">
        <v>4519</v>
      </c>
      <c r="L721" s="96" t="s">
        <v>4520</v>
      </c>
      <c r="M721" s="95" t="s">
        <v>54</v>
      </c>
      <c r="N721" s="95" t="s">
        <v>4509</v>
      </c>
      <c r="O721" s="95" t="s">
        <v>4509</v>
      </c>
      <c r="P721" s="95" t="s">
        <v>4510</v>
      </c>
      <c r="Q721" s="98">
        <v>3.0</v>
      </c>
      <c r="R721" s="97">
        <v>45867.89678240741</v>
      </c>
      <c r="S721" s="99">
        <v>11276.0</v>
      </c>
      <c r="T721" s="99">
        <v>565.0</v>
      </c>
      <c r="U721" s="99">
        <v>5.0</v>
      </c>
      <c r="V721" s="99">
        <v>234.0</v>
      </c>
      <c r="W721" s="99">
        <v>999999.0</v>
      </c>
    </row>
    <row r="722" ht="15.75" customHeight="1">
      <c r="A722" s="95" t="s">
        <v>4521</v>
      </c>
      <c r="B722" s="95" t="s">
        <v>22</v>
      </c>
      <c r="C722" s="96" t="s">
        <v>4522</v>
      </c>
      <c r="D722" s="95" t="s">
        <v>20</v>
      </c>
      <c r="E722" s="95" t="s">
        <v>4513</v>
      </c>
      <c r="F722" s="95" t="s">
        <v>19</v>
      </c>
      <c r="G722" s="95" t="s">
        <v>839</v>
      </c>
      <c r="H722" s="95" t="s">
        <v>21</v>
      </c>
      <c r="I722" s="95" t="s">
        <v>684</v>
      </c>
      <c r="J722" s="97">
        <v>46006.66430814815</v>
      </c>
      <c r="K722" s="95" t="s">
        <v>4523</v>
      </c>
      <c r="L722" s="96" t="s">
        <v>4524</v>
      </c>
      <c r="M722" s="95" t="s">
        <v>54</v>
      </c>
      <c r="N722" s="95" t="s">
        <v>4509</v>
      </c>
      <c r="O722" s="95" t="s">
        <v>4509</v>
      </c>
      <c r="P722" s="95" t="s">
        <v>4510</v>
      </c>
      <c r="Q722" s="98">
        <v>3.0</v>
      </c>
      <c r="R722" s="97">
        <v>45915.85534722222</v>
      </c>
      <c r="S722" s="99">
        <v>11276.0</v>
      </c>
      <c r="T722" s="99">
        <v>890.0</v>
      </c>
      <c r="U722" s="99">
        <v>1.0</v>
      </c>
      <c r="V722" s="99">
        <v>52.0</v>
      </c>
      <c r="W722" s="99">
        <v>999999.0</v>
      </c>
    </row>
    <row r="723" ht="15.75" customHeight="1">
      <c r="A723" s="95" t="s">
        <v>4525</v>
      </c>
      <c r="B723" s="95" t="s">
        <v>22</v>
      </c>
      <c r="C723" s="96" t="s">
        <v>4526</v>
      </c>
      <c r="D723" s="95" t="s">
        <v>59</v>
      </c>
      <c r="E723" s="95" t="s">
        <v>1347</v>
      </c>
      <c r="F723" s="95" t="s">
        <v>88</v>
      </c>
      <c r="G723" s="95"/>
      <c r="H723" s="95" t="s">
        <v>21</v>
      </c>
      <c r="I723" s="95" t="s">
        <v>2183</v>
      </c>
      <c r="J723" s="97">
        <v>45975.67931630787</v>
      </c>
      <c r="K723" s="96" t="s">
        <v>4527</v>
      </c>
      <c r="L723" s="96" t="s">
        <v>4528</v>
      </c>
      <c r="M723" s="95" t="s">
        <v>54</v>
      </c>
      <c r="N723" s="95" t="s">
        <v>4529</v>
      </c>
      <c r="O723" s="95" t="s">
        <v>4529</v>
      </c>
      <c r="P723" s="95" t="s">
        <v>4530</v>
      </c>
      <c r="Q723" s="98">
        <v>3.0</v>
      </c>
      <c r="R723" s="97">
        <v>45691.52762731481</v>
      </c>
      <c r="S723" s="99">
        <v>117.0</v>
      </c>
      <c r="T723" s="99">
        <v>242.0</v>
      </c>
      <c r="U723" s="99">
        <v>1.0</v>
      </c>
      <c r="V723" s="99">
        <v>237.0</v>
      </c>
      <c r="W723" s="99">
        <v>82642.0</v>
      </c>
    </row>
    <row r="724" ht="15.75" customHeight="1">
      <c r="A724" s="95" t="s">
        <v>4531</v>
      </c>
      <c r="B724" s="95" t="s">
        <v>22</v>
      </c>
      <c r="C724" s="96" t="s">
        <v>4532</v>
      </c>
      <c r="D724" s="95" t="s">
        <v>68</v>
      </c>
      <c r="E724" s="95" t="s">
        <v>1496</v>
      </c>
      <c r="F724" s="95" t="s">
        <v>19</v>
      </c>
      <c r="G724" s="95" t="s">
        <v>574</v>
      </c>
      <c r="H724" s="95" t="s">
        <v>21</v>
      </c>
      <c r="I724" s="95" t="s">
        <v>567</v>
      </c>
      <c r="J724" s="97">
        <v>46039.71707480324</v>
      </c>
      <c r="K724" s="95" t="s">
        <v>4533</v>
      </c>
      <c r="L724" s="96" t="s">
        <v>4534</v>
      </c>
      <c r="M724" s="95" t="s">
        <v>93</v>
      </c>
      <c r="N724" s="95" t="s">
        <v>4535</v>
      </c>
      <c r="O724" s="95" t="s">
        <v>4535</v>
      </c>
      <c r="P724" s="95" t="s">
        <v>4536</v>
      </c>
      <c r="Q724" s="98">
        <v>3.0</v>
      </c>
      <c r="R724" s="97">
        <v>45866.67202546296</v>
      </c>
      <c r="S724" s="99">
        <v>84.0</v>
      </c>
      <c r="T724" s="99">
        <v>1144.0</v>
      </c>
      <c r="U724" s="99">
        <v>5.0</v>
      </c>
      <c r="V724" s="99">
        <v>229.0</v>
      </c>
      <c r="W724" s="99">
        <v>617036.0</v>
      </c>
    </row>
    <row r="725" ht="15.75" customHeight="1">
      <c r="A725" s="95" t="s">
        <v>4537</v>
      </c>
      <c r="B725" s="95" t="s">
        <v>69</v>
      </c>
      <c r="C725" s="96" t="s">
        <v>4538</v>
      </c>
      <c r="D725" s="95" t="s">
        <v>59</v>
      </c>
      <c r="E725" s="95" t="s">
        <v>738</v>
      </c>
      <c r="F725" s="95" t="s">
        <v>88</v>
      </c>
      <c r="G725" s="95" t="s">
        <v>639</v>
      </c>
      <c r="H725" s="95" t="s">
        <v>89</v>
      </c>
      <c r="I725" s="95" t="s">
        <v>640</v>
      </c>
      <c r="J725" s="97">
        <v>46008.62902921296</v>
      </c>
      <c r="K725" s="96" t="s">
        <v>4539</v>
      </c>
      <c r="L725" s="96" t="s">
        <v>4540</v>
      </c>
      <c r="M725" s="95" t="s">
        <v>17</v>
      </c>
      <c r="N725" s="95" t="s">
        <v>4541</v>
      </c>
      <c r="O725" s="95" t="s">
        <v>4541</v>
      </c>
      <c r="P725" s="95" t="s">
        <v>4542</v>
      </c>
      <c r="Q725" s="98">
        <v>3.0</v>
      </c>
      <c r="R725" s="97">
        <v>45814.67390046296</v>
      </c>
      <c r="S725" s="99">
        <v>78.0</v>
      </c>
      <c r="T725" s="99">
        <v>39.0</v>
      </c>
      <c r="U725" s="99">
        <v>1.0</v>
      </c>
      <c r="V725" s="99">
        <v>41.0</v>
      </c>
      <c r="W725" s="99">
        <v>15123.0</v>
      </c>
    </row>
    <row r="726" ht="15.75" customHeight="1">
      <c r="A726" s="95" t="s">
        <v>99</v>
      </c>
      <c r="B726" s="95" t="s">
        <v>101</v>
      </c>
      <c r="C726" s="96" t="s">
        <v>104</v>
      </c>
      <c r="D726" s="95" t="s">
        <v>39</v>
      </c>
      <c r="E726" s="95" t="s">
        <v>39</v>
      </c>
      <c r="F726" s="95" t="s">
        <v>19</v>
      </c>
      <c r="G726" s="95" t="s">
        <v>19</v>
      </c>
      <c r="H726" s="95" t="s">
        <v>21</v>
      </c>
      <c r="I726" s="95" t="s">
        <v>955</v>
      </c>
      <c r="J726" s="97">
        <v>46021.51245517361</v>
      </c>
      <c r="K726" s="95" t="s">
        <v>103</v>
      </c>
      <c r="L726" s="96" t="s">
        <v>102</v>
      </c>
      <c r="M726" s="95" t="s">
        <v>54</v>
      </c>
      <c r="N726" s="95" t="s">
        <v>100</v>
      </c>
      <c r="O726" s="95" t="s">
        <v>100</v>
      </c>
      <c r="P726" s="95" t="s">
        <v>4543</v>
      </c>
      <c r="Q726" s="98">
        <v>3.0</v>
      </c>
      <c r="R726" s="97">
        <v>45783.0528125</v>
      </c>
      <c r="S726" s="99">
        <v>52.0</v>
      </c>
      <c r="T726" s="99">
        <v>276.0</v>
      </c>
      <c r="U726" s="99">
        <v>6.0</v>
      </c>
      <c r="V726" s="99">
        <v>17.0</v>
      </c>
      <c r="W726" s="99">
        <v>18325.0</v>
      </c>
    </row>
    <row r="727" ht="15.75" customHeight="1">
      <c r="A727" s="95" t="s">
        <v>4544</v>
      </c>
      <c r="B727" s="95" t="s">
        <v>22</v>
      </c>
      <c r="C727" s="96" t="s">
        <v>4545</v>
      </c>
      <c r="D727" s="95" t="s">
        <v>124</v>
      </c>
      <c r="E727" s="95" t="s">
        <v>1731</v>
      </c>
      <c r="F727" s="95" t="s">
        <v>88</v>
      </c>
      <c r="G727" s="95" t="s">
        <v>88</v>
      </c>
      <c r="H727" s="95" t="s">
        <v>21</v>
      </c>
      <c r="I727" s="95" t="s">
        <v>567</v>
      </c>
      <c r="J727" s="97">
        <v>45975.67930055556</v>
      </c>
      <c r="K727" s="96" t="s">
        <v>4546</v>
      </c>
      <c r="L727" s="95"/>
      <c r="M727" s="95" t="s">
        <v>105</v>
      </c>
      <c r="N727" s="95" t="s">
        <v>4547</v>
      </c>
      <c r="O727" s="95" t="s">
        <v>4547</v>
      </c>
      <c r="P727" s="95" t="s">
        <v>4548</v>
      </c>
      <c r="Q727" s="98">
        <v>3.0</v>
      </c>
      <c r="R727" s="97">
        <v>45602.52753472222</v>
      </c>
      <c r="S727" s="99">
        <v>5361.0</v>
      </c>
      <c r="T727" s="99">
        <v>1099.0</v>
      </c>
      <c r="U727" s="99">
        <v>2.0</v>
      </c>
      <c r="V727" s="99">
        <v>266.0</v>
      </c>
      <c r="W727" s="99">
        <v>61176.0</v>
      </c>
    </row>
    <row r="728" ht="15.75" customHeight="1">
      <c r="A728" s="95" t="s">
        <v>4549</v>
      </c>
      <c r="B728" s="95" t="s">
        <v>22</v>
      </c>
      <c r="C728" s="96" t="s">
        <v>4550</v>
      </c>
      <c r="D728" s="95" t="s">
        <v>124</v>
      </c>
      <c r="E728" s="95" t="s">
        <v>1731</v>
      </c>
      <c r="F728" s="95" t="s">
        <v>19</v>
      </c>
      <c r="G728" s="95" t="s">
        <v>588</v>
      </c>
      <c r="H728" s="95" t="s">
        <v>21</v>
      </c>
      <c r="I728" s="95" t="s">
        <v>677</v>
      </c>
      <c r="J728" s="97">
        <v>46021.49452240741</v>
      </c>
      <c r="K728" s="95" t="s">
        <v>4551</v>
      </c>
      <c r="L728" s="96" t="s">
        <v>4552</v>
      </c>
      <c r="M728" s="95" t="s">
        <v>105</v>
      </c>
      <c r="N728" s="95" t="s">
        <v>4553</v>
      </c>
      <c r="O728" s="95" t="s">
        <v>4553</v>
      </c>
      <c r="P728" s="95" t="s">
        <v>4554</v>
      </c>
      <c r="Q728" s="98">
        <v>3.0</v>
      </c>
      <c r="R728" s="97">
        <v>45872.85716435185</v>
      </c>
      <c r="S728" s="99">
        <v>1508.0</v>
      </c>
      <c r="T728" s="99">
        <v>57.0</v>
      </c>
      <c r="U728" s="99">
        <v>24.0</v>
      </c>
      <c r="V728" s="99">
        <v>183.0</v>
      </c>
      <c r="W728" s="99">
        <v>23951.0</v>
      </c>
    </row>
    <row r="729" ht="15.75" customHeight="1">
      <c r="A729" s="95" t="s">
        <v>4555</v>
      </c>
      <c r="B729" s="95" t="s">
        <v>22</v>
      </c>
      <c r="C729" s="96" t="s">
        <v>4556</v>
      </c>
      <c r="D729" s="95" t="s">
        <v>59</v>
      </c>
      <c r="E729" s="95" t="s">
        <v>1347</v>
      </c>
      <c r="F729" s="95" t="s">
        <v>19</v>
      </c>
      <c r="G729" s="95" t="s">
        <v>19</v>
      </c>
      <c r="H729" s="95" t="s">
        <v>21</v>
      </c>
      <c r="I729" s="95" t="s">
        <v>589</v>
      </c>
      <c r="J729" s="97">
        <v>45992.53224659722</v>
      </c>
      <c r="K729" s="95" t="s">
        <v>4557</v>
      </c>
      <c r="L729" s="96" t="s">
        <v>4558</v>
      </c>
      <c r="M729" s="95" t="s">
        <v>54</v>
      </c>
      <c r="N729" s="95" t="s">
        <v>95</v>
      </c>
      <c r="O729" s="95" t="s">
        <v>95</v>
      </c>
      <c r="P729" s="95" t="s">
        <v>4559</v>
      </c>
      <c r="Q729" s="98">
        <v>3.0</v>
      </c>
      <c r="R729" s="97">
        <v>45953.5115162037</v>
      </c>
      <c r="S729" s="99">
        <v>2585.0</v>
      </c>
      <c r="T729" s="99">
        <v>30.0</v>
      </c>
      <c r="U729" s="99">
        <v>1.0</v>
      </c>
      <c r="V729" s="99">
        <v>105.0</v>
      </c>
      <c r="W729" s="99">
        <v>365703.0</v>
      </c>
    </row>
    <row r="730" ht="15.75" customHeight="1">
      <c r="A730" s="95" t="s">
        <v>4560</v>
      </c>
      <c r="B730" s="95" t="s">
        <v>22</v>
      </c>
      <c r="C730" s="96" t="s">
        <v>4561</v>
      </c>
      <c r="D730" s="95" t="s">
        <v>59</v>
      </c>
      <c r="E730" s="95" t="s">
        <v>1347</v>
      </c>
      <c r="F730" s="95" t="s">
        <v>19</v>
      </c>
      <c r="G730" s="95" t="s">
        <v>19</v>
      </c>
      <c r="H730" s="95" t="s">
        <v>21</v>
      </c>
      <c r="I730" s="95" t="s">
        <v>567</v>
      </c>
      <c r="J730" s="97">
        <v>45975.67931630787</v>
      </c>
      <c r="K730" s="96" t="s">
        <v>4562</v>
      </c>
      <c r="L730" s="96" t="s">
        <v>4563</v>
      </c>
      <c r="M730" s="95" t="s">
        <v>54</v>
      </c>
      <c r="N730" s="95" t="s">
        <v>95</v>
      </c>
      <c r="O730" s="95" t="s">
        <v>95</v>
      </c>
      <c r="P730" s="95" t="s">
        <v>4559</v>
      </c>
      <c r="Q730" s="98">
        <v>3.0</v>
      </c>
      <c r="R730" s="97">
        <v>45740.66366898148</v>
      </c>
      <c r="S730" s="99">
        <v>2585.0</v>
      </c>
      <c r="T730" s="99">
        <v>41.0</v>
      </c>
      <c r="U730" s="99">
        <v>1.0</v>
      </c>
      <c r="V730" s="99">
        <v>149.0</v>
      </c>
      <c r="W730" s="99">
        <v>365703.0</v>
      </c>
    </row>
    <row r="731" ht="15.75" customHeight="1">
      <c r="A731" s="95" t="s">
        <v>94</v>
      </c>
      <c r="B731" s="95" t="s">
        <v>69</v>
      </c>
      <c r="C731" s="96" t="s">
        <v>98</v>
      </c>
      <c r="D731" s="95" t="s">
        <v>59</v>
      </c>
      <c r="E731" s="95" t="s">
        <v>1347</v>
      </c>
      <c r="F731" s="95" t="s">
        <v>58</v>
      </c>
      <c r="G731" s="95" t="s">
        <v>1450</v>
      </c>
      <c r="H731" s="95" t="s">
        <v>77</v>
      </c>
      <c r="I731" s="95" t="s">
        <v>2527</v>
      </c>
      <c r="J731" s="97">
        <v>45993.78544196759</v>
      </c>
      <c r="K731" s="96" t="s">
        <v>97</v>
      </c>
      <c r="L731" s="96" t="s">
        <v>96</v>
      </c>
      <c r="M731" s="95" t="s">
        <v>54</v>
      </c>
      <c r="N731" s="95" t="s">
        <v>95</v>
      </c>
      <c r="O731" s="95" t="s">
        <v>95</v>
      </c>
      <c r="P731" s="95" t="s">
        <v>4559</v>
      </c>
      <c r="Q731" s="98">
        <v>3.0</v>
      </c>
      <c r="R731" s="97">
        <v>45796.40203703703</v>
      </c>
      <c r="S731" s="99">
        <v>2585.0</v>
      </c>
      <c r="T731" s="99">
        <v>3.0</v>
      </c>
      <c r="U731" s="99">
        <v>7.0</v>
      </c>
      <c r="V731" s="99">
        <v>132.0</v>
      </c>
      <c r="W731" s="99">
        <v>365703.0</v>
      </c>
    </row>
    <row r="732" ht="15.75" customHeight="1">
      <c r="A732" s="95" t="s">
        <v>4564</v>
      </c>
      <c r="B732" s="95" t="s">
        <v>69</v>
      </c>
      <c r="C732" s="96" t="s">
        <v>4565</v>
      </c>
      <c r="D732" s="95" t="s">
        <v>59</v>
      </c>
      <c r="E732" s="95" t="s">
        <v>4566</v>
      </c>
      <c r="F732" s="95" t="s">
        <v>88</v>
      </c>
      <c r="G732" s="95" t="s">
        <v>858</v>
      </c>
      <c r="H732" s="95" t="s">
        <v>89</v>
      </c>
      <c r="I732" s="95" t="s">
        <v>1984</v>
      </c>
      <c r="J732" s="97">
        <v>46040.56680510416</v>
      </c>
      <c r="K732" s="95" t="s">
        <v>4567</v>
      </c>
      <c r="L732" s="96" t="s">
        <v>4568</v>
      </c>
      <c r="M732" s="95" t="s">
        <v>74</v>
      </c>
      <c r="N732" s="95" t="s">
        <v>4569</v>
      </c>
      <c r="O732" s="95" t="s">
        <v>4569</v>
      </c>
      <c r="P732" s="95" t="s">
        <v>4570</v>
      </c>
      <c r="Q732" s="98">
        <v>3.0</v>
      </c>
      <c r="R732" s="97">
        <v>45643.04355324074</v>
      </c>
      <c r="S732" s="99">
        <v>2170.0</v>
      </c>
      <c r="T732" s="99">
        <v>3.0</v>
      </c>
      <c r="U732" s="99">
        <v>1.0</v>
      </c>
      <c r="V732" s="99">
        <v>17.0</v>
      </c>
      <c r="W732" s="99">
        <v>37487.0</v>
      </c>
    </row>
    <row r="733" ht="15.75" customHeight="1">
      <c r="A733" s="95" t="s">
        <v>4571</v>
      </c>
      <c r="B733" s="95" t="s">
        <v>69</v>
      </c>
      <c r="C733" s="96" t="s">
        <v>4572</v>
      </c>
      <c r="D733" s="95" t="s">
        <v>39</v>
      </c>
      <c r="E733" s="95" t="s">
        <v>960</v>
      </c>
      <c r="F733" s="95" t="s">
        <v>19</v>
      </c>
      <c r="G733" s="95" t="s">
        <v>19</v>
      </c>
      <c r="H733" s="95" t="s">
        <v>21</v>
      </c>
      <c r="I733" s="95" t="s">
        <v>719</v>
      </c>
      <c r="J733" s="97">
        <v>45975.67931630787</v>
      </c>
      <c r="K733" s="96" t="s">
        <v>4573</v>
      </c>
      <c r="L733" s="96" t="s">
        <v>4574</v>
      </c>
      <c r="M733" s="95" t="s">
        <v>54</v>
      </c>
      <c r="N733" s="95" t="s">
        <v>4575</v>
      </c>
      <c r="O733" s="95" t="s">
        <v>4575</v>
      </c>
      <c r="P733" s="95" t="s">
        <v>4576</v>
      </c>
      <c r="Q733" s="98">
        <v>3.0</v>
      </c>
      <c r="R733" s="97">
        <v>45868.55943287037</v>
      </c>
      <c r="S733" s="99">
        <v>29094.0</v>
      </c>
      <c r="T733" s="99">
        <v>424.0</v>
      </c>
      <c r="U733" s="99">
        <v>2.0</v>
      </c>
      <c r="V733" s="99">
        <v>604.0</v>
      </c>
      <c r="W733" s="99">
        <v>1382686.0</v>
      </c>
    </row>
    <row r="734" ht="15.75" customHeight="1">
      <c r="A734" s="95" t="s">
        <v>4577</v>
      </c>
      <c r="B734" s="95" t="s">
        <v>22</v>
      </c>
      <c r="C734" s="96" t="s">
        <v>4578</v>
      </c>
      <c r="D734" s="95" t="s">
        <v>39</v>
      </c>
      <c r="E734" s="95" t="s">
        <v>960</v>
      </c>
      <c r="F734" s="95" t="s">
        <v>19</v>
      </c>
      <c r="G734" s="95" t="s">
        <v>19</v>
      </c>
      <c r="H734" s="95" t="s">
        <v>21</v>
      </c>
      <c r="I734" s="95" t="s">
        <v>567</v>
      </c>
      <c r="J734" s="97">
        <v>45975.67931630787</v>
      </c>
      <c r="K734" s="96" t="s">
        <v>4579</v>
      </c>
      <c r="L734" s="96" t="s">
        <v>4580</v>
      </c>
      <c r="M734" s="95" t="s">
        <v>54</v>
      </c>
      <c r="N734" s="95" t="s">
        <v>4575</v>
      </c>
      <c r="O734" s="95" t="s">
        <v>4575</v>
      </c>
      <c r="P734" s="95" t="s">
        <v>4576</v>
      </c>
      <c r="Q734" s="98">
        <v>3.0</v>
      </c>
      <c r="R734" s="97">
        <v>45650.3584837963</v>
      </c>
      <c r="S734" s="99">
        <v>29094.0</v>
      </c>
      <c r="T734" s="99">
        <v>118.0</v>
      </c>
      <c r="U734" s="99">
        <v>2.0</v>
      </c>
      <c r="V734" s="99">
        <v>158.0</v>
      </c>
      <c r="W734" s="99">
        <v>1382686.0</v>
      </c>
    </row>
    <row r="735" ht="15.75" customHeight="1">
      <c r="A735" s="95" t="s">
        <v>4581</v>
      </c>
      <c r="B735" s="95" t="s">
        <v>22</v>
      </c>
      <c r="C735" s="96" t="s">
        <v>4582</v>
      </c>
      <c r="D735" s="95" t="s">
        <v>39</v>
      </c>
      <c r="E735" s="95" t="s">
        <v>1404</v>
      </c>
      <c r="F735" s="95" t="s">
        <v>19</v>
      </c>
      <c r="G735" s="95" t="s">
        <v>574</v>
      </c>
      <c r="H735" s="95" t="s">
        <v>21</v>
      </c>
      <c r="I735" s="95" t="s">
        <v>677</v>
      </c>
      <c r="J735" s="97">
        <v>46021.50557226852</v>
      </c>
      <c r="K735" s="95" t="s">
        <v>4583</v>
      </c>
      <c r="L735" s="96" t="s">
        <v>4584</v>
      </c>
      <c r="M735" s="95" t="s">
        <v>74</v>
      </c>
      <c r="N735" s="95" t="s">
        <v>4585</v>
      </c>
      <c r="O735" s="95" t="s">
        <v>4585</v>
      </c>
      <c r="P735" s="95" t="s">
        <v>4586</v>
      </c>
      <c r="Q735" s="98">
        <v>3.0</v>
      </c>
      <c r="R735" s="97">
        <v>45630.62552083333</v>
      </c>
      <c r="S735" s="99">
        <v>439.0</v>
      </c>
      <c r="T735" s="99">
        <v>104.0</v>
      </c>
      <c r="U735" s="99">
        <v>1.0</v>
      </c>
      <c r="V735" s="99">
        <v>81.0</v>
      </c>
      <c r="W735" s="99">
        <v>68273.0</v>
      </c>
    </row>
    <row r="736" ht="15.75" customHeight="1">
      <c r="A736" s="95" t="s">
        <v>4587</v>
      </c>
      <c r="B736" s="95" t="s">
        <v>69</v>
      </c>
      <c r="C736" s="96" t="s">
        <v>4588</v>
      </c>
      <c r="D736" s="95" t="s">
        <v>59</v>
      </c>
      <c r="E736" s="95" t="s">
        <v>3394</v>
      </c>
      <c r="F736" s="95" t="s">
        <v>19</v>
      </c>
      <c r="G736" s="95" t="s">
        <v>19</v>
      </c>
      <c r="H736" s="95" t="s">
        <v>21</v>
      </c>
      <c r="I736" s="95" t="s">
        <v>998</v>
      </c>
      <c r="J736" s="97">
        <v>46021.4946265625</v>
      </c>
      <c r="K736" s="95" t="s">
        <v>4589</v>
      </c>
      <c r="L736" s="96" t="s">
        <v>4590</v>
      </c>
      <c r="M736" s="95" t="s">
        <v>74</v>
      </c>
      <c r="N736" s="95" t="s">
        <v>4591</v>
      </c>
      <c r="O736" s="95" t="s">
        <v>4591</v>
      </c>
      <c r="P736" s="95" t="s">
        <v>4592</v>
      </c>
      <c r="Q736" s="98">
        <v>3.0</v>
      </c>
      <c r="R736" s="97">
        <v>45868.7490625</v>
      </c>
      <c r="S736" s="99">
        <v>393.0</v>
      </c>
      <c r="T736" s="99">
        <v>2.0</v>
      </c>
      <c r="U736" s="99">
        <v>1.0</v>
      </c>
      <c r="V736" s="99">
        <v>268.0</v>
      </c>
      <c r="W736" s="99">
        <v>51733.0</v>
      </c>
    </row>
    <row r="737" ht="15.75" customHeight="1">
      <c r="A737" s="95" t="s">
        <v>4593</v>
      </c>
      <c r="B737" s="95" t="s">
        <v>22</v>
      </c>
      <c r="C737" s="96" t="s">
        <v>4594</v>
      </c>
      <c r="D737" s="95" t="s">
        <v>59</v>
      </c>
      <c r="E737" s="95" t="s">
        <v>3394</v>
      </c>
      <c r="F737" s="95" t="s">
        <v>19</v>
      </c>
      <c r="G737" s="95" t="s">
        <v>19</v>
      </c>
      <c r="H737" s="95" t="s">
        <v>21</v>
      </c>
      <c r="I737" s="95" t="s">
        <v>567</v>
      </c>
      <c r="J737" s="97">
        <v>45975.67931630787</v>
      </c>
      <c r="K737" s="96" t="s">
        <v>4595</v>
      </c>
      <c r="L737" s="96" t="s">
        <v>4596</v>
      </c>
      <c r="M737" s="95" t="s">
        <v>54</v>
      </c>
      <c r="N737" s="95" t="s">
        <v>4597</v>
      </c>
      <c r="O737" s="95" t="s">
        <v>4597</v>
      </c>
      <c r="P737" s="95" t="s">
        <v>4598</v>
      </c>
      <c r="Q737" s="98">
        <v>3.0</v>
      </c>
      <c r="R737" s="97">
        <v>45820.43775462963</v>
      </c>
      <c r="S737" s="99">
        <v>4752.0</v>
      </c>
      <c r="T737" s="99">
        <v>972.0</v>
      </c>
      <c r="U737" s="99">
        <v>2.0</v>
      </c>
      <c r="V737" s="99">
        <v>38.0</v>
      </c>
      <c r="W737" s="99">
        <v>3387384.0</v>
      </c>
    </row>
    <row r="738" ht="15.75" customHeight="1">
      <c r="A738" s="95" t="s">
        <v>4599</v>
      </c>
      <c r="B738" s="95" t="s">
        <v>22</v>
      </c>
      <c r="C738" s="96" t="s">
        <v>4600</v>
      </c>
      <c r="D738" s="95" t="s">
        <v>59</v>
      </c>
      <c r="E738" s="95" t="s">
        <v>1347</v>
      </c>
      <c r="F738" s="95" t="s">
        <v>19</v>
      </c>
      <c r="G738" s="95" t="s">
        <v>19</v>
      </c>
      <c r="H738" s="95" t="s">
        <v>21</v>
      </c>
      <c r="I738" s="95" t="s">
        <v>567</v>
      </c>
      <c r="J738" s="97">
        <v>45975.67931630787</v>
      </c>
      <c r="K738" s="96" t="s">
        <v>4601</v>
      </c>
      <c r="L738" s="96" t="s">
        <v>4602</v>
      </c>
      <c r="M738" s="95" t="s">
        <v>54</v>
      </c>
      <c r="N738" s="95" t="s">
        <v>4597</v>
      </c>
      <c r="O738" s="95" t="s">
        <v>4597</v>
      </c>
      <c r="P738" s="95" t="s">
        <v>4598</v>
      </c>
      <c r="Q738" s="98">
        <v>3.0</v>
      </c>
      <c r="R738" s="97">
        <v>45828.4025462963</v>
      </c>
      <c r="S738" s="99">
        <v>4752.0</v>
      </c>
      <c r="T738" s="99">
        <v>157.0</v>
      </c>
      <c r="U738" s="99">
        <v>4.0</v>
      </c>
      <c r="V738" s="99">
        <v>195.0</v>
      </c>
      <c r="W738" s="99">
        <v>3387384.0</v>
      </c>
    </row>
    <row r="739" ht="15.75" customHeight="1">
      <c r="A739" s="95" t="s">
        <v>4603</v>
      </c>
      <c r="B739" s="95" t="s">
        <v>131</v>
      </c>
      <c r="C739" s="96" t="s">
        <v>4604</v>
      </c>
      <c r="D739" s="95" t="s">
        <v>39</v>
      </c>
      <c r="E739" s="95" t="s">
        <v>39</v>
      </c>
      <c r="F739" s="95" t="s">
        <v>58</v>
      </c>
      <c r="G739" s="95" t="s">
        <v>58</v>
      </c>
      <c r="H739" s="95" t="s">
        <v>537</v>
      </c>
      <c r="I739" s="95" t="s">
        <v>4605</v>
      </c>
      <c r="J739" s="97">
        <v>46003.09730728009</v>
      </c>
      <c r="K739" s="95" t="s">
        <v>4606</v>
      </c>
      <c r="L739" s="96" t="s">
        <v>4607</v>
      </c>
      <c r="M739" s="95" t="s">
        <v>54</v>
      </c>
      <c r="N739" s="95" t="s">
        <v>4608</v>
      </c>
      <c r="O739" s="95" t="s">
        <v>4608</v>
      </c>
      <c r="P739" s="95" t="s">
        <v>4609</v>
      </c>
      <c r="Q739" s="98">
        <v>3.0</v>
      </c>
      <c r="R739" s="97">
        <v>45741.65943287037</v>
      </c>
      <c r="S739" s="99">
        <v>278.0</v>
      </c>
      <c r="T739" s="99">
        <v>16.0</v>
      </c>
      <c r="U739" s="99">
        <v>4.0</v>
      </c>
      <c r="V739" s="99">
        <v>150.0</v>
      </c>
      <c r="W739" s="99">
        <v>1242328.0</v>
      </c>
    </row>
    <row r="740" ht="15.75" customHeight="1">
      <c r="A740" s="95" t="s">
        <v>4610</v>
      </c>
      <c r="B740" s="95" t="s">
        <v>69</v>
      </c>
      <c r="C740" s="96" t="s">
        <v>4611</v>
      </c>
      <c r="D740" s="95" t="s">
        <v>39</v>
      </c>
      <c r="E740" s="95" t="s">
        <v>39</v>
      </c>
      <c r="F740" s="95" t="s">
        <v>19</v>
      </c>
      <c r="G740" s="95" t="s">
        <v>1004</v>
      </c>
      <c r="H740" s="95" t="s">
        <v>60</v>
      </c>
      <c r="I740" s="95" t="s">
        <v>2126</v>
      </c>
      <c r="J740" s="97">
        <v>46021.4946265625</v>
      </c>
      <c r="K740" s="95" t="s">
        <v>4612</v>
      </c>
      <c r="L740" s="96" t="s">
        <v>4613</v>
      </c>
      <c r="M740" s="95" t="s">
        <v>54</v>
      </c>
      <c r="N740" s="95" t="s">
        <v>4608</v>
      </c>
      <c r="O740" s="95" t="s">
        <v>4608</v>
      </c>
      <c r="P740" s="95" t="s">
        <v>4609</v>
      </c>
      <c r="Q740" s="98">
        <v>3.0</v>
      </c>
      <c r="R740" s="97">
        <v>45693.53001157408</v>
      </c>
      <c r="S740" s="99">
        <v>278.0</v>
      </c>
      <c r="T740" s="99">
        <v>3.0</v>
      </c>
      <c r="U740" s="99">
        <v>16.0</v>
      </c>
      <c r="V740" s="99">
        <v>3335.0</v>
      </c>
      <c r="W740" s="99">
        <v>1242328.0</v>
      </c>
    </row>
    <row r="741" ht="15.75" customHeight="1">
      <c r="A741" s="95" t="s">
        <v>4614</v>
      </c>
      <c r="B741" s="95" t="s">
        <v>101</v>
      </c>
      <c r="C741" s="96" t="s">
        <v>4615</v>
      </c>
      <c r="D741" s="95" t="s">
        <v>39</v>
      </c>
      <c r="E741" s="95" t="s">
        <v>4616</v>
      </c>
      <c r="F741" s="95" t="s">
        <v>19</v>
      </c>
      <c r="G741" s="95" t="s">
        <v>19</v>
      </c>
      <c r="H741" s="95" t="s">
        <v>21</v>
      </c>
      <c r="I741" s="95" t="s">
        <v>607</v>
      </c>
      <c r="J741" s="97">
        <v>46021.4946265625</v>
      </c>
      <c r="K741" s="95" t="s">
        <v>4617</v>
      </c>
      <c r="L741" s="96" t="s">
        <v>4618</v>
      </c>
      <c r="M741" s="95" t="s">
        <v>54</v>
      </c>
      <c r="N741" s="95" t="s">
        <v>4619</v>
      </c>
      <c r="O741" s="95" t="s">
        <v>4619</v>
      </c>
      <c r="P741" s="95" t="s">
        <v>4620</v>
      </c>
      <c r="Q741" s="98">
        <v>3.0</v>
      </c>
      <c r="R741" s="97">
        <v>45709.70130787037</v>
      </c>
      <c r="S741" s="99">
        <v>169.0</v>
      </c>
      <c r="T741" s="99">
        <v>5.0</v>
      </c>
      <c r="U741" s="99">
        <v>2.0</v>
      </c>
      <c r="V741" s="99">
        <v>43.0</v>
      </c>
      <c r="W741" s="99">
        <v>1369.0</v>
      </c>
    </row>
    <row r="742" ht="15.75" customHeight="1">
      <c r="A742" s="95" t="s">
        <v>4621</v>
      </c>
      <c r="B742" s="95" t="s">
        <v>69</v>
      </c>
      <c r="C742" s="96" t="s">
        <v>4622</v>
      </c>
      <c r="D742" s="95" t="s">
        <v>39</v>
      </c>
      <c r="E742" s="95" t="s">
        <v>614</v>
      </c>
      <c r="F742" s="95" t="s">
        <v>88</v>
      </c>
      <c r="G742" s="95" t="s">
        <v>639</v>
      </c>
      <c r="H742" s="95" t="s">
        <v>89</v>
      </c>
      <c r="I742" s="95" t="s">
        <v>1971</v>
      </c>
      <c r="J742" s="97">
        <v>46039.71414675926</v>
      </c>
      <c r="K742" s="95" t="s">
        <v>4623</v>
      </c>
      <c r="L742" s="96" t="s">
        <v>4624</v>
      </c>
      <c r="M742" s="95" t="s">
        <v>93</v>
      </c>
      <c r="N742" s="95" t="s">
        <v>4625</v>
      </c>
      <c r="O742" s="95" t="s">
        <v>4625</v>
      </c>
      <c r="P742" s="95" t="s">
        <v>4626</v>
      </c>
      <c r="Q742" s="98">
        <v>3.0</v>
      </c>
      <c r="R742" s="97">
        <v>45813.19844907407</v>
      </c>
      <c r="S742" s="99">
        <v>523.0</v>
      </c>
      <c r="T742" s="99">
        <v>640.0</v>
      </c>
      <c r="U742" s="99">
        <v>3.0</v>
      </c>
      <c r="V742" s="99">
        <v>20.0</v>
      </c>
      <c r="W742" s="99">
        <v>11128.0</v>
      </c>
    </row>
    <row r="743" ht="15.75" customHeight="1">
      <c r="A743" s="95" t="s">
        <v>4627</v>
      </c>
      <c r="B743" s="95" t="s">
        <v>22</v>
      </c>
      <c r="C743" s="96" t="s">
        <v>4628</v>
      </c>
      <c r="D743" s="95" t="s">
        <v>29</v>
      </c>
      <c r="E743" s="95" t="s">
        <v>29</v>
      </c>
      <c r="F743" s="95" t="s">
        <v>19</v>
      </c>
      <c r="G743" s="95" t="s">
        <v>19</v>
      </c>
      <c r="H743" s="95" t="s">
        <v>21</v>
      </c>
      <c r="I743" s="95" t="s">
        <v>567</v>
      </c>
      <c r="J743" s="97">
        <v>46008.62902922454</v>
      </c>
      <c r="K743" s="96" t="s">
        <v>4629</v>
      </c>
      <c r="L743" s="96" t="s">
        <v>4630</v>
      </c>
      <c r="M743" s="95" t="s">
        <v>17</v>
      </c>
      <c r="N743" s="95" t="s">
        <v>4631</v>
      </c>
      <c r="O743" s="95" t="s">
        <v>4631</v>
      </c>
      <c r="P743" s="95" t="s">
        <v>4632</v>
      </c>
      <c r="Q743" s="98">
        <v>3.0</v>
      </c>
      <c r="R743" s="97">
        <v>45800.47091435185</v>
      </c>
      <c r="S743" s="99">
        <v>1663.0</v>
      </c>
      <c r="T743" s="99">
        <v>134.0</v>
      </c>
      <c r="U743" s="99">
        <v>5.0</v>
      </c>
      <c r="V743" s="99">
        <v>281.0</v>
      </c>
      <c r="W743" s="99">
        <v>28443.0</v>
      </c>
    </row>
    <row r="744" ht="15.75" customHeight="1">
      <c r="A744" s="95" t="s">
        <v>4633</v>
      </c>
      <c r="B744" s="95" t="s">
        <v>22</v>
      </c>
      <c r="C744" s="96" t="s">
        <v>4634</v>
      </c>
      <c r="D744" s="95" t="s">
        <v>124</v>
      </c>
      <c r="E744" s="95" t="s">
        <v>4635</v>
      </c>
      <c r="F744" s="95" t="s">
        <v>19</v>
      </c>
      <c r="G744" s="95" t="s">
        <v>19</v>
      </c>
      <c r="H744" s="95" t="s">
        <v>21</v>
      </c>
      <c r="I744" s="95" t="s">
        <v>567</v>
      </c>
      <c r="J744" s="97">
        <v>46072.60571417824</v>
      </c>
      <c r="K744" s="95" t="s">
        <v>4636</v>
      </c>
      <c r="L744" s="96" t="s">
        <v>4637</v>
      </c>
      <c r="M744" s="95" t="s">
        <v>93</v>
      </c>
      <c r="N744" s="95" t="s">
        <v>4638</v>
      </c>
      <c r="O744" s="95" t="s">
        <v>4638</v>
      </c>
      <c r="P744" s="95" t="s">
        <v>4639</v>
      </c>
      <c r="Q744" s="98">
        <v>3.0</v>
      </c>
      <c r="R744" s="97">
        <v>45707.44662037037</v>
      </c>
      <c r="S744" s="99">
        <v>7790.0</v>
      </c>
      <c r="T744" s="99">
        <v>4231.0</v>
      </c>
      <c r="U744" s="99">
        <v>3.0</v>
      </c>
      <c r="V744" s="99">
        <v>191.0</v>
      </c>
      <c r="W744" s="99">
        <v>861045.0</v>
      </c>
    </row>
    <row r="745" ht="15.75" customHeight="1">
      <c r="A745" s="95" t="s">
        <v>4640</v>
      </c>
      <c r="B745" s="95" t="s">
        <v>22</v>
      </c>
      <c r="C745" s="96" t="s">
        <v>4641</v>
      </c>
      <c r="D745" s="95" t="s">
        <v>39</v>
      </c>
      <c r="E745" s="95" t="s">
        <v>39</v>
      </c>
      <c r="F745" s="95" t="s">
        <v>19</v>
      </c>
      <c r="G745" s="95" t="s">
        <v>19</v>
      </c>
      <c r="H745" s="95" t="s">
        <v>21</v>
      </c>
      <c r="I745" s="95" t="s">
        <v>567</v>
      </c>
      <c r="J745" s="97">
        <v>45993.7221966088</v>
      </c>
      <c r="K745" s="95" t="s">
        <v>4642</v>
      </c>
      <c r="L745" s="96" t="s">
        <v>4643</v>
      </c>
      <c r="M745" s="95" t="s">
        <v>38</v>
      </c>
      <c r="N745" s="95" t="s">
        <v>4644</v>
      </c>
      <c r="O745" s="95" t="s">
        <v>4644</v>
      </c>
      <c r="P745" s="95" t="s">
        <v>4645</v>
      </c>
      <c r="Q745" s="98">
        <v>3.0</v>
      </c>
      <c r="R745" s="97">
        <v>45801.89052083333</v>
      </c>
      <c r="S745" s="99">
        <v>1227.0</v>
      </c>
      <c r="T745" s="99">
        <v>83.0</v>
      </c>
      <c r="U745" s="99">
        <v>6.0</v>
      </c>
      <c r="V745" s="99">
        <v>26.0</v>
      </c>
      <c r="W745" s="99">
        <v>22958.0</v>
      </c>
    </row>
    <row r="746" ht="15.75" customHeight="1">
      <c r="A746" s="95" t="s">
        <v>4646</v>
      </c>
      <c r="B746" s="95" t="s">
        <v>131</v>
      </c>
      <c r="C746" s="96" t="s">
        <v>4647</v>
      </c>
      <c r="D746" s="95" t="s">
        <v>29</v>
      </c>
      <c r="E746" s="95" t="s">
        <v>658</v>
      </c>
      <c r="F746" s="95" t="s">
        <v>58</v>
      </c>
      <c r="G746" s="95" t="s">
        <v>1450</v>
      </c>
      <c r="H746" s="95" t="s">
        <v>60</v>
      </c>
      <c r="I746" s="95" t="s">
        <v>795</v>
      </c>
      <c r="J746" s="97">
        <v>45975.67931630787</v>
      </c>
      <c r="K746" s="96" t="s">
        <v>4648</v>
      </c>
      <c r="L746" s="95"/>
      <c r="M746" s="95" t="s">
        <v>54</v>
      </c>
      <c r="N746" s="95" t="s">
        <v>4649</v>
      </c>
      <c r="O746" s="95" t="s">
        <v>4649</v>
      </c>
      <c r="P746" s="95" t="s">
        <v>4650</v>
      </c>
      <c r="Q746" s="98">
        <v>3.0</v>
      </c>
      <c r="R746" s="97">
        <v>45615.17166666667</v>
      </c>
      <c r="S746" s="99">
        <v>22495.0</v>
      </c>
      <c r="T746" s="99">
        <v>2525.0</v>
      </c>
      <c r="U746" s="99">
        <v>2.0</v>
      </c>
      <c r="V746" s="99">
        <v>63.0</v>
      </c>
      <c r="W746" s="99">
        <v>226649.0</v>
      </c>
    </row>
    <row r="747" ht="15.75" customHeight="1">
      <c r="A747" s="95" t="s">
        <v>4651</v>
      </c>
      <c r="B747" s="95" t="s">
        <v>157</v>
      </c>
      <c r="C747" s="96" t="s">
        <v>4652</v>
      </c>
      <c r="D747" s="95" t="s">
        <v>29</v>
      </c>
      <c r="E747" s="95" t="s">
        <v>658</v>
      </c>
      <c r="F747" s="95" t="s">
        <v>19</v>
      </c>
      <c r="G747" s="95" t="s">
        <v>1367</v>
      </c>
      <c r="H747" s="95" t="s">
        <v>89</v>
      </c>
      <c r="I747" s="95" t="s">
        <v>859</v>
      </c>
      <c r="J747" s="97">
        <v>45986.12347931713</v>
      </c>
      <c r="K747" s="95" t="s">
        <v>4653</v>
      </c>
      <c r="L747" s="95"/>
      <c r="M747" s="95" t="s">
        <v>93</v>
      </c>
      <c r="N747" s="95" t="s">
        <v>4654</v>
      </c>
      <c r="O747" s="95" t="s">
        <v>4654</v>
      </c>
      <c r="P747" s="95" t="s">
        <v>4655</v>
      </c>
      <c r="Q747" s="98">
        <v>3.0</v>
      </c>
      <c r="R747" s="97">
        <v>45965.33795138889</v>
      </c>
      <c r="S747" s="99">
        <v>11981.0</v>
      </c>
      <c r="T747" s="99">
        <v>256.0</v>
      </c>
      <c r="U747" s="99">
        <v>177.0</v>
      </c>
      <c r="V747" s="99">
        <v>211.0</v>
      </c>
      <c r="W747" s="99">
        <v>317088.0</v>
      </c>
    </row>
    <row r="748" ht="15.75" customHeight="1">
      <c r="A748" s="95" t="s">
        <v>4656</v>
      </c>
      <c r="B748" s="95" t="s">
        <v>157</v>
      </c>
      <c r="C748" s="96" t="s">
        <v>4657</v>
      </c>
      <c r="D748" s="95" t="s">
        <v>130</v>
      </c>
      <c r="E748" s="95" t="s">
        <v>130</v>
      </c>
      <c r="F748" s="95" t="s">
        <v>88</v>
      </c>
      <c r="G748" s="95" t="s">
        <v>639</v>
      </c>
      <c r="H748" s="95" t="s">
        <v>89</v>
      </c>
      <c r="I748" s="95" t="s">
        <v>859</v>
      </c>
      <c r="J748" s="97">
        <v>45986.53189861111</v>
      </c>
      <c r="K748" s="95" t="s">
        <v>4658</v>
      </c>
      <c r="L748" s="96" t="s">
        <v>4659</v>
      </c>
      <c r="M748" s="95" t="s">
        <v>17</v>
      </c>
      <c r="N748" s="95" t="s">
        <v>4660</v>
      </c>
      <c r="O748" s="95" t="s">
        <v>4660</v>
      </c>
      <c r="P748" s="95" t="s">
        <v>4661</v>
      </c>
      <c r="Q748" s="98">
        <v>3.0</v>
      </c>
      <c r="R748" s="97">
        <v>45608.26280092593</v>
      </c>
      <c r="S748" s="99">
        <v>876.0</v>
      </c>
      <c r="T748" s="99">
        <v>22.0</v>
      </c>
      <c r="U748" s="99">
        <v>5.0</v>
      </c>
      <c r="V748" s="99">
        <v>110.0</v>
      </c>
      <c r="W748" s="99">
        <v>20207.0</v>
      </c>
    </row>
    <row r="749" ht="15.75" customHeight="1">
      <c r="A749" s="95" t="s">
        <v>4662</v>
      </c>
      <c r="B749" s="95" t="s">
        <v>131</v>
      </c>
      <c r="C749" s="96" t="s">
        <v>4663</v>
      </c>
      <c r="D749" s="95" t="s">
        <v>124</v>
      </c>
      <c r="E749" s="95" t="s">
        <v>3127</v>
      </c>
      <c r="F749" s="95" t="s">
        <v>58</v>
      </c>
      <c r="G749" s="95" t="s">
        <v>58</v>
      </c>
      <c r="H749" s="95" t="s">
        <v>60</v>
      </c>
      <c r="I749" s="95" t="s">
        <v>795</v>
      </c>
      <c r="J749" s="97">
        <v>46021.50557226852</v>
      </c>
      <c r="K749" s="95" t="s">
        <v>4664</v>
      </c>
      <c r="L749" s="96" t="s">
        <v>4665</v>
      </c>
      <c r="M749" s="95" t="s">
        <v>74</v>
      </c>
      <c r="N749" s="95" t="s">
        <v>4666</v>
      </c>
      <c r="O749" s="95" t="s">
        <v>4666</v>
      </c>
      <c r="P749" s="95" t="s">
        <v>4667</v>
      </c>
      <c r="Q749" s="98">
        <v>3.0</v>
      </c>
      <c r="R749" s="97">
        <v>45740.47025462963</v>
      </c>
      <c r="S749" s="99">
        <v>259.0</v>
      </c>
      <c r="T749" s="99">
        <v>9.0</v>
      </c>
      <c r="U749" s="99">
        <v>9.0</v>
      </c>
      <c r="V749" s="99">
        <v>406.0</v>
      </c>
      <c r="W749" s="99">
        <v>340195.0</v>
      </c>
    </row>
    <row r="750" ht="15.75" customHeight="1">
      <c r="A750" s="95" t="s">
        <v>4668</v>
      </c>
      <c r="B750" s="95" t="s">
        <v>131</v>
      </c>
      <c r="C750" s="96" t="s">
        <v>4669</v>
      </c>
      <c r="D750" s="95" t="s">
        <v>168</v>
      </c>
      <c r="E750" s="95" t="s">
        <v>606</v>
      </c>
      <c r="F750" s="95" t="s">
        <v>19</v>
      </c>
      <c r="G750" s="95" t="s">
        <v>997</v>
      </c>
      <c r="H750" s="95" t="s">
        <v>60</v>
      </c>
      <c r="I750" s="95" t="s">
        <v>4670</v>
      </c>
      <c r="J750" s="97">
        <v>46021.4946265625</v>
      </c>
      <c r="K750" s="95" t="s">
        <v>4671</v>
      </c>
      <c r="L750" s="96" t="s">
        <v>4672</v>
      </c>
      <c r="M750" s="95" t="s">
        <v>105</v>
      </c>
      <c r="N750" s="95" t="s">
        <v>4673</v>
      </c>
      <c r="O750" s="95" t="s">
        <v>4673</v>
      </c>
      <c r="P750" s="95" t="s">
        <v>4674</v>
      </c>
      <c r="Q750" s="98">
        <v>3.0</v>
      </c>
      <c r="R750" s="97">
        <v>45506.40650462963</v>
      </c>
      <c r="S750" s="99">
        <v>295.0</v>
      </c>
      <c r="T750" s="99">
        <v>5.0</v>
      </c>
      <c r="U750" s="99">
        <v>8.0</v>
      </c>
      <c r="V750" s="99">
        <v>342.0</v>
      </c>
      <c r="W750" s="99">
        <v>247193.0</v>
      </c>
    </row>
    <row r="751" ht="15.75" customHeight="1">
      <c r="A751" s="95" t="s">
        <v>4675</v>
      </c>
      <c r="B751" s="95" t="s">
        <v>22</v>
      </c>
      <c r="C751" s="96" t="s">
        <v>4676</v>
      </c>
      <c r="D751" s="95" t="s">
        <v>39</v>
      </c>
      <c r="E751" s="95" t="s">
        <v>39</v>
      </c>
      <c r="F751" s="95" t="s">
        <v>19</v>
      </c>
      <c r="G751" s="95" t="s">
        <v>19</v>
      </c>
      <c r="H751" s="95" t="s">
        <v>21</v>
      </c>
      <c r="I751" s="95" t="s">
        <v>567</v>
      </c>
      <c r="J751" s="97">
        <v>45975.67928111111</v>
      </c>
      <c r="K751" s="96" t="s">
        <v>4677</v>
      </c>
      <c r="L751" s="96" t="s">
        <v>4678</v>
      </c>
      <c r="M751" s="95" t="s">
        <v>28</v>
      </c>
      <c r="N751" s="95" t="s">
        <v>4679</v>
      </c>
      <c r="O751" s="95" t="s">
        <v>4679</v>
      </c>
      <c r="P751" s="95" t="s">
        <v>4680</v>
      </c>
      <c r="Q751" s="98">
        <v>3.0</v>
      </c>
      <c r="R751" s="97">
        <v>45932.61881944445</v>
      </c>
      <c r="S751" s="99">
        <v>10398.0</v>
      </c>
      <c r="T751" s="99">
        <v>3380.0</v>
      </c>
      <c r="U751" s="99">
        <v>17.0</v>
      </c>
      <c r="V751" s="99">
        <v>504.0</v>
      </c>
      <c r="W751" s="99">
        <v>222104.0</v>
      </c>
    </row>
    <row r="752" ht="15.75" customHeight="1">
      <c r="A752" s="95" t="s">
        <v>4681</v>
      </c>
      <c r="B752" s="95" t="s">
        <v>22</v>
      </c>
      <c r="C752" s="96" t="s">
        <v>4682</v>
      </c>
      <c r="D752" s="95" t="s">
        <v>39</v>
      </c>
      <c r="E752" s="95" t="s">
        <v>4683</v>
      </c>
      <c r="F752" s="95" t="s">
        <v>19</v>
      </c>
      <c r="G752" s="95" t="s">
        <v>588</v>
      </c>
      <c r="H752" s="95" t="s">
        <v>21</v>
      </c>
      <c r="I752" s="95" t="s">
        <v>589</v>
      </c>
      <c r="J752" s="97">
        <v>46021.5125787037</v>
      </c>
      <c r="K752" s="95" t="s">
        <v>4684</v>
      </c>
      <c r="L752" s="96" t="s">
        <v>4685</v>
      </c>
      <c r="M752" s="95" t="s">
        <v>93</v>
      </c>
      <c r="N752" s="95" t="s">
        <v>4686</v>
      </c>
      <c r="O752" s="95" t="s">
        <v>4686</v>
      </c>
      <c r="P752" s="95" t="s">
        <v>4687</v>
      </c>
      <c r="Q752" s="98">
        <v>3.0</v>
      </c>
      <c r="R752" s="97">
        <v>45964.3325</v>
      </c>
      <c r="S752" s="99">
        <v>105.0</v>
      </c>
      <c r="T752" s="99">
        <v>520.0</v>
      </c>
      <c r="U752" s="99">
        <v>4.0</v>
      </c>
      <c r="V752" s="99">
        <v>43.0</v>
      </c>
      <c r="W752" s="99">
        <v>81478.0</v>
      </c>
    </row>
    <row r="753" ht="15.75" customHeight="1">
      <c r="A753" s="95" t="s">
        <v>4688</v>
      </c>
      <c r="B753" s="95" t="s">
        <v>131</v>
      </c>
      <c r="C753" s="96" t="s">
        <v>4689</v>
      </c>
      <c r="D753" s="95" t="s">
        <v>39</v>
      </c>
      <c r="E753" s="95" t="s">
        <v>614</v>
      </c>
      <c r="F753" s="95" t="s">
        <v>58</v>
      </c>
      <c r="G753" s="95" t="s">
        <v>4690</v>
      </c>
      <c r="H753" s="95" t="s">
        <v>21</v>
      </c>
      <c r="I753" s="95" t="s">
        <v>2428</v>
      </c>
      <c r="J753" s="97">
        <v>46056.94211379629</v>
      </c>
      <c r="K753" s="95" t="s">
        <v>4691</v>
      </c>
      <c r="L753" s="96" t="s">
        <v>4692</v>
      </c>
      <c r="M753" s="95" t="s">
        <v>93</v>
      </c>
      <c r="N753" s="95" t="s">
        <v>4693</v>
      </c>
      <c r="O753" s="95" t="s">
        <v>4693</v>
      </c>
      <c r="P753" s="95" t="s">
        <v>4694</v>
      </c>
      <c r="Q753" s="98">
        <v>3.0</v>
      </c>
      <c r="R753" s="97">
        <v>46023.80799768519</v>
      </c>
      <c r="S753" s="99">
        <v>1610.0</v>
      </c>
      <c r="T753" s="99">
        <v>17.0</v>
      </c>
      <c r="U753" s="99">
        <v>4.0</v>
      </c>
      <c r="V753" s="99">
        <v>98.0</v>
      </c>
      <c r="W753" s="99">
        <v>892879.0</v>
      </c>
    </row>
    <row r="754" ht="15.75" customHeight="1">
      <c r="A754" s="95" t="s">
        <v>4695</v>
      </c>
      <c r="B754" s="95" t="s">
        <v>101</v>
      </c>
      <c r="C754" s="96" t="s">
        <v>4696</v>
      </c>
      <c r="D754" s="95" t="s">
        <v>29</v>
      </c>
      <c r="E754" s="95" t="s">
        <v>29</v>
      </c>
      <c r="F754" s="95" t="s">
        <v>19</v>
      </c>
      <c r="G754" s="95" t="s">
        <v>4697</v>
      </c>
      <c r="H754" s="95" t="s">
        <v>21</v>
      </c>
      <c r="I754" s="95" t="s">
        <v>3028</v>
      </c>
      <c r="J754" s="97">
        <v>46021.50375386574</v>
      </c>
      <c r="K754" s="95" t="s">
        <v>4698</v>
      </c>
      <c r="L754" s="96" t="s">
        <v>4699</v>
      </c>
      <c r="M754" s="95" t="s">
        <v>74</v>
      </c>
      <c r="N754" s="95" t="s">
        <v>4700</v>
      </c>
      <c r="O754" s="95" t="s">
        <v>4700</v>
      </c>
      <c r="P754" s="95" t="s">
        <v>4701</v>
      </c>
      <c r="Q754" s="98">
        <v>3.0</v>
      </c>
      <c r="R754" s="97">
        <v>45823.39584490741</v>
      </c>
      <c r="S754" s="99">
        <v>711.0</v>
      </c>
      <c r="T754" s="99">
        <v>77.0</v>
      </c>
      <c r="U754" s="99">
        <v>16.0</v>
      </c>
      <c r="V754" s="99">
        <v>134.0</v>
      </c>
      <c r="W754" s="99">
        <v>2795.0</v>
      </c>
    </row>
    <row r="755" ht="15.75" customHeight="1">
      <c r="A755" s="95" t="s">
        <v>4702</v>
      </c>
      <c r="B755" s="95" t="s">
        <v>157</v>
      </c>
      <c r="C755" s="96" t="s">
        <v>4703</v>
      </c>
      <c r="D755" s="95" t="s">
        <v>168</v>
      </c>
      <c r="E755" s="95" t="s">
        <v>1228</v>
      </c>
      <c r="F755" s="95" t="s">
        <v>19</v>
      </c>
      <c r="G755" s="95" t="s">
        <v>1367</v>
      </c>
      <c r="H755" s="95" t="s">
        <v>89</v>
      </c>
      <c r="I755" s="95" t="s">
        <v>859</v>
      </c>
      <c r="J755" s="97">
        <v>45975.67934811342</v>
      </c>
      <c r="K755" s="96" t="s">
        <v>4704</v>
      </c>
      <c r="L755" s="96" t="s">
        <v>4705</v>
      </c>
      <c r="M755" s="95" t="s">
        <v>17</v>
      </c>
      <c r="N755" s="95" t="s">
        <v>4706</v>
      </c>
      <c r="O755" s="95" t="s">
        <v>4706</v>
      </c>
      <c r="P755" s="95" t="s">
        <v>4707</v>
      </c>
      <c r="Q755" s="98">
        <v>3.0</v>
      </c>
      <c r="R755" s="97">
        <v>45868.78537037037</v>
      </c>
      <c r="S755" s="99">
        <v>0.0</v>
      </c>
      <c r="T755" s="99">
        <v>59.0</v>
      </c>
      <c r="U755" s="99">
        <v>1.0</v>
      </c>
      <c r="V755" s="99">
        <v>75.0</v>
      </c>
      <c r="W755" s="99">
        <v>34142.0</v>
      </c>
    </row>
    <row r="756" ht="15.75" customHeight="1">
      <c r="A756" s="95" t="s">
        <v>4708</v>
      </c>
      <c r="B756" s="95" t="s">
        <v>22</v>
      </c>
      <c r="C756" s="96" t="s">
        <v>4709</v>
      </c>
      <c r="D756" s="95" t="s">
        <v>168</v>
      </c>
      <c r="E756" s="95" t="s">
        <v>168</v>
      </c>
      <c r="F756" s="95" t="s">
        <v>19</v>
      </c>
      <c r="G756" s="95" t="s">
        <v>19</v>
      </c>
      <c r="H756" s="95" t="s">
        <v>21</v>
      </c>
      <c r="I756" s="95" t="s">
        <v>567</v>
      </c>
      <c r="J756" s="97">
        <v>45975.67934811342</v>
      </c>
      <c r="K756" s="96" t="s">
        <v>4710</v>
      </c>
      <c r="L756" s="96" t="s">
        <v>4711</v>
      </c>
      <c r="M756" s="95" t="s">
        <v>17</v>
      </c>
      <c r="N756" s="95" t="s">
        <v>4712</v>
      </c>
      <c r="O756" s="95" t="s">
        <v>4712</v>
      </c>
      <c r="P756" s="95" t="s">
        <v>4713</v>
      </c>
      <c r="Q756" s="98">
        <v>3.0</v>
      </c>
      <c r="R756" s="97">
        <v>45902.44642361111</v>
      </c>
      <c r="S756" s="99">
        <v>150.0</v>
      </c>
      <c r="T756" s="99">
        <v>9.0</v>
      </c>
      <c r="U756" s="99">
        <v>8.0</v>
      </c>
      <c r="V756" s="99">
        <v>233.0</v>
      </c>
      <c r="W756" s="99">
        <v>2994.0</v>
      </c>
    </row>
    <row r="757" ht="15.75" customHeight="1">
      <c r="A757" s="95" t="s">
        <v>4714</v>
      </c>
      <c r="B757" s="95" t="s">
        <v>22</v>
      </c>
      <c r="C757" s="96" t="s">
        <v>4715</v>
      </c>
      <c r="D757" s="95" t="s">
        <v>68</v>
      </c>
      <c r="E757" s="95" t="s">
        <v>3979</v>
      </c>
      <c r="F757" s="95" t="s">
        <v>19</v>
      </c>
      <c r="G757" s="95" t="s">
        <v>588</v>
      </c>
      <c r="H757" s="95" t="s">
        <v>21</v>
      </c>
      <c r="I757" s="95" t="s">
        <v>567</v>
      </c>
      <c r="J757" s="97">
        <v>46008.62896561342</v>
      </c>
      <c r="K757" s="96" t="s">
        <v>4716</v>
      </c>
      <c r="L757" s="96" t="s">
        <v>4717</v>
      </c>
      <c r="M757" s="95" t="s">
        <v>54</v>
      </c>
      <c r="N757" s="95" t="s">
        <v>4718</v>
      </c>
      <c r="O757" s="95" t="s">
        <v>4718</v>
      </c>
      <c r="P757" s="95" t="s">
        <v>4719</v>
      </c>
      <c r="Q757" s="98">
        <v>3.0</v>
      </c>
      <c r="R757" s="97">
        <v>45879.10259259259</v>
      </c>
      <c r="S757" s="99">
        <v>4656.0</v>
      </c>
      <c r="T757" s="99">
        <v>498.0</v>
      </c>
      <c r="U757" s="99">
        <v>33.0</v>
      </c>
      <c r="V757" s="99">
        <v>197.0</v>
      </c>
      <c r="W757" s="99">
        <v>25251.0</v>
      </c>
    </row>
    <row r="758" ht="15.75" customHeight="1">
      <c r="A758" s="95" t="s">
        <v>4720</v>
      </c>
      <c r="B758" s="95" t="s">
        <v>101</v>
      </c>
      <c r="C758" s="96" t="s">
        <v>4721</v>
      </c>
      <c r="D758" s="95" t="s">
        <v>39</v>
      </c>
      <c r="E758" s="95" t="s">
        <v>960</v>
      </c>
      <c r="F758" s="95" t="s">
        <v>19</v>
      </c>
      <c r="G758" s="95" t="s">
        <v>19</v>
      </c>
      <c r="H758" s="95" t="s">
        <v>21</v>
      </c>
      <c r="I758" s="95" t="s">
        <v>955</v>
      </c>
      <c r="J758" s="97">
        <v>46021.50557226852</v>
      </c>
      <c r="K758" s="95" t="s">
        <v>4722</v>
      </c>
      <c r="L758" s="96" t="s">
        <v>4723</v>
      </c>
      <c r="M758" s="95" t="s">
        <v>67</v>
      </c>
      <c r="N758" s="95" t="s">
        <v>4724</v>
      </c>
      <c r="O758" s="95" t="s">
        <v>4724</v>
      </c>
      <c r="P758" s="95" t="s">
        <v>4725</v>
      </c>
      <c r="Q758" s="98">
        <v>3.0</v>
      </c>
      <c r="R758" s="97">
        <v>45892.38170138889</v>
      </c>
      <c r="S758" s="99">
        <v>156.0</v>
      </c>
      <c r="T758" s="99">
        <v>3.0</v>
      </c>
      <c r="U758" s="99">
        <v>12.0</v>
      </c>
      <c r="V758" s="99">
        <v>104.0</v>
      </c>
      <c r="W758" s="99">
        <v>5227.0</v>
      </c>
    </row>
    <row r="759" ht="15.75" customHeight="1">
      <c r="A759" s="95" t="s">
        <v>4726</v>
      </c>
      <c r="B759" s="95" t="s">
        <v>22</v>
      </c>
      <c r="C759" s="96" t="s">
        <v>4727</v>
      </c>
      <c r="D759" s="95" t="s">
        <v>68</v>
      </c>
      <c r="E759" s="95" t="s">
        <v>769</v>
      </c>
      <c r="F759" s="95" t="s">
        <v>19</v>
      </c>
      <c r="G759" s="95" t="s">
        <v>574</v>
      </c>
      <c r="H759" s="95" t="s">
        <v>21</v>
      </c>
      <c r="I759" s="95" t="s">
        <v>567</v>
      </c>
      <c r="J759" s="97">
        <v>46021.50557226852</v>
      </c>
      <c r="K759" s="95" t="s">
        <v>4728</v>
      </c>
      <c r="L759" s="96" t="s">
        <v>4729</v>
      </c>
      <c r="M759" s="95" t="s">
        <v>93</v>
      </c>
      <c r="N759" s="95" t="s">
        <v>4730</v>
      </c>
      <c r="O759" s="95" t="s">
        <v>4730</v>
      </c>
      <c r="P759" s="95" t="s">
        <v>4731</v>
      </c>
      <c r="Q759" s="98">
        <v>3.0</v>
      </c>
      <c r="R759" s="97">
        <v>45852.54918981482</v>
      </c>
      <c r="S759" s="99">
        <v>0.0</v>
      </c>
      <c r="T759" s="99">
        <v>788.0</v>
      </c>
      <c r="U759" s="99">
        <v>14.0</v>
      </c>
      <c r="V759" s="99">
        <v>268.0</v>
      </c>
      <c r="W759" s="99">
        <v>23880.0</v>
      </c>
    </row>
    <row r="760" ht="15.75" customHeight="1">
      <c r="A760" s="95" t="s">
        <v>4732</v>
      </c>
      <c r="B760" s="95" t="s">
        <v>157</v>
      </c>
      <c r="C760" s="96" t="s">
        <v>4733</v>
      </c>
      <c r="D760" s="95" t="s">
        <v>547</v>
      </c>
      <c r="E760" s="95" t="s">
        <v>547</v>
      </c>
      <c r="F760" s="95" t="s">
        <v>88</v>
      </c>
      <c r="G760" s="95" t="s">
        <v>3380</v>
      </c>
      <c r="H760" s="95" t="s">
        <v>89</v>
      </c>
      <c r="I760" s="95" t="s">
        <v>897</v>
      </c>
      <c r="J760" s="97">
        <v>45975.67930055556</v>
      </c>
      <c r="K760" s="96" t="s">
        <v>4734</v>
      </c>
      <c r="L760" s="96" t="s">
        <v>4735</v>
      </c>
      <c r="M760" s="95" t="s">
        <v>105</v>
      </c>
      <c r="N760" s="95" t="s">
        <v>4736</v>
      </c>
      <c r="O760" s="95" t="s">
        <v>4736</v>
      </c>
      <c r="P760" s="95" t="s">
        <v>4737</v>
      </c>
      <c r="Q760" s="98">
        <v>3.0</v>
      </c>
      <c r="R760" s="97">
        <v>45511.62851851852</v>
      </c>
      <c r="S760" s="99">
        <v>5160.0</v>
      </c>
      <c r="T760" s="99">
        <v>444.0</v>
      </c>
      <c r="U760" s="99">
        <v>1.0</v>
      </c>
      <c r="V760" s="99">
        <v>218.0</v>
      </c>
      <c r="W760" s="99">
        <v>232991.0</v>
      </c>
    </row>
    <row r="761" ht="15.75" customHeight="1">
      <c r="A761" s="95" t="s">
        <v>4738</v>
      </c>
      <c r="B761" s="95" t="s">
        <v>22</v>
      </c>
      <c r="C761" s="96" t="s">
        <v>4739</v>
      </c>
      <c r="D761" s="95" t="s">
        <v>39</v>
      </c>
      <c r="E761" s="95" t="s">
        <v>39</v>
      </c>
      <c r="F761" s="95" t="s">
        <v>19</v>
      </c>
      <c r="G761" s="95" t="s">
        <v>19</v>
      </c>
      <c r="H761" s="95" t="s">
        <v>21</v>
      </c>
      <c r="I761" s="95" t="s">
        <v>677</v>
      </c>
      <c r="J761" s="97">
        <v>46021.50557226852</v>
      </c>
      <c r="K761" s="95" t="s">
        <v>4740</v>
      </c>
      <c r="L761" s="96" t="s">
        <v>4741</v>
      </c>
      <c r="M761" s="95" t="s">
        <v>74</v>
      </c>
      <c r="N761" s="95" t="s">
        <v>4742</v>
      </c>
      <c r="O761" s="95" t="s">
        <v>4742</v>
      </c>
      <c r="P761" s="95" t="s">
        <v>4743</v>
      </c>
      <c r="Q761" s="98">
        <v>3.0</v>
      </c>
      <c r="R761" s="97">
        <v>45728.95126157408</v>
      </c>
      <c r="S761" s="99">
        <v>286.0</v>
      </c>
      <c r="T761" s="99">
        <v>20.0</v>
      </c>
      <c r="U761" s="99">
        <v>1.0</v>
      </c>
      <c r="V761" s="99">
        <v>58.0</v>
      </c>
      <c r="W761" s="99">
        <v>3429.0</v>
      </c>
    </row>
    <row r="762" ht="15.75" customHeight="1">
      <c r="A762" s="95" t="s">
        <v>4744</v>
      </c>
      <c r="B762" s="95" t="s">
        <v>22</v>
      </c>
      <c r="C762" s="96" t="s">
        <v>4745</v>
      </c>
      <c r="D762" s="95" t="s">
        <v>59</v>
      </c>
      <c r="E762" s="95" t="s">
        <v>59</v>
      </c>
      <c r="F762" s="95" t="s">
        <v>19</v>
      </c>
      <c r="G762" s="95" t="s">
        <v>19</v>
      </c>
      <c r="H762" s="95" t="s">
        <v>21</v>
      </c>
      <c r="I762" s="95" t="s">
        <v>567</v>
      </c>
      <c r="J762" s="97">
        <v>45975.67931630787</v>
      </c>
      <c r="K762" s="96" t="s">
        <v>4746</v>
      </c>
      <c r="L762" s="96" t="s">
        <v>4747</v>
      </c>
      <c r="M762" s="95" t="s">
        <v>54</v>
      </c>
      <c r="N762" s="95" t="s">
        <v>4748</v>
      </c>
      <c r="O762" s="95" t="s">
        <v>4748</v>
      </c>
      <c r="P762" s="95" t="s">
        <v>4749</v>
      </c>
      <c r="Q762" s="98">
        <v>3.0</v>
      </c>
      <c r="R762" s="97">
        <v>45805.65638888889</v>
      </c>
      <c r="S762" s="99">
        <v>15909.0</v>
      </c>
      <c r="T762" s="99">
        <v>1306.0</v>
      </c>
      <c r="U762" s="99">
        <v>2.0</v>
      </c>
      <c r="V762" s="99">
        <v>87.0</v>
      </c>
      <c r="W762" s="99">
        <v>999999.0</v>
      </c>
    </row>
    <row r="763" ht="15.75" customHeight="1">
      <c r="A763" s="95" t="s">
        <v>4750</v>
      </c>
      <c r="B763" s="95" t="s">
        <v>157</v>
      </c>
      <c r="C763" s="96" t="s">
        <v>4751</v>
      </c>
      <c r="D763" s="95" t="s">
        <v>59</v>
      </c>
      <c r="E763" s="95" t="s">
        <v>59</v>
      </c>
      <c r="F763" s="95" t="s">
        <v>88</v>
      </c>
      <c r="G763" s="95" t="s">
        <v>88</v>
      </c>
      <c r="H763" s="95" t="s">
        <v>89</v>
      </c>
      <c r="I763" s="95" t="s">
        <v>897</v>
      </c>
      <c r="J763" s="97">
        <v>46008.62896097222</v>
      </c>
      <c r="K763" s="96" t="s">
        <v>4752</v>
      </c>
      <c r="L763" s="96" t="s">
        <v>4753</v>
      </c>
      <c r="M763" s="95" t="s">
        <v>54</v>
      </c>
      <c r="N763" s="95" t="s">
        <v>4754</v>
      </c>
      <c r="O763" s="95" t="s">
        <v>4754</v>
      </c>
      <c r="P763" s="95" t="s">
        <v>4755</v>
      </c>
      <c r="Q763" s="98">
        <v>3.0</v>
      </c>
      <c r="R763" s="97">
        <v>45789.55459490741</v>
      </c>
      <c r="S763" s="99">
        <v>10583.0</v>
      </c>
      <c r="T763" s="99">
        <v>53.0</v>
      </c>
      <c r="U763" s="99">
        <v>1.0</v>
      </c>
      <c r="V763" s="99">
        <v>203.0</v>
      </c>
      <c r="W763" s="99">
        <v>999999.0</v>
      </c>
    </row>
    <row r="764" ht="15.75" customHeight="1">
      <c r="A764" s="95" t="s">
        <v>4756</v>
      </c>
      <c r="B764" s="95" t="s">
        <v>157</v>
      </c>
      <c r="C764" s="96" t="s">
        <v>4757</v>
      </c>
      <c r="D764" s="95" t="s">
        <v>59</v>
      </c>
      <c r="E764" s="95" t="s">
        <v>738</v>
      </c>
      <c r="F764" s="95" t="s">
        <v>88</v>
      </c>
      <c r="G764" s="95" t="s">
        <v>903</v>
      </c>
      <c r="H764" s="95" t="s">
        <v>89</v>
      </c>
      <c r="I764" s="95" t="s">
        <v>897</v>
      </c>
      <c r="J764" s="97">
        <v>45980.95945864583</v>
      </c>
      <c r="K764" s="95" t="s">
        <v>4758</v>
      </c>
      <c r="L764" s="96" t="s">
        <v>4759</v>
      </c>
      <c r="M764" s="95" t="s">
        <v>67</v>
      </c>
      <c r="N764" s="95" t="s">
        <v>4760</v>
      </c>
      <c r="O764" s="95" t="s">
        <v>4760</v>
      </c>
      <c r="P764" s="95" t="s">
        <v>4761</v>
      </c>
      <c r="Q764" s="98">
        <v>3.0</v>
      </c>
      <c r="R764" s="97">
        <v>45791.88241898148</v>
      </c>
      <c r="S764" s="99">
        <v>27115.0</v>
      </c>
      <c r="T764" s="99">
        <v>21.0</v>
      </c>
      <c r="U764" s="99">
        <v>20.0</v>
      </c>
      <c r="V764" s="99">
        <v>196.0</v>
      </c>
      <c r="W764" s="99">
        <v>141040.0</v>
      </c>
    </row>
    <row r="765" ht="15.75" customHeight="1">
      <c r="A765" s="95" t="s">
        <v>4762</v>
      </c>
      <c r="B765" s="95" t="s">
        <v>22</v>
      </c>
      <c r="C765" s="96" t="s">
        <v>4763</v>
      </c>
      <c r="D765" s="95" t="s">
        <v>39</v>
      </c>
      <c r="E765" s="95" t="s">
        <v>39</v>
      </c>
      <c r="F765" s="95" t="s">
        <v>19</v>
      </c>
      <c r="G765" s="95" t="s">
        <v>19</v>
      </c>
      <c r="H765" s="95" t="s">
        <v>21</v>
      </c>
      <c r="I765" s="95" t="s">
        <v>677</v>
      </c>
      <c r="J765" s="97">
        <v>46021.50557226852</v>
      </c>
      <c r="K765" s="95" t="s">
        <v>4764</v>
      </c>
      <c r="L765" s="96" t="s">
        <v>4765</v>
      </c>
      <c r="M765" s="95" t="s">
        <v>74</v>
      </c>
      <c r="N765" s="95" t="s">
        <v>4766</v>
      </c>
      <c r="O765" s="95" t="s">
        <v>4766</v>
      </c>
      <c r="P765" s="95" t="s">
        <v>4767</v>
      </c>
      <c r="Q765" s="98">
        <v>3.0</v>
      </c>
      <c r="R765" s="97">
        <v>45851.88038194444</v>
      </c>
      <c r="S765" s="99">
        <v>2690.0</v>
      </c>
      <c r="T765" s="99">
        <v>181.0</v>
      </c>
      <c r="U765" s="99">
        <v>20.0</v>
      </c>
      <c r="V765" s="99">
        <v>376.0</v>
      </c>
      <c r="W765" s="99">
        <v>32147.0</v>
      </c>
    </row>
    <row r="766" ht="15.75" customHeight="1">
      <c r="A766" s="95" t="s">
        <v>4768</v>
      </c>
      <c r="B766" s="95" t="s">
        <v>22</v>
      </c>
      <c r="C766" s="96" t="s">
        <v>4769</v>
      </c>
      <c r="D766" s="95" t="s">
        <v>39</v>
      </c>
      <c r="E766" s="95" t="s">
        <v>39</v>
      </c>
      <c r="F766" s="95" t="s">
        <v>19</v>
      </c>
      <c r="G766" s="95" t="s">
        <v>19</v>
      </c>
      <c r="H766" s="95" t="s">
        <v>21</v>
      </c>
      <c r="I766" s="95" t="s">
        <v>567</v>
      </c>
      <c r="J766" s="97">
        <v>46021.4946265625</v>
      </c>
      <c r="K766" s="95" t="s">
        <v>4770</v>
      </c>
      <c r="L766" s="96" t="s">
        <v>4771</v>
      </c>
      <c r="M766" s="95" t="s">
        <v>54</v>
      </c>
      <c r="N766" s="95" t="s">
        <v>4772</v>
      </c>
      <c r="O766" s="95" t="s">
        <v>4772</v>
      </c>
      <c r="P766" s="95" t="s">
        <v>4773</v>
      </c>
      <c r="Q766" s="98">
        <v>3.0</v>
      </c>
      <c r="R766" s="97">
        <v>45833.03831018518</v>
      </c>
      <c r="S766" s="99">
        <v>176.0</v>
      </c>
      <c r="T766" s="99">
        <v>231.0</v>
      </c>
      <c r="U766" s="99">
        <v>3.0</v>
      </c>
      <c r="V766" s="99">
        <v>21.0</v>
      </c>
      <c r="W766" s="99">
        <v>4946.0</v>
      </c>
    </row>
    <row r="767" ht="15.75" customHeight="1">
      <c r="A767" s="95" t="s">
        <v>4774</v>
      </c>
      <c r="B767" s="95" t="s">
        <v>22</v>
      </c>
      <c r="C767" s="96" t="s">
        <v>4775</v>
      </c>
      <c r="D767" s="95" t="s">
        <v>29</v>
      </c>
      <c r="E767" s="95" t="s">
        <v>29</v>
      </c>
      <c r="F767" s="95" t="s">
        <v>19</v>
      </c>
      <c r="G767" s="95" t="s">
        <v>19</v>
      </c>
      <c r="H767" s="95" t="s">
        <v>21</v>
      </c>
      <c r="I767" s="95" t="s">
        <v>567</v>
      </c>
      <c r="J767" s="97">
        <v>46056.94211379629</v>
      </c>
      <c r="K767" s="95" t="s">
        <v>4776</v>
      </c>
      <c r="L767" s="96" t="s">
        <v>4777</v>
      </c>
      <c r="M767" s="95" t="s">
        <v>93</v>
      </c>
      <c r="N767" s="95" t="s">
        <v>4778</v>
      </c>
      <c r="O767" s="95" t="s">
        <v>4778</v>
      </c>
      <c r="P767" s="95" t="s">
        <v>4779</v>
      </c>
      <c r="Q767" s="98">
        <v>3.0</v>
      </c>
      <c r="R767" s="97">
        <v>46013.82590277777</v>
      </c>
      <c r="S767" s="99">
        <v>3747.0</v>
      </c>
      <c r="T767" s="99">
        <v>1998.0</v>
      </c>
      <c r="U767" s="99">
        <v>1.0</v>
      </c>
      <c r="V767" s="99">
        <v>25.0</v>
      </c>
      <c r="W767" s="99">
        <v>826726.0</v>
      </c>
    </row>
    <row r="768" ht="15.75" customHeight="1">
      <c r="A768" s="95" t="s">
        <v>4780</v>
      </c>
      <c r="B768" s="95" t="s">
        <v>69</v>
      </c>
      <c r="C768" s="96" t="s">
        <v>4781</v>
      </c>
      <c r="D768" s="95" t="s">
        <v>29</v>
      </c>
      <c r="E768" s="95" t="s">
        <v>29</v>
      </c>
      <c r="F768" s="95" t="s">
        <v>58</v>
      </c>
      <c r="G768" s="95" t="s">
        <v>58</v>
      </c>
      <c r="H768" s="95" t="s">
        <v>77</v>
      </c>
      <c r="I768" s="95" t="s">
        <v>1572</v>
      </c>
      <c r="J768" s="97">
        <v>46039.71515172454</v>
      </c>
      <c r="K768" s="95" t="s">
        <v>4782</v>
      </c>
      <c r="L768" s="96" t="s">
        <v>4783</v>
      </c>
      <c r="M768" s="95" t="s">
        <v>93</v>
      </c>
      <c r="N768" s="95" t="s">
        <v>4778</v>
      </c>
      <c r="O768" s="95" t="s">
        <v>4778</v>
      </c>
      <c r="P768" s="95" t="s">
        <v>4779</v>
      </c>
      <c r="Q768" s="98">
        <v>3.0</v>
      </c>
      <c r="R768" s="97">
        <v>45679.86041666667</v>
      </c>
      <c r="S768" s="99">
        <v>3747.0</v>
      </c>
      <c r="T768" s="99">
        <v>1637.0</v>
      </c>
      <c r="U768" s="99">
        <v>746.0</v>
      </c>
      <c r="V768" s="99">
        <v>38.0</v>
      </c>
      <c r="W768" s="99">
        <v>826726.0</v>
      </c>
    </row>
    <row r="769" ht="15.75" customHeight="1">
      <c r="A769" s="95" t="s">
        <v>4784</v>
      </c>
      <c r="B769" s="95" t="s">
        <v>69</v>
      </c>
      <c r="C769" s="96" t="s">
        <v>4785</v>
      </c>
      <c r="D769" s="95" t="s">
        <v>29</v>
      </c>
      <c r="E769" s="95" t="s">
        <v>3793</v>
      </c>
      <c r="F769" s="95" t="s">
        <v>19</v>
      </c>
      <c r="G769" s="95" t="s">
        <v>19</v>
      </c>
      <c r="H769" s="95" t="s">
        <v>89</v>
      </c>
      <c r="I769" s="95" t="s">
        <v>1984</v>
      </c>
      <c r="J769" s="97">
        <v>46039.71731052083</v>
      </c>
      <c r="K769" s="95" t="s">
        <v>4786</v>
      </c>
      <c r="L769" s="96" t="s">
        <v>4787</v>
      </c>
      <c r="M769" s="95" t="s">
        <v>93</v>
      </c>
      <c r="N769" s="95" t="s">
        <v>4778</v>
      </c>
      <c r="O769" s="95" t="s">
        <v>4778</v>
      </c>
      <c r="P769" s="95" t="s">
        <v>4779</v>
      </c>
      <c r="Q769" s="98">
        <v>3.0</v>
      </c>
      <c r="R769" s="97">
        <v>45964.54861111111</v>
      </c>
      <c r="S769" s="99">
        <v>3747.0</v>
      </c>
      <c r="T769" s="99">
        <v>3651.0</v>
      </c>
      <c r="U769" s="99">
        <v>2.0</v>
      </c>
      <c r="V769" s="99">
        <v>266.0</v>
      </c>
      <c r="W769" s="99">
        <v>826726.0</v>
      </c>
    </row>
    <row r="770" ht="15.75" customHeight="1">
      <c r="A770" s="95" t="s">
        <v>4788</v>
      </c>
      <c r="B770" s="95" t="s">
        <v>131</v>
      </c>
      <c r="C770" s="96" t="s">
        <v>4789</v>
      </c>
      <c r="D770" s="95" t="s">
        <v>29</v>
      </c>
      <c r="E770" s="95" t="s">
        <v>658</v>
      </c>
      <c r="F770" s="95" t="s">
        <v>19</v>
      </c>
      <c r="G770" s="95" t="s">
        <v>19</v>
      </c>
      <c r="H770" s="95" t="s">
        <v>21</v>
      </c>
      <c r="I770" s="95" t="s">
        <v>647</v>
      </c>
      <c r="J770" s="97">
        <v>46057.09163388889</v>
      </c>
      <c r="K770" s="95" t="s">
        <v>4790</v>
      </c>
      <c r="L770" s="95"/>
      <c r="M770" s="95" t="s">
        <v>93</v>
      </c>
      <c r="N770" s="95" t="s">
        <v>4778</v>
      </c>
      <c r="O770" s="95" t="s">
        <v>4778</v>
      </c>
      <c r="P770" s="95" t="s">
        <v>4779</v>
      </c>
      <c r="Q770" s="98">
        <v>3.0</v>
      </c>
      <c r="R770" s="97">
        <v>45804.80913194444</v>
      </c>
      <c r="S770" s="99">
        <v>3747.0</v>
      </c>
      <c r="T770" s="99">
        <v>1834.0</v>
      </c>
      <c r="U770" s="99">
        <v>1.0</v>
      </c>
      <c r="V770" s="99">
        <v>123.0</v>
      </c>
      <c r="W770" s="99">
        <v>826726.0</v>
      </c>
    </row>
    <row r="771" ht="15.75" customHeight="1">
      <c r="A771" s="95" t="s">
        <v>4791</v>
      </c>
      <c r="B771" s="95" t="s">
        <v>101</v>
      </c>
      <c r="C771" s="96" t="s">
        <v>4792</v>
      </c>
      <c r="D771" s="95" t="s">
        <v>59</v>
      </c>
      <c r="E771" s="95" t="s">
        <v>738</v>
      </c>
      <c r="F771" s="95" t="s">
        <v>19</v>
      </c>
      <c r="G771" s="95" t="s">
        <v>19</v>
      </c>
      <c r="H771" s="95" t="s">
        <v>21</v>
      </c>
      <c r="I771" s="95" t="s">
        <v>1589</v>
      </c>
      <c r="J771" s="97">
        <v>45980.94050246528</v>
      </c>
      <c r="K771" s="95" t="s">
        <v>4793</v>
      </c>
      <c r="L771" s="96" t="s">
        <v>4794</v>
      </c>
      <c r="M771" s="95" t="s">
        <v>54</v>
      </c>
      <c r="N771" s="95" t="s">
        <v>4795</v>
      </c>
      <c r="O771" s="95" t="s">
        <v>4795</v>
      </c>
      <c r="P771" s="95" t="s">
        <v>4796</v>
      </c>
      <c r="Q771" s="98">
        <v>3.0</v>
      </c>
      <c r="R771" s="97">
        <v>45855.6677199074</v>
      </c>
      <c r="S771" s="99">
        <v>28867.0</v>
      </c>
      <c r="T771" s="99">
        <v>103.0</v>
      </c>
      <c r="U771" s="99">
        <v>2.0</v>
      </c>
      <c r="V771" s="99">
        <v>87.0</v>
      </c>
      <c r="W771" s="99">
        <v>90241.0</v>
      </c>
    </row>
    <row r="772" ht="15.75" customHeight="1">
      <c r="A772" s="95" t="s">
        <v>4797</v>
      </c>
      <c r="B772" s="95" t="s">
        <v>101</v>
      </c>
      <c r="C772" s="96" t="s">
        <v>4798</v>
      </c>
      <c r="D772" s="95" t="s">
        <v>59</v>
      </c>
      <c r="E772" s="95" t="s">
        <v>59</v>
      </c>
      <c r="F772" s="95" t="s">
        <v>19</v>
      </c>
      <c r="G772" s="95" t="s">
        <v>19</v>
      </c>
      <c r="H772" s="95" t="s">
        <v>21</v>
      </c>
      <c r="I772" s="95" t="s">
        <v>1589</v>
      </c>
      <c r="J772" s="97">
        <v>45980.94050246528</v>
      </c>
      <c r="K772" s="95" t="s">
        <v>4799</v>
      </c>
      <c r="L772" s="96" t="s">
        <v>4800</v>
      </c>
      <c r="M772" s="95" t="s">
        <v>54</v>
      </c>
      <c r="N772" s="95" t="s">
        <v>4795</v>
      </c>
      <c r="O772" s="95" t="s">
        <v>4795</v>
      </c>
      <c r="P772" s="95" t="s">
        <v>4796</v>
      </c>
      <c r="Q772" s="98">
        <v>3.0</v>
      </c>
      <c r="R772" s="97">
        <v>45943.79467592593</v>
      </c>
      <c r="S772" s="99">
        <v>28867.0</v>
      </c>
      <c r="T772" s="99">
        <v>813.0</v>
      </c>
      <c r="U772" s="99">
        <v>13.0</v>
      </c>
      <c r="V772" s="99">
        <v>19.0</v>
      </c>
      <c r="W772" s="99">
        <v>90241.0</v>
      </c>
    </row>
    <row r="773" ht="15.75" customHeight="1">
      <c r="A773" s="95" t="s">
        <v>4801</v>
      </c>
      <c r="B773" s="95" t="s">
        <v>22</v>
      </c>
      <c r="C773" s="96" t="s">
        <v>4802</v>
      </c>
      <c r="D773" s="95" t="s">
        <v>59</v>
      </c>
      <c r="E773" s="95" t="s">
        <v>738</v>
      </c>
      <c r="F773" s="95" t="s">
        <v>19</v>
      </c>
      <c r="G773" s="95" t="s">
        <v>19</v>
      </c>
      <c r="H773" s="95" t="s">
        <v>21</v>
      </c>
      <c r="I773" s="95" t="s">
        <v>589</v>
      </c>
      <c r="J773" s="97">
        <v>46021.4946265625</v>
      </c>
      <c r="K773" s="95" t="s">
        <v>4803</v>
      </c>
      <c r="L773" s="96" t="s">
        <v>4804</v>
      </c>
      <c r="M773" s="95" t="s">
        <v>54</v>
      </c>
      <c r="N773" s="95" t="s">
        <v>4805</v>
      </c>
      <c r="O773" s="95" t="s">
        <v>4805</v>
      </c>
      <c r="P773" s="95" t="s">
        <v>4806</v>
      </c>
      <c r="Q773" s="98">
        <v>3.0</v>
      </c>
      <c r="R773" s="97">
        <v>45875.36363425926</v>
      </c>
      <c r="S773" s="99">
        <v>1367.0</v>
      </c>
      <c r="T773" s="99">
        <v>298.0</v>
      </c>
      <c r="U773" s="99">
        <v>5.0</v>
      </c>
      <c r="V773" s="99">
        <v>45.0</v>
      </c>
      <c r="W773" s="99">
        <v>51415.0</v>
      </c>
    </row>
    <row r="774" ht="15.75" customHeight="1">
      <c r="A774" s="95" t="s">
        <v>4807</v>
      </c>
      <c r="B774" s="95" t="s">
        <v>22</v>
      </c>
      <c r="C774" s="96" t="s">
        <v>4808</v>
      </c>
      <c r="D774" s="95" t="s">
        <v>39</v>
      </c>
      <c r="E774" s="95" t="s">
        <v>614</v>
      </c>
      <c r="F774" s="95" t="s">
        <v>19</v>
      </c>
      <c r="G774" s="95" t="s">
        <v>19</v>
      </c>
      <c r="H774" s="95" t="s">
        <v>21</v>
      </c>
      <c r="I774" s="95" t="s">
        <v>567</v>
      </c>
      <c r="J774" s="97">
        <v>45975.67937972222</v>
      </c>
      <c r="K774" s="96" t="s">
        <v>4809</v>
      </c>
      <c r="L774" s="96" t="s">
        <v>4810</v>
      </c>
      <c r="M774" s="95" t="s">
        <v>74</v>
      </c>
      <c r="N774" s="95" t="s">
        <v>4811</v>
      </c>
      <c r="O774" s="95" t="s">
        <v>4811</v>
      </c>
      <c r="P774" s="95" t="s">
        <v>4812</v>
      </c>
      <c r="Q774" s="98">
        <v>3.0</v>
      </c>
      <c r="R774" s="97">
        <v>45652.04659722222</v>
      </c>
      <c r="S774" s="99">
        <v>4106.0</v>
      </c>
      <c r="T774" s="99">
        <v>25.0</v>
      </c>
      <c r="U774" s="99">
        <v>2.0</v>
      </c>
      <c r="V774" s="99">
        <v>144.0</v>
      </c>
      <c r="W774" s="99">
        <v>914248.0</v>
      </c>
    </row>
    <row r="775" ht="15.75" customHeight="1">
      <c r="A775" s="95" t="s">
        <v>4813</v>
      </c>
      <c r="B775" s="95" t="s">
        <v>22</v>
      </c>
      <c r="C775" s="96" t="s">
        <v>4814</v>
      </c>
      <c r="D775" s="95" t="s">
        <v>39</v>
      </c>
      <c r="E775" s="95" t="s">
        <v>39</v>
      </c>
      <c r="F775" s="95" t="s">
        <v>19</v>
      </c>
      <c r="G775" s="95" t="s">
        <v>19</v>
      </c>
      <c r="H775" s="95" t="s">
        <v>21</v>
      </c>
      <c r="I775" s="95" t="s">
        <v>567</v>
      </c>
      <c r="J775" s="97">
        <v>46021.4946265625</v>
      </c>
      <c r="K775" s="95" t="s">
        <v>4815</v>
      </c>
      <c r="L775" s="96" t="s">
        <v>4816</v>
      </c>
      <c r="M775" s="95" t="s">
        <v>74</v>
      </c>
      <c r="N775" s="95" t="s">
        <v>4817</v>
      </c>
      <c r="O775" s="95" t="s">
        <v>4817</v>
      </c>
      <c r="P775" s="95" t="s">
        <v>4818</v>
      </c>
      <c r="Q775" s="98">
        <v>3.0</v>
      </c>
      <c r="R775" s="97">
        <v>45750.31473379629</v>
      </c>
      <c r="S775" s="99">
        <v>91.0</v>
      </c>
      <c r="T775" s="99">
        <v>17.0</v>
      </c>
      <c r="U775" s="99">
        <v>2.0</v>
      </c>
      <c r="V775" s="99">
        <v>158.0</v>
      </c>
      <c r="W775" s="99">
        <v>3982.0</v>
      </c>
    </row>
    <row r="776" ht="15.75" customHeight="1">
      <c r="A776" s="95" t="s">
        <v>4819</v>
      </c>
      <c r="B776" s="95" t="s">
        <v>131</v>
      </c>
      <c r="C776" s="96" t="s">
        <v>4820</v>
      </c>
      <c r="D776" s="95" t="s">
        <v>49</v>
      </c>
      <c r="E776" s="95" t="s">
        <v>948</v>
      </c>
      <c r="F776" s="95" t="s">
        <v>58</v>
      </c>
      <c r="G776" s="95" t="s">
        <v>58</v>
      </c>
      <c r="H776" s="95" t="s">
        <v>60</v>
      </c>
      <c r="I776" s="95" t="s">
        <v>795</v>
      </c>
      <c r="J776" s="97">
        <v>46069.1361972338</v>
      </c>
      <c r="K776" s="95" t="s">
        <v>4821</v>
      </c>
      <c r="L776" s="96" t="s">
        <v>4822</v>
      </c>
      <c r="M776" s="95" t="s">
        <v>93</v>
      </c>
      <c r="N776" s="95" t="s">
        <v>4823</v>
      </c>
      <c r="O776" s="95" t="s">
        <v>4823</v>
      </c>
      <c r="P776" s="95" t="s">
        <v>4824</v>
      </c>
      <c r="Q776" s="98">
        <v>3.0</v>
      </c>
      <c r="R776" s="97">
        <v>46049.59695601852</v>
      </c>
      <c r="S776" s="99">
        <v>381.0</v>
      </c>
      <c r="T776" s="99">
        <v>13890.0</v>
      </c>
      <c r="U776" s="99">
        <v>11.0</v>
      </c>
      <c r="V776" s="99">
        <v>1413.0</v>
      </c>
      <c r="W776" s="99">
        <v>999999.0</v>
      </c>
    </row>
    <row r="777" ht="15.75" customHeight="1">
      <c r="A777" s="95" t="s">
        <v>4825</v>
      </c>
      <c r="B777" s="95" t="s">
        <v>22</v>
      </c>
      <c r="C777" s="96" t="s">
        <v>4826</v>
      </c>
      <c r="D777" s="95" t="s">
        <v>49</v>
      </c>
      <c r="E777" s="95" t="s">
        <v>948</v>
      </c>
      <c r="F777" s="95" t="s">
        <v>19</v>
      </c>
      <c r="G777" s="95" t="s">
        <v>574</v>
      </c>
      <c r="H777" s="95" t="s">
        <v>21</v>
      </c>
      <c r="I777" s="95" t="s">
        <v>567</v>
      </c>
      <c r="J777" s="97">
        <v>46039.71707480324</v>
      </c>
      <c r="K777" s="95" t="s">
        <v>4827</v>
      </c>
      <c r="L777" s="96" t="s">
        <v>4828</v>
      </c>
      <c r="M777" s="95" t="s">
        <v>93</v>
      </c>
      <c r="N777" s="95" t="s">
        <v>4823</v>
      </c>
      <c r="O777" s="95" t="s">
        <v>4823</v>
      </c>
      <c r="P777" s="95" t="s">
        <v>4824</v>
      </c>
      <c r="Q777" s="98">
        <v>3.0</v>
      </c>
      <c r="R777" s="97">
        <v>45987.63642361111</v>
      </c>
      <c r="S777" s="99">
        <v>381.0</v>
      </c>
      <c r="T777" s="99">
        <v>9109.0</v>
      </c>
      <c r="U777" s="99">
        <v>1.0</v>
      </c>
      <c r="V777" s="99">
        <v>549.0</v>
      </c>
      <c r="W777" s="99">
        <v>999999.0</v>
      </c>
    </row>
    <row r="778" ht="15.75" customHeight="1">
      <c r="A778" s="95" t="s">
        <v>4829</v>
      </c>
      <c r="B778" s="95" t="s">
        <v>22</v>
      </c>
      <c r="C778" s="96" t="s">
        <v>4830</v>
      </c>
      <c r="D778" s="95" t="s">
        <v>49</v>
      </c>
      <c r="E778" s="95" t="s">
        <v>948</v>
      </c>
      <c r="F778" s="95" t="s">
        <v>19</v>
      </c>
      <c r="G778" s="95" t="s">
        <v>19</v>
      </c>
      <c r="H778" s="95" t="s">
        <v>21</v>
      </c>
      <c r="I778" s="95" t="s">
        <v>567</v>
      </c>
      <c r="J778" s="97">
        <v>46057.09133766204</v>
      </c>
      <c r="K778" s="95" t="s">
        <v>4831</v>
      </c>
      <c r="L778" s="96" t="s">
        <v>4832</v>
      </c>
      <c r="M778" s="95" t="s">
        <v>93</v>
      </c>
      <c r="N778" s="95" t="s">
        <v>4823</v>
      </c>
      <c r="O778" s="95" t="s">
        <v>4823</v>
      </c>
      <c r="P778" s="95" t="s">
        <v>4824</v>
      </c>
      <c r="Q778" s="98">
        <v>3.0</v>
      </c>
      <c r="R778" s="97">
        <v>46043.82243055556</v>
      </c>
      <c r="S778" s="99">
        <v>381.0</v>
      </c>
      <c r="T778" s="99">
        <v>9926.0</v>
      </c>
      <c r="U778" s="99">
        <v>11.0</v>
      </c>
      <c r="V778" s="99">
        <v>649.0</v>
      </c>
      <c r="W778" s="99">
        <v>999999.0</v>
      </c>
    </row>
    <row r="779" ht="15.75" customHeight="1">
      <c r="A779" s="95" t="s">
        <v>4833</v>
      </c>
      <c r="B779" s="95" t="s">
        <v>101</v>
      </c>
      <c r="C779" s="96" t="s">
        <v>4834</v>
      </c>
      <c r="D779" s="95" t="s">
        <v>49</v>
      </c>
      <c r="E779" s="95" t="s">
        <v>948</v>
      </c>
      <c r="F779" s="95" t="s">
        <v>19</v>
      </c>
      <c r="G779" s="95" t="s">
        <v>19</v>
      </c>
      <c r="H779" s="95" t="s">
        <v>21</v>
      </c>
      <c r="I779" s="95" t="s">
        <v>781</v>
      </c>
      <c r="J779" s="97">
        <v>46069.13581600694</v>
      </c>
      <c r="K779" s="95" t="s">
        <v>4835</v>
      </c>
      <c r="L779" s="95"/>
      <c r="M779" s="95" t="s">
        <v>93</v>
      </c>
      <c r="N779" s="95" t="s">
        <v>4823</v>
      </c>
      <c r="O779" s="95" t="s">
        <v>4823</v>
      </c>
      <c r="P779" s="95" t="s">
        <v>4824</v>
      </c>
      <c r="Q779" s="98">
        <v>3.0</v>
      </c>
      <c r="R779" s="97">
        <v>45999.99767361111</v>
      </c>
      <c r="S779" s="99">
        <v>381.0</v>
      </c>
      <c r="T779" s="99">
        <v>9440.0</v>
      </c>
      <c r="U779" s="99">
        <v>1.0</v>
      </c>
      <c r="V779" s="99">
        <v>918.0</v>
      </c>
      <c r="W779" s="99">
        <v>999999.0</v>
      </c>
    </row>
    <row r="780" ht="15.75" customHeight="1">
      <c r="A780" s="95" t="s">
        <v>4836</v>
      </c>
      <c r="B780" s="95" t="s">
        <v>101</v>
      </c>
      <c r="C780" s="96" t="s">
        <v>4837</v>
      </c>
      <c r="D780" s="95" t="s">
        <v>49</v>
      </c>
      <c r="E780" s="95" t="s">
        <v>49</v>
      </c>
      <c r="F780" s="95" t="s">
        <v>19</v>
      </c>
      <c r="G780" s="95" t="s">
        <v>19</v>
      </c>
      <c r="H780" s="95" t="s">
        <v>21</v>
      </c>
      <c r="I780" s="95" t="s">
        <v>1497</v>
      </c>
      <c r="J780" s="97">
        <v>46072.60602804398</v>
      </c>
      <c r="K780" s="95" t="s">
        <v>4838</v>
      </c>
      <c r="L780" s="96" t="s">
        <v>4839</v>
      </c>
      <c r="M780" s="95" t="s">
        <v>93</v>
      </c>
      <c r="N780" s="95" t="s">
        <v>4823</v>
      </c>
      <c r="O780" s="95" t="s">
        <v>4823</v>
      </c>
      <c r="P780" s="95" t="s">
        <v>4824</v>
      </c>
      <c r="Q780" s="98">
        <v>3.0</v>
      </c>
      <c r="R780" s="97">
        <v>45947.49747685185</v>
      </c>
      <c r="S780" s="99">
        <v>381.0</v>
      </c>
      <c r="T780" s="99">
        <v>8752.0</v>
      </c>
      <c r="U780" s="99">
        <v>7.0</v>
      </c>
      <c r="V780" s="99">
        <v>422.0</v>
      </c>
      <c r="W780" s="99">
        <v>999999.0</v>
      </c>
    </row>
    <row r="781" ht="15.75" customHeight="1">
      <c r="A781" s="95" t="s">
        <v>4840</v>
      </c>
      <c r="B781" s="95" t="s">
        <v>131</v>
      </c>
      <c r="C781" s="96" t="s">
        <v>4841</v>
      </c>
      <c r="D781" s="95" t="s">
        <v>49</v>
      </c>
      <c r="E781" s="95" t="s">
        <v>4842</v>
      </c>
      <c r="F781" s="95" t="s">
        <v>58</v>
      </c>
      <c r="G781" s="95" t="s">
        <v>1450</v>
      </c>
      <c r="H781" s="95" t="s">
        <v>21</v>
      </c>
      <c r="I781" s="95" t="s">
        <v>2428</v>
      </c>
      <c r="J781" s="97">
        <v>46021.50566978009</v>
      </c>
      <c r="K781" s="95" t="s">
        <v>4843</v>
      </c>
      <c r="L781" s="96" t="s">
        <v>4844</v>
      </c>
      <c r="M781" s="95" t="s">
        <v>74</v>
      </c>
      <c r="N781" s="95" t="s">
        <v>4845</v>
      </c>
      <c r="O781" s="95" t="s">
        <v>4845</v>
      </c>
      <c r="P781" s="95" t="s">
        <v>4846</v>
      </c>
      <c r="Q781" s="98">
        <v>3.0</v>
      </c>
      <c r="R781" s="97">
        <v>45630.30375</v>
      </c>
      <c r="S781" s="99">
        <v>266.0</v>
      </c>
      <c r="T781" s="99">
        <v>107.0</v>
      </c>
      <c r="U781" s="99">
        <v>1.0</v>
      </c>
      <c r="V781" s="99">
        <v>299.0</v>
      </c>
      <c r="W781" s="99">
        <v>47966.0</v>
      </c>
    </row>
    <row r="782" ht="15.75" customHeight="1">
      <c r="A782" s="95" t="s">
        <v>4847</v>
      </c>
      <c r="B782" s="95" t="s">
        <v>22</v>
      </c>
      <c r="C782" s="96" t="s">
        <v>4848</v>
      </c>
      <c r="D782" s="95" t="s">
        <v>49</v>
      </c>
      <c r="E782" s="95" t="s">
        <v>948</v>
      </c>
      <c r="F782" s="95" t="s">
        <v>19</v>
      </c>
      <c r="G782" s="95" t="s">
        <v>19</v>
      </c>
      <c r="H782" s="95" t="s">
        <v>21</v>
      </c>
      <c r="I782" s="95" t="s">
        <v>567</v>
      </c>
      <c r="J782" s="97">
        <v>46039.71707480324</v>
      </c>
      <c r="K782" s="95" t="s">
        <v>4849</v>
      </c>
      <c r="L782" s="96" t="s">
        <v>4850</v>
      </c>
      <c r="M782" s="95" t="s">
        <v>93</v>
      </c>
      <c r="N782" s="95" t="s">
        <v>4851</v>
      </c>
      <c r="O782" s="95" t="s">
        <v>4851</v>
      </c>
      <c r="P782" s="95" t="s">
        <v>4852</v>
      </c>
      <c r="Q782" s="98">
        <v>3.0</v>
      </c>
      <c r="R782" s="97">
        <v>45804.67802083334</v>
      </c>
      <c r="S782" s="99">
        <v>174.0</v>
      </c>
      <c r="T782" s="99">
        <v>2432.0</v>
      </c>
      <c r="U782" s="99">
        <v>24.0</v>
      </c>
      <c r="V782" s="99">
        <v>303.0</v>
      </c>
      <c r="W782" s="99">
        <v>999999.0</v>
      </c>
    </row>
    <row r="783" ht="15.75" customHeight="1">
      <c r="A783" s="95" t="s">
        <v>4853</v>
      </c>
      <c r="B783" s="95" t="s">
        <v>22</v>
      </c>
      <c r="C783" s="96" t="s">
        <v>4854</v>
      </c>
      <c r="D783" s="95" t="s">
        <v>49</v>
      </c>
      <c r="E783" s="95" t="s">
        <v>4855</v>
      </c>
      <c r="F783" s="95" t="s">
        <v>19</v>
      </c>
      <c r="G783" s="95" t="s">
        <v>574</v>
      </c>
      <c r="H783" s="95" t="s">
        <v>21</v>
      </c>
      <c r="I783" s="95" t="s">
        <v>567</v>
      </c>
      <c r="J783" s="97">
        <v>46021.5125787037</v>
      </c>
      <c r="K783" s="95" t="s">
        <v>4856</v>
      </c>
      <c r="L783" s="96" t="s">
        <v>4857</v>
      </c>
      <c r="M783" s="95" t="s">
        <v>93</v>
      </c>
      <c r="N783" s="95" t="s">
        <v>4851</v>
      </c>
      <c r="O783" s="95" t="s">
        <v>4851</v>
      </c>
      <c r="P783" s="95" t="s">
        <v>4852</v>
      </c>
      <c r="Q783" s="98">
        <v>3.0</v>
      </c>
      <c r="R783" s="97">
        <v>45937.61565972222</v>
      </c>
      <c r="S783" s="99">
        <v>174.0</v>
      </c>
      <c r="T783" s="99">
        <v>1723.0</v>
      </c>
      <c r="U783" s="99">
        <v>662.0</v>
      </c>
      <c r="V783" s="99">
        <v>79.0</v>
      </c>
      <c r="W783" s="99">
        <v>999999.0</v>
      </c>
    </row>
    <row r="784" ht="15.75" customHeight="1">
      <c r="A784" s="95" t="s">
        <v>4858</v>
      </c>
      <c r="B784" s="95" t="s">
        <v>22</v>
      </c>
      <c r="C784" s="96" t="s">
        <v>4859</v>
      </c>
      <c r="D784" s="95" t="s">
        <v>49</v>
      </c>
      <c r="E784" s="95" t="s">
        <v>49</v>
      </c>
      <c r="F784" s="95" t="s">
        <v>19</v>
      </c>
      <c r="G784" s="95" t="s">
        <v>19</v>
      </c>
      <c r="H784" s="95" t="s">
        <v>21</v>
      </c>
      <c r="I784" s="95" t="s">
        <v>567</v>
      </c>
      <c r="J784" s="97">
        <v>46069.66372851852</v>
      </c>
      <c r="K784" s="95" t="s">
        <v>4860</v>
      </c>
      <c r="L784" s="96" t="s">
        <v>4861</v>
      </c>
      <c r="M784" s="95" t="s">
        <v>503</v>
      </c>
      <c r="N784" s="95" t="s">
        <v>4862</v>
      </c>
      <c r="O784" s="95" t="s">
        <v>4862</v>
      </c>
      <c r="P784" s="95" t="s">
        <v>4863</v>
      </c>
      <c r="Q784" s="98">
        <v>3.0</v>
      </c>
      <c r="R784" s="97">
        <v>45880.37759259259</v>
      </c>
      <c r="S784" s="99">
        <v>309.0</v>
      </c>
      <c r="T784" s="99">
        <v>1586.0</v>
      </c>
      <c r="U784" s="99">
        <v>6.0</v>
      </c>
      <c r="V784" s="99">
        <v>751.0</v>
      </c>
      <c r="W784" s="99">
        <v>136487.0</v>
      </c>
    </row>
    <row r="785" ht="15.75" customHeight="1">
      <c r="A785" s="95" t="s">
        <v>4864</v>
      </c>
      <c r="B785" s="95" t="s">
        <v>22</v>
      </c>
      <c r="C785" s="96" t="s">
        <v>4865</v>
      </c>
      <c r="D785" s="95" t="s">
        <v>49</v>
      </c>
      <c r="E785" s="95" t="s">
        <v>49</v>
      </c>
      <c r="F785" s="95" t="s">
        <v>19</v>
      </c>
      <c r="G785" s="95" t="s">
        <v>1367</v>
      </c>
      <c r="H785" s="95" t="s">
        <v>21</v>
      </c>
      <c r="I785" s="95" t="s">
        <v>567</v>
      </c>
      <c r="J785" s="97">
        <v>46021.5125787037</v>
      </c>
      <c r="K785" s="95" t="s">
        <v>4866</v>
      </c>
      <c r="L785" s="96" t="s">
        <v>4867</v>
      </c>
      <c r="M785" s="95" t="s">
        <v>503</v>
      </c>
      <c r="N785" s="95" t="s">
        <v>4862</v>
      </c>
      <c r="O785" s="95" t="s">
        <v>4862</v>
      </c>
      <c r="P785" s="95" t="s">
        <v>4863</v>
      </c>
      <c r="Q785" s="98">
        <v>3.0</v>
      </c>
      <c r="R785" s="97">
        <v>45846.59814814815</v>
      </c>
      <c r="S785" s="99">
        <v>309.0</v>
      </c>
      <c r="T785" s="99">
        <v>757.0</v>
      </c>
      <c r="U785" s="99">
        <v>44.0</v>
      </c>
      <c r="V785" s="99">
        <v>431.0</v>
      </c>
      <c r="W785" s="99">
        <v>136487.0</v>
      </c>
    </row>
    <row r="786" ht="15.75" customHeight="1">
      <c r="A786" s="95" t="s">
        <v>4868</v>
      </c>
      <c r="B786" s="95" t="s">
        <v>22</v>
      </c>
      <c r="C786" s="96" t="s">
        <v>4869</v>
      </c>
      <c r="D786" s="95" t="s">
        <v>68</v>
      </c>
      <c r="E786" s="95" t="s">
        <v>1496</v>
      </c>
      <c r="F786" s="95" t="s">
        <v>19</v>
      </c>
      <c r="G786" s="95" t="s">
        <v>1367</v>
      </c>
      <c r="H786" s="95" t="s">
        <v>21</v>
      </c>
      <c r="I786" s="95" t="s">
        <v>4870</v>
      </c>
      <c r="J786" s="97">
        <v>46039.71414675926</v>
      </c>
      <c r="K786" s="95" t="s">
        <v>4871</v>
      </c>
      <c r="L786" s="96" t="s">
        <v>4872</v>
      </c>
      <c r="M786" s="95" t="s">
        <v>93</v>
      </c>
      <c r="N786" s="95" t="s">
        <v>4873</v>
      </c>
      <c r="O786" s="95" t="s">
        <v>4873</v>
      </c>
      <c r="P786" s="95" t="s">
        <v>4874</v>
      </c>
      <c r="Q786" s="98">
        <v>3.0</v>
      </c>
      <c r="R786" s="97">
        <v>45127.28016203704</v>
      </c>
      <c r="S786" s="99">
        <v>2631.0</v>
      </c>
      <c r="T786" s="99">
        <v>381.0</v>
      </c>
      <c r="U786" s="99">
        <v>1.0</v>
      </c>
      <c r="V786" s="99">
        <v>150.0</v>
      </c>
      <c r="W786" s="99">
        <v>26077.0</v>
      </c>
    </row>
    <row r="787" ht="15.75" customHeight="1">
      <c r="A787" s="95" t="s">
        <v>4875</v>
      </c>
      <c r="B787" s="95" t="s">
        <v>22</v>
      </c>
      <c r="C787" s="96" t="s">
        <v>4876</v>
      </c>
      <c r="D787" s="95" t="s">
        <v>39</v>
      </c>
      <c r="E787" s="95" t="s">
        <v>39</v>
      </c>
      <c r="F787" s="95" t="s">
        <v>19</v>
      </c>
      <c r="G787" s="95" t="s">
        <v>588</v>
      </c>
      <c r="H787" s="95" t="s">
        <v>21</v>
      </c>
      <c r="I787" s="95" t="s">
        <v>589</v>
      </c>
      <c r="J787" s="97">
        <v>46080.66232241898</v>
      </c>
      <c r="K787" s="95" t="s">
        <v>4877</v>
      </c>
      <c r="L787" s="96" t="s">
        <v>4878</v>
      </c>
      <c r="M787" s="95" t="s">
        <v>93</v>
      </c>
      <c r="N787" s="95" t="s">
        <v>4879</v>
      </c>
      <c r="O787" s="95" t="s">
        <v>4879</v>
      </c>
      <c r="P787" s="95" t="s">
        <v>4880</v>
      </c>
      <c r="Q787" s="98">
        <v>3.0</v>
      </c>
      <c r="R787" s="97">
        <v>46040.99181712963</v>
      </c>
      <c r="S787" s="99">
        <v>71.0</v>
      </c>
      <c r="T787" s="99">
        <v>9178.0</v>
      </c>
      <c r="U787" s="99">
        <v>18.0</v>
      </c>
      <c r="V787" s="99">
        <v>206.0</v>
      </c>
      <c r="W787" s="99">
        <v>318890.0</v>
      </c>
    </row>
    <row r="788" ht="15.75" customHeight="1">
      <c r="A788" s="95" t="s">
        <v>4881</v>
      </c>
      <c r="B788" s="95" t="s">
        <v>22</v>
      </c>
      <c r="C788" s="96" t="s">
        <v>4882</v>
      </c>
      <c r="D788" s="95" t="s">
        <v>39</v>
      </c>
      <c r="E788" s="95" t="s">
        <v>39</v>
      </c>
      <c r="F788" s="95" t="s">
        <v>19</v>
      </c>
      <c r="G788" s="95" t="s">
        <v>574</v>
      </c>
      <c r="H788" s="95" t="s">
        <v>21</v>
      </c>
      <c r="I788" s="95" t="s">
        <v>567</v>
      </c>
      <c r="J788" s="97">
        <v>46080.66232241898</v>
      </c>
      <c r="K788" s="95" t="s">
        <v>4883</v>
      </c>
      <c r="L788" s="96" t="s">
        <v>4884</v>
      </c>
      <c r="M788" s="95" t="s">
        <v>93</v>
      </c>
      <c r="N788" s="95" t="s">
        <v>4879</v>
      </c>
      <c r="O788" s="95" t="s">
        <v>4879</v>
      </c>
      <c r="P788" s="95" t="s">
        <v>4880</v>
      </c>
      <c r="Q788" s="98">
        <v>3.0</v>
      </c>
      <c r="R788" s="97">
        <v>46067.46207175926</v>
      </c>
      <c r="S788" s="99">
        <v>71.0</v>
      </c>
      <c r="T788" s="99">
        <v>9795.0</v>
      </c>
      <c r="U788" s="99">
        <v>3.0</v>
      </c>
      <c r="V788" s="99">
        <v>256.0</v>
      </c>
      <c r="W788" s="99">
        <v>318890.0</v>
      </c>
    </row>
    <row r="789" ht="15.75" customHeight="1">
      <c r="A789" s="95" t="s">
        <v>4885</v>
      </c>
      <c r="B789" s="95" t="s">
        <v>22</v>
      </c>
      <c r="C789" s="96" t="s">
        <v>4886</v>
      </c>
      <c r="D789" s="95" t="s">
        <v>39</v>
      </c>
      <c r="E789" s="95" t="s">
        <v>39</v>
      </c>
      <c r="F789" s="95" t="s">
        <v>19</v>
      </c>
      <c r="G789" s="95" t="s">
        <v>588</v>
      </c>
      <c r="H789" s="95" t="s">
        <v>21</v>
      </c>
      <c r="I789" s="95" t="s">
        <v>589</v>
      </c>
      <c r="J789" s="97">
        <v>46080.66232241898</v>
      </c>
      <c r="K789" s="95" t="s">
        <v>4887</v>
      </c>
      <c r="L789" s="96" t="s">
        <v>4888</v>
      </c>
      <c r="M789" s="95" t="s">
        <v>93</v>
      </c>
      <c r="N789" s="95" t="s">
        <v>4879</v>
      </c>
      <c r="O789" s="95" t="s">
        <v>4879</v>
      </c>
      <c r="P789" s="95" t="s">
        <v>4880</v>
      </c>
      <c r="Q789" s="98">
        <v>3.0</v>
      </c>
      <c r="R789" s="97">
        <v>45979.46408564815</v>
      </c>
      <c r="S789" s="99">
        <v>71.0</v>
      </c>
      <c r="T789" s="99">
        <v>4114.0</v>
      </c>
      <c r="U789" s="99">
        <v>70.0</v>
      </c>
      <c r="V789" s="99">
        <v>2434.0</v>
      </c>
      <c r="W789" s="99">
        <v>318890.0</v>
      </c>
    </row>
    <row r="790" ht="15.75" customHeight="1">
      <c r="A790" s="95" t="s">
        <v>4889</v>
      </c>
      <c r="B790" s="95" t="s">
        <v>157</v>
      </c>
      <c r="C790" s="96" t="s">
        <v>4890</v>
      </c>
      <c r="D790" s="95" t="s">
        <v>124</v>
      </c>
      <c r="E790" s="95" t="s">
        <v>794</v>
      </c>
      <c r="F790" s="95" t="s">
        <v>88</v>
      </c>
      <c r="G790" s="95" t="s">
        <v>88</v>
      </c>
      <c r="H790" s="95" t="s">
        <v>89</v>
      </c>
      <c r="I790" s="95" t="s">
        <v>897</v>
      </c>
      <c r="J790" s="97">
        <v>45980.95945864583</v>
      </c>
      <c r="K790" s="95" t="s">
        <v>4891</v>
      </c>
      <c r="L790" s="96" t="s">
        <v>4892</v>
      </c>
      <c r="M790" s="95" t="s">
        <v>67</v>
      </c>
      <c r="N790" s="95" t="s">
        <v>4893</v>
      </c>
      <c r="O790" s="95" t="s">
        <v>4893</v>
      </c>
      <c r="P790" s="95" t="s">
        <v>4894</v>
      </c>
      <c r="Q790" s="98">
        <v>3.0</v>
      </c>
      <c r="R790" s="97">
        <v>45806.63099537037</v>
      </c>
      <c r="S790" s="99">
        <v>449.0</v>
      </c>
      <c r="T790" s="99">
        <v>30.0</v>
      </c>
      <c r="U790" s="99">
        <v>1.0</v>
      </c>
      <c r="V790" s="99">
        <v>29.0</v>
      </c>
      <c r="W790" s="99">
        <v>181949.0</v>
      </c>
    </row>
    <row r="791" ht="15.75" customHeight="1">
      <c r="A791" s="95" t="s">
        <v>4895</v>
      </c>
      <c r="B791" s="95" t="s">
        <v>131</v>
      </c>
      <c r="C791" s="96" t="s">
        <v>4896</v>
      </c>
      <c r="D791" s="95" t="s">
        <v>124</v>
      </c>
      <c r="E791" s="95" t="s">
        <v>124</v>
      </c>
      <c r="F791" s="95" t="s">
        <v>88</v>
      </c>
      <c r="G791" s="95" t="s">
        <v>88</v>
      </c>
      <c r="H791" s="95" t="s">
        <v>89</v>
      </c>
      <c r="I791" s="95" t="s">
        <v>726</v>
      </c>
      <c r="J791" s="97">
        <v>46003.08208643518</v>
      </c>
      <c r="K791" s="95" t="s">
        <v>4897</v>
      </c>
      <c r="L791" s="96" t="s">
        <v>4898</v>
      </c>
      <c r="M791" s="95" t="s">
        <v>105</v>
      </c>
      <c r="N791" s="95" t="s">
        <v>4899</v>
      </c>
      <c r="O791" s="95" t="s">
        <v>4899</v>
      </c>
      <c r="P791" s="95" t="s">
        <v>4900</v>
      </c>
      <c r="Q791" s="98">
        <v>3.0</v>
      </c>
      <c r="R791" s="97">
        <v>45907.55416666667</v>
      </c>
      <c r="S791" s="99">
        <v>10830.0</v>
      </c>
      <c r="T791" s="99">
        <v>10.0</v>
      </c>
      <c r="U791" s="99">
        <v>1.0</v>
      </c>
      <c r="V791" s="99">
        <v>113.0</v>
      </c>
      <c r="W791" s="99">
        <v>206064.0</v>
      </c>
    </row>
    <row r="792" ht="15.75" customHeight="1">
      <c r="A792" s="95" t="s">
        <v>4901</v>
      </c>
      <c r="B792" s="95" t="s">
        <v>22</v>
      </c>
      <c r="C792" s="96" t="s">
        <v>4902</v>
      </c>
      <c r="D792" s="95" t="s">
        <v>124</v>
      </c>
      <c r="E792" s="95" t="s">
        <v>124</v>
      </c>
      <c r="F792" s="95" t="s">
        <v>19</v>
      </c>
      <c r="G792" s="95" t="s">
        <v>574</v>
      </c>
      <c r="H792" s="95" t="s">
        <v>21</v>
      </c>
      <c r="I792" s="95" t="s">
        <v>4903</v>
      </c>
      <c r="J792" s="97">
        <v>46021.4946265625</v>
      </c>
      <c r="K792" s="95" t="s">
        <v>4904</v>
      </c>
      <c r="L792" s="96" t="s">
        <v>4905</v>
      </c>
      <c r="M792" s="95" t="s">
        <v>105</v>
      </c>
      <c r="N792" s="95" t="s">
        <v>4906</v>
      </c>
      <c r="O792" s="95" t="s">
        <v>4906</v>
      </c>
      <c r="P792" s="95" t="s">
        <v>4907</v>
      </c>
      <c r="Q792" s="98">
        <v>3.0</v>
      </c>
      <c r="R792" s="97">
        <v>45836.82574074074</v>
      </c>
      <c r="S792" s="99">
        <v>289.0</v>
      </c>
      <c r="T792" s="99">
        <v>7.0</v>
      </c>
      <c r="U792" s="99">
        <v>1.0</v>
      </c>
      <c r="V792" s="99">
        <v>602.0</v>
      </c>
      <c r="W792" s="99">
        <v>168940.0</v>
      </c>
    </row>
    <row r="793" ht="15.75" customHeight="1">
      <c r="A793" s="95" t="s">
        <v>4908</v>
      </c>
      <c r="B793" s="95" t="s">
        <v>22</v>
      </c>
      <c r="C793" s="96" t="s">
        <v>4909</v>
      </c>
      <c r="D793" s="95" t="s">
        <v>29</v>
      </c>
      <c r="E793" s="95" t="s">
        <v>29</v>
      </c>
      <c r="F793" s="95" t="s">
        <v>19</v>
      </c>
      <c r="G793" s="95" t="s">
        <v>19</v>
      </c>
      <c r="H793" s="95" t="s">
        <v>21</v>
      </c>
      <c r="I793" s="95" t="s">
        <v>567</v>
      </c>
      <c r="J793" s="97">
        <v>45986.53542238426</v>
      </c>
      <c r="K793" s="96" t="s">
        <v>4910</v>
      </c>
      <c r="L793" s="96" t="s">
        <v>4911</v>
      </c>
      <c r="M793" s="95" t="s">
        <v>28</v>
      </c>
      <c r="N793" s="95" t="s">
        <v>4912</v>
      </c>
      <c r="O793" s="95" t="s">
        <v>4912</v>
      </c>
      <c r="P793" s="95" t="s">
        <v>4913</v>
      </c>
      <c r="Q793" s="98">
        <v>3.0</v>
      </c>
      <c r="R793" s="97">
        <v>45717.51501157408</v>
      </c>
      <c r="S793" s="99">
        <v>79.0</v>
      </c>
      <c r="T793" s="99">
        <v>197.0</v>
      </c>
      <c r="U793" s="99">
        <v>2.0</v>
      </c>
      <c r="V793" s="99">
        <v>1022.0</v>
      </c>
      <c r="W793" s="99">
        <v>49556.0</v>
      </c>
    </row>
    <row r="794" ht="15.75" customHeight="1">
      <c r="A794" s="95" t="s">
        <v>4914</v>
      </c>
      <c r="B794" s="95" t="s">
        <v>101</v>
      </c>
      <c r="C794" s="96" t="s">
        <v>4915</v>
      </c>
      <c r="D794" s="95" t="s">
        <v>29</v>
      </c>
      <c r="E794" s="95" t="s">
        <v>3793</v>
      </c>
      <c r="F794" s="95" t="s">
        <v>19</v>
      </c>
      <c r="G794" s="95" t="s">
        <v>19</v>
      </c>
      <c r="H794" s="95" t="s">
        <v>21</v>
      </c>
      <c r="I794" s="95" t="s">
        <v>4028</v>
      </c>
      <c r="J794" s="97">
        <v>46039.71667966435</v>
      </c>
      <c r="K794" s="95" t="s">
        <v>4916</v>
      </c>
      <c r="L794" s="96" t="s">
        <v>4917</v>
      </c>
      <c r="M794" s="95" t="s">
        <v>93</v>
      </c>
      <c r="N794" s="95" t="s">
        <v>4918</v>
      </c>
      <c r="O794" s="95" t="s">
        <v>4918</v>
      </c>
      <c r="P794" s="95" t="s">
        <v>4919</v>
      </c>
      <c r="Q794" s="98">
        <v>3.0</v>
      </c>
      <c r="R794" s="97">
        <v>45718.3721412037</v>
      </c>
      <c r="S794" s="99">
        <v>152.0</v>
      </c>
      <c r="T794" s="99">
        <v>181.0</v>
      </c>
      <c r="U794" s="99">
        <v>1.0</v>
      </c>
      <c r="V794" s="99">
        <v>155.0</v>
      </c>
      <c r="W794" s="99">
        <v>18413.0</v>
      </c>
    </row>
    <row r="795" ht="15.75" customHeight="1">
      <c r="A795" s="95" t="s">
        <v>4920</v>
      </c>
      <c r="B795" s="95" t="s">
        <v>22</v>
      </c>
      <c r="C795" s="96" t="s">
        <v>4921</v>
      </c>
      <c r="D795" s="95" t="s">
        <v>29</v>
      </c>
      <c r="E795" s="95" t="s">
        <v>4922</v>
      </c>
      <c r="F795" s="95" t="s">
        <v>19</v>
      </c>
      <c r="G795" s="95" t="s">
        <v>19</v>
      </c>
      <c r="H795" s="95" t="s">
        <v>21</v>
      </c>
      <c r="I795" s="95" t="s">
        <v>589</v>
      </c>
      <c r="J795" s="97">
        <v>45975.67934811342</v>
      </c>
      <c r="K795" s="96" t="s">
        <v>4923</v>
      </c>
      <c r="L795" s="96" t="s">
        <v>4924</v>
      </c>
      <c r="M795" s="95" t="s">
        <v>17</v>
      </c>
      <c r="N795" s="95" t="s">
        <v>4925</v>
      </c>
      <c r="O795" s="95" t="s">
        <v>4925</v>
      </c>
      <c r="P795" s="95" t="s">
        <v>4926</v>
      </c>
      <c r="Q795" s="98">
        <v>3.0</v>
      </c>
      <c r="R795" s="97">
        <v>45643.71721064814</v>
      </c>
      <c r="S795" s="99">
        <v>5583.0</v>
      </c>
      <c r="T795" s="99">
        <v>19.0</v>
      </c>
      <c r="U795" s="99">
        <v>2.0</v>
      </c>
      <c r="V795" s="99">
        <v>30.0</v>
      </c>
      <c r="W795" s="99">
        <v>186927.0</v>
      </c>
    </row>
    <row r="796" ht="15.75" customHeight="1">
      <c r="A796" s="95" t="s">
        <v>4927</v>
      </c>
      <c r="B796" s="95" t="s">
        <v>22</v>
      </c>
      <c r="C796" s="96" t="s">
        <v>4928</v>
      </c>
      <c r="D796" s="95" t="s">
        <v>124</v>
      </c>
      <c r="E796" s="95" t="s">
        <v>4929</v>
      </c>
      <c r="F796" s="95" t="s">
        <v>19</v>
      </c>
      <c r="G796" s="95" t="s">
        <v>19</v>
      </c>
      <c r="H796" s="95" t="s">
        <v>21</v>
      </c>
      <c r="I796" s="95" t="s">
        <v>567</v>
      </c>
      <c r="J796" s="97">
        <v>45975.67934811342</v>
      </c>
      <c r="K796" s="96" t="s">
        <v>4930</v>
      </c>
      <c r="L796" s="96" t="s">
        <v>4931</v>
      </c>
      <c r="M796" s="95" t="s">
        <v>17</v>
      </c>
      <c r="N796" s="95" t="s">
        <v>4925</v>
      </c>
      <c r="O796" s="95" t="s">
        <v>4925</v>
      </c>
      <c r="P796" s="95" t="s">
        <v>4926</v>
      </c>
      <c r="Q796" s="98">
        <v>3.0</v>
      </c>
      <c r="R796" s="97">
        <v>45677.88238425926</v>
      </c>
      <c r="S796" s="99">
        <v>5583.0</v>
      </c>
      <c r="T796" s="99">
        <v>217.0</v>
      </c>
      <c r="U796" s="99">
        <v>4.0</v>
      </c>
      <c r="V796" s="99">
        <v>37.0</v>
      </c>
      <c r="W796" s="99">
        <v>186927.0</v>
      </c>
    </row>
    <row r="797" ht="15.75" customHeight="1">
      <c r="A797" s="95" t="s">
        <v>4932</v>
      </c>
      <c r="B797" s="95" t="s">
        <v>22</v>
      </c>
      <c r="C797" s="96" t="s">
        <v>4933</v>
      </c>
      <c r="D797" s="95" t="s">
        <v>548</v>
      </c>
      <c r="E797" s="95" t="s">
        <v>548</v>
      </c>
      <c r="F797" s="95" t="s">
        <v>19</v>
      </c>
      <c r="G797" s="95" t="s">
        <v>574</v>
      </c>
      <c r="H797" s="95" t="s">
        <v>21</v>
      </c>
      <c r="I797" s="95" t="s">
        <v>567</v>
      </c>
      <c r="J797" s="97">
        <v>45986.53189861111</v>
      </c>
      <c r="K797" s="95" t="s">
        <v>4934</v>
      </c>
      <c r="L797" s="95"/>
      <c r="M797" s="95" t="s">
        <v>17</v>
      </c>
      <c r="N797" s="95" t="s">
        <v>4935</v>
      </c>
      <c r="O797" s="95" t="s">
        <v>4935</v>
      </c>
      <c r="P797" s="95" t="s">
        <v>4936</v>
      </c>
      <c r="Q797" s="98">
        <v>3.0</v>
      </c>
      <c r="R797" s="97">
        <v>45916.64096064815</v>
      </c>
      <c r="S797" s="99">
        <v>2035.0</v>
      </c>
      <c r="T797" s="99">
        <v>61.0</v>
      </c>
      <c r="U797" s="99">
        <v>1.0</v>
      </c>
      <c r="V797" s="99">
        <v>78.0</v>
      </c>
      <c r="W797" s="99">
        <v>81008.0</v>
      </c>
    </row>
    <row r="798" ht="15.75" customHeight="1">
      <c r="A798" s="95" t="s">
        <v>4937</v>
      </c>
      <c r="B798" s="95" t="s">
        <v>22</v>
      </c>
      <c r="C798" s="96" t="s">
        <v>4938</v>
      </c>
      <c r="D798" s="95" t="s">
        <v>29</v>
      </c>
      <c r="E798" s="95" t="s">
        <v>29</v>
      </c>
      <c r="F798" s="95" t="s">
        <v>19</v>
      </c>
      <c r="G798" s="95" t="s">
        <v>19</v>
      </c>
      <c r="H798" s="95" t="s">
        <v>21</v>
      </c>
      <c r="I798" s="95" t="s">
        <v>567</v>
      </c>
      <c r="J798" s="97">
        <v>46008.62907609954</v>
      </c>
      <c r="K798" s="96" t="s">
        <v>4939</v>
      </c>
      <c r="L798" s="96" t="s">
        <v>4940</v>
      </c>
      <c r="M798" s="95" t="s">
        <v>74</v>
      </c>
      <c r="N798" s="95" t="s">
        <v>4941</v>
      </c>
      <c r="O798" s="95" t="s">
        <v>4941</v>
      </c>
      <c r="P798" s="95" t="s">
        <v>4942</v>
      </c>
      <c r="Q798" s="98">
        <v>3.0</v>
      </c>
      <c r="R798" s="97">
        <v>45694.54903935185</v>
      </c>
      <c r="S798" s="99">
        <v>28841.0</v>
      </c>
      <c r="T798" s="99">
        <v>2423.0</v>
      </c>
      <c r="U798" s="99">
        <v>37.0</v>
      </c>
      <c r="V798" s="99">
        <v>368.0</v>
      </c>
      <c r="W798" s="99">
        <v>49843.0</v>
      </c>
    </row>
    <row r="799" ht="15.75" customHeight="1">
      <c r="A799" s="95" t="s">
        <v>4943</v>
      </c>
      <c r="B799" s="95" t="s">
        <v>22</v>
      </c>
      <c r="C799" s="96" t="s">
        <v>4944</v>
      </c>
      <c r="D799" s="95" t="s">
        <v>130</v>
      </c>
      <c r="E799" s="95" t="s">
        <v>1253</v>
      </c>
      <c r="F799" s="95" t="s">
        <v>19</v>
      </c>
      <c r="G799" s="95" t="s">
        <v>588</v>
      </c>
      <c r="H799" s="95" t="s">
        <v>21</v>
      </c>
      <c r="I799" s="95" t="s">
        <v>677</v>
      </c>
      <c r="J799" s="97">
        <v>46021.50566978009</v>
      </c>
      <c r="K799" s="95" t="s">
        <v>4945</v>
      </c>
      <c r="L799" s="96" t="s">
        <v>4946</v>
      </c>
      <c r="M799" s="95" t="s">
        <v>67</v>
      </c>
      <c r="N799" s="95" t="s">
        <v>4947</v>
      </c>
      <c r="O799" s="95" t="s">
        <v>4947</v>
      </c>
      <c r="P799" s="95" t="s">
        <v>4948</v>
      </c>
      <c r="Q799" s="98">
        <v>3.0</v>
      </c>
      <c r="R799" s="97">
        <v>45701.79803240741</v>
      </c>
      <c r="S799" s="99">
        <v>134.0</v>
      </c>
      <c r="T799" s="99">
        <v>77.0</v>
      </c>
      <c r="U799" s="99">
        <v>3.0</v>
      </c>
      <c r="V799" s="99">
        <v>104.0</v>
      </c>
      <c r="W799" s="99">
        <v>15344.0</v>
      </c>
    </row>
    <row r="800" ht="15.75" customHeight="1">
      <c r="A800" s="95" t="s">
        <v>4949</v>
      </c>
      <c r="B800" s="95" t="s">
        <v>131</v>
      </c>
      <c r="C800" s="96" t="s">
        <v>4950</v>
      </c>
      <c r="D800" s="95" t="s">
        <v>20</v>
      </c>
      <c r="E800" s="95" t="s">
        <v>762</v>
      </c>
      <c r="F800" s="95" t="s">
        <v>19</v>
      </c>
      <c r="G800" s="95" t="s">
        <v>574</v>
      </c>
      <c r="H800" s="95" t="s">
        <v>21</v>
      </c>
      <c r="I800" s="95" t="s">
        <v>647</v>
      </c>
      <c r="J800" s="97">
        <v>46021.4946265625</v>
      </c>
      <c r="K800" s="95" t="s">
        <v>4951</v>
      </c>
      <c r="L800" s="96" t="s">
        <v>4952</v>
      </c>
      <c r="M800" s="95" t="s">
        <v>74</v>
      </c>
      <c r="N800" s="95" t="s">
        <v>4953</v>
      </c>
      <c r="O800" s="95" t="s">
        <v>4953</v>
      </c>
      <c r="P800" s="95" t="s">
        <v>4954</v>
      </c>
      <c r="Q800" s="98">
        <v>3.0</v>
      </c>
      <c r="R800" s="97">
        <v>45861.65628472222</v>
      </c>
      <c r="S800" s="99">
        <v>119.0</v>
      </c>
      <c r="T800" s="99">
        <v>34.0</v>
      </c>
      <c r="U800" s="99">
        <v>7.0</v>
      </c>
      <c r="V800" s="99">
        <v>305.0</v>
      </c>
      <c r="W800" s="99">
        <v>26844.0</v>
      </c>
    </row>
    <row r="801" ht="15.75" customHeight="1">
      <c r="A801" s="95" t="s">
        <v>4955</v>
      </c>
      <c r="B801" s="95" t="s">
        <v>22</v>
      </c>
      <c r="C801" s="96" t="s">
        <v>4956</v>
      </c>
      <c r="D801" s="95" t="s">
        <v>39</v>
      </c>
      <c r="E801" s="95" t="s">
        <v>39</v>
      </c>
      <c r="F801" s="95" t="s">
        <v>19</v>
      </c>
      <c r="G801" s="95" t="s">
        <v>19</v>
      </c>
      <c r="H801" s="95" t="s">
        <v>21</v>
      </c>
      <c r="I801" s="95" t="s">
        <v>567</v>
      </c>
      <c r="J801" s="97">
        <v>45978.46301424768</v>
      </c>
      <c r="K801" s="95" t="s">
        <v>4957</v>
      </c>
      <c r="L801" s="96" t="s">
        <v>4958</v>
      </c>
      <c r="M801" s="95" t="s">
        <v>17</v>
      </c>
      <c r="N801" s="95" t="s">
        <v>4959</v>
      </c>
      <c r="O801" s="95" t="s">
        <v>4959</v>
      </c>
      <c r="P801" s="95" t="s">
        <v>4960</v>
      </c>
      <c r="Q801" s="98">
        <v>3.0</v>
      </c>
      <c r="R801" s="97">
        <v>45600.43966435185</v>
      </c>
      <c r="S801" s="99">
        <v>662.0</v>
      </c>
      <c r="T801" s="99">
        <v>46.0</v>
      </c>
      <c r="U801" s="99">
        <v>2.0</v>
      </c>
      <c r="V801" s="99">
        <v>123.0</v>
      </c>
      <c r="W801" s="99">
        <v>19124.0</v>
      </c>
    </row>
    <row r="802" ht="15.75" customHeight="1">
      <c r="A802" s="95" t="s">
        <v>4961</v>
      </c>
      <c r="B802" s="95" t="s">
        <v>69</v>
      </c>
      <c r="C802" s="96" t="s">
        <v>4962</v>
      </c>
      <c r="D802" s="95" t="s">
        <v>29</v>
      </c>
      <c r="E802" s="95" t="s">
        <v>29</v>
      </c>
      <c r="F802" s="95" t="s">
        <v>88</v>
      </c>
      <c r="G802" s="95" t="s">
        <v>88</v>
      </c>
      <c r="H802" s="95" t="s">
        <v>89</v>
      </c>
      <c r="I802" s="95" t="s">
        <v>1922</v>
      </c>
      <c r="J802" s="97">
        <v>46040.56582103009</v>
      </c>
      <c r="K802" s="95" t="s">
        <v>4963</v>
      </c>
      <c r="L802" s="96" t="s">
        <v>4964</v>
      </c>
      <c r="M802" s="95" t="s">
        <v>74</v>
      </c>
      <c r="N802" s="95" t="s">
        <v>4965</v>
      </c>
      <c r="O802" s="95" t="s">
        <v>4965</v>
      </c>
      <c r="P802" s="95" t="s">
        <v>4966</v>
      </c>
      <c r="Q802" s="98">
        <v>3.0</v>
      </c>
      <c r="R802" s="97">
        <v>45917.46533564815</v>
      </c>
      <c r="S802" s="99">
        <v>340.0</v>
      </c>
      <c r="T802" s="99">
        <v>33.0</v>
      </c>
      <c r="U802" s="99">
        <v>1.0</v>
      </c>
      <c r="V802" s="99">
        <v>111.0</v>
      </c>
      <c r="W802" s="99">
        <v>92906.0</v>
      </c>
    </row>
    <row r="803" ht="15.75" customHeight="1">
      <c r="A803" s="95" t="s">
        <v>4967</v>
      </c>
      <c r="B803" s="95" t="s">
        <v>131</v>
      </c>
      <c r="C803" s="96" t="s">
        <v>4968</v>
      </c>
      <c r="D803" s="95" t="s">
        <v>130</v>
      </c>
      <c r="E803" s="95" t="s">
        <v>1025</v>
      </c>
      <c r="F803" s="95" t="s">
        <v>58</v>
      </c>
      <c r="G803" s="95" t="s">
        <v>1450</v>
      </c>
      <c r="H803" s="95" t="s">
        <v>60</v>
      </c>
      <c r="I803" s="95" t="s">
        <v>4969</v>
      </c>
      <c r="J803" s="97">
        <v>46021.50566978009</v>
      </c>
      <c r="K803" s="95" t="s">
        <v>4970</v>
      </c>
      <c r="L803" s="96" t="s">
        <v>4971</v>
      </c>
      <c r="M803" s="95" t="s">
        <v>503</v>
      </c>
      <c r="N803" s="95" t="s">
        <v>4972</v>
      </c>
      <c r="O803" s="95" t="s">
        <v>4972</v>
      </c>
      <c r="P803" s="95" t="s">
        <v>4973</v>
      </c>
      <c r="Q803" s="98">
        <v>3.0</v>
      </c>
      <c r="R803" s="97">
        <v>45807.83425925926</v>
      </c>
      <c r="S803" s="99">
        <v>764.0</v>
      </c>
      <c r="T803" s="99">
        <v>5.0</v>
      </c>
      <c r="U803" s="99">
        <v>1.0</v>
      </c>
      <c r="V803" s="99">
        <v>68.0</v>
      </c>
      <c r="W803" s="99">
        <v>71688.0</v>
      </c>
    </row>
    <row r="804" ht="15.75" customHeight="1">
      <c r="A804" s="95" t="s">
        <v>4974</v>
      </c>
      <c r="B804" s="95" t="s">
        <v>22</v>
      </c>
      <c r="C804" s="96" t="s">
        <v>4975</v>
      </c>
      <c r="D804" s="95" t="s">
        <v>49</v>
      </c>
      <c r="E804" s="95" t="s">
        <v>4976</v>
      </c>
      <c r="F804" s="95" t="s">
        <v>19</v>
      </c>
      <c r="G804" s="95" t="s">
        <v>19</v>
      </c>
      <c r="H804" s="95" t="s">
        <v>21</v>
      </c>
      <c r="I804" s="95" t="s">
        <v>567</v>
      </c>
      <c r="J804" s="97">
        <v>46021.50566978009</v>
      </c>
      <c r="K804" s="95" t="s">
        <v>4977</v>
      </c>
      <c r="L804" s="96" t="s">
        <v>4978</v>
      </c>
      <c r="M804" s="95" t="s">
        <v>93</v>
      </c>
      <c r="N804" s="95" t="s">
        <v>4979</v>
      </c>
      <c r="O804" s="95" t="s">
        <v>4979</v>
      </c>
      <c r="P804" s="95" t="s">
        <v>4980</v>
      </c>
      <c r="Q804" s="98">
        <v>3.0</v>
      </c>
      <c r="R804" s="97">
        <v>45722.17628472222</v>
      </c>
      <c r="S804" s="99">
        <v>1762.0</v>
      </c>
      <c r="T804" s="99">
        <v>1591.0</v>
      </c>
      <c r="U804" s="99">
        <v>431.0</v>
      </c>
      <c r="V804" s="99">
        <v>238.0</v>
      </c>
      <c r="W804" s="99">
        <v>723305.0</v>
      </c>
    </row>
    <row r="805" ht="15.75" customHeight="1">
      <c r="A805" s="95" t="s">
        <v>4981</v>
      </c>
      <c r="B805" s="95" t="s">
        <v>22</v>
      </c>
      <c r="C805" s="96" t="s">
        <v>4982</v>
      </c>
      <c r="D805" s="95" t="s">
        <v>49</v>
      </c>
      <c r="E805" s="95" t="s">
        <v>948</v>
      </c>
      <c r="F805" s="95" t="s">
        <v>19</v>
      </c>
      <c r="G805" s="95" t="s">
        <v>19</v>
      </c>
      <c r="H805" s="95" t="s">
        <v>21</v>
      </c>
      <c r="I805" s="95" t="s">
        <v>567</v>
      </c>
      <c r="J805" s="97">
        <v>46021.55657175926</v>
      </c>
      <c r="K805" s="95" t="s">
        <v>4983</v>
      </c>
      <c r="L805" s="96" t="s">
        <v>4984</v>
      </c>
      <c r="M805" s="95" t="s">
        <v>93</v>
      </c>
      <c r="N805" s="95" t="s">
        <v>4979</v>
      </c>
      <c r="O805" s="95" t="s">
        <v>4979</v>
      </c>
      <c r="P805" s="95" t="s">
        <v>4980</v>
      </c>
      <c r="Q805" s="98">
        <v>3.0</v>
      </c>
      <c r="R805" s="97">
        <v>45938.02396990741</v>
      </c>
      <c r="S805" s="99">
        <v>1762.0</v>
      </c>
      <c r="T805" s="99">
        <v>27.0</v>
      </c>
      <c r="U805" s="99">
        <v>2.0</v>
      </c>
      <c r="V805" s="99">
        <v>51.0</v>
      </c>
      <c r="W805" s="99">
        <v>723305.0</v>
      </c>
    </row>
    <row r="806" ht="15.75" customHeight="1">
      <c r="A806" s="95" t="s">
        <v>4985</v>
      </c>
      <c r="B806" s="95" t="s">
        <v>22</v>
      </c>
      <c r="C806" s="96" t="s">
        <v>4986</v>
      </c>
      <c r="D806" s="95" t="s">
        <v>49</v>
      </c>
      <c r="E806" s="95" t="s">
        <v>948</v>
      </c>
      <c r="F806" s="95" t="s">
        <v>19</v>
      </c>
      <c r="G806" s="95" t="s">
        <v>19</v>
      </c>
      <c r="H806" s="95" t="s">
        <v>21</v>
      </c>
      <c r="I806" s="95" t="s">
        <v>633</v>
      </c>
      <c r="J806" s="97">
        <v>46057.09201806713</v>
      </c>
      <c r="K806" s="95" t="s">
        <v>4987</v>
      </c>
      <c r="L806" s="96" t="s">
        <v>4988</v>
      </c>
      <c r="M806" s="95" t="s">
        <v>93</v>
      </c>
      <c r="N806" s="95" t="s">
        <v>4979</v>
      </c>
      <c r="O806" s="95" t="s">
        <v>4979</v>
      </c>
      <c r="P806" s="95" t="s">
        <v>4980</v>
      </c>
      <c r="Q806" s="98">
        <v>3.0</v>
      </c>
      <c r="R806" s="97">
        <v>46010.58596064815</v>
      </c>
      <c r="S806" s="99">
        <v>1762.0</v>
      </c>
      <c r="T806" s="99">
        <v>34.0</v>
      </c>
      <c r="U806" s="99">
        <v>7.0</v>
      </c>
      <c r="V806" s="99">
        <v>734.0</v>
      </c>
      <c r="W806" s="99">
        <v>723305.0</v>
      </c>
    </row>
    <row r="807" ht="15.75" customHeight="1">
      <c r="A807" s="95" t="s">
        <v>4989</v>
      </c>
      <c r="B807" s="95" t="s">
        <v>22</v>
      </c>
      <c r="C807" s="96" t="s">
        <v>4990</v>
      </c>
      <c r="D807" s="95" t="s">
        <v>49</v>
      </c>
      <c r="E807" s="95" t="s">
        <v>948</v>
      </c>
      <c r="F807" s="95" t="s">
        <v>19</v>
      </c>
      <c r="G807" s="95" t="s">
        <v>574</v>
      </c>
      <c r="H807" s="95" t="s">
        <v>21</v>
      </c>
      <c r="I807" s="95" t="s">
        <v>567</v>
      </c>
      <c r="J807" s="97">
        <v>46069.1361972338</v>
      </c>
      <c r="K807" s="95" t="s">
        <v>4991</v>
      </c>
      <c r="L807" s="96" t="s">
        <v>4992</v>
      </c>
      <c r="M807" s="95" t="s">
        <v>93</v>
      </c>
      <c r="N807" s="95" t="s">
        <v>4979</v>
      </c>
      <c r="O807" s="95" t="s">
        <v>4979</v>
      </c>
      <c r="P807" s="95" t="s">
        <v>4980</v>
      </c>
      <c r="Q807" s="98">
        <v>3.0</v>
      </c>
      <c r="R807" s="97">
        <v>46048.51415509259</v>
      </c>
      <c r="S807" s="99">
        <v>1762.0</v>
      </c>
      <c r="T807" s="99">
        <v>1247.0</v>
      </c>
      <c r="U807" s="99">
        <v>23.0</v>
      </c>
      <c r="V807" s="99">
        <v>778.0</v>
      </c>
      <c r="W807" s="99">
        <v>723305.0</v>
      </c>
    </row>
    <row r="808" ht="15.75" customHeight="1">
      <c r="A808" s="95" t="s">
        <v>4993</v>
      </c>
      <c r="B808" s="95" t="s">
        <v>22</v>
      </c>
      <c r="C808" s="96" t="s">
        <v>4994</v>
      </c>
      <c r="D808" s="95" t="s">
        <v>124</v>
      </c>
      <c r="E808" s="95" t="s">
        <v>794</v>
      </c>
      <c r="F808" s="95" t="s">
        <v>19</v>
      </c>
      <c r="G808" s="95" t="s">
        <v>19</v>
      </c>
      <c r="H808" s="95" t="s">
        <v>21</v>
      </c>
      <c r="I808" s="95" t="s">
        <v>567</v>
      </c>
      <c r="J808" s="97">
        <v>45993.7854622338</v>
      </c>
      <c r="K808" s="96" t="s">
        <v>4995</v>
      </c>
      <c r="L808" s="96" t="s">
        <v>4996</v>
      </c>
      <c r="M808" s="95" t="s">
        <v>17</v>
      </c>
      <c r="N808" s="95" t="s">
        <v>4997</v>
      </c>
      <c r="O808" s="95" t="s">
        <v>4997</v>
      </c>
      <c r="P808" s="95" t="s">
        <v>4998</v>
      </c>
      <c r="Q808" s="98">
        <v>3.0</v>
      </c>
      <c r="R808" s="97">
        <v>45700.77150462963</v>
      </c>
      <c r="S808" s="99">
        <v>71.0</v>
      </c>
      <c r="T808" s="99">
        <v>199.0</v>
      </c>
      <c r="U808" s="99">
        <v>2.0</v>
      </c>
      <c r="V808" s="99">
        <v>76.0</v>
      </c>
      <c r="W808" s="99">
        <v>157435.0</v>
      </c>
    </row>
    <row r="809" ht="15.75" customHeight="1">
      <c r="A809" s="95" t="s">
        <v>4999</v>
      </c>
      <c r="B809" s="95" t="s">
        <v>22</v>
      </c>
      <c r="C809" s="96" t="s">
        <v>5000</v>
      </c>
      <c r="D809" s="95" t="s">
        <v>39</v>
      </c>
      <c r="E809" s="95" t="s">
        <v>39</v>
      </c>
      <c r="F809" s="95" t="s">
        <v>19</v>
      </c>
      <c r="G809" s="95" t="s">
        <v>19</v>
      </c>
      <c r="H809" s="95" t="s">
        <v>21</v>
      </c>
      <c r="I809" s="95" t="s">
        <v>567</v>
      </c>
      <c r="J809" s="97">
        <v>45999.49721346065</v>
      </c>
      <c r="K809" s="95" t="s">
        <v>5001</v>
      </c>
      <c r="L809" s="96" t="s">
        <v>5002</v>
      </c>
      <c r="M809" s="95" t="s">
        <v>105</v>
      </c>
      <c r="N809" s="95" t="s">
        <v>5003</v>
      </c>
      <c r="O809" s="95" t="s">
        <v>5003</v>
      </c>
      <c r="P809" s="95" t="s">
        <v>5004</v>
      </c>
      <c r="Q809" s="98">
        <v>3.0</v>
      </c>
      <c r="R809" s="97">
        <v>45593.09663194444</v>
      </c>
      <c r="S809" s="99">
        <v>161.0</v>
      </c>
      <c r="T809" s="99">
        <v>421.0</v>
      </c>
      <c r="U809" s="99">
        <v>1.0</v>
      </c>
      <c r="V809" s="99">
        <v>26.0</v>
      </c>
      <c r="W809" s="99">
        <v>17005.0</v>
      </c>
    </row>
    <row r="810" ht="15.75" customHeight="1">
      <c r="A810" s="95" t="s">
        <v>5005</v>
      </c>
      <c r="B810" s="95" t="s">
        <v>101</v>
      </c>
      <c r="C810" s="96" t="s">
        <v>5006</v>
      </c>
      <c r="D810" s="95" t="s">
        <v>20</v>
      </c>
      <c r="E810" s="95" t="s">
        <v>879</v>
      </c>
      <c r="F810" s="95" t="s">
        <v>19</v>
      </c>
      <c r="G810" s="95" t="s">
        <v>574</v>
      </c>
      <c r="H810" s="95" t="s">
        <v>21</v>
      </c>
      <c r="I810" s="95" t="s">
        <v>1504</v>
      </c>
      <c r="J810" s="97">
        <v>46008.62903146991</v>
      </c>
      <c r="K810" s="96" t="s">
        <v>5007</v>
      </c>
      <c r="L810" s="96" t="s">
        <v>5008</v>
      </c>
      <c r="M810" s="95" t="s">
        <v>17</v>
      </c>
      <c r="N810" s="95" t="s">
        <v>5009</v>
      </c>
      <c r="O810" s="95" t="s">
        <v>5009</v>
      </c>
      <c r="P810" s="95" t="s">
        <v>5010</v>
      </c>
      <c r="Q810" s="98">
        <v>3.0</v>
      </c>
      <c r="R810" s="97">
        <v>45882.67021990741</v>
      </c>
      <c r="S810" s="99">
        <v>3261.0</v>
      </c>
      <c r="T810" s="99">
        <v>1583.0</v>
      </c>
      <c r="U810" s="99">
        <v>17.0</v>
      </c>
      <c r="V810" s="99">
        <v>904.0</v>
      </c>
      <c r="W810" s="99">
        <v>509808.0</v>
      </c>
    </row>
    <row r="811" ht="15.75" customHeight="1">
      <c r="A811" s="95" t="s">
        <v>5011</v>
      </c>
      <c r="B811" s="95" t="s">
        <v>157</v>
      </c>
      <c r="C811" s="96" t="s">
        <v>5012</v>
      </c>
      <c r="D811" s="95" t="s">
        <v>20</v>
      </c>
      <c r="E811" s="95" t="s">
        <v>1991</v>
      </c>
      <c r="F811" s="95" t="s">
        <v>19</v>
      </c>
      <c r="G811" s="95" t="s">
        <v>19</v>
      </c>
      <c r="H811" s="95" t="s">
        <v>89</v>
      </c>
      <c r="I811" s="95" t="s">
        <v>859</v>
      </c>
      <c r="J811" s="97">
        <v>45977.14544674769</v>
      </c>
      <c r="K811" s="95" t="s">
        <v>5013</v>
      </c>
      <c r="L811" s="95"/>
      <c r="M811" s="95" t="s">
        <v>17</v>
      </c>
      <c r="N811" s="95" t="s">
        <v>5014</v>
      </c>
      <c r="O811" s="95" t="s">
        <v>5014</v>
      </c>
      <c r="P811" s="95" t="s">
        <v>5015</v>
      </c>
      <c r="Q811" s="98">
        <v>3.0</v>
      </c>
      <c r="R811" s="97">
        <v>45748.53862268518</v>
      </c>
      <c r="S811" s="99">
        <v>646.0</v>
      </c>
      <c r="T811" s="99">
        <v>42.0</v>
      </c>
      <c r="U811" s="99">
        <v>9.0</v>
      </c>
      <c r="V811" s="99">
        <v>67.0</v>
      </c>
      <c r="W811" s="99">
        <v>95492.0</v>
      </c>
    </row>
    <row r="812" ht="15.75" customHeight="1">
      <c r="A812" s="95" t="s">
        <v>5016</v>
      </c>
      <c r="B812" s="95" t="s">
        <v>131</v>
      </c>
      <c r="C812" s="96" t="s">
        <v>5017</v>
      </c>
      <c r="D812" s="95" t="s">
        <v>39</v>
      </c>
      <c r="E812" s="95" t="s">
        <v>39</v>
      </c>
      <c r="F812" s="95" t="s">
        <v>88</v>
      </c>
      <c r="G812" s="95" t="s">
        <v>88</v>
      </c>
      <c r="H812" s="95" t="s">
        <v>89</v>
      </c>
      <c r="I812" s="95" t="s">
        <v>726</v>
      </c>
      <c r="J812" s="97">
        <v>45975.67928111111</v>
      </c>
      <c r="K812" s="96" t="s">
        <v>5018</v>
      </c>
      <c r="L812" s="96" t="s">
        <v>5019</v>
      </c>
      <c r="M812" s="95" t="s">
        <v>28</v>
      </c>
      <c r="N812" s="95" t="s">
        <v>5020</v>
      </c>
      <c r="O812" s="95" t="s">
        <v>5020</v>
      </c>
      <c r="P812" s="95" t="s">
        <v>5021</v>
      </c>
      <c r="Q812" s="98">
        <v>3.0</v>
      </c>
      <c r="R812" s="97">
        <v>45789.8650462963</v>
      </c>
      <c r="S812" s="99">
        <v>921.0</v>
      </c>
      <c r="T812" s="99">
        <v>587.0</v>
      </c>
      <c r="U812" s="99">
        <v>2.0</v>
      </c>
      <c r="V812" s="99">
        <v>89.0</v>
      </c>
      <c r="W812" s="99">
        <v>21592.0</v>
      </c>
    </row>
    <row r="813" ht="15.75" customHeight="1">
      <c r="A813" s="95" t="s">
        <v>5022</v>
      </c>
      <c r="B813" s="95" t="s">
        <v>22</v>
      </c>
      <c r="C813" s="96" t="s">
        <v>5023</v>
      </c>
      <c r="D813" s="95" t="s">
        <v>39</v>
      </c>
      <c r="E813" s="95" t="s">
        <v>1269</v>
      </c>
      <c r="F813" s="95" t="s">
        <v>19</v>
      </c>
      <c r="G813" s="95" t="s">
        <v>1367</v>
      </c>
      <c r="H813" s="95" t="s">
        <v>21</v>
      </c>
      <c r="I813" s="95" t="s">
        <v>567</v>
      </c>
      <c r="J813" s="97">
        <v>46021.4946265625</v>
      </c>
      <c r="K813" s="95" t="s">
        <v>5024</v>
      </c>
      <c r="L813" s="96" t="s">
        <v>5025</v>
      </c>
      <c r="M813" s="95" t="s">
        <v>28</v>
      </c>
      <c r="N813" s="95" t="s">
        <v>5020</v>
      </c>
      <c r="O813" s="95" t="s">
        <v>5020</v>
      </c>
      <c r="P813" s="95" t="s">
        <v>5021</v>
      </c>
      <c r="Q813" s="98">
        <v>3.0</v>
      </c>
      <c r="R813" s="97">
        <v>45725.36096064815</v>
      </c>
      <c r="S813" s="99">
        <v>921.0</v>
      </c>
      <c r="T813" s="99">
        <v>428.0</v>
      </c>
      <c r="U813" s="99">
        <v>6.0</v>
      </c>
      <c r="V813" s="99">
        <v>205.0</v>
      </c>
      <c r="W813" s="99">
        <v>21592.0</v>
      </c>
    </row>
    <row r="814" ht="15.75" customHeight="1">
      <c r="A814" s="95" t="s">
        <v>5026</v>
      </c>
      <c r="B814" s="95" t="s">
        <v>101</v>
      </c>
      <c r="C814" s="96" t="s">
        <v>5027</v>
      </c>
      <c r="D814" s="95" t="s">
        <v>39</v>
      </c>
      <c r="E814" s="95" t="s">
        <v>1269</v>
      </c>
      <c r="F814" s="95" t="s">
        <v>19</v>
      </c>
      <c r="G814" s="95" t="s">
        <v>19</v>
      </c>
      <c r="H814" s="95" t="s">
        <v>21</v>
      </c>
      <c r="I814" s="95" t="s">
        <v>1589</v>
      </c>
      <c r="J814" s="97">
        <v>46021.5125787037</v>
      </c>
      <c r="K814" s="95" t="s">
        <v>5028</v>
      </c>
      <c r="L814" s="96" t="s">
        <v>5029</v>
      </c>
      <c r="M814" s="95" t="s">
        <v>28</v>
      </c>
      <c r="N814" s="95" t="s">
        <v>5020</v>
      </c>
      <c r="O814" s="95" t="s">
        <v>5020</v>
      </c>
      <c r="P814" s="95" t="s">
        <v>5021</v>
      </c>
      <c r="Q814" s="98">
        <v>3.0</v>
      </c>
      <c r="R814" s="97">
        <v>45882.87997685185</v>
      </c>
      <c r="S814" s="99">
        <v>921.0</v>
      </c>
      <c r="T814" s="99">
        <v>632.0</v>
      </c>
      <c r="U814" s="99">
        <v>23.0</v>
      </c>
      <c r="V814" s="99">
        <v>454.0</v>
      </c>
      <c r="W814" s="99">
        <v>21592.0</v>
      </c>
    </row>
    <row r="815" ht="15.75" customHeight="1">
      <c r="A815" s="95" t="s">
        <v>5030</v>
      </c>
      <c r="B815" s="95" t="s">
        <v>22</v>
      </c>
      <c r="C815" s="96" t="s">
        <v>5031</v>
      </c>
      <c r="D815" s="95" t="s">
        <v>168</v>
      </c>
      <c r="E815" s="95" t="s">
        <v>3021</v>
      </c>
      <c r="F815" s="95" t="s">
        <v>19</v>
      </c>
      <c r="G815" s="95" t="s">
        <v>574</v>
      </c>
      <c r="H815" s="95" t="s">
        <v>21</v>
      </c>
      <c r="I815" s="95" t="s">
        <v>567</v>
      </c>
      <c r="J815" s="97">
        <v>45977.6759656713</v>
      </c>
      <c r="K815" s="95" t="s">
        <v>5032</v>
      </c>
      <c r="L815" s="95"/>
      <c r="M815" s="95" t="s">
        <v>17</v>
      </c>
      <c r="N815" s="95" t="s">
        <v>5033</v>
      </c>
      <c r="O815" s="95" t="s">
        <v>5033</v>
      </c>
      <c r="P815" s="95" t="s">
        <v>5034</v>
      </c>
      <c r="Q815" s="98">
        <v>3.0</v>
      </c>
      <c r="R815" s="97">
        <v>45903.52622685185</v>
      </c>
      <c r="S815" s="99">
        <v>243.0</v>
      </c>
      <c r="T815" s="99">
        <v>442.0</v>
      </c>
      <c r="U815" s="99">
        <v>62.0</v>
      </c>
      <c r="V815" s="99">
        <v>318.0</v>
      </c>
      <c r="W815" s="99">
        <v>37473.0</v>
      </c>
    </row>
    <row r="816" ht="15.75" customHeight="1">
      <c r="A816" s="95" t="s">
        <v>5035</v>
      </c>
      <c r="B816" s="95" t="s">
        <v>22</v>
      </c>
      <c r="C816" s="96" t="s">
        <v>5036</v>
      </c>
      <c r="D816" s="95" t="s">
        <v>59</v>
      </c>
      <c r="E816" s="95" t="s">
        <v>3394</v>
      </c>
      <c r="F816" s="95" t="s">
        <v>88</v>
      </c>
      <c r="G816" s="95"/>
      <c r="H816" s="95" t="s">
        <v>21</v>
      </c>
      <c r="I816" s="95" t="s">
        <v>589</v>
      </c>
      <c r="J816" s="97">
        <v>45975.67930055556</v>
      </c>
      <c r="K816" s="96" t="s">
        <v>5037</v>
      </c>
      <c r="L816" s="96" t="s">
        <v>5038</v>
      </c>
      <c r="M816" s="95" t="s">
        <v>105</v>
      </c>
      <c r="N816" s="95" t="s">
        <v>5039</v>
      </c>
      <c r="O816" s="95" t="s">
        <v>5039</v>
      </c>
      <c r="P816" s="95" t="s">
        <v>5040</v>
      </c>
      <c r="Q816" s="98">
        <v>3.0</v>
      </c>
      <c r="R816" s="97">
        <v>45273.63435185186</v>
      </c>
      <c r="S816" s="99">
        <v>2152.0</v>
      </c>
      <c r="T816" s="99">
        <v>119.0</v>
      </c>
      <c r="U816" s="99">
        <v>5.0</v>
      </c>
      <c r="V816" s="99">
        <v>117.0</v>
      </c>
      <c r="W816" s="99">
        <v>148882.0</v>
      </c>
    </row>
    <row r="817" ht="15.75" customHeight="1">
      <c r="A817" s="95" t="s">
        <v>5041</v>
      </c>
      <c r="B817" s="95" t="s">
        <v>22</v>
      </c>
      <c r="C817" s="96" t="s">
        <v>5042</v>
      </c>
      <c r="D817" s="95" t="s">
        <v>124</v>
      </c>
      <c r="E817" s="95" t="s">
        <v>5043</v>
      </c>
      <c r="F817" s="95" t="s">
        <v>19</v>
      </c>
      <c r="G817" s="95" t="s">
        <v>19</v>
      </c>
      <c r="H817" s="95" t="s">
        <v>21</v>
      </c>
      <c r="I817" s="95" t="s">
        <v>567</v>
      </c>
      <c r="J817" s="97">
        <v>45975.67934811342</v>
      </c>
      <c r="K817" s="96" t="s">
        <v>5044</v>
      </c>
      <c r="L817" s="96" t="s">
        <v>5045</v>
      </c>
      <c r="M817" s="95" t="s">
        <v>17</v>
      </c>
      <c r="N817" s="95" t="s">
        <v>5046</v>
      </c>
      <c r="O817" s="95" t="s">
        <v>5046</v>
      </c>
      <c r="P817" s="95" t="s">
        <v>5047</v>
      </c>
      <c r="Q817" s="98">
        <v>3.0</v>
      </c>
      <c r="R817" s="97">
        <v>45615.41606481482</v>
      </c>
      <c r="S817" s="99">
        <v>63.0</v>
      </c>
      <c r="T817" s="99">
        <v>9.0</v>
      </c>
      <c r="U817" s="99">
        <v>20.0</v>
      </c>
      <c r="V817" s="99">
        <v>127.0</v>
      </c>
      <c r="W817" s="99">
        <v>169832.0</v>
      </c>
    </row>
    <row r="818" ht="15.75" customHeight="1">
      <c r="A818" s="95" t="s">
        <v>5048</v>
      </c>
      <c r="B818" s="95" t="s">
        <v>22</v>
      </c>
      <c r="C818" s="96" t="s">
        <v>5049</v>
      </c>
      <c r="D818" s="95" t="s">
        <v>29</v>
      </c>
      <c r="E818" s="95" t="s">
        <v>29</v>
      </c>
      <c r="F818" s="95" t="s">
        <v>19</v>
      </c>
      <c r="G818" s="95" t="s">
        <v>19</v>
      </c>
      <c r="H818" s="95" t="s">
        <v>21</v>
      </c>
      <c r="I818" s="95" t="s">
        <v>567</v>
      </c>
      <c r="J818" s="97">
        <v>46021.50566978009</v>
      </c>
      <c r="K818" s="95" t="s">
        <v>5050</v>
      </c>
      <c r="L818" s="96" t="s">
        <v>5051</v>
      </c>
      <c r="M818" s="95" t="s">
        <v>67</v>
      </c>
      <c r="N818" s="95" t="s">
        <v>5052</v>
      </c>
      <c r="O818" s="95" t="s">
        <v>5052</v>
      </c>
      <c r="P818" s="95" t="s">
        <v>5053</v>
      </c>
      <c r="Q818" s="98">
        <v>3.0</v>
      </c>
      <c r="R818" s="97">
        <v>45647.62355324074</v>
      </c>
      <c r="S818" s="99">
        <v>1145.0</v>
      </c>
      <c r="T818" s="99">
        <v>18.0</v>
      </c>
      <c r="U818" s="99">
        <v>1.0</v>
      </c>
      <c r="V818" s="99">
        <v>215.0</v>
      </c>
      <c r="W818" s="99">
        <v>14070.0</v>
      </c>
    </row>
    <row r="819" ht="15.75" customHeight="1">
      <c r="A819" s="95" t="s">
        <v>5054</v>
      </c>
      <c r="B819" s="95" t="s">
        <v>157</v>
      </c>
      <c r="C819" s="96" t="s">
        <v>5055</v>
      </c>
      <c r="D819" s="95" t="s">
        <v>547</v>
      </c>
      <c r="E819" s="95" t="s">
        <v>547</v>
      </c>
      <c r="F819" s="95" t="s">
        <v>88</v>
      </c>
      <c r="G819" s="95" t="s">
        <v>88</v>
      </c>
      <c r="H819" s="95" t="s">
        <v>89</v>
      </c>
      <c r="I819" s="95" t="s">
        <v>859</v>
      </c>
      <c r="J819" s="97">
        <v>45975.67937972222</v>
      </c>
      <c r="K819" s="96" t="s">
        <v>5056</v>
      </c>
      <c r="L819" s="96" t="s">
        <v>5057</v>
      </c>
      <c r="M819" s="95" t="s">
        <v>38</v>
      </c>
      <c r="N819" s="95" t="s">
        <v>5058</v>
      </c>
      <c r="O819" s="95" t="s">
        <v>5058</v>
      </c>
      <c r="P819" s="95" t="s">
        <v>5059</v>
      </c>
      <c r="Q819" s="98">
        <v>3.0</v>
      </c>
      <c r="R819" s="97">
        <v>45880.22098379629</v>
      </c>
      <c r="S819" s="99">
        <v>63.0</v>
      </c>
      <c r="T819" s="99">
        <v>33.0</v>
      </c>
      <c r="U819" s="99">
        <v>2.0</v>
      </c>
      <c r="V819" s="99">
        <v>548.0</v>
      </c>
      <c r="W819" s="99">
        <v>8911.0</v>
      </c>
    </row>
    <row r="820" ht="15.75" customHeight="1">
      <c r="A820" s="95" t="s">
        <v>5060</v>
      </c>
      <c r="B820" s="95" t="s">
        <v>69</v>
      </c>
      <c r="C820" s="96" t="s">
        <v>5061</v>
      </c>
      <c r="D820" s="95" t="s">
        <v>124</v>
      </c>
      <c r="E820" s="95" t="s">
        <v>983</v>
      </c>
      <c r="F820" s="95" t="s">
        <v>19</v>
      </c>
      <c r="G820" s="95" t="s">
        <v>19</v>
      </c>
      <c r="H820" s="95" t="s">
        <v>21</v>
      </c>
      <c r="I820" s="95" t="s">
        <v>998</v>
      </c>
      <c r="J820" s="97">
        <v>46021.50566978009</v>
      </c>
      <c r="K820" s="95" t="s">
        <v>5062</v>
      </c>
      <c r="L820" s="96" t="s">
        <v>5063</v>
      </c>
      <c r="M820" s="95" t="s">
        <v>74</v>
      </c>
      <c r="N820" s="95" t="s">
        <v>5064</v>
      </c>
      <c r="O820" s="95" t="s">
        <v>5064</v>
      </c>
      <c r="P820" s="95" t="s">
        <v>5065</v>
      </c>
      <c r="Q820" s="98">
        <v>3.0</v>
      </c>
      <c r="R820" s="97">
        <v>45903.94788194444</v>
      </c>
      <c r="S820" s="99">
        <v>144.0</v>
      </c>
      <c r="T820" s="99">
        <v>7.0</v>
      </c>
      <c r="U820" s="99">
        <v>17.0</v>
      </c>
      <c r="V820" s="99">
        <v>1258.0</v>
      </c>
      <c r="W820" s="99">
        <v>21878.0</v>
      </c>
    </row>
    <row r="821" ht="15.75" customHeight="1">
      <c r="A821" s="95" t="s">
        <v>5066</v>
      </c>
      <c r="B821" s="95" t="s">
        <v>22</v>
      </c>
      <c r="C821" s="96" t="s">
        <v>5067</v>
      </c>
      <c r="D821" s="95" t="s">
        <v>168</v>
      </c>
      <c r="E821" s="95" t="s">
        <v>1228</v>
      </c>
      <c r="F821" s="95" t="s">
        <v>19</v>
      </c>
      <c r="G821" s="95" t="s">
        <v>1367</v>
      </c>
      <c r="H821" s="95" t="s">
        <v>21</v>
      </c>
      <c r="I821" s="95" t="s">
        <v>567</v>
      </c>
      <c r="J821" s="97">
        <v>45993.7854622338</v>
      </c>
      <c r="K821" s="96" t="s">
        <v>5068</v>
      </c>
      <c r="L821" s="96" t="s">
        <v>5069</v>
      </c>
      <c r="M821" s="95" t="s">
        <v>17</v>
      </c>
      <c r="N821" s="95" t="s">
        <v>5070</v>
      </c>
      <c r="O821" s="95" t="s">
        <v>5070</v>
      </c>
      <c r="P821" s="95" t="s">
        <v>5071</v>
      </c>
      <c r="Q821" s="98">
        <v>3.0</v>
      </c>
      <c r="R821" s="97">
        <v>45702.93234953703</v>
      </c>
      <c r="S821" s="99">
        <v>0.0</v>
      </c>
      <c r="T821" s="99">
        <v>35.0</v>
      </c>
      <c r="U821" s="99">
        <v>3.0</v>
      </c>
      <c r="V821" s="99">
        <v>234.0</v>
      </c>
      <c r="W821" s="99">
        <v>520096.0</v>
      </c>
    </row>
    <row r="822" ht="15.75" customHeight="1">
      <c r="A822" s="95" t="s">
        <v>5072</v>
      </c>
      <c r="B822" s="95" t="s">
        <v>22</v>
      </c>
      <c r="C822" s="96" t="s">
        <v>5073</v>
      </c>
      <c r="D822" s="95" t="s">
        <v>168</v>
      </c>
      <c r="E822" s="95" t="s">
        <v>1228</v>
      </c>
      <c r="F822" s="95" t="s">
        <v>19</v>
      </c>
      <c r="G822" s="95" t="s">
        <v>588</v>
      </c>
      <c r="H822" s="95" t="s">
        <v>21</v>
      </c>
      <c r="I822" s="95" t="s">
        <v>677</v>
      </c>
      <c r="J822" s="97">
        <v>46008.62903150463</v>
      </c>
      <c r="K822" s="96" t="s">
        <v>5074</v>
      </c>
      <c r="L822" s="96" t="s">
        <v>5075</v>
      </c>
      <c r="M822" s="95" t="s">
        <v>17</v>
      </c>
      <c r="N822" s="95" t="s">
        <v>5070</v>
      </c>
      <c r="O822" s="95" t="s">
        <v>5070</v>
      </c>
      <c r="P822" s="95" t="s">
        <v>5071</v>
      </c>
      <c r="Q822" s="98">
        <v>3.0</v>
      </c>
      <c r="R822" s="97">
        <v>45756.73950231481</v>
      </c>
      <c r="S822" s="99">
        <v>0.0</v>
      </c>
      <c r="T822" s="99">
        <v>34.0</v>
      </c>
      <c r="U822" s="99">
        <v>36.0</v>
      </c>
      <c r="V822" s="99">
        <v>127.0</v>
      </c>
      <c r="W822" s="99">
        <v>520096.0</v>
      </c>
    </row>
    <row r="823" ht="15.75" customHeight="1">
      <c r="A823" s="95" t="s">
        <v>5076</v>
      </c>
      <c r="B823" s="95" t="s">
        <v>101</v>
      </c>
      <c r="C823" s="96" t="s">
        <v>5077</v>
      </c>
      <c r="D823" s="95" t="s">
        <v>39</v>
      </c>
      <c r="E823" s="95" t="s">
        <v>39</v>
      </c>
      <c r="F823" s="95" t="s">
        <v>19</v>
      </c>
      <c r="G823" s="95" t="s">
        <v>574</v>
      </c>
      <c r="H823" s="95" t="s">
        <v>21</v>
      </c>
      <c r="I823" s="95" t="s">
        <v>5078</v>
      </c>
      <c r="J823" s="97">
        <v>46011.73367328704</v>
      </c>
      <c r="K823" s="95" t="s">
        <v>5079</v>
      </c>
      <c r="L823" s="96" t="s">
        <v>5080</v>
      </c>
      <c r="M823" s="95" t="s">
        <v>93</v>
      </c>
      <c r="N823" s="95" t="s">
        <v>5081</v>
      </c>
      <c r="O823" s="95" t="s">
        <v>5081</v>
      </c>
      <c r="P823" s="95" t="s">
        <v>5082</v>
      </c>
      <c r="Q823" s="98">
        <v>3.0</v>
      </c>
      <c r="R823" s="97">
        <v>45979.02806712963</v>
      </c>
      <c r="S823" s="99">
        <v>3547.0</v>
      </c>
      <c r="T823" s="99">
        <v>49.0</v>
      </c>
      <c r="U823" s="99">
        <v>1.0</v>
      </c>
      <c r="V823" s="99">
        <v>404.0</v>
      </c>
      <c r="W823" s="99">
        <v>80126.0</v>
      </c>
    </row>
    <row r="824" ht="15.75" customHeight="1">
      <c r="A824" s="95" t="s">
        <v>5083</v>
      </c>
      <c r="B824" s="95" t="s">
        <v>22</v>
      </c>
      <c r="C824" s="96" t="s">
        <v>5084</v>
      </c>
      <c r="D824" s="95" t="s">
        <v>124</v>
      </c>
      <c r="E824" s="95" t="s">
        <v>124</v>
      </c>
      <c r="F824" s="95" t="s">
        <v>19</v>
      </c>
      <c r="G824" s="95" t="s">
        <v>19</v>
      </c>
      <c r="H824" s="95" t="s">
        <v>21</v>
      </c>
      <c r="I824" s="95" t="s">
        <v>943</v>
      </c>
      <c r="J824" s="97">
        <v>46021.4946265625</v>
      </c>
      <c r="K824" s="95" t="s">
        <v>5085</v>
      </c>
      <c r="L824" s="96" t="s">
        <v>5086</v>
      </c>
      <c r="M824" s="95" t="s">
        <v>74</v>
      </c>
      <c r="N824" s="95" t="s">
        <v>5087</v>
      </c>
      <c r="O824" s="95" t="s">
        <v>5087</v>
      </c>
      <c r="P824" s="95" t="s">
        <v>5088</v>
      </c>
      <c r="Q824" s="98">
        <v>3.0</v>
      </c>
      <c r="R824" s="97">
        <v>45923.77324074074</v>
      </c>
      <c r="S824" s="99">
        <v>470.0</v>
      </c>
      <c r="T824" s="99">
        <v>16.0</v>
      </c>
      <c r="U824" s="99">
        <v>11.0</v>
      </c>
      <c r="V824" s="99">
        <v>213.0</v>
      </c>
      <c r="W824" s="99">
        <v>4820.0</v>
      </c>
    </row>
    <row r="825" ht="15.75" customHeight="1">
      <c r="A825" s="95" t="s">
        <v>5089</v>
      </c>
      <c r="B825" s="95" t="s">
        <v>131</v>
      </c>
      <c r="C825" s="96" t="s">
        <v>5090</v>
      </c>
      <c r="D825" s="95" t="s">
        <v>59</v>
      </c>
      <c r="E825" s="95" t="s">
        <v>59</v>
      </c>
      <c r="F825" s="95" t="s">
        <v>58</v>
      </c>
      <c r="G825" s="95" t="s">
        <v>1450</v>
      </c>
      <c r="H825" s="95" t="s">
        <v>60</v>
      </c>
      <c r="I825" s="95" t="s">
        <v>5091</v>
      </c>
      <c r="J825" s="97">
        <v>46021.50566978009</v>
      </c>
      <c r="K825" s="95" t="s">
        <v>5092</v>
      </c>
      <c r="L825" s="96" t="s">
        <v>5093</v>
      </c>
      <c r="M825" s="95" t="s">
        <v>54</v>
      </c>
      <c r="N825" s="95" t="s">
        <v>5094</v>
      </c>
      <c r="O825" s="95" t="s">
        <v>5094</v>
      </c>
      <c r="P825" s="95" t="s">
        <v>5095</v>
      </c>
      <c r="Q825" s="98">
        <v>3.0</v>
      </c>
      <c r="R825" s="97">
        <v>45747.63890046296</v>
      </c>
      <c r="S825" s="99">
        <v>55.0</v>
      </c>
      <c r="T825" s="99">
        <v>2.0</v>
      </c>
      <c r="U825" s="99">
        <v>2.0</v>
      </c>
      <c r="V825" s="99">
        <v>99.0</v>
      </c>
      <c r="W825" s="99">
        <v>48999.0</v>
      </c>
    </row>
    <row r="826" ht="15.75" customHeight="1">
      <c r="A826" s="95" t="s">
        <v>5096</v>
      </c>
      <c r="B826" s="95" t="s">
        <v>22</v>
      </c>
      <c r="C826" s="96" t="s">
        <v>5097</v>
      </c>
      <c r="D826" s="95" t="s">
        <v>59</v>
      </c>
      <c r="E826" s="95" t="s">
        <v>1347</v>
      </c>
      <c r="F826" s="95" t="s">
        <v>88</v>
      </c>
      <c r="G826" s="95" t="s">
        <v>858</v>
      </c>
      <c r="H826" s="95" t="s">
        <v>21</v>
      </c>
      <c r="I826" s="95" t="s">
        <v>567</v>
      </c>
      <c r="J826" s="97">
        <v>46002.69461184028</v>
      </c>
      <c r="K826" s="95" t="s">
        <v>5098</v>
      </c>
      <c r="L826" s="96" t="s">
        <v>5099</v>
      </c>
      <c r="M826" s="95" t="s">
        <v>54</v>
      </c>
      <c r="N826" s="95" t="s">
        <v>5100</v>
      </c>
      <c r="O826" s="95" t="s">
        <v>5100</v>
      </c>
      <c r="P826" s="95" t="s">
        <v>5101</v>
      </c>
      <c r="Q826" s="98">
        <v>3.0</v>
      </c>
      <c r="R826" s="97">
        <v>45701.56299768519</v>
      </c>
      <c r="S826" s="99">
        <v>56.0</v>
      </c>
      <c r="T826" s="99">
        <v>159.0</v>
      </c>
      <c r="U826" s="99">
        <v>1.0</v>
      </c>
      <c r="V826" s="99">
        <v>190.0</v>
      </c>
      <c r="W826" s="99">
        <v>8970.0</v>
      </c>
    </row>
    <row r="827" ht="15.75" customHeight="1">
      <c r="A827" s="95" t="s">
        <v>5102</v>
      </c>
      <c r="B827" s="95" t="s">
        <v>22</v>
      </c>
      <c r="C827" s="96" t="s">
        <v>5103</v>
      </c>
      <c r="D827" s="95" t="s">
        <v>59</v>
      </c>
      <c r="E827" s="95" t="s">
        <v>1347</v>
      </c>
      <c r="F827" s="95" t="s">
        <v>19</v>
      </c>
      <c r="G827" s="95" t="s">
        <v>19</v>
      </c>
      <c r="H827" s="95" t="s">
        <v>21</v>
      </c>
      <c r="I827" s="95" t="s">
        <v>567</v>
      </c>
      <c r="J827" s="97">
        <v>46021.4946265625</v>
      </c>
      <c r="K827" s="95" t="s">
        <v>5104</v>
      </c>
      <c r="L827" s="96" t="s">
        <v>5105</v>
      </c>
      <c r="M827" s="95" t="s">
        <v>54</v>
      </c>
      <c r="N827" s="95" t="s">
        <v>5100</v>
      </c>
      <c r="O827" s="95" t="s">
        <v>5100</v>
      </c>
      <c r="P827" s="95" t="s">
        <v>5101</v>
      </c>
      <c r="Q827" s="98">
        <v>3.0</v>
      </c>
      <c r="R827" s="97">
        <v>45607.41332175926</v>
      </c>
      <c r="S827" s="99">
        <v>56.0</v>
      </c>
      <c r="T827" s="99">
        <v>142.0</v>
      </c>
      <c r="U827" s="99">
        <v>16.0</v>
      </c>
      <c r="V827" s="99">
        <v>306.0</v>
      </c>
      <c r="W827" s="99">
        <v>8970.0</v>
      </c>
    </row>
    <row r="828" ht="15.75" customHeight="1">
      <c r="A828" s="95" t="s">
        <v>5106</v>
      </c>
      <c r="B828" s="95" t="s">
        <v>22</v>
      </c>
      <c r="C828" s="96" t="s">
        <v>5107</v>
      </c>
      <c r="D828" s="95" t="s">
        <v>130</v>
      </c>
      <c r="E828" s="95" t="s">
        <v>1025</v>
      </c>
      <c r="F828" s="95" t="s">
        <v>19</v>
      </c>
      <c r="G828" s="95" t="s">
        <v>19</v>
      </c>
      <c r="H828" s="95" t="s">
        <v>21</v>
      </c>
      <c r="I828" s="95" t="s">
        <v>567</v>
      </c>
      <c r="J828" s="97">
        <v>45975.67934811342</v>
      </c>
      <c r="K828" s="96" t="s">
        <v>5108</v>
      </c>
      <c r="L828" s="96" t="s">
        <v>5109</v>
      </c>
      <c r="M828" s="95" t="s">
        <v>17</v>
      </c>
      <c r="N828" s="95" t="s">
        <v>5110</v>
      </c>
      <c r="O828" s="95" t="s">
        <v>5110</v>
      </c>
      <c r="P828" s="95" t="s">
        <v>5111</v>
      </c>
      <c r="Q828" s="98">
        <v>3.0</v>
      </c>
      <c r="R828" s="97">
        <v>45804.58355324074</v>
      </c>
      <c r="S828" s="99">
        <v>92.0</v>
      </c>
      <c r="T828" s="99">
        <v>76.0</v>
      </c>
      <c r="U828" s="99">
        <v>2.0</v>
      </c>
      <c r="V828" s="99">
        <v>97.0</v>
      </c>
      <c r="W828" s="99">
        <v>16774.0</v>
      </c>
    </row>
    <row r="829" ht="15.75" customHeight="1">
      <c r="A829" s="95" t="s">
        <v>5112</v>
      </c>
      <c r="B829" s="95" t="s">
        <v>131</v>
      </c>
      <c r="C829" s="96" t="s">
        <v>5113</v>
      </c>
      <c r="D829" s="95" t="s">
        <v>130</v>
      </c>
      <c r="E829" s="95" t="s">
        <v>2360</v>
      </c>
      <c r="F829" s="95" t="s">
        <v>19</v>
      </c>
      <c r="G829" s="95" t="s">
        <v>574</v>
      </c>
      <c r="H829" s="95" t="s">
        <v>60</v>
      </c>
      <c r="I829" s="95" t="s">
        <v>795</v>
      </c>
      <c r="J829" s="97">
        <v>45975.67937189815</v>
      </c>
      <c r="K829" s="96" t="s">
        <v>5114</v>
      </c>
      <c r="L829" s="96" t="s">
        <v>5115</v>
      </c>
      <c r="M829" s="95" t="s">
        <v>38</v>
      </c>
      <c r="N829" s="95" t="s">
        <v>5116</v>
      </c>
      <c r="O829" s="95" t="s">
        <v>5116</v>
      </c>
      <c r="P829" s="95" t="s">
        <v>5117</v>
      </c>
      <c r="Q829" s="98">
        <v>3.0</v>
      </c>
      <c r="R829" s="97">
        <v>45684.68525462963</v>
      </c>
      <c r="S829" s="99">
        <v>30942.0</v>
      </c>
      <c r="T829" s="99">
        <v>71.0</v>
      </c>
      <c r="U829" s="99">
        <v>4.0</v>
      </c>
      <c r="V829" s="99">
        <v>680.0</v>
      </c>
      <c r="W829" s="99">
        <v>98736.0</v>
      </c>
    </row>
    <row r="830" ht="15.75" customHeight="1">
      <c r="A830" s="95" t="s">
        <v>5118</v>
      </c>
      <c r="B830" s="95" t="s">
        <v>131</v>
      </c>
      <c r="C830" s="96" t="s">
        <v>5119</v>
      </c>
      <c r="D830" s="95" t="s">
        <v>59</v>
      </c>
      <c r="E830" s="95" t="s">
        <v>1347</v>
      </c>
      <c r="F830" s="95" t="s">
        <v>19</v>
      </c>
      <c r="G830" s="95" t="s">
        <v>574</v>
      </c>
      <c r="H830" s="95" t="s">
        <v>60</v>
      </c>
      <c r="I830" s="95" t="s">
        <v>795</v>
      </c>
      <c r="J830" s="97">
        <v>45975.67937972222</v>
      </c>
      <c r="K830" s="96" t="s">
        <v>5120</v>
      </c>
      <c r="L830" s="96" t="s">
        <v>5121</v>
      </c>
      <c r="M830" s="95" t="s">
        <v>38</v>
      </c>
      <c r="N830" s="95" t="s">
        <v>5116</v>
      </c>
      <c r="O830" s="95" t="s">
        <v>5116</v>
      </c>
      <c r="P830" s="95" t="s">
        <v>5117</v>
      </c>
      <c r="Q830" s="98">
        <v>3.0</v>
      </c>
      <c r="R830" s="97">
        <v>45668.77805555556</v>
      </c>
      <c r="S830" s="99">
        <v>30942.0</v>
      </c>
      <c r="T830" s="99">
        <v>65.0</v>
      </c>
      <c r="U830" s="99">
        <v>1.0</v>
      </c>
      <c r="V830" s="99">
        <v>77.0</v>
      </c>
      <c r="W830" s="99">
        <v>98736.0</v>
      </c>
    </row>
    <row r="831" ht="15.75" customHeight="1">
      <c r="A831" s="95" t="s">
        <v>5122</v>
      </c>
      <c r="B831" s="95" t="s">
        <v>101</v>
      </c>
      <c r="C831" s="96" t="s">
        <v>5123</v>
      </c>
      <c r="D831" s="95" t="s">
        <v>59</v>
      </c>
      <c r="E831" s="95" t="s">
        <v>2797</v>
      </c>
      <c r="F831" s="95" t="s">
        <v>19</v>
      </c>
      <c r="G831" s="95" t="s">
        <v>19</v>
      </c>
      <c r="H831" s="95" t="s">
        <v>21</v>
      </c>
      <c r="I831" s="95" t="s">
        <v>1497</v>
      </c>
      <c r="J831" s="97">
        <v>45975.67937972222</v>
      </c>
      <c r="K831" s="96" t="s">
        <v>5124</v>
      </c>
      <c r="L831" s="96" t="s">
        <v>5125</v>
      </c>
      <c r="M831" s="95" t="s">
        <v>38</v>
      </c>
      <c r="N831" s="95" t="s">
        <v>5116</v>
      </c>
      <c r="O831" s="95" t="s">
        <v>5116</v>
      </c>
      <c r="P831" s="95" t="s">
        <v>5117</v>
      </c>
      <c r="Q831" s="98">
        <v>3.0</v>
      </c>
      <c r="R831" s="97">
        <v>45669.0853125</v>
      </c>
      <c r="S831" s="99">
        <v>30942.0</v>
      </c>
      <c r="T831" s="99">
        <v>62.0</v>
      </c>
      <c r="U831" s="99">
        <v>4.0</v>
      </c>
      <c r="V831" s="99">
        <v>149.0</v>
      </c>
      <c r="W831" s="99">
        <v>98736.0</v>
      </c>
    </row>
    <row r="832" ht="15.75" customHeight="1">
      <c r="A832" s="95" t="s">
        <v>5126</v>
      </c>
      <c r="B832" s="95" t="s">
        <v>101</v>
      </c>
      <c r="C832" s="96" t="s">
        <v>5127</v>
      </c>
      <c r="D832" s="95" t="s">
        <v>124</v>
      </c>
      <c r="E832" s="95" t="s">
        <v>794</v>
      </c>
      <c r="F832" s="95" t="s">
        <v>19</v>
      </c>
      <c r="G832" s="95" t="s">
        <v>19</v>
      </c>
      <c r="H832" s="95" t="s">
        <v>21</v>
      </c>
      <c r="I832" s="95" t="s">
        <v>1589</v>
      </c>
      <c r="J832" s="97">
        <v>46021.50566978009</v>
      </c>
      <c r="K832" s="95" t="s">
        <v>5128</v>
      </c>
      <c r="L832" s="96" t="s">
        <v>5129</v>
      </c>
      <c r="M832" s="95" t="s">
        <v>503</v>
      </c>
      <c r="N832" s="95" t="s">
        <v>5130</v>
      </c>
      <c r="O832" s="95" t="s">
        <v>5130</v>
      </c>
      <c r="P832" s="95" t="s">
        <v>5131</v>
      </c>
      <c r="Q832" s="98">
        <v>3.0</v>
      </c>
      <c r="R832" s="97">
        <v>45734.35280092592</v>
      </c>
      <c r="S832" s="99">
        <v>62.0</v>
      </c>
      <c r="T832" s="99">
        <v>29.0</v>
      </c>
      <c r="U832" s="99">
        <v>22.0</v>
      </c>
      <c r="V832" s="99">
        <v>385.0</v>
      </c>
      <c r="W832" s="99">
        <v>299662.0</v>
      </c>
    </row>
    <row r="833" ht="15.75" customHeight="1">
      <c r="A833" s="95" t="s">
        <v>75</v>
      </c>
      <c r="B833" s="95" t="s">
        <v>69</v>
      </c>
      <c r="C833" s="96" t="s">
        <v>80</v>
      </c>
      <c r="D833" s="95" t="s">
        <v>29</v>
      </c>
      <c r="E833" s="95" t="s">
        <v>29</v>
      </c>
      <c r="F833" s="95" t="s">
        <v>58</v>
      </c>
      <c r="G833" s="95" t="s">
        <v>1450</v>
      </c>
      <c r="H833" s="95" t="s">
        <v>77</v>
      </c>
      <c r="I833" s="95" t="s">
        <v>599</v>
      </c>
      <c r="J833" s="97">
        <v>46021.4946265625</v>
      </c>
      <c r="K833" s="95" t="s">
        <v>79</v>
      </c>
      <c r="L833" s="96" t="s">
        <v>78</v>
      </c>
      <c r="M833" s="95" t="s">
        <v>74</v>
      </c>
      <c r="N833" s="95" t="s">
        <v>76</v>
      </c>
      <c r="O833" s="95" t="s">
        <v>76</v>
      </c>
      <c r="P833" s="95" t="s">
        <v>5132</v>
      </c>
      <c r="Q833" s="98">
        <v>3.0</v>
      </c>
      <c r="R833" s="97">
        <v>45939.05493055555</v>
      </c>
      <c r="S833" s="99">
        <v>370.0</v>
      </c>
      <c r="T833" s="99">
        <v>3.0</v>
      </c>
      <c r="U833" s="99">
        <v>17.0</v>
      </c>
      <c r="V833" s="99">
        <v>26.0</v>
      </c>
      <c r="W833" s="99">
        <v>8363.0</v>
      </c>
    </row>
    <row r="834" ht="15.75" customHeight="1">
      <c r="A834" s="95" t="s">
        <v>5133</v>
      </c>
      <c r="B834" s="95" t="s">
        <v>157</v>
      </c>
      <c r="C834" s="96" t="s">
        <v>5134</v>
      </c>
      <c r="D834" s="95" t="s">
        <v>59</v>
      </c>
      <c r="E834" s="95" t="s">
        <v>738</v>
      </c>
      <c r="F834" s="95" t="s">
        <v>19</v>
      </c>
      <c r="G834" s="95" t="s">
        <v>19</v>
      </c>
      <c r="H834" s="95" t="s">
        <v>89</v>
      </c>
      <c r="I834" s="95" t="s">
        <v>859</v>
      </c>
      <c r="J834" s="97">
        <v>46021.50566978009</v>
      </c>
      <c r="K834" s="95" t="s">
        <v>5135</v>
      </c>
      <c r="L834" s="96" t="s">
        <v>5136</v>
      </c>
      <c r="M834" s="95" t="s">
        <v>93</v>
      </c>
      <c r="N834" s="95" t="s">
        <v>5137</v>
      </c>
      <c r="O834" s="95" t="s">
        <v>5137</v>
      </c>
      <c r="P834" s="95" t="s">
        <v>5138</v>
      </c>
      <c r="Q834" s="98">
        <v>3.0</v>
      </c>
      <c r="R834" s="97">
        <v>45770.45130787037</v>
      </c>
      <c r="S834" s="99">
        <v>216.0</v>
      </c>
      <c r="T834" s="99">
        <v>480.0</v>
      </c>
      <c r="U834" s="99">
        <v>1.0</v>
      </c>
      <c r="V834" s="99">
        <v>28.0</v>
      </c>
      <c r="W834" s="99">
        <v>165481.0</v>
      </c>
    </row>
    <row r="835" ht="15.75" customHeight="1">
      <c r="A835" s="95" t="s">
        <v>5139</v>
      </c>
      <c r="B835" s="95" t="s">
        <v>22</v>
      </c>
      <c r="C835" s="96" t="s">
        <v>5140</v>
      </c>
      <c r="D835" s="95" t="s">
        <v>59</v>
      </c>
      <c r="E835" s="95" t="s">
        <v>738</v>
      </c>
      <c r="F835" s="95" t="s">
        <v>19</v>
      </c>
      <c r="G835" s="95" t="s">
        <v>19</v>
      </c>
      <c r="H835" s="95" t="s">
        <v>21</v>
      </c>
      <c r="I835" s="95" t="s">
        <v>567</v>
      </c>
      <c r="J835" s="97">
        <v>46039.71707480324</v>
      </c>
      <c r="K835" s="95" t="s">
        <v>5141</v>
      </c>
      <c r="L835" s="96" t="s">
        <v>5142</v>
      </c>
      <c r="M835" s="95" t="s">
        <v>93</v>
      </c>
      <c r="N835" s="95" t="s">
        <v>5137</v>
      </c>
      <c r="O835" s="95" t="s">
        <v>5137</v>
      </c>
      <c r="P835" s="95" t="s">
        <v>5138</v>
      </c>
      <c r="Q835" s="98">
        <v>3.0</v>
      </c>
      <c r="R835" s="97">
        <v>45800.49652777778</v>
      </c>
      <c r="S835" s="99">
        <v>216.0</v>
      </c>
      <c r="T835" s="99">
        <v>1461.0</v>
      </c>
      <c r="U835" s="99">
        <v>9.0</v>
      </c>
      <c r="V835" s="99">
        <v>388.0</v>
      </c>
      <c r="W835" s="99">
        <v>165481.0</v>
      </c>
    </row>
    <row r="836" ht="15.75" customHeight="1">
      <c r="A836" s="95" t="s">
        <v>5143</v>
      </c>
      <c r="B836" s="95" t="s">
        <v>22</v>
      </c>
      <c r="C836" s="96" t="s">
        <v>5144</v>
      </c>
      <c r="D836" s="95" t="s">
        <v>20</v>
      </c>
      <c r="E836" s="95" t="s">
        <v>638</v>
      </c>
      <c r="F836" s="95" t="s">
        <v>19</v>
      </c>
      <c r="G836" s="95" t="s">
        <v>19</v>
      </c>
      <c r="H836" s="95" t="s">
        <v>21</v>
      </c>
      <c r="I836" s="95" t="s">
        <v>567</v>
      </c>
      <c r="J836" s="97">
        <v>45988.61454574074</v>
      </c>
      <c r="K836" s="95" t="s">
        <v>5145</v>
      </c>
      <c r="L836" s="96" t="s">
        <v>5146</v>
      </c>
      <c r="M836" s="95" t="s">
        <v>17</v>
      </c>
      <c r="N836" s="95" t="s">
        <v>5147</v>
      </c>
      <c r="O836" s="95" t="s">
        <v>5147</v>
      </c>
      <c r="P836" s="95" t="s">
        <v>5148</v>
      </c>
      <c r="Q836" s="98">
        <v>3.0</v>
      </c>
      <c r="R836" s="97">
        <v>45679.14414351852</v>
      </c>
      <c r="S836" s="99">
        <v>1408.0</v>
      </c>
      <c r="T836" s="99">
        <v>57.0</v>
      </c>
      <c r="U836" s="99">
        <v>3.0</v>
      </c>
      <c r="V836" s="99">
        <v>162.0</v>
      </c>
      <c r="W836" s="99">
        <v>60752.0</v>
      </c>
    </row>
    <row r="837" ht="15.75" customHeight="1">
      <c r="A837" s="95" t="s">
        <v>5149</v>
      </c>
      <c r="B837" s="95" t="s">
        <v>22</v>
      </c>
      <c r="C837" s="96" t="s">
        <v>5150</v>
      </c>
      <c r="D837" s="95" t="s">
        <v>20</v>
      </c>
      <c r="E837" s="95" t="s">
        <v>638</v>
      </c>
      <c r="F837" s="95" t="s">
        <v>19</v>
      </c>
      <c r="G837" s="95" t="s">
        <v>574</v>
      </c>
      <c r="H837" s="95" t="s">
        <v>21</v>
      </c>
      <c r="I837" s="95" t="s">
        <v>677</v>
      </c>
      <c r="J837" s="97">
        <v>46069.66215004629</v>
      </c>
      <c r="K837" s="95" t="s">
        <v>5151</v>
      </c>
      <c r="L837" s="96" t="s">
        <v>5152</v>
      </c>
      <c r="M837" s="95" t="s">
        <v>74</v>
      </c>
      <c r="N837" s="95" t="s">
        <v>5153</v>
      </c>
      <c r="O837" s="95" t="s">
        <v>5153</v>
      </c>
      <c r="P837" s="95" t="s">
        <v>5154</v>
      </c>
      <c r="Q837" s="98">
        <v>3.0</v>
      </c>
      <c r="R837" s="97">
        <v>45892.36357638889</v>
      </c>
      <c r="S837" s="99">
        <v>2462.0</v>
      </c>
      <c r="T837" s="99">
        <v>36.0</v>
      </c>
      <c r="U837" s="99">
        <v>3.0</v>
      </c>
      <c r="V837" s="99">
        <v>33.0</v>
      </c>
      <c r="W837" s="99">
        <v>20764.0</v>
      </c>
    </row>
    <row r="838" ht="15.75" customHeight="1">
      <c r="A838" s="95" t="s">
        <v>5155</v>
      </c>
      <c r="B838" s="95" t="s">
        <v>131</v>
      </c>
      <c r="C838" s="96" t="s">
        <v>5156</v>
      </c>
      <c r="D838" s="95" t="s">
        <v>124</v>
      </c>
      <c r="E838" s="95" t="s">
        <v>5157</v>
      </c>
      <c r="F838" s="95" t="s">
        <v>88</v>
      </c>
      <c r="G838" s="95" t="s">
        <v>88</v>
      </c>
      <c r="H838" s="95" t="s">
        <v>89</v>
      </c>
      <c r="I838" s="95" t="s">
        <v>726</v>
      </c>
      <c r="J838" s="97">
        <v>45975.67939547454</v>
      </c>
      <c r="K838" s="96" t="s">
        <v>5158</v>
      </c>
      <c r="L838" s="96" t="s">
        <v>5159</v>
      </c>
      <c r="M838" s="95" t="s">
        <v>74</v>
      </c>
      <c r="N838" s="95" t="s">
        <v>5160</v>
      </c>
      <c r="O838" s="95" t="s">
        <v>5160</v>
      </c>
      <c r="P838" s="95" t="s">
        <v>5161</v>
      </c>
      <c r="Q838" s="98">
        <v>3.0</v>
      </c>
      <c r="R838" s="97">
        <v>45771.54171296296</v>
      </c>
      <c r="S838" s="99">
        <v>137.0</v>
      </c>
      <c r="T838" s="99">
        <v>12.0</v>
      </c>
      <c r="U838" s="99">
        <v>3.0</v>
      </c>
      <c r="V838" s="99">
        <v>64.0</v>
      </c>
      <c r="W838" s="99">
        <v>23628.0</v>
      </c>
    </row>
    <row r="839" ht="15.75" customHeight="1">
      <c r="A839" s="95" t="s">
        <v>5162</v>
      </c>
      <c r="B839" s="95" t="s">
        <v>131</v>
      </c>
      <c r="C839" s="96" t="s">
        <v>5163</v>
      </c>
      <c r="D839" s="95" t="s">
        <v>124</v>
      </c>
      <c r="E839" s="95" t="s">
        <v>5164</v>
      </c>
      <c r="F839" s="95" t="s">
        <v>19</v>
      </c>
      <c r="G839" s="95" t="s">
        <v>19</v>
      </c>
      <c r="H839" s="95" t="s">
        <v>21</v>
      </c>
      <c r="I839" s="95" t="s">
        <v>647</v>
      </c>
      <c r="J839" s="97">
        <v>45975.67934811342</v>
      </c>
      <c r="K839" s="96" t="s">
        <v>5165</v>
      </c>
      <c r="L839" s="96" t="s">
        <v>5166</v>
      </c>
      <c r="M839" s="95" t="s">
        <v>17</v>
      </c>
      <c r="N839" s="95" t="s">
        <v>5167</v>
      </c>
      <c r="O839" s="95" t="s">
        <v>5167</v>
      </c>
      <c r="P839" s="95" t="s">
        <v>5168</v>
      </c>
      <c r="Q839" s="98">
        <v>3.0</v>
      </c>
      <c r="R839" s="97">
        <v>45743.71423611111</v>
      </c>
      <c r="S839" s="99">
        <v>5871.0</v>
      </c>
      <c r="T839" s="99">
        <v>29.0</v>
      </c>
      <c r="U839" s="99">
        <v>5.0</v>
      </c>
      <c r="V839" s="99">
        <v>225.0</v>
      </c>
      <c r="W839" s="99">
        <v>151203.0</v>
      </c>
    </row>
    <row r="840" ht="15.75" customHeight="1">
      <c r="A840" s="95" t="s">
        <v>5169</v>
      </c>
      <c r="B840" s="95" t="s">
        <v>22</v>
      </c>
      <c r="C840" s="96" t="s">
        <v>5170</v>
      </c>
      <c r="D840" s="95" t="s">
        <v>124</v>
      </c>
      <c r="E840" s="95" t="s">
        <v>794</v>
      </c>
      <c r="F840" s="95" t="s">
        <v>19</v>
      </c>
      <c r="G840" s="95" t="s">
        <v>574</v>
      </c>
      <c r="H840" s="95" t="s">
        <v>21</v>
      </c>
      <c r="I840" s="95" t="s">
        <v>567</v>
      </c>
      <c r="J840" s="97">
        <v>46021.4946265625</v>
      </c>
      <c r="K840" s="95" t="s">
        <v>5171</v>
      </c>
      <c r="L840" s="96" t="s">
        <v>5172</v>
      </c>
      <c r="M840" s="95" t="s">
        <v>74</v>
      </c>
      <c r="N840" s="95" t="s">
        <v>5173</v>
      </c>
      <c r="O840" s="95" t="s">
        <v>5173</v>
      </c>
      <c r="P840" s="95" t="s">
        <v>5174</v>
      </c>
      <c r="Q840" s="98">
        <v>3.0</v>
      </c>
      <c r="R840" s="97">
        <v>45876.65775462963</v>
      </c>
      <c r="S840" s="99">
        <v>166.0</v>
      </c>
      <c r="T840" s="99">
        <v>1.0</v>
      </c>
      <c r="U840" s="99">
        <v>16.0</v>
      </c>
      <c r="V840" s="99">
        <v>86.0</v>
      </c>
      <c r="W840" s="99">
        <v>188342.0</v>
      </c>
    </row>
    <row r="841" ht="15.75" customHeight="1">
      <c r="A841" s="95" t="s">
        <v>5175</v>
      </c>
      <c r="B841" s="95" t="s">
        <v>69</v>
      </c>
      <c r="C841" s="96" t="s">
        <v>5176</v>
      </c>
      <c r="D841" s="95" t="s">
        <v>124</v>
      </c>
      <c r="E841" s="95" t="s">
        <v>794</v>
      </c>
      <c r="F841" s="95" t="s">
        <v>19</v>
      </c>
      <c r="G841" s="95" t="s">
        <v>19</v>
      </c>
      <c r="H841" s="95" t="s">
        <v>21</v>
      </c>
      <c r="I841" s="95" t="s">
        <v>998</v>
      </c>
      <c r="J841" s="97">
        <v>46021.5125787037</v>
      </c>
      <c r="K841" s="95" t="s">
        <v>5177</v>
      </c>
      <c r="L841" s="96" t="s">
        <v>5178</v>
      </c>
      <c r="M841" s="95" t="s">
        <v>54</v>
      </c>
      <c r="N841" s="95" t="s">
        <v>5179</v>
      </c>
      <c r="O841" s="95" t="s">
        <v>5179</v>
      </c>
      <c r="P841" s="95" t="s">
        <v>5180</v>
      </c>
      <c r="Q841" s="98">
        <v>3.0</v>
      </c>
      <c r="R841" s="97">
        <v>45841.74662037037</v>
      </c>
      <c r="S841" s="99">
        <v>375.0</v>
      </c>
      <c r="T841" s="99">
        <v>926.0</v>
      </c>
      <c r="U841" s="99">
        <v>68.0</v>
      </c>
      <c r="V841" s="99">
        <v>419.0</v>
      </c>
      <c r="W841" s="99">
        <v>346624.0</v>
      </c>
    </row>
    <row r="842" ht="15.75" customHeight="1">
      <c r="A842" s="95" t="s">
        <v>5181</v>
      </c>
      <c r="B842" s="95" t="s">
        <v>22</v>
      </c>
      <c r="C842" s="96" t="s">
        <v>5182</v>
      </c>
      <c r="D842" s="95" t="s">
        <v>124</v>
      </c>
      <c r="E842" s="95" t="s">
        <v>5183</v>
      </c>
      <c r="F842" s="95" t="s">
        <v>19</v>
      </c>
      <c r="G842" s="95" t="s">
        <v>19</v>
      </c>
      <c r="H842" s="95" t="s">
        <v>21</v>
      </c>
      <c r="I842" s="95" t="s">
        <v>567</v>
      </c>
      <c r="J842" s="97">
        <v>46021.5125787037</v>
      </c>
      <c r="K842" s="95" t="s">
        <v>5184</v>
      </c>
      <c r="L842" s="96" t="s">
        <v>5185</v>
      </c>
      <c r="M842" s="95" t="s">
        <v>93</v>
      </c>
      <c r="N842" s="95" t="s">
        <v>5186</v>
      </c>
      <c r="O842" s="95" t="s">
        <v>5186</v>
      </c>
      <c r="P842" s="95" t="s">
        <v>5187</v>
      </c>
      <c r="Q842" s="98">
        <v>3.0</v>
      </c>
      <c r="R842" s="97">
        <v>45645.72105324074</v>
      </c>
      <c r="S842" s="99">
        <v>1023.0</v>
      </c>
      <c r="T842" s="99">
        <v>1592.0</v>
      </c>
      <c r="U842" s="99">
        <v>20.0</v>
      </c>
      <c r="V842" s="99">
        <v>720.0</v>
      </c>
      <c r="W842" s="99">
        <v>543338.0</v>
      </c>
    </row>
    <row r="843" ht="15.75" customHeight="1">
      <c r="A843" s="95" t="s">
        <v>5188</v>
      </c>
      <c r="B843" s="95" t="s">
        <v>22</v>
      </c>
      <c r="C843" s="96" t="s">
        <v>5189</v>
      </c>
      <c r="D843" s="95" t="s">
        <v>124</v>
      </c>
      <c r="E843" s="95" t="s">
        <v>2195</v>
      </c>
      <c r="F843" s="95" t="s">
        <v>19</v>
      </c>
      <c r="G843" s="95" t="s">
        <v>574</v>
      </c>
      <c r="H843" s="95" t="s">
        <v>21</v>
      </c>
      <c r="I843" s="95" t="s">
        <v>567</v>
      </c>
      <c r="J843" s="97">
        <v>46021.51624784722</v>
      </c>
      <c r="K843" s="95" t="s">
        <v>5190</v>
      </c>
      <c r="L843" s="96" t="s">
        <v>5191</v>
      </c>
      <c r="M843" s="95" t="s">
        <v>93</v>
      </c>
      <c r="N843" s="95" t="s">
        <v>5186</v>
      </c>
      <c r="O843" s="95" t="s">
        <v>5186</v>
      </c>
      <c r="P843" s="95" t="s">
        <v>5187</v>
      </c>
      <c r="Q843" s="98">
        <v>3.0</v>
      </c>
      <c r="R843" s="97">
        <v>45866.63943287037</v>
      </c>
      <c r="S843" s="99">
        <v>1023.0</v>
      </c>
      <c r="T843" s="99">
        <v>1713.0</v>
      </c>
      <c r="U843" s="99">
        <v>1.0</v>
      </c>
      <c r="V843" s="99">
        <v>198.0</v>
      </c>
      <c r="W843" s="99">
        <v>543338.0</v>
      </c>
    </row>
    <row r="844" ht="15.75" customHeight="1">
      <c r="A844" s="95" t="s">
        <v>5192</v>
      </c>
      <c r="B844" s="95" t="s">
        <v>22</v>
      </c>
      <c r="C844" s="96" t="s">
        <v>5193</v>
      </c>
      <c r="D844" s="95" t="s">
        <v>124</v>
      </c>
      <c r="E844" s="95" t="s">
        <v>1966</v>
      </c>
      <c r="F844" s="95" t="s">
        <v>19</v>
      </c>
      <c r="G844" s="95" t="s">
        <v>1427</v>
      </c>
      <c r="H844" s="95" t="s">
        <v>21</v>
      </c>
      <c r="I844" s="95" t="s">
        <v>711</v>
      </c>
      <c r="J844" s="97">
        <v>46039.71707480324</v>
      </c>
      <c r="K844" s="95" t="s">
        <v>5194</v>
      </c>
      <c r="L844" s="96" t="s">
        <v>5195</v>
      </c>
      <c r="M844" s="95" t="s">
        <v>93</v>
      </c>
      <c r="N844" s="95" t="s">
        <v>5186</v>
      </c>
      <c r="O844" s="95" t="s">
        <v>5186</v>
      </c>
      <c r="P844" s="95" t="s">
        <v>5187</v>
      </c>
      <c r="Q844" s="98">
        <v>3.0</v>
      </c>
      <c r="R844" s="97">
        <v>45832.6133912037</v>
      </c>
      <c r="S844" s="99">
        <v>1023.0</v>
      </c>
      <c r="T844" s="99">
        <v>1710.0</v>
      </c>
      <c r="U844" s="99">
        <v>1.0</v>
      </c>
      <c r="V844" s="99">
        <v>333.0</v>
      </c>
      <c r="W844" s="99">
        <v>543338.0</v>
      </c>
    </row>
    <row r="845" ht="15.75" customHeight="1">
      <c r="A845" s="95" t="s">
        <v>5196</v>
      </c>
      <c r="B845" s="95" t="s">
        <v>22</v>
      </c>
      <c r="C845" s="96" t="s">
        <v>5197</v>
      </c>
      <c r="D845" s="95" t="s">
        <v>547</v>
      </c>
      <c r="E845" s="95" t="s">
        <v>5198</v>
      </c>
      <c r="F845" s="95" t="s">
        <v>19</v>
      </c>
      <c r="G845" s="95" t="s">
        <v>588</v>
      </c>
      <c r="H845" s="95" t="s">
        <v>21</v>
      </c>
      <c r="I845" s="95" t="s">
        <v>567</v>
      </c>
      <c r="J845" s="97">
        <v>46003.08208643518</v>
      </c>
      <c r="K845" s="95" t="s">
        <v>5199</v>
      </c>
      <c r="L845" s="96" t="s">
        <v>5200</v>
      </c>
      <c r="M845" s="95" t="s">
        <v>105</v>
      </c>
      <c r="N845" s="95" t="s">
        <v>5201</v>
      </c>
      <c r="O845" s="95" t="s">
        <v>5201</v>
      </c>
      <c r="P845" s="95" t="s">
        <v>5202</v>
      </c>
      <c r="Q845" s="98">
        <v>3.0</v>
      </c>
      <c r="R845" s="97">
        <v>45744.00721064815</v>
      </c>
      <c r="S845" s="99">
        <v>13083.0</v>
      </c>
      <c r="T845" s="99">
        <v>1296.0</v>
      </c>
      <c r="U845" s="99">
        <v>4.0</v>
      </c>
      <c r="V845" s="99">
        <v>385.0</v>
      </c>
      <c r="W845" s="99">
        <v>999999.0</v>
      </c>
    </row>
    <row r="846" ht="15.75" customHeight="1">
      <c r="A846" s="95" t="s">
        <v>5203</v>
      </c>
      <c r="B846" s="95" t="s">
        <v>22</v>
      </c>
      <c r="C846" s="96" t="s">
        <v>5204</v>
      </c>
      <c r="D846" s="95" t="s">
        <v>39</v>
      </c>
      <c r="E846" s="95" t="s">
        <v>39</v>
      </c>
      <c r="F846" s="95" t="s">
        <v>19</v>
      </c>
      <c r="G846" s="95" t="s">
        <v>19</v>
      </c>
      <c r="H846" s="95" t="s">
        <v>21</v>
      </c>
      <c r="I846" s="95" t="s">
        <v>567</v>
      </c>
      <c r="J846" s="97">
        <v>45977.14561378472</v>
      </c>
      <c r="K846" s="95" t="s">
        <v>5205</v>
      </c>
      <c r="L846" s="96" t="s">
        <v>5206</v>
      </c>
      <c r="M846" s="95" t="s">
        <v>17</v>
      </c>
      <c r="N846" s="95" t="s">
        <v>5207</v>
      </c>
      <c r="O846" s="95" t="s">
        <v>5207</v>
      </c>
      <c r="P846" s="95" t="s">
        <v>5208</v>
      </c>
      <c r="Q846" s="98">
        <v>3.0</v>
      </c>
      <c r="R846" s="97">
        <v>45720.73532407408</v>
      </c>
      <c r="S846" s="99">
        <v>101.0</v>
      </c>
      <c r="T846" s="99">
        <v>542.0</v>
      </c>
      <c r="U846" s="99">
        <v>8.0</v>
      </c>
      <c r="V846" s="99">
        <v>424.0</v>
      </c>
      <c r="W846" s="99">
        <v>28586.0</v>
      </c>
    </row>
    <row r="847" ht="15.75" customHeight="1">
      <c r="A847" s="95" t="s">
        <v>5209</v>
      </c>
      <c r="B847" s="95" t="s">
        <v>22</v>
      </c>
      <c r="C847" s="96" t="s">
        <v>5210</v>
      </c>
      <c r="D847" s="95" t="s">
        <v>168</v>
      </c>
      <c r="E847" s="95" t="s">
        <v>780</v>
      </c>
      <c r="F847" s="95" t="s">
        <v>19</v>
      </c>
      <c r="G847" s="95" t="s">
        <v>19</v>
      </c>
      <c r="H847" s="95" t="s">
        <v>21</v>
      </c>
      <c r="I847" s="95" t="s">
        <v>567</v>
      </c>
      <c r="J847" s="97">
        <v>45975.67930055556</v>
      </c>
      <c r="K847" s="96" t="s">
        <v>5211</v>
      </c>
      <c r="L847" s="96" t="s">
        <v>5212</v>
      </c>
      <c r="M847" s="95" t="s">
        <v>105</v>
      </c>
      <c r="N847" s="95" t="s">
        <v>5213</v>
      </c>
      <c r="O847" s="95" t="s">
        <v>5213</v>
      </c>
      <c r="P847" s="95" t="s">
        <v>5214</v>
      </c>
      <c r="Q847" s="98">
        <v>3.0</v>
      </c>
      <c r="R847" s="97">
        <v>45712.72554398148</v>
      </c>
      <c r="S847" s="99">
        <v>2800.0</v>
      </c>
      <c r="T847" s="99">
        <v>426.0</v>
      </c>
      <c r="U847" s="99">
        <v>6.0</v>
      </c>
      <c r="V847" s="99">
        <v>154.0</v>
      </c>
      <c r="W847" s="99">
        <v>142589.0</v>
      </c>
    </row>
    <row r="848" ht="15.75" customHeight="1">
      <c r="A848" s="95" t="s">
        <v>5215</v>
      </c>
      <c r="B848" s="95" t="s">
        <v>22</v>
      </c>
      <c r="C848" s="96" t="s">
        <v>5216</v>
      </c>
      <c r="D848" s="95" t="s">
        <v>39</v>
      </c>
      <c r="E848" s="95" t="s">
        <v>697</v>
      </c>
      <c r="F848" s="95" t="s">
        <v>19</v>
      </c>
      <c r="G848" s="95" t="s">
        <v>588</v>
      </c>
      <c r="H848" s="95" t="s">
        <v>21</v>
      </c>
      <c r="I848" s="95" t="s">
        <v>589</v>
      </c>
      <c r="J848" s="97">
        <v>45975.67930055556</v>
      </c>
      <c r="K848" s="96" t="s">
        <v>5217</v>
      </c>
      <c r="L848" s="96" t="s">
        <v>5218</v>
      </c>
      <c r="M848" s="95" t="s">
        <v>105</v>
      </c>
      <c r="N848" s="95" t="s">
        <v>5213</v>
      </c>
      <c r="O848" s="95" t="s">
        <v>5213</v>
      </c>
      <c r="P848" s="95" t="s">
        <v>5214</v>
      </c>
      <c r="Q848" s="98">
        <v>3.0</v>
      </c>
      <c r="R848" s="97">
        <v>45666.7403125</v>
      </c>
      <c r="S848" s="99">
        <v>2800.0</v>
      </c>
      <c r="T848" s="99">
        <v>418.0</v>
      </c>
      <c r="U848" s="99">
        <v>2.0</v>
      </c>
      <c r="V848" s="99">
        <v>65.0</v>
      </c>
      <c r="W848" s="99">
        <v>142589.0</v>
      </c>
    </row>
    <row r="849" ht="15.75" customHeight="1">
      <c r="A849" s="95" t="s">
        <v>5219</v>
      </c>
      <c r="B849" s="95" t="s">
        <v>22</v>
      </c>
      <c r="C849" s="96" t="s">
        <v>5220</v>
      </c>
      <c r="D849" s="95" t="s">
        <v>124</v>
      </c>
      <c r="E849" s="95" t="s">
        <v>794</v>
      </c>
      <c r="F849" s="95" t="s">
        <v>19</v>
      </c>
      <c r="G849" s="95" t="s">
        <v>574</v>
      </c>
      <c r="H849" s="95" t="s">
        <v>21</v>
      </c>
      <c r="I849" s="95" t="s">
        <v>567</v>
      </c>
      <c r="J849" s="97">
        <v>46039.71707480324</v>
      </c>
      <c r="K849" s="95" t="s">
        <v>5221</v>
      </c>
      <c r="L849" s="96" t="s">
        <v>5222</v>
      </c>
      <c r="M849" s="95" t="s">
        <v>93</v>
      </c>
      <c r="N849" s="95" t="s">
        <v>5223</v>
      </c>
      <c r="O849" s="95" t="s">
        <v>5223</v>
      </c>
      <c r="P849" s="95" t="s">
        <v>5224</v>
      </c>
      <c r="Q849" s="98">
        <v>3.0</v>
      </c>
      <c r="R849" s="97">
        <v>45603.47097222223</v>
      </c>
      <c r="S849" s="99">
        <v>74.0</v>
      </c>
      <c r="T849" s="99">
        <v>1526.0</v>
      </c>
      <c r="U849" s="99">
        <v>5.0</v>
      </c>
      <c r="V849" s="99">
        <v>483.0</v>
      </c>
      <c r="W849" s="99">
        <v>120627.0</v>
      </c>
    </row>
    <row r="850" ht="15.75" customHeight="1">
      <c r="A850" s="95" t="s">
        <v>5225</v>
      </c>
      <c r="B850" s="95" t="s">
        <v>22</v>
      </c>
      <c r="C850" s="96" t="s">
        <v>5226</v>
      </c>
      <c r="D850" s="95" t="s">
        <v>49</v>
      </c>
      <c r="E850" s="95" t="s">
        <v>948</v>
      </c>
      <c r="F850" s="95" t="s">
        <v>517</v>
      </c>
      <c r="G850" s="95" t="s">
        <v>690</v>
      </c>
      <c r="H850" s="95" t="s">
        <v>21</v>
      </c>
      <c r="I850" s="95" t="s">
        <v>567</v>
      </c>
      <c r="J850" s="97">
        <v>46003.09221708334</v>
      </c>
      <c r="K850" s="95" t="s">
        <v>5227</v>
      </c>
      <c r="L850" s="96" t="s">
        <v>5228</v>
      </c>
      <c r="M850" s="95" t="s">
        <v>38</v>
      </c>
      <c r="N850" s="95" t="s">
        <v>5229</v>
      </c>
      <c r="O850" s="95" t="s">
        <v>5229</v>
      </c>
      <c r="P850" s="95" t="s">
        <v>5230</v>
      </c>
      <c r="Q850" s="98">
        <v>3.0</v>
      </c>
      <c r="R850" s="97">
        <v>45622.7529050926</v>
      </c>
      <c r="S850" s="99">
        <v>312.0</v>
      </c>
      <c r="T850" s="99">
        <v>10.0</v>
      </c>
      <c r="U850" s="99">
        <v>1.0</v>
      </c>
      <c r="V850" s="99">
        <v>101.0</v>
      </c>
      <c r="W850" s="99">
        <v>17126.0</v>
      </c>
    </row>
    <row r="851" ht="15.75" customHeight="1">
      <c r="A851" s="95" t="s">
        <v>5231</v>
      </c>
      <c r="B851" s="95" t="s">
        <v>69</v>
      </c>
      <c r="C851" s="96" t="s">
        <v>5232</v>
      </c>
      <c r="D851" s="95" t="s">
        <v>547</v>
      </c>
      <c r="E851" s="95" t="s">
        <v>5233</v>
      </c>
      <c r="F851" s="95" t="s">
        <v>88</v>
      </c>
      <c r="G851" s="95" t="s">
        <v>88</v>
      </c>
      <c r="H851" s="95" t="s">
        <v>89</v>
      </c>
      <c r="I851" s="95" t="s">
        <v>640</v>
      </c>
      <c r="J851" s="97">
        <v>46069.66116252315</v>
      </c>
      <c r="K851" s="95" t="s">
        <v>5234</v>
      </c>
      <c r="L851" s="96" t="s">
        <v>5235</v>
      </c>
      <c r="M851" s="95" t="s">
        <v>74</v>
      </c>
      <c r="N851" s="95" t="s">
        <v>5236</v>
      </c>
      <c r="O851" s="95" t="s">
        <v>5236</v>
      </c>
      <c r="P851" s="95" t="s">
        <v>5237</v>
      </c>
      <c r="Q851" s="98">
        <v>3.0</v>
      </c>
      <c r="R851" s="97">
        <v>45807.88260416667</v>
      </c>
      <c r="S851" s="99">
        <v>0.0</v>
      </c>
      <c r="T851" s="99">
        <v>67.0</v>
      </c>
      <c r="U851" s="99">
        <v>1.0</v>
      </c>
      <c r="V851" s="99">
        <v>39.0</v>
      </c>
      <c r="W851" s="95"/>
    </row>
    <row r="852" ht="15.75" customHeight="1">
      <c r="A852" s="95" t="s">
        <v>5238</v>
      </c>
      <c r="B852" s="95" t="s">
        <v>22</v>
      </c>
      <c r="C852" s="96" t="s">
        <v>5239</v>
      </c>
      <c r="D852" s="95" t="s">
        <v>124</v>
      </c>
      <c r="E852" s="95" t="s">
        <v>5240</v>
      </c>
      <c r="F852" s="95" t="s">
        <v>19</v>
      </c>
      <c r="G852" s="95" t="s">
        <v>574</v>
      </c>
      <c r="H852" s="95" t="s">
        <v>21</v>
      </c>
      <c r="I852" s="95" t="s">
        <v>567</v>
      </c>
      <c r="J852" s="97">
        <v>46069.13722578704</v>
      </c>
      <c r="K852" s="95" t="s">
        <v>5241</v>
      </c>
      <c r="L852" s="96" t="s">
        <v>5242</v>
      </c>
      <c r="M852" s="95" t="s">
        <v>74</v>
      </c>
      <c r="N852" s="95" t="s">
        <v>5243</v>
      </c>
      <c r="O852" s="95" t="s">
        <v>5243</v>
      </c>
      <c r="P852" s="95" t="s">
        <v>5244</v>
      </c>
      <c r="Q852" s="98">
        <v>3.0</v>
      </c>
      <c r="R852" s="97">
        <v>45957.88120370371</v>
      </c>
      <c r="S852" s="99">
        <v>697.0</v>
      </c>
      <c r="T852" s="99">
        <v>470.0</v>
      </c>
      <c r="U852" s="99">
        <v>11.0</v>
      </c>
      <c r="V852" s="99">
        <v>65.0</v>
      </c>
      <c r="W852" s="95"/>
    </row>
    <row r="853" ht="15.75" customHeight="1">
      <c r="A853" s="95" t="s">
        <v>5245</v>
      </c>
      <c r="B853" s="95" t="s">
        <v>22</v>
      </c>
      <c r="C853" s="96" t="s">
        <v>5246</v>
      </c>
      <c r="D853" s="95" t="s">
        <v>124</v>
      </c>
      <c r="E853" s="95" t="s">
        <v>983</v>
      </c>
      <c r="F853" s="95" t="s">
        <v>19</v>
      </c>
      <c r="G853" s="95" t="s">
        <v>19</v>
      </c>
      <c r="H853" s="95" t="s">
        <v>21</v>
      </c>
      <c r="I853" s="95" t="s">
        <v>567</v>
      </c>
      <c r="J853" s="97">
        <v>46069.13722578704</v>
      </c>
      <c r="K853" s="95" t="s">
        <v>5247</v>
      </c>
      <c r="L853" s="96" t="s">
        <v>5248</v>
      </c>
      <c r="M853" s="95" t="s">
        <v>74</v>
      </c>
      <c r="N853" s="95" t="s">
        <v>5243</v>
      </c>
      <c r="O853" s="95" t="s">
        <v>5243</v>
      </c>
      <c r="P853" s="95" t="s">
        <v>5244</v>
      </c>
      <c r="Q853" s="98">
        <v>3.0</v>
      </c>
      <c r="R853" s="97">
        <v>45623.68820601852</v>
      </c>
      <c r="S853" s="99">
        <v>697.0</v>
      </c>
      <c r="T853" s="99">
        <v>313.0</v>
      </c>
      <c r="U853" s="99">
        <v>10.0</v>
      </c>
      <c r="V853" s="99">
        <v>493.0</v>
      </c>
      <c r="W853" s="95"/>
    </row>
    <row r="854" ht="15.75" customHeight="1">
      <c r="A854" s="95" t="s">
        <v>5249</v>
      </c>
      <c r="B854" s="95" t="s">
        <v>22</v>
      </c>
      <c r="C854" s="96" t="s">
        <v>5250</v>
      </c>
      <c r="D854" s="95" t="s">
        <v>547</v>
      </c>
      <c r="E854" s="95" t="s">
        <v>5233</v>
      </c>
      <c r="F854" s="95" t="s">
        <v>19</v>
      </c>
      <c r="G854" s="95" t="s">
        <v>1367</v>
      </c>
      <c r="H854" s="95" t="s">
        <v>21</v>
      </c>
      <c r="I854" s="95" t="s">
        <v>567</v>
      </c>
      <c r="J854" s="97">
        <v>46069.13722578704</v>
      </c>
      <c r="K854" s="95" t="s">
        <v>5251</v>
      </c>
      <c r="L854" s="96" t="s">
        <v>5252</v>
      </c>
      <c r="M854" s="95" t="s">
        <v>74</v>
      </c>
      <c r="N854" s="95" t="s">
        <v>5243</v>
      </c>
      <c r="O854" s="95" t="s">
        <v>5243</v>
      </c>
      <c r="P854" s="95" t="s">
        <v>5244</v>
      </c>
      <c r="Q854" s="98">
        <v>3.0</v>
      </c>
      <c r="R854" s="97">
        <v>45741.64133101852</v>
      </c>
      <c r="S854" s="99">
        <v>697.0</v>
      </c>
      <c r="T854" s="99">
        <v>2.0</v>
      </c>
      <c r="U854" s="99">
        <v>3.0</v>
      </c>
      <c r="V854" s="99">
        <v>1439.0</v>
      </c>
      <c r="W854" s="95"/>
    </row>
    <row r="855" ht="15.75" customHeight="1">
      <c r="A855" s="95" t="s">
        <v>5253</v>
      </c>
      <c r="B855" s="95" t="s">
        <v>22</v>
      </c>
      <c r="C855" s="96" t="s">
        <v>5254</v>
      </c>
      <c r="D855" s="95" t="s">
        <v>59</v>
      </c>
      <c r="E855" s="95" t="s">
        <v>3394</v>
      </c>
      <c r="F855" s="95" t="s">
        <v>19</v>
      </c>
      <c r="G855" s="95" t="s">
        <v>19</v>
      </c>
      <c r="H855" s="95" t="s">
        <v>21</v>
      </c>
      <c r="I855" s="95" t="s">
        <v>589</v>
      </c>
      <c r="J855" s="97">
        <v>46021.50566978009</v>
      </c>
      <c r="K855" s="95" t="s">
        <v>5255</v>
      </c>
      <c r="L855" s="96" t="s">
        <v>5256</v>
      </c>
      <c r="M855" s="95" t="s">
        <v>54</v>
      </c>
      <c r="N855" s="95" t="s">
        <v>5257</v>
      </c>
      <c r="O855" s="95" t="s">
        <v>5257</v>
      </c>
      <c r="P855" s="95" t="s">
        <v>5258</v>
      </c>
      <c r="Q855" s="98">
        <v>3.0</v>
      </c>
      <c r="R855" s="97">
        <v>45773.66496527778</v>
      </c>
      <c r="S855" s="99">
        <v>741.0</v>
      </c>
      <c r="T855" s="99">
        <v>41.0</v>
      </c>
      <c r="U855" s="99">
        <v>13.0</v>
      </c>
      <c r="V855" s="99">
        <v>115.0</v>
      </c>
      <c r="W855" s="99">
        <v>7247.0</v>
      </c>
    </row>
    <row r="856" ht="15.75" customHeight="1">
      <c r="A856" s="95" t="s">
        <v>5259</v>
      </c>
      <c r="B856" s="95" t="s">
        <v>131</v>
      </c>
      <c r="C856" s="96" t="s">
        <v>5260</v>
      </c>
      <c r="D856" s="95" t="s">
        <v>29</v>
      </c>
      <c r="E856" s="95" t="s">
        <v>598</v>
      </c>
      <c r="F856" s="95" t="s">
        <v>88</v>
      </c>
      <c r="G856" s="95" t="s">
        <v>639</v>
      </c>
      <c r="H856" s="95" t="s">
        <v>89</v>
      </c>
      <c r="I856" s="95" t="s">
        <v>5261</v>
      </c>
      <c r="J856" s="97">
        <v>45975.67939547454</v>
      </c>
      <c r="K856" s="96" t="s">
        <v>5262</v>
      </c>
      <c r="L856" s="96" t="s">
        <v>5263</v>
      </c>
      <c r="M856" s="95" t="s">
        <v>74</v>
      </c>
      <c r="N856" s="95" t="s">
        <v>5264</v>
      </c>
      <c r="O856" s="95" t="s">
        <v>5264</v>
      </c>
      <c r="P856" s="95" t="s">
        <v>5265</v>
      </c>
      <c r="Q856" s="98">
        <v>3.0</v>
      </c>
      <c r="R856" s="97">
        <v>45808.5925462963</v>
      </c>
      <c r="S856" s="99">
        <v>224.0</v>
      </c>
      <c r="T856" s="99">
        <v>149.0</v>
      </c>
      <c r="U856" s="99">
        <v>38.0</v>
      </c>
      <c r="V856" s="99">
        <v>98.0</v>
      </c>
      <c r="W856" s="99">
        <v>16713.0</v>
      </c>
    </row>
    <row r="857" ht="15.75" customHeight="1">
      <c r="A857" s="95" t="s">
        <v>5266</v>
      </c>
      <c r="B857" s="95" t="s">
        <v>22</v>
      </c>
      <c r="C857" s="96" t="s">
        <v>5267</v>
      </c>
      <c r="D857" s="95" t="s">
        <v>39</v>
      </c>
      <c r="E857" s="95" t="s">
        <v>39</v>
      </c>
      <c r="F857" s="95" t="s">
        <v>19</v>
      </c>
      <c r="G857" s="95" t="s">
        <v>19</v>
      </c>
      <c r="H857" s="95" t="s">
        <v>21</v>
      </c>
      <c r="I857" s="95" t="s">
        <v>567</v>
      </c>
      <c r="J857" s="97">
        <v>46003.0926772801</v>
      </c>
      <c r="K857" s="95" t="s">
        <v>5268</v>
      </c>
      <c r="L857" s="96" t="s">
        <v>5269</v>
      </c>
      <c r="M857" s="95" t="s">
        <v>38</v>
      </c>
      <c r="N857" s="95" t="s">
        <v>5270</v>
      </c>
      <c r="O857" s="95" t="s">
        <v>5270</v>
      </c>
      <c r="P857" s="95" t="s">
        <v>5271</v>
      </c>
      <c r="Q857" s="98">
        <v>3.0</v>
      </c>
      <c r="R857" s="97">
        <v>45988.24145833333</v>
      </c>
      <c r="S857" s="99">
        <v>2621.0</v>
      </c>
      <c r="T857" s="99">
        <v>8.0</v>
      </c>
      <c r="U857" s="99">
        <v>1.0</v>
      </c>
      <c r="V857" s="99">
        <v>101.0</v>
      </c>
      <c r="W857" s="99">
        <v>39585.0</v>
      </c>
    </row>
    <row r="858" ht="15.75" customHeight="1">
      <c r="A858" s="95" t="s">
        <v>5272</v>
      </c>
      <c r="B858" s="95" t="s">
        <v>22</v>
      </c>
      <c r="C858" s="96" t="s">
        <v>5273</v>
      </c>
      <c r="D858" s="95" t="s">
        <v>39</v>
      </c>
      <c r="E858" s="95" t="s">
        <v>39</v>
      </c>
      <c r="F858" s="95" t="s">
        <v>19</v>
      </c>
      <c r="G858" s="95" t="s">
        <v>19</v>
      </c>
      <c r="H858" s="95" t="s">
        <v>21</v>
      </c>
      <c r="I858" s="95" t="s">
        <v>567</v>
      </c>
      <c r="J858" s="97">
        <v>46011.60168425926</v>
      </c>
      <c r="K858" s="95" t="s">
        <v>5274</v>
      </c>
      <c r="L858" s="96" t="s">
        <v>5275</v>
      </c>
      <c r="M858" s="95" t="s">
        <v>38</v>
      </c>
      <c r="N858" s="95" t="s">
        <v>5270</v>
      </c>
      <c r="O858" s="95" t="s">
        <v>5270</v>
      </c>
      <c r="P858" s="95" t="s">
        <v>5271</v>
      </c>
      <c r="Q858" s="98">
        <v>3.0</v>
      </c>
      <c r="R858" s="97">
        <v>45996.29056712963</v>
      </c>
      <c r="S858" s="99">
        <v>2621.0</v>
      </c>
      <c r="T858" s="99">
        <v>43.0</v>
      </c>
      <c r="U858" s="99">
        <v>1.0</v>
      </c>
      <c r="V858" s="99">
        <v>49.0</v>
      </c>
      <c r="W858" s="99">
        <v>39585.0</v>
      </c>
    </row>
    <row r="859" ht="15.75" customHeight="1">
      <c r="A859" s="95" t="s">
        <v>5276</v>
      </c>
      <c r="B859" s="95" t="s">
        <v>22</v>
      </c>
      <c r="C859" s="96" t="s">
        <v>5277</v>
      </c>
      <c r="D859" s="95" t="s">
        <v>124</v>
      </c>
      <c r="E859" s="95" t="s">
        <v>1731</v>
      </c>
      <c r="F859" s="95" t="s">
        <v>19</v>
      </c>
      <c r="G859" s="95" t="s">
        <v>574</v>
      </c>
      <c r="H859" s="95" t="s">
        <v>21</v>
      </c>
      <c r="I859" s="95" t="s">
        <v>567</v>
      </c>
      <c r="J859" s="97">
        <v>46080.66200087963</v>
      </c>
      <c r="K859" s="95" t="s">
        <v>5278</v>
      </c>
      <c r="L859" s="96" t="s">
        <v>5279</v>
      </c>
      <c r="M859" s="95" t="s">
        <v>93</v>
      </c>
      <c r="N859" s="95" t="s">
        <v>5280</v>
      </c>
      <c r="O859" s="95" t="s">
        <v>5280</v>
      </c>
      <c r="P859" s="95" t="s">
        <v>5281</v>
      </c>
      <c r="Q859" s="98">
        <v>3.0</v>
      </c>
      <c r="R859" s="97">
        <v>45884.70721064815</v>
      </c>
      <c r="S859" s="99">
        <v>4231.0</v>
      </c>
      <c r="T859" s="99">
        <v>8993.0</v>
      </c>
      <c r="U859" s="99">
        <v>3.0</v>
      </c>
      <c r="V859" s="99">
        <v>24.0</v>
      </c>
      <c r="W859" s="99">
        <v>350563.0</v>
      </c>
    </row>
    <row r="860" ht="15.75" customHeight="1">
      <c r="A860" s="95" t="s">
        <v>5282</v>
      </c>
      <c r="B860" s="95" t="s">
        <v>101</v>
      </c>
      <c r="C860" s="96" t="s">
        <v>5283</v>
      </c>
      <c r="D860" s="95" t="s">
        <v>59</v>
      </c>
      <c r="E860" s="95" t="s">
        <v>738</v>
      </c>
      <c r="F860" s="95" t="s">
        <v>19</v>
      </c>
      <c r="G860" s="95" t="s">
        <v>574</v>
      </c>
      <c r="H860" s="95" t="s">
        <v>21</v>
      </c>
      <c r="I860" s="95" t="s">
        <v>955</v>
      </c>
      <c r="J860" s="97">
        <v>45993.78544196759</v>
      </c>
      <c r="K860" s="96" t="s">
        <v>5284</v>
      </c>
      <c r="L860" s="96" t="s">
        <v>5285</v>
      </c>
      <c r="M860" s="95" t="s">
        <v>54</v>
      </c>
      <c r="N860" s="95" t="s">
        <v>5286</v>
      </c>
      <c r="O860" s="95" t="s">
        <v>5286</v>
      </c>
      <c r="P860" s="95" t="s">
        <v>5287</v>
      </c>
      <c r="Q860" s="98">
        <v>3.0</v>
      </c>
      <c r="R860" s="97">
        <v>45626.82418981481</v>
      </c>
      <c r="S860" s="99">
        <v>22043.0</v>
      </c>
      <c r="T860" s="99">
        <v>173.0</v>
      </c>
      <c r="U860" s="99">
        <v>7.0</v>
      </c>
      <c r="V860" s="99">
        <v>230.0</v>
      </c>
      <c r="W860" s="99">
        <v>145453.0</v>
      </c>
    </row>
    <row r="861" ht="15.75" customHeight="1">
      <c r="A861" s="95" t="s">
        <v>5288</v>
      </c>
      <c r="B861" s="95" t="s">
        <v>157</v>
      </c>
      <c r="C861" s="96" t="s">
        <v>5289</v>
      </c>
      <c r="D861" s="95" t="s">
        <v>29</v>
      </c>
      <c r="E861" s="95" t="s">
        <v>29</v>
      </c>
      <c r="F861" s="95" t="s">
        <v>88</v>
      </c>
      <c r="G861" s="95" t="s">
        <v>858</v>
      </c>
      <c r="H861" s="95" t="s">
        <v>89</v>
      </c>
      <c r="I861" s="95" t="s">
        <v>859</v>
      </c>
      <c r="J861" s="97">
        <v>45975.67932418981</v>
      </c>
      <c r="K861" s="96" t="s">
        <v>5290</v>
      </c>
      <c r="L861" s="96" t="s">
        <v>5291</v>
      </c>
      <c r="M861" s="95" t="s">
        <v>93</v>
      </c>
      <c r="N861" s="95" t="s">
        <v>5292</v>
      </c>
      <c r="O861" s="95" t="s">
        <v>5292</v>
      </c>
      <c r="P861" s="95" t="s">
        <v>5293</v>
      </c>
      <c r="Q861" s="98">
        <v>3.0</v>
      </c>
      <c r="R861" s="97">
        <v>45763.75575231481</v>
      </c>
      <c r="S861" s="99">
        <v>139.0</v>
      </c>
      <c r="T861" s="99">
        <v>104.0</v>
      </c>
      <c r="U861" s="99">
        <v>2.0</v>
      </c>
      <c r="V861" s="99">
        <v>323.0</v>
      </c>
      <c r="W861" s="99">
        <v>25055.0</v>
      </c>
    </row>
    <row r="862" ht="15.75" customHeight="1">
      <c r="A862" s="95" t="s">
        <v>5294</v>
      </c>
      <c r="B862" s="95" t="s">
        <v>69</v>
      </c>
      <c r="C862" s="96" t="s">
        <v>5295</v>
      </c>
      <c r="D862" s="95" t="s">
        <v>39</v>
      </c>
      <c r="E862" s="95" t="s">
        <v>39</v>
      </c>
      <c r="F862" s="95" t="s">
        <v>58</v>
      </c>
      <c r="G862" s="95" t="s">
        <v>1450</v>
      </c>
      <c r="H862" s="95" t="s">
        <v>77</v>
      </c>
      <c r="I862" s="95" t="s">
        <v>5296</v>
      </c>
      <c r="J862" s="97">
        <v>46040.56542898148</v>
      </c>
      <c r="K862" s="95" t="s">
        <v>5297</v>
      </c>
      <c r="L862" s="96" t="s">
        <v>5298</v>
      </c>
      <c r="M862" s="95" t="s">
        <v>93</v>
      </c>
      <c r="N862" s="95" t="s">
        <v>5299</v>
      </c>
      <c r="O862" s="95" t="s">
        <v>5299</v>
      </c>
      <c r="P862" s="95" t="s">
        <v>5300</v>
      </c>
      <c r="Q862" s="98">
        <v>3.0</v>
      </c>
      <c r="R862" s="97">
        <v>45917.46452546296</v>
      </c>
      <c r="S862" s="99">
        <v>280.0</v>
      </c>
      <c r="T862" s="99">
        <v>380.0</v>
      </c>
      <c r="U862" s="99">
        <v>3.0</v>
      </c>
      <c r="V862" s="99">
        <v>101.0</v>
      </c>
      <c r="W862" s="99">
        <v>29580.0</v>
      </c>
    </row>
    <row r="863" ht="15.75" customHeight="1">
      <c r="A863" s="95" t="s">
        <v>5301</v>
      </c>
      <c r="B863" s="95" t="s">
        <v>22</v>
      </c>
      <c r="C863" s="96" t="s">
        <v>5302</v>
      </c>
      <c r="D863" s="95" t="s">
        <v>124</v>
      </c>
      <c r="E863" s="95" t="s">
        <v>625</v>
      </c>
      <c r="F863" s="95" t="s">
        <v>19</v>
      </c>
      <c r="G863" s="95" t="s">
        <v>19</v>
      </c>
      <c r="H863" s="95" t="s">
        <v>21</v>
      </c>
      <c r="I863" s="95" t="s">
        <v>567</v>
      </c>
      <c r="J863" s="97">
        <v>46072.52378248842</v>
      </c>
      <c r="K863" s="95" t="s">
        <v>5303</v>
      </c>
      <c r="L863" s="96" t="s">
        <v>5304</v>
      </c>
      <c r="M863" s="95" t="s">
        <v>74</v>
      </c>
      <c r="N863" s="95" t="s">
        <v>5305</v>
      </c>
      <c r="O863" s="95" t="s">
        <v>5305</v>
      </c>
      <c r="P863" s="95" t="s">
        <v>5306</v>
      </c>
      <c r="Q863" s="98">
        <v>3.0</v>
      </c>
      <c r="R863" s="97">
        <v>45967.32984953704</v>
      </c>
      <c r="S863" s="99">
        <v>40472.0</v>
      </c>
      <c r="T863" s="99">
        <v>76.0</v>
      </c>
      <c r="U863" s="99">
        <v>10.0</v>
      </c>
      <c r="V863" s="99">
        <v>189.0</v>
      </c>
      <c r="W863" s="95"/>
    </row>
    <row r="864" ht="15.75" customHeight="1">
      <c r="A864" s="95" t="s">
        <v>5307</v>
      </c>
      <c r="B864" s="95" t="s">
        <v>69</v>
      </c>
      <c r="C864" s="96" t="s">
        <v>5308</v>
      </c>
      <c r="D864" s="95" t="s">
        <v>39</v>
      </c>
      <c r="E864" s="95" t="s">
        <v>697</v>
      </c>
      <c r="F864" s="95" t="s">
        <v>520</v>
      </c>
      <c r="G864" s="95" t="s">
        <v>5309</v>
      </c>
      <c r="H864" s="95" t="s">
        <v>21</v>
      </c>
      <c r="I864" s="95" t="s">
        <v>5310</v>
      </c>
      <c r="J864" s="97">
        <v>46008.62903157408</v>
      </c>
      <c r="K864" s="96" t="s">
        <v>5311</v>
      </c>
      <c r="L864" s="96" t="s">
        <v>5312</v>
      </c>
      <c r="M864" s="95" t="s">
        <v>17</v>
      </c>
      <c r="N864" s="95" t="s">
        <v>5313</v>
      </c>
      <c r="O864" s="95" t="s">
        <v>5313</v>
      </c>
      <c r="P864" s="95" t="s">
        <v>5314</v>
      </c>
      <c r="Q864" s="98">
        <v>3.0</v>
      </c>
      <c r="R864" s="97">
        <v>45855.68894675926</v>
      </c>
      <c r="S864" s="99">
        <v>517.0</v>
      </c>
      <c r="T864" s="99">
        <v>110.0</v>
      </c>
      <c r="U864" s="99">
        <v>3.0</v>
      </c>
      <c r="V864" s="99">
        <v>57.0</v>
      </c>
      <c r="W864" s="99">
        <v>11548.0</v>
      </c>
    </row>
    <row r="865" ht="15.75" customHeight="1">
      <c r="A865" s="95" t="s">
        <v>5315</v>
      </c>
      <c r="B865" s="95" t="s">
        <v>22</v>
      </c>
      <c r="C865" s="96" t="s">
        <v>5316</v>
      </c>
      <c r="D865" s="95" t="s">
        <v>68</v>
      </c>
      <c r="E865" s="95" t="s">
        <v>1671</v>
      </c>
      <c r="F865" s="95" t="s">
        <v>19</v>
      </c>
      <c r="G865" s="95" t="s">
        <v>19</v>
      </c>
      <c r="H865" s="95" t="s">
        <v>21</v>
      </c>
      <c r="I865" s="95" t="s">
        <v>589</v>
      </c>
      <c r="J865" s="97">
        <v>46072.52226574074</v>
      </c>
      <c r="K865" s="95" t="s">
        <v>5317</v>
      </c>
      <c r="L865" s="96" t="s">
        <v>5318</v>
      </c>
      <c r="M865" s="95" t="s">
        <v>74</v>
      </c>
      <c r="N865" s="95" t="s">
        <v>5319</v>
      </c>
      <c r="O865" s="95" t="s">
        <v>5319</v>
      </c>
      <c r="P865" s="95" t="s">
        <v>5320</v>
      </c>
      <c r="Q865" s="98">
        <v>3.0</v>
      </c>
      <c r="R865" s="97">
        <v>45962.02194444444</v>
      </c>
      <c r="S865" s="99">
        <v>299.0</v>
      </c>
      <c r="T865" s="99">
        <v>252.0</v>
      </c>
      <c r="U865" s="99">
        <v>1.0</v>
      </c>
      <c r="V865" s="99">
        <v>42.0</v>
      </c>
      <c r="W865" s="99">
        <v>10844.0</v>
      </c>
    </row>
    <row r="866" ht="15.75" customHeight="1">
      <c r="A866" s="95" t="s">
        <v>5321</v>
      </c>
      <c r="B866" s="95" t="s">
        <v>157</v>
      </c>
      <c r="C866" s="96" t="s">
        <v>5322</v>
      </c>
      <c r="D866" s="95" t="s">
        <v>39</v>
      </c>
      <c r="E866" s="95" t="s">
        <v>718</v>
      </c>
      <c r="F866" s="95" t="s">
        <v>19</v>
      </c>
      <c r="G866" s="95" t="s">
        <v>19</v>
      </c>
      <c r="H866" s="95" t="s">
        <v>89</v>
      </c>
      <c r="I866" s="95" t="s">
        <v>5323</v>
      </c>
      <c r="J866" s="97">
        <v>46072.52378248842</v>
      </c>
      <c r="K866" s="95" t="s">
        <v>5324</v>
      </c>
      <c r="L866" s="96" t="s">
        <v>5325</v>
      </c>
      <c r="M866" s="95" t="s">
        <v>74</v>
      </c>
      <c r="N866" s="95" t="s">
        <v>5326</v>
      </c>
      <c r="O866" s="95" t="s">
        <v>5326</v>
      </c>
      <c r="P866" s="95" t="s">
        <v>5327</v>
      </c>
      <c r="Q866" s="98">
        <v>3.0</v>
      </c>
      <c r="R866" s="97">
        <v>46028.81784722222</v>
      </c>
      <c r="S866" s="99">
        <v>15853.0</v>
      </c>
      <c r="T866" s="99">
        <v>89.0</v>
      </c>
      <c r="U866" s="99">
        <v>1.0</v>
      </c>
      <c r="V866" s="99">
        <v>63.0</v>
      </c>
      <c r="W866" s="99">
        <v>128067.0</v>
      </c>
    </row>
    <row r="867" ht="15.75" customHeight="1">
      <c r="A867" s="95" t="s">
        <v>5328</v>
      </c>
      <c r="B867" s="95" t="s">
        <v>22</v>
      </c>
      <c r="C867" s="96" t="s">
        <v>5329</v>
      </c>
      <c r="D867" s="95" t="s">
        <v>20</v>
      </c>
      <c r="E867" s="95" t="s">
        <v>1991</v>
      </c>
      <c r="F867" s="95" t="s">
        <v>19</v>
      </c>
      <c r="G867" s="95" t="s">
        <v>19</v>
      </c>
      <c r="H867" s="95" t="s">
        <v>21</v>
      </c>
      <c r="I867" s="95" t="s">
        <v>567</v>
      </c>
      <c r="J867" s="97">
        <v>45975.67934811342</v>
      </c>
      <c r="K867" s="96" t="s">
        <v>5330</v>
      </c>
      <c r="L867" s="96" t="s">
        <v>5331</v>
      </c>
      <c r="M867" s="95" t="s">
        <v>17</v>
      </c>
      <c r="N867" s="95" t="s">
        <v>5332</v>
      </c>
      <c r="O867" s="95" t="s">
        <v>5332</v>
      </c>
      <c r="P867" s="95" t="s">
        <v>5333</v>
      </c>
      <c r="Q867" s="98">
        <v>3.0</v>
      </c>
      <c r="R867" s="97">
        <v>45818.94190972222</v>
      </c>
      <c r="S867" s="99">
        <v>34833.0</v>
      </c>
      <c r="T867" s="99">
        <v>434.0</v>
      </c>
      <c r="U867" s="99">
        <v>7.0</v>
      </c>
      <c r="V867" s="99">
        <v>55.0</v>
      </c>
      <c r="W867" s="99">
        <v>549835.0</v>
      </c>
    </row>
    <row r="868" ht="15.75" customHeight="1">
      <c r="A868" s="95" t="s">
        <v>5334</v>
      </c>
      <c r="B868" s="95" t="s">
        <v>22</v>
      </c>
      <c r="C868" s="96" t="s">
        <v>5335</v>
      </c>
      <c r="D868" s="95" t="s">
        <v>29</v>
      </c>
      <c r="E868" s="95" t="s">
        <v>3793</v>
      </c>
      <c r="F868" s="95" t="s">
        <v>19</v>
      </c>
      <c r="G868" s="95" t="s">
        <v>19</v>
      </c>
      <c r="H868" s="95" t="s">
        <v>21</v>
      </c>
      <c r="I868" s="95" t="s">
        <v>677</v>
      </c>
      <c r="J868" s="97">
        <v>45975.67934811342</v>
      </c>
      <c r="K868" s="96" t="s">
        <v>5336</v>
      </c>
      <c r="L868" s="96" t="s">
        <v>5337</v>
      </c>
      <c r="M868" s="95" t="s">
        <v>17</v>
      </c>
      <c r="N868" s="95" t="s">
        <v>5338</v>
      </c>
      <c r="O868" s="95" t="s">
        <v>5338</v>
      </c>
      <c r="P868" s="95" t="s">
        <v>5339</v>
      </c>
      <c r="Q868" s="98">
        <v>3.0</v>
      </c>
      <c r="R868" s="97">
        <v>45874.46023148148</v>
      </c>
      <c r="S868" s="99">
        <v>1313.0</v>
      </c>
      <c r="T868" s="99">
        <v>28.0</v>
      </c>
      <c r="U868" s="99">
        <v>22.0</v>
      </c>
      <c r="V868" s="99">
        <v>218.0</v>
      </c>
      <c r="W868" s="99">
        <v>8425.0</v>
      </c>
    </row>
    <row r="869" ht="15.75" customHeight="1">
      <c r="A869" s="95" t="s">
        <v>5340</v>
      </c>
      <c r="B869" s="95" t="s">
        <v>22</v>
      </c>
      <c r="C869" s="96" t="s">
        <v>5341</v>
      </c>
      <c r="D869" s="95" t="s">
        <v>168</v>
      </c>
      <c r="E869" s="95" t="s">
        <v>168</v>
      </c>
      <c r="F869" s="95" t="s">
        <v>19</v>
      </c>
      <c r="G869" s="95" t="s">
        <v>19</v>
      </c>
      <c r="H869" s="95" t="s">
        <v>21</v>
      </c>
      <c r="I869" s="95" t="s">
        <v>943</v>
      </c>
      <c r="J869" s="97">
        <v>46021.5125787037</v>
      </c>
      <c r="K869" s="95" t="s">
        <v>5342</v>
      </c>
      <c r="L869" s="96" t="s">
        <v>5343</v>
      </c>
      <c r="M869" s="95" t="s">
        <v>38</v>
      </c>
      <c r="N869" s="95" t="s">
        <v>5344</v>
      </c>
      <c r="O869" s="95" t="s">
        <v>5344</v>
      </c>
      <c r="P869" s="95" t="s">
        <v>5345</v>
      </c>
      <c r="Q869" s="98">
        <v>3.0</v>
      </c>
      <c r="R869" s="97">
        <v>45845.14893518519</v>
      </c>
      <c r="S869" s="99">
        <v>188.0</v>
      </c>
      <c r="T869" s="99">
        <v>189.0</v>
      </c>
      <c r="U869" s="99">
        <v>8.0</v>
      </c>
      <c r="V869" s="99">
        <v>611.0</v>
      </c>
      <c r="W869" s="99">
        <v>21196.0</v>
      </c>
    </row>
    <row r="870" ht="15.75" customHeight="1">
      <c r="A870" s="95" t="s">
        <v>5346</v>
      </c>
      <c r="B870" s="95" t="s">
        <v>22</v>
      </c>
      <c r="C870" s="96" t="s">
        <v>5347</v>
      </c>
      <c r="D870" s="95" t="s">
        <v>39</v>
      </c>
      <c r="E870" s="95" t="s">
        <v>39</v>
      </c>
      <c r="F870" s="95" t="s">
        <v>19</v>
      </c>
      <c r="G870" s="95" t="s">
        <v>19</v>
      </c>
      <c r="H870" s="95" t="s">
        <v>21</v>
      </c>
      <c r="I870" s="95" t="s">
        <v>567</v>
      </c>
      <c r="J870" s="97">
        <v>45975.67934811342</v>
      </c>
      <c r="K870" s="96" t="s">
        <v>5348</v>
      </c>
      <c r="L870" s="96" t="s">
        <v>5349</v>
      </c>
      <c r="M870" s="95" t="s">
        <v>17</v>
      </c>
      <c r="N870" s="95" t="s">
        <v>5350</v>
      </c>
      <c r="O870" s="95" t="s">
        <v>5350</v>
      </c>
      <c r="P870" s="95" t="s">
        <v>5351</v>
      </c>
      <c r="Q870" s="98">
        <v>3.0</v>
      </c>
      <c r="R870" s="97">
        <v>45831.53578703704</v>
      </c>
      <c r="S870" s="99">
        <v>2203.0</v>
      </c>
      <c r="T870" s="99">
        <v>302.0</v>
      </c>
      <c r="U870" s="99">
        <v>28.0</v>
      </c>
      <c r="V870" s="99">
        <v>101.0</v>
      </c>
      <c r="W870" s="99">
        <v>119123.0</v>
      </c>
    </row>
    <row r="871" ht="15.75" customHeight="1">
      <c r="A871" s="95" t="s">
        <v>5352</v>
      </c>
      <c r="B871" s="95" t="s">
        <v>22</v>
      </c>
      <c r="C871" s="96" t="s">
        <v>5353</v>
      </c>
      <c r="D871" s="95" t="s">
        <v>39</v>
      </c>
      <c r="E871" s="95" t="s">
        <v>39</v>
      </c>
      <c r="F871" s="95" t="s">
        <v>19</v>
      </c>
      <c r="G871" s="95" t="s">
        <v>19</v>
      </c>
      <c r="H871" s="95" t="s">
        <v>21</v>
      </c>
      <c r="I871" s="95" t="s">
        <v>677</v>
      </c>
      <c r="J871" s="97">
        <v>45975.67937189815</v>
      </c>
      <c r="K871" s="96" t="s">
        <v>5354</v>
      </c>
      <c r="L871" s="96" t="s">
        <v>5355</v>
      </c>
      <c r="M871" s="95" t="s">
        <v>38</v>
      </c>
      <c r="N871" s="95" t="s">
        <v>5356</v>
      </c>
      <c r="O871" s="95" t="s">
        <v>5356</v>
      </c>
      <c r="P871" s="95" t="s">
        <v>5357</v>
      </c>
      <c r="Q871" s="98">
        <v>3.0</v>
      </c>
      <c r="R871" s="97">
        <v>45845.60362268519</v>
      </c>
      <c r="S871" s="99">
        <v>2026.0</v>
      </c>
      <c r="T871" s="99">
        <v>594.0</v>
      </c>
      <c r="U871" s="99">
        <v>5.0</v>
      </c>
      <c r="V871" s="99">
        <v>134.0</v>
      </c>
      <c r="W871" s="99">
        <v>36794.0</v>
      </c>
    </row>
    <row r="872" ht="15.75" customHeight="1">
      <c r="A872" s="95" t="s">
        <v>5358</v>
      </c>
      <c r="B872" s="95" t="s">
        <v>22</v>
      </c>
      <c r="C872" s="96" t="s">
        <v>5359</v>
      </c>
      <c r="D872" s="95" t="s">
        <v>68</v>
      </c>
      <c r="E872" s="95" t="s">
        <v>1496</v>
      </c>
      <c r="F872" s="95" t="s">
        <v>19</v>
      </c>
      <c r="G872" s="95" t="s">
        <v>19</v>
      </c>
      <c r="H872" s="95" t="s">
        <v>21</v>
      </c>
      <c r="I872" s="95" t="s">
        <v>1026</v>
      </c>
      <c r="J872" s="97">
        <v>46021.50566978009</v>
      </c>
      <c r="K872" s="95" t="s">
        <v>5360</v>
      </c>
      <c r="L872" s="96" t="s">
        <v>5361</v>
      </c>
      <c r="M872" s="95" t="s">
        <v>93</v>
      </c>
      <c r="N872" s="95" t="s">
        <v>5362</v>
      </c>
      <c r="O872" s="95" t="s">
        <v>5362</v>
      </c>
      <c r="P872" s="95" t="s">
        <v>5363</v>
      </c>
      <c r="Q872" s="98">
        <v>3.0</v>
      </c>
      <c r="R872" s="97">
        <v>45647.60813657408</v>
      </c>
      <c r="S872" s="99">
        <v>50.0</v>
      </c>
      <c r="T872" s="99">
        <v>258.0</v>
      </c>
      <c r="U872" s="99">
        <v>1.0</v>
      </c>
      <c r="V872" s="99">
        <v>43.0</v>
      </c>
      <c r="W872" s="99">
        <v>7333.0</v>
      </c>
    </row>
    <row r="873" ht="15.75" customHeight="1">
      <c r="A873" s="95" t="s">
        <v>5364</v>
      </c>
      <c r="B873" s="95" t="s">
        <v>22</v>
      </c>
      <c r="C873" s="96" t="s">
        <v>5365</v>
      </c>
      <c r="D873" s="95" t="s">
        <v>39</v>
      </c>
      <c r="E873" s="95" t="s">
        <v>39</v>
      </c>
      <c r="F873" s="95" t="s">
        <v>19</v>
      </c>
      <c r="G873" s="95" t="s">
        <v>19</v>
      </c>
      <c r="H873" s="95" t="s">
        <v>21</v>
      </c>
      <c r="I873" s="95" t="s">
        <v>567</v>
      </c>
      <c r="J873" s="97">
        <v>45978.46301424768</v>
      </c>
      <c r="K873" s="95" t="s">
        <v>5366</v>
      </c>
      <c r="L873" s="96" t="s">
        <v>5367</v>
      </c>
      <c r="M873" s="95" t="s">
        <v>17</v>
      </c>
      <c r="N873" s="95" t="s">
        <v>5368</v>
      </c>
      <c r="O873" s="95" t="s">
        <v>5368</v>
      </c>
      <c r="P873" s="95" t="s">
        <v>5369</v>
      </c>
      <c r="Q873" s="98">
        <v>3.0</v>
      </c>
      <c r="R873" s="97">
        <v>45643.93197916666</v>
      </c>
      <c r="S873" s="99">
        <v>0.0</v>
      </c>
      <c r="T873" s="99">
        <v>3328.0</v>
      </c>
      <c r="U873" s="99">
        <v>14.0</v>
      </c>
      <c r="V873" s="99">
        <v>245.0</v>
      </c>
      <c r="W873" s="99">
        <v>213698.0</v>
      </c>
    </row>
    <row r="874" ht="15.75" customHeight="1">
      <c r="A874" s="95" t="s">
        <v>5370</v>
      </c>
      <c r="B874" s="95" t="s">
        <v>131</v>
      </c>
      <c r="C874" s="96" t="s">
        <v>5371</v>
      </c>
      <c r="D874" s="95" t="s">
        <v>39</v>
      </c>
      <c r="E874" s="95" t="s">
        <v>39</v>
      </c>
      <c r="F874" s="95" t="s">
        <v>19</v>
      </c>
      <c r="G874" s="95" t="s">
        <v>997</v>
      </c>
      <c r="H874" s="95" t="s">
        <v>60</v>
      </c>
      <c r="I874" s="95" t="s">
        <v>795</v>
      </c>
      <c r="J874" s="97">
        <v>45978.46301424768</v>
      </c>
      <c r="K874" s="95" t="s">
        <v>5372</v>
      </c>
      <c r="L874" s="96" t="s">
        <v>5373</v>
      </c>
      <c r="M874" s="95" t="s">
        <v>17</v>
      </c>
      <c r="N874" s="95" t="s">
        <v>5368</v>
      </c>
      <c r="O874" s="95" t="s">
        <v>5368</v>
      </c>
      <c r="P874" s="95" t="s">
        <v>5369</v>
      </c>
      <c r="Q874" s="98">
        <v>3.0</v>
      </c>
      <c r="R874" s="97">
        <v>45662.61358796297</v>
      </c>
      <c r="S874" s="99">
        <v>0.0</v>
      </c>
      <c r="T874" s="99">
        <v>3430.0</v>
      </c>
      <c r="U874" s="99">
        <v>4.0</v>
      </c>
      <c r="V874" s="99">
        <v>63.0</v>
      </c>
      <c r="W874" s="99">
        <v>213698.0</v>
      </c>
    </row>
    <row r="875" ht="15.75" customHeight="1">
      <c r="A875" s="95" t="s">
        <v>5374</v>
      </c>
      <c r="B875" s="95" t="s">
        <v>22</v>
      </c>
      <c r="C875" s="96" t="s">
        <v>5375</v>
      </c>
      <c r="D875" s="95" t="s">
        <v>39</v>
      </c>
      <c r="E875" s="95" t="s">
        <v>39</v>
      </c>
      <c r="F875" s="95" t="s">
        <v>19</v>
      </c>
      <c r="G875" s="95" t="s">
        <v>19</v>
      </c>
      <c r="H875" s="95" t="s">
        <v>21</v>
      </c>
      <c r="I875" s="95" t="s">
        <v>589</v>
      </c>
      <c r="J875" s="97">
        <v>46008.62903822917</v>
      </c>
      <c r="K875" s="96" t="s">
        <v>5376</v>
      </c>
      <c r="L875" s="96" t="s">
        <v>5377</v>
      </c>
      <c r="M875" s="95" t="s">
        <v>17</v>
      </c>
      <c r="N875" s="95" t="s">
        <v>5368</v>
      </c>
      <c r="O875" s="95" t="s">
        <v>5368</v>
      </c>
      <c r="P875" s="95" t="s">
        <v>5369</v>
      </c>
      <c r="Q875" s="98">
        <v>3.0</v>
      </c>
      <c r="R875" s="97">
        <v>45605.84363425926</v>
      </c>
      <c r="S875" s="99">
        <v>0.0</v>
      </c>
      <c r="T875" s="99">
        <v>3192.0</v>
      </c>
      <c r="U875" s="99">
        <v>8.0</v>
      </c>
      <c r="V875" s="99">
        <v>38.0</v>
      </c>
      <c r="W875" s="99">
        <v>213698.0</v>
      </c>
    </row>
    <row r="876" ht="15.75" customHeight="1">
      <c r="A876" s="95" t="s">
        <v>5378</v>
      </c>
      <c r="B876" s="95" t="s">
        <v>22</v>
      </c>
      <c r="C876" s="96" t="s">
        <v>5379</v>
      </c>
      <c r="D876" s="95" t="s">
        <v>39</v>
      </c>
      <c r="E876" s="95" t="s">
        <v>39</v>
      </c>
      <c r="F876" s="95" t="s">
        <v>19</v>
      </c>
      <c r="G876" s="95" t="s">
        <v>19</v>
      </c>
      <c r="H876" s="95" t="s">
        <v>21</v>
      </c>
      <c r="I876" s="95" t="s">
        <v>684</v>
      </c>
      <c r="J876" s="97">
        <v>45975.67932418981</v>
      </c>
      <c r="K876" s="96" t="s">
        <v>5380</v>
      </c>
      <c r="L876" s="96" t="s">
        <v>5381</v>
      </c>
      <c r="M876" s="95" t="s">
        <v>54</v>
      </c>
      <c r="N876" s="95" t="s">
        <v>5382</v>
      </c>
      <c r="O876" s="95" t="s">
        <v>5382</v>
      </c>
      <c r="P876" s="95" t="s">
        <v>5383</v>
      </c>
      <c r="Q876" s="98">
        <v>3.0</v>
      </c>
      <c r="R876" s="97">
        <v>45708.34519675926</v>
      </c>
      <c r="S876" s="99">
        <v>67056.0</v>
      </c>
      <c r="T876" s="99">
        <v>137.0</v>
      </c>
      <c r="U876" s="99">
        <v>2.0</v>
      </c>
      <c r="V876" s="99">
        <v>44.0</v>
      </c>
      <c r="W876" s="99">
        <v>532683.0</v>
      </c>
    </row>
    <row r="877" ht="15.75" customHeight="1">
      <c r="A877" s="95" t="s">
        <v>5384</v>
      </c>
      <c r="B877" s="95" t="s">
        <v>22</v>
      </c>
      <c r="C877" s="96" t="s">
        <v>5385</v>
      </c>
      <c r="D877" s="95" t="s">
        <v>29</v>
      </c>
      <c r="E877" s="95" t="s">
        <v>29</v>
      </c>
      <c r="F877" s="95" t="s">
        <v>19</v>
      </c>
      <c r="G877" s="95" t="s">
        <v>588</v>
      </c>
      <c r="H877" s="95" t="s">
        <v>21</v>
      </c>
      <c r="I877" s="95" t="s">
        <v>589</v>
      </c>
      <c r="J877" s="97">
        <v>45993.78544196759</v>
      </c>
      <c r="K877" s="96" t="s">
        <v>5386</v>
      </c>
      <c r="L877" s="96" t="s">
        <v>5387</v>
      </c>
      <c r="M877" s="95" t="s">
        <v>93</v>
      </c>
      <c r="N877" s="95" t="s">
        <v>5388</v>
      </c>
      <c r="O877" s="95" t="s">
        <v>5388</v>
      </c>
      <c r="P877" s="95" t="s">
        <v>5389</v>
      </c>
      <c r="Q877" s="98">
        <v>3.0</v>
      </c>
      <c r="R877" s="97">
        <v>45848.00642361111</v>
      </c>
      <c r="S877" s="99">
        <v>4057.0</v>
      </c>
      <c r="T877" s="99">
        <v>30.0</v>
      </c>
      <c r="U877" s="99">
        <v>19.0</v>
      </c>
      <c r="V877" s="99">
        <v>15.0</v>
      </c>
      <c r="W877" s="99">
        <v>1366064.0</v>
      </c>
    </row>
    <row r="878" ht="15.75" customHeight="1">
      <c r="A878" s="95" t="s">
        <v>5390</v>
      </c>
      <c r="B878" s="95" t="s">
        <v>157</v>
      </c>
      <c r="C878" s="96" t="s">
        <v>5391</v>
      </c>
      <c r="D878" s="95" t="s">
        <v>29</v>
      </c>
      <c r="E878" s="95" t="s">
        <v>658</v>
      </c>
      <c r="F878" s="95" t="s">
        <v>88</v>
      </c>
      <c r="G878" s="95" t="s">
        <v>858</v>
      </c>
      <c r="H878" s="95" t="s">
        <v>89</v>
      </c>
      <c r="I878" s="95" t="s">
        <v>859</v>
      </c>
      <c r="J878" s="97">
        <v>46072.60571417824</v>
      </c>
      <c r="K878" s="95" t="s">
        <v>5392</v>
      </c>
      <c r="L878" s="95"/>
      <c r="M878" s="95" t="s">
        <v>93</v>
      </c>
      <c r="N878" s="95" t="s">
        <v>5388</v>
      </c>
      <c r="O878" s="95" t="s">
        <v>5388</v>
      </c>
      <c r="P878" s="95" t="s">
        <v>5389</v>
      </c>
      <c r="Q878" s="98">
        <v>3.0</v>
      </c>
      <c r="R878" s="97">
        <v>45716.71550925926</v>
      </c>
      <c r="S878" s="99">
        <v>4057.0</v>
      </c>
      <c r="T878" s="99">
        <v>3629.0</v>
      </c>
      <c r="U878" s="99">
        <v>2.0</v>
      </c>
      <c r="V878" s="99">
        <v>121.0</v>
      </c>
      <c r="W878" s="99">
        <v>1366064.0</v>
      </c>
    </row>
    <row r="879" ht="15.75" customHeight="1">
      <c r="A879" s="95" t="s">
        <v>5393</v>
      </c>
      <c r="B879" s="95" t="s">
        <v>22</v>
      </c>
      <c r="C879" s="96" t="s">
        <v>5394</v>
      </c>
      <c r="D879" s="95" t="s">
        <v>29</v>
      </c>
      <c r="E879" s="95" t="s">
        <v>658</v>
      </c>
      <c r="F879" s="95" t="s">
        <v>19</v>
      </c>
      <c r="G879" s="95" t="s">
        <v>19</v>
      </c>
      <c r="H879" s="95" t="s">
        <v>21</v>
      </c>
      <c r="I879" s="95" t="s">
        <v>567</v>
      </c>
      <c r="J879" s="97">
        <v>46079.69018296296</v>
      </c>
      <c r="K879" s="95" t="s">
        <v>5395</v>
      </c>
      <c r="L879" s="95"/>
      <c r="M879" s="95" t="s">
        <v>93</v>
      </c>
      <c r="N879" s="95" t="s">
        <v>5388</v>
      </c>
      <c r="O879" s="95" t="s">
        <v>5388</v>
      </c>
      <c r="P879" s="95" t="s">
        <v>5389</v>
      </c>
      <c r="Q879" s="98">
        <v>3.0</v>
      </c>
      <c r="R879" s="97">
        <v>45789.54347222222</v>
      </c>
      <c r="S879" s="99">
        <v>4057.0</v>
      </c>
      <c r="T879" s="99">
        <v>15440.0</v>
      </c>
      <c r="U879" s="99">
        <v>1.0</v>
      </c>
      <c r="V879" s="99">
        <v>193.0</v>
      </c>
      <c r="W879" s="99">
        <v>1366064.0</v>
      </c>
    </row>
    <row r="880" ht="15.75" customHeight="1">
      <c r="A880" s="95" t="s">
        <v>5396</v>
      </c>
      <c r="B880" s="95" t="s">
        <v>22</v>
      </c>
      <c r="C880" s="96" t="s">
        <v>5397</v>
      </c>
      <c r="D880" s="95" t="s">
        <v>547</v>
      </c>
      <c r="E880" s="95" t="s">
        <v>5233</v>
      </c>
      <c r="F880" s="95" t="s">
        <v>19</v>
      </c>
      <c r="G880" s="95" t="s">
        <v>19</v>
      </c>
      <c r="H880" s="95" t="s">
        <v>21</v>
      </c>
      <c r="I880" s="95" t="s">
        <v>567</v>
      </c>
      <c r="J880" s="97">
        <v>46021.50566978009</v>
      </c>
      <c r="K880" s="95" t="s">
        <v>5398</v>
      </c>
      <c r="L880" s="96" t="s">
        <v>5399</v>
      </c>
      <c r="M880" s="95" t="s">
        <v>93</v>
      </c>
      <c r="N880" s="95" t="s">
        <v>5400</v>
      </c>
      <c r="O880" s="95" t="s">
        <v>5400</v>
      </c>
      <c r="P880" s="95" t="s">
        <v>5401</v>
      </c>
      <c r="Q880" s="98">
        <v>3.0</v>
      </c>
      <c r="R880" s="97">
        <v>45644.47466435185</v>
      </c>
      <c r="S880" s="99">
        <v>4088.0</v>
      </c>
      <c r="T880" s="99">
        <v>208.0</v>
      </c>
      <c r="U880" s="99">
        <v>8.0</v>
      </c>
      <c r="V880" s="99">
        <v>154.0</v>
      </c>
      <c r="W880" s="99">
        <v>187358.0</v>
      </c>
    </row>
    <row r="881" ht="15.75" customHeight="1">
      <c r="A881" s="95" t="s">
        <v>5402</v>
      </c>
      <c r="B881" s="95" t="s">
        <v>157</v>
      </c>
      <c r="C881" s="96" t="s">
        <v>5403</v>
      </c>
      <c r="D881" s="95" t="s">
        <v>124</v>
      </c>
      <c r="E881" s="95" t="s">
        <v>625</v>
      </c>
      <c r="F881" s="95" t="s">
        <v>88</v>
      </c>
      <c r="G881" s="95" t="s">
        <v>88</v>
      </c>
      <c r="H881" s="95" t="s">
        <v>89</v>
      </c>
      <c r="I881" s="95" t="s">
        <v>859</v>
      </c>
      <c r="J881" s="97">
        <v>46072.52378248842</v>
      </c>
      <c r="K881" s="95" t="s">
        <v>5404</v>
      </c>
      <c r="L881" s="96" t="s">
        <v>5405</v>
      </c>
      <c r="M881" s="95" t="s">
        <v>74</v>
      </c>
      <c r="N881" s="95" t="s">
        <v>5406</v>
      </c>
      <c r="O881" s="95" t="s">
        <v>5406</v>
      </c>
      <c r="P881" s="95" t="s">
        <v>5407</v>
      </c>
      <c r="Q881" s="98">
        <v>3.0</v>
      </c>
      <c r="R881" s="97">
        <v>46061.13149305555</v>
      </c>
      <c r="S881" s="99">
        <v>219.0</v>
      </c>
      <c r="T881" s="99">
        <v>23.0</v>
      </c>
      <c r="U881" s="99">
        <v>15.0</v>
      </c>
      <c r="V881" s="99">
        <v>412.0</v>
      </c>
      <c r="W881" s="99">
        <v>17036.0</v>
      </c>
    </row>
    <row r="882" ht="15.75" customHeight="1">
      <c r="A882" s="95" t="s">
        <v>5408</v>
      </c>
      <c r="B882" s="95" t="s">
        <v>22</v>
      </c>
      <c r="C882" s="96" t="s">
        <v>5409</v>
      </c>
      <c r="D882" s="95" t="s">
        <v>20</v>
      </c>
      <c r="E882" s="95" t="s">
        <v>638</v>
      </c>
      <c r="F882" s="95" t="s">
        <v>19</v>
      </c>
      <c r="G882" s="95" t="s">
        <v>19</v>
      </c>
      <c r="H882" s="95" t="s">
        <v>21</v>
      </c>
      <c r="I882" s="95" t="s">
        <v>589</v>
      </c>
      <c r="J882" s="97">
        <v>45975.67934811342</v>
      </c>
      <c r="K882" s="96" t="s">
        <v>5410</v>
      </c>
      <c r="L882" s="96" t="s">
        <v>5411</v>
      </c>
      <c r="M882" s="95" t="s">
        <v>17</v>
      </c>
      <c r="N882" s="95" t="s">
        <v>5412</v>
      </c>
      <c r="O882" s="95" t="s">
        <v>5412</v>
      </c>
      <c r="P882" s="95" t="s">
        <v>5413</v>
      </c>
      <c r="Q882" s="98">
        <v>3.0</v>
      </c>
      <c r="R882" s="97">
        <v>45798.60267361111</v>
      </c>
      <c r="S882" s="99">
        <v>22740.0</v>
      </c>
      <c r="T882" s="99">
        <v>53.0</v>
      </c>
      <c r="U882" s="99">
        <v>1.0</v>
      </c>
      <c r="V882" s="99">
        <v>130.0</v>
      </c>
      <c r="W882" s="99">
        <v>133445.0</v>
      </c>
    </row>
    <row r="883" ht="15.75" customHeight="1">
      <c r="A883" s="95" t="s">
        <v>5414</v>
      </c>
      <c r="B883" s="95" t="s">
        <v>22</v>
      </c>
      <c r="C883" s="96" t="s">
        <v>5415</v>
      </c>
      <c r="D883" s="95" t="s">
        <v>39</v>
      </c>
      <c r="E883" s="95" t="s">
        <v>1201</v>
      </c>
      <c r="F883" s="95" t="s">
        <v>19</v>
      </c>
      <c r="G883" s="95" t="s">
        <v>19</v>
      </c>
      <c r="H883" s="95" t="s">
        <v>21</v>
      </c>
      <c r="I883" s="95" t="s">
        <v>589</v>
      </c>
      <c r="J883" s="97">
        <v>46008.62903822917</v>
      </c>
      <c r="K883" s="96" t="s">
        <v>5416</v>
      </c>
      <c r="L883" s="96" t="s">
        <v>5417</v>
      </c>
      <c r="M883" s="95" t="s">
        <v>17</v>
      </c>
      <c r="N883" s="95" t="s">
        <v>5412</v>
      </c>
      <c r="O883" s="95" t="s">
        <v>5412</v>
      </c>
      <c r="P883" s="95" t="s">
        <v>5413</v>
      </c>
      <c r="Q883" s="98">
        <v>3.0</v>
      </c>
      <c r="R883" s="97">
        <v>45858.05289351852</v>
      </c>
      <c r="S883" s="99">
        <v>22740.0</v>
      </c>
      <c r="T883" s="99">
        <v>2029.0</v>
      </c>
      <c r="U883" s="99">
        <v>9.0</v>
      </c>
      <c r="V883" s="99">
        <v>342.0</v>
      </c>
      <c r="W883" s="99">
        <v>133445.0</v>
      </c>
    </row>
    <row r="884" ht="15.75" customHeight="1">
      <c r="A884" s="95" t="s">
        <v>5418</v>
      </c>
      <c r="B884" s="95" t="s">
        <v>22</v>
      </c>
      <c r="C884" s="96" t="s">
        <v>5419</v>
      </c>
      <c r="D884" s="95" t="s">
        <v>168</v>
      </c>
      <c r="E884" s="95" t="s">
        <v>780</v>
      </c>
      <c r="F884" s="95" t="s">
        <v>19</v>
      </c>
      <c r="G884" s="95" t="s">
        <v>19</v>
      </c>
      <c r="H884" s="95" t="s">
        <v>21</v>
      </c>
      <c r="I884" s="95" t="s">
        <v>567</v>
      </c>
      <c r="J884" s="97">
        <v>45993.15673773148</v>
      </c>
      <c r="K884" s="95" t="s">
        <v>5420</v>
      </c>
      <c r="L884" s="96" t="s">
        <v>5421</v>
      </c>
      <c r="M884" s="95" t="s">
        <v>503</v>
      </c>
      <c r="N884" s="95" t="s">
        <v>5422</v>
      </c>
      <c r="O884" s="95" t="s">
        <v>5422</v>
      </c>
      <c r="P884" s="95" t="s">
        <v>5423</v>
      </c>
      <c r="Q884" s="98">
        <v>3.0</v>
      </c>
      <c r="R884" s="97">
        <v>45951.52064814815</v>
      </c>
      <c r="S884" s="99">
        <v>2284.0</v>
      </c>
      <c r="T884" s="99">
        <v>132.0</v>
      </c>
      <c r="U884" s="99">
        <v>33.0</v>
      </c>
      <c r="V884" s="99">
        <v>409.0</v>
      </c>
      <c r="W884" s="99">
        <v>7153.0</v>
      </c>
    </row>
    <row r="885" ht="15.75" customHeight="1">
      <c r="A885" s="95" t="s">
        <v>5424</v>
      </c>
      <c r="B885" s="95" t="s">
        <v>22</v>
      </c>
      <c r="C885" s="96" t="s">
        <v>5425</v>
      </c>
      <c r="D885" s="95" t="s">
        <v>548</v>
      </c>
      <c r="E885" s="95" t="s">
        <v>548</v>
      </c>
      <c r="F885" s="95" t="s">
        <v>19</v>
      </c>
      <c r="G885" s="95" t="s">
        <v>19</v>
      </c>
      <c r="H885" s="95" t="s">
        <v>21</v>
      </c>
      <c r="I885" s="95" t="s">
        <v>677</v>
      </c>
      <c r="J885" s="97">
        <v>46021.50566978009</v>
      </c>
      <c r="K885" s="95" t="s">
        <v>5426</v>
      </c>
      <c r="L885" s="96" t="s">
        <v>5427</v>
      </c>
      <c r="M885" s="95" t="s">
        <v>74</v>
      </c>
      <c r="N885" s="95" t="s">
        <v>5428</v>
      </c>
      <c r="O885" s="95" t="s">
        <v>5428</v>
      </c>
      <c r="P885" s="95" t="s">
        <v>5429</v>
      </c>
      <c r="Q885" s="98">
        <v>3.0</v>
      </c>
      <c r="R885" s="97">
        <v>45890.54447916667</v>
      </c>
      <c r="S885" s="99">
        <v>772.0</v>
      </c>
      <c r="T885" s="99">
        <v>6.0</v>
      </c>
      <c r="U885" s="99">
        <v>2.0</v>
      </c>
      <c r="V885" s="99">
        <v>563.0</v>
      </c>
      <c r="W885" s="99">
        <v>9781.0</v>
      </c>
    </row>
    <row r="886" ht="15.75" customHeight="1">
      <c r="A886" s="95" t="s">
        <v>5430</v>
      </c>
      <c r="B886" s="95" t="s">
        <v>22</v>
      </c>
      <c r="C886" s="96" t="s">
        <v>5431</v>
      </c>
      <c r="D886" s="95" t="s">
        <v>39</v>
      </c>
      <c r="E886" s="95" t="s">
        <v>39</v>
      </c>
      <c r="F886" s="95" t="s">
        <v>19</v>
      </c>
      <c r="G886" s="95" t="s">
        <v>588</v>
      </c>
      <c r="H886" s="95" t="s">
        <v>21</v>
      </c>
      <c r="I886" s="95" t="s">
        <v>677</v>
      </c>
      <c r="J886" s="97">
        <v>46021.49564868055</v>
      </c>
      <c r="K886" s="95" t="s">
        <v>5432</v>
      </c>
      <c r="L886" s="96" t="s">
        <v>5433</v>
      </c>
      <c r="M886" s="95" t="s">
        <v>54</v>
      </c>
      <c r="N886" s="95" t="s">
        <v>5434</v>
      </c>
      <c r="O886" s="95" t="s">
        <v>5434</v>
      </c>
      <c r="P886" s="95" t="s">
        <v>5435</v>
      </c>
      <c r="Q886" s="98">
        <v>3.0</v>
      </c>
      <c r="R886" s="97">
        <v>45664.19170138889</v>
      </c>
      <c r="S886" s="99">
        <v>1414.0</v>
      </c>
      <c r="T886" s="99">
        <v>59.0</v>
      </c>
      <c r="U886" s="99">
        <v>8.0</v>
      </c>
      <c r="V886" s="99">
        <v>533.0</v>
      </c>
      <c r="W886" s="99">
        <v>5144.0</v>
      </c>
    </row>
    <row r="887" ht="15.75" customHeight="1">
      <c r="A887" s="95" t="s">
        <v>5436</v>
      </c>
      <c r="B887" s="95" t="s">
        <v>131</v>
      </c>
      <c r="C887" s="96" t="s">
        <v>5437</v>
      </c>
      <c r="D887" s="95" t="s">
        <v>39</v>
      </c>
      <c r="E887" s="95" t="s">
        <v>39</v>
      </c>
      <c r="F887" s="95" t="s">
        <v>19</v>
      </c>
      <c r="G887" s="95" t="s">
        <v>574</v>
      </c>
      <c r="H887" s="95" t="s">
        <v>60</v>
      </c>
      <c r="I887" s="95" t="s">
        <v>1955</v>
      </c>
      <c r="J887" s="97">
        <v>46072.52378248842</v>
      </c>
      <c r="K887" s="95" t="s">
        <v>5438</v>
      </c>
      <c r="L887" s="96" t="s">
        <v>5439</v>
      </c>
      <c r="M887" s="95" t="s">
        <v>74</v>
      </c>
      <c r="N887" s="95" t="s">
        <v>5440</v>
      </c>
      <c r="O887" s="95" t="s">
        <v>5440</v>
      </c>
      <c r="P887" s="95" t="s">
        <v>5441</v>
      </c>
      <c r="Q887" s="98">
        <v>3.0</v>
      </c>
      <c r="R887" s="97">
        <v>45996.56883101852</v>
      </c>
      <c r="S887" s="99">
        <v>1369.0</v>
      </c>
      <c r="T887" s="99">
        <v>20.0</v>
      </c>
      <c r="U887" s="99">
        <v>24.0</v>
      </c>
      <c r="V887" s="99">
        <v>61.0</v>
      </c>
      <c r="W887" s="99">
        <v>24719.0</v>
      </c>
    </row>
    <row r="888" ht="15.75" customHeight="1">
      <c r="A888" s="95" t="s">
        <v>5442</v>
      </c>
      <c r="B888" s="95" t="s">
        <v>69</v>
      </c>
      <c r="C888" s="96" t="s">
        <v>5443</v>
      </c>
      <c r="D888" s="95" t="s">
        <v>39</v>
      </c>
      <c r="E888" s="95" t="s">
        <v>39</v>
      </c>
      <c r="F888" s="95" t="s">
        <v>88</v>
      </c>
      <c r="G888" s="95" t="s">
        <v>88</v>
      </c>
      <c r="H888" s="95" t="s">
        <v>89</v>
      </c>
      <c r="I888" s="95" t="s">
        <v>5444</v>
      </c>
      <c r="J888" s="97">
        <v>46040.56592947917</v>
      </c>
      <c r="K888" s="95" t="s">
        <v>5445</v>
      </c>
      <c r="L888" s="96" t="s">
        <v>5446</v>
      </c>
      <c r="M888" s="95" t="s">
        <v>74</v>
      </c>
      <c r="N888" s="95" t="s">
        <v>5440</v>
      </c>
      <c r="O888" s="95" t="s">
        <v>5440</v>
      </c>
      <c r="P888" s="95" t="s">
        <v>5441</v>
      </c>
      <c r="Q888" s="98">
        <v>3.0</v>
      </c>
      <c r="R888" s="97">
        <v>45673.78104166667</v>
      </c>
      <c r="S888" s="99">
        <v>1369.0</v>
      </c>
      <c r="T888" s="99">
        <v>4.0</v>
      </c>
      <c r="U888" s="99">
        <v>2.0</v>
      </c>
      <c r="V888" s="99">
        <v>19.0</v>
      </c>
      <c r="W888" s="99">
        <v>24719.0</v>
      </c>
    </row>
    <row r="889" ht="15.75" customHeight="1">
      <c r="A889" s="95" t="s">
        <v>5447</v>
      </c>
      <c r="B889" s="95" t="s">
        <v>101</v>
      </c>
      <c r="C889" s="96" t="s">
        <v>5448</v>
      </c>
      <c r="D889" s="95" t="s">
        <v>39</v>
      </c>
      <c r="E889" s="95" t="s">
        <v>39</v>
      </c>
      <c r="F889" s="95" t="s">
        <v>19</v>
      </c>
      <c r="G889" s="95" t="s">
        <v>19</v>
      </c>
      <c r="H889" s="95" t="s">
        <v>21</v>
      </c>
      <c r="I889" s="95" t="s">
        <v>1504</v>
      </c>
      <c r="J889" s="97">
        <v>46021.49564868055</v>
      </c>
      <c r="K889" s="95" t="s">
        <v>5449</v>
      </c>
      <c r="L889" s="96" t="s">
        <v>5450</v>
      </c>
      <c r="M889" s="95" t="s">
        <v>74</v>
      </c>
      <c r="N889" s="95" t="s">
        <v>5451</v>
      </c>
      <c r="O889" s="95" t="s">
        <v>5451</v>
      </c>
      <c r="P889" s="95" t="s">
        <v>5452</v>
      </c>
      <c r="Q889" s="98">
        <v>3.0</v>
      </c>
      <c r="R889" s="97">
        <v>45945.7584375</v>
      </c>
      <c r="S889" s="99">
        <v>85.0</v>
      </c>
      <c r="T889" s="99">
        <v>677.0</v>
      </c>
      <c r="U889" s="99">
        <v>8.0</v>
      </c>
      <c r="V889" s="99">
        <v>75.0</v>
      </c>
      <c r="W889" s="99">
        <v>116207.0</v>
      </c>
    </row>
    <row r="890" ht="15.75" customHeight="1">
      <c r="A890" s="95" t="s">
        <v>5453</v>
      </c>
      <c r="B890" s="95" t="s">
        <v>22</v>
      </c>
      <c r="C890" s="96" t="s">
        <v>5454</v>
      </c>
      <c r="D890" s="95" t="s">
        <v>39</v>
      </c>
      <c r="E890" s="95" t="s">
        <v>39</v>
      </c>
      <c r="F890" s="95" t="s">
        <v>19</v>
      </c>
      <c r="G890" s="95" t="s">
        <v>19</v>
      </c>
      <c r="H890" s="95" t="s">
        <v>21</v>
      </c>
      <c r="I890" s="95" t="s">
        <v>567</v>
      </c>
      <c r="J890" s="97">
        <v>46021.49564868055</v>
      </c>
      <c r="K890" s="95" t="s">
        <v>5455</v>
      </c>
      <c r="L890" s="96" t="s">
        <v>5456</v>
      </c>
      <c r="M890" s="95" t="s">
        <v>74</v>
      </c>
      <c r="N890" s="95" t="s">
        <v>5451</v>
      </c>
      <c r="O890" s="95" t="s">
        <v>5451</v>
      </c>
      <c r="P890" s="95" t="s">
        <v>5452</v>
      </c>
      <c r="Q890" s="98">
        <v>3.0</v>
      </c>
      <c r="R890" s="97">
        <v>45944.81997685185</v>
      </c>
      <c r="S890" s="99">
        <v>85.0</v>
      </c>
      <c r="T890" s="99">
        <v>617.0</v>
      </c>
      <c r="U890" s="99">
        <v>36.0</v>
      </c>
      <c r="V890" s="99">
        <v>114.0</v>
      </c>
      <c r="W890" s="99">
        <v>116207.0</v>
      </c>
    </row>
    <row r="891" ht="15.75" customHeight="1">
      <c r="A891" s="95" t="s">
        <v>5457</v>
      </c>
      <c r="B891" s="95" t="s">
        <v>22</v>
      </c>
      <c r="C891" s="96" t="s">
        <v>5458</v>
      </c>
      <c r="D891" s="95" t="s">
        <v>39</v>
      </c>
      <c r="E891" s="95" t="s">
        <v>39</v>
      </c>
      <c r="F891" s="95" t="s">
        <v>19</v>
      </c>
      <c r="G891" s="95" t="s">
        <v>19</v>
      </c>
      <c r="H891" s="95" t="s">
        <v>21</v>
      </c>
      <c r="I891" s="95" t="s">
        <v>567</v>
      </c>
      <c r="J891" s="97">
        <v>46021.50566978009</v>
      </c>
      <c r="K891" s="95" t="s">
        <v>5459</v>
      </c>
      <c r="L891" s="96" t="s">
        <v>5460</v>
      </c>
      <c r="M891" s="95" t="s">
        <v>74</v>
      </c>
      <c r="N891" s="95" t="s">
        <v>5451</v>
      </c>
      <c r="O891" s="95" t="s">
        <v>5451</v>
      </c>
      <c r="P891" s="95" t="s">
        <v>5452</v>
      </c>
      <c r="Q891" s="98">
        <v>3.0</v>
      </c>
      <c r="R891" s="97">
        <v>45825.12041666666</v>
      </c>
      <c r="S891" s="99">
        <v>85.0</v>
      </c>
      <c r="T891" s="99">
        <v>2.0</v>
      </c>
      <c r="U891" s="99">
        <v>15.0</v>
      </c>
      <c r="V891" s="99">
        <v>153.0</v>
      </c>
      <c r="W891" s="99">
        <v>116207.0</v>
      </c>
    </row>
    <row r="892" ht="15.75" customHeight="1">
      <c r="A892" s="95" t="s">
        <v>5461</v>
      </c>
      <c r="B892" s="95" t="s">
        <v>22</v>
      </c>
      <c r="C892" s="96" t="s">
        <v>5462</v>
      </c>
      <c r="D892" s="95" t="s">
        <v>39</v>
      </c>
      <c r="E892" s="95" t="s">
        <v>39</v>
      </c>
      <c r="F892" s="95" t="s">
        <v>19</v>
      </c>
      <c r="G892" s="95" t="s">
        <v>19</v>
      </c>
      <c r="H892" s="95" t="s">
        <v>21</v>
      </c>
      <c r="I892" s="95" t="s">
        <v>567</v>
      </c>
      <c r="J892" s="97">
        <v>46069.13714284722</v>
      </c>
      <c r="K892" s="95" t="s">
        <v>5463</v>
      </c>
      <c r="L892" s="95"/>
      <c r="M892" s="95" t="s">
        <v>74</v>
      </c>
      <c r="N892" s="95" t="s">
        <v>5451</v>
      </c>
      <c r="O892" s="95" t="s">
        <v>5451</v>
      </c>
      <c r="P892" s="95" t="s">
        <v>5452</v>
      </c>
      <c r="Q892" s="98">
        <v>3.0</v>
      </c>
      <c r="R892" s="97">
        <v>45958.82356481482</v>
      </c>
      <c r="S892" s="99">
        <v>85.0</v>
      </c>
      <c r="T892" s="99">
        <v>882.0</v>
      </c>
      <c r="U892" s="99">
        <v>2.0</v>
      </c>
      <c r="V892" s="99">
        <v>91.0</v>
      </c>
      <c r="W892" s="99">
        <v>116207.0</v>
      </c>
    </row>
    <row r="893" ht="15.75" customHeight="1">
      <c r="A893" s="95" t="s">
        <v>5464</v>
      </c>
      <c r="B893" s="95" t="s">
        <v>22</v>
      </c>
      <c r="C893" s="96" t="s">
        <v>5465</v>
      </c>
      <c r="D893" s="95" t="s">
        <v>39</v>
      </c>
      <c r="E893" s="95" t="s">
        <v>39</v>
      </c>
      <c r="F893" s="95" t="s">
        <v>19</v>
      </c>
      <c r="G893" s="95" t="s">
        <v>19</v>
      </c>
      <c r="H893" s="95" t="s">
        <v>21</v>
      </c>
      <c r="I893" s="95" t="s">
        <v>567</v>
      </c>
      <c r="J893" s="97">
        <v>46061.01641740741</v>
      </c>
      <c r="K893" s="95" t="s">
        <v>5466</v>
      </c>
      <c r="L893" s="96" t="s">
        <v>5467</v>
      </c>
      <c r="M893" s="95" t="s">
        <v>93</v>
      </c>
      <c r="N893" s="95" t="s">
        <v>5468</v>
      </c>
      <c r="O893" s="95" t="s">
        <v>5468</v>
      </c>
      <c r="P893" s="95" t="s">
        <v>5469</v>
      </c>
      <c r="Q893" s="98">
        <v>3.0</v>
      </c>
      <c r="R893" s="97">
        <v>46036.70618055556</v>
      </c>
      <c r="S893" s="99">
        <v>262.0</v>
      </c>
      <c r="T893" s="99">
        <v>198.0</v>
      </c>
      <c r="U893" s="99">
        <v>9.0</v>
      </c>
      <c r="V893" s="99">
        <v>203.0</v>
      </c>
      <c r="W893" s="99">
        <v>71895.0</v>
      </c>
    </row>
    <row r="894" ht="15.75" customHeight="1">
      <c r="A894" s="95" t="s">
        <v>5470</v>
      </c>
      <c r="B894" s="95" t="s">
        <v>101</v>
      </c>
      <c r="C894" s="96" t="s">
        <v>5471</v>
      </c>
      <c r="D894" s="95" t="s">
        <v>39</v>
      </c>
      <c r="E894" s="95" t="s">
        <v>39</v>
      </c>
      <c r="F894" s="95" t="s">
        <v>19</v>
      </c>
      <c r="G894" s="95" t="s">
        <v>19</v>
      </c>
      <c r="H894" s="95" t="s">
        <v>21</v>
      </c>
      <c r="I894" s="95" t="s">
        <v>955</v>
      </c>
      <c r="J894" s="97">
        <v>46021.50566978009</v>
      </c>
      <c r="K894" s="95" t="s">
        <v>5472</v>
      </c>
      <c r="L894" s="96" t="s">
        <v>5473</v>
      </c>
      <c r="M894" s="95" t="s">
        <v>93</v>
      </c>
      <c r="N894" s="95" t="s">
        <v>5468</v>
      </c>
      <c r="O894" s="95" t="s">
        <v>5468</v>
      </c>
      <c r="P894" s="95" t="s">
        <v>5469</v>
      </c>
      <c r="Q894" s="98">
        <v>3.0</v>
      </c>
      <c r="R894" s="97">
        <v>45936.44861111111</v>
      </c>
      <c r="S894" s="99">
        <v>262.0</v>
      </c>
      <c r="T894" s="99">
        <v>197.0</v>
      </c>
      <c r="U894" s="99">
        <v>13.0</v>
      </c>
      <c r="V894" s="99">
        <v>18.0</v>
      </c>
      <c r="W894" s="99">
        <v>71895.0</v>
      </c>
    </row>
    <row r="895" ht="15.75" customHeight="1">
      <c r="A895" s="95" t="s">
        <v>5474</v>
      </c>
      <c r="B895" s="95" t="s">
        <v>22</v>
      </c>
      <c r="C895" s="96" t="s">
        <v>5475</v>
      </c>
      <c r="D895" s="95" t="s">
        <v>39</v>
      </c>
      <c r="E895" s="95" t="s">
        <v>39</v>
      </c>
      <c r="F895" s="95" t="s">
        <v>19</v>
      </c>
      <c r="G895" s="95" t="s">
        <v>1367</v>
      </c>
      <c r="H895" s="95" t="s">
        <v>21</v>
      </c>
      <c r="I895" s="95" t="s">
        <v>567</v>
      </c>
      <c r="J895" s="97">
        <v>45975.67934811342</v>
      </c>
      <c r="K895" s="96" t="s">
        <v>5476</v>
      </c>
      <c r="L895" s="96" t="s">
        <v>5477</v>
      </c>
      <c r="M895" s="95" t="s">
        <v>17</v>
      </c>
      <c r="N895" s="95" t="s">
        <v>5478</v>
      </c>
      <c r="O895" s="95" t="s">
        <v>5478</v>
      </c>
      <c r="P895" s="95" t="s">
        <v>5479</v>
      </c>
      <c r="Q895" s="98">
        <v>3.0</v>
      </c>
      <c r="R895" s="97">
        <v>45711.15914351852</v>
      </c>
      <c r="S895" s="99">
        <v>117.0</v>
      </c>
      <c r="T895" s="99">
        <v>202.0</v>
      </c>
      <c r="U895" s="99">
        <v>9.0</v>
      </c>
      <c r="V895" s="99">
        <v>38.0</v>
      </c>
      <c r="W895" s="99">
        <v>19310.0</v>
      </c>
    </row>
    <row r="896" ht="15.75" customHeight="1">
      <c r="A896" s="95" t="s">
        <v>5480</v>
      </c>
      <c r="B896" s="95" t="s">
        <v>22</v>
      </c>
      <c r="C896" s="96" t="s">
        <v>5481</v>
      </c>
      <c r="D896" s="95" t="s">
        <v>39</v>
      </c>
      <c r="E896" s="95" t="s">
        <v>1404</v>
      </c>
      <c r="F896" s="95" t="s">
        <v>19</v>
      </c>
      <c r="G896" s="95" t="s">
        <v>19</v>
      </c>
      <c r="H896" s="95" t="s">
        <v>21</v>
      </c>
      <c r="I896" s="95" t="s">
        <v>589</v>
      </c>
      <c r="J896" s="97">
        <v>45977.67517876157</v>
      </c>
      <c r="K896" s="95" t="s">
        <v>5482</v>
      </c>
      <c r="L896" s="95"/>
      <c r="M896" s="95" t="s">
        <v>38</v>
      </c>
      <c r="N896" s="95" t="s">
        <v>5483</v>
      </c>
      <c r="O896" s="95" t="s">
        <v>5483</v>
      </c>
      <c r="P896" s="95" t="s">
        <v>5484</v>
      </c>
      <c r="Q896" s="98">
        <v>3.0</v>
      </c>
      <c r="R896" s="97">
        <v>45610.21405092593</v>
      </c>
      <c r="S896" s="99">
        <v>6314.0</v>
      </c>
      <c r="T896" s="99">
        <v>249.0</v>
      </c>
      <c r="U896" s="99">
        <v>3.0</v>
      </c>
      <c r="V896" s="99">
        <v>100.0</v>
      </c>
      <c r="W896" s="99">
        <v>53384.0</v>
      </c>
    </row>
    <row r="897" ht="15.75" customHeight="1">
      <c r="A897" s="95" t="s">
        <v>5485</v>
      </c>
      <c r="B897" s="95" t="s">
        <v>22</v>
      </c>
      <c r="C897" s="96" t="s">
        <v>5486</v>
      </c>
      <c r="D897" s="95" t="s">
        <v>39</v>
      </c>
      <c r="E897" s="95" t="s">
        <v>1404</v>
      </c>
      <c r="F897" s="95" t="s">
        <v>19</v>
      </c>
      <c r="G897" s="95" t="s">
        <v>19</v>
      </c>
      <c r="H897" s="95" t="s">
        <v>21</v>
      </c>
      <c r="I897" s="95" t="s">
        <v>567</v>
      </c>
      <c r="J897" s="97">
        <v>45993.7854622338</v>
      </c>
      <c r="K897" s="96" t="s">
        <v>5487</v>
      </c>
      <c r="L897" s="96" t="s">
        <v>5488</v>
      </c>
      <c r="M897" s="95" t="s">
        <v>38</v>
      </c>
      <c r="N897" s="95" t="s">
        <v>5483</v>
      </c>
      <c r="O897" s="95" t="s">
        <v>5483</v>
      </c>
      <c r="P897" s="95" t="s">
        <v>5484</v>
      </c>
      <c r="Q897" s="98">
        <v>3.0</v>
      </c>
      <c r="R897" s="97">
        <v>45866.02855324074</v>
      </c>
      <c r="S897" s="99">
        <v>6314.0</v>
      </c>
      <c r="T897" s="99">
        <v>284.0</v>
      </c>
      <c r="U897" s="99">
        <v>4.0</v>
      </c>
      <c r="V897" s="99">
        <v>119.0</v>
      </c>
      <c r="W897" s="99">
        <v>53384.0</v>
      </c>
    </row>
    <row r="898" ht="15.75" customHeight="1">
      <c r="A898" s="95" t="s">
        <v>5489</v>
      </c>
      <c r="B898" s="95" t="s">
        <v>22</v>
      </c>
      <c r="C898" s="96" t="s">
        <v>5490</v>
      </c>
      <c r="D898" s="95" t="s">
        <v>39</v>
      </c>
      <c r="E898" s="95" t="s">
        <v>39</v>
      </c>
      <c r="F898" s="95" t="s">
        <v>19</v>
      </c>
      <c r="G898" s="95" t="s">
        <v>19</v>
      </c>
      <c r="H898" s="95" t="s">
        <v>21</v>
      </c>
      <c r="I898" s="95" t="s">
        <v>589</v>
      </c>
      <c r="J898" s="97">
        <v>45996.63062586806</v>
      </c>
      <c r="K898" s="95" t="s">
        <v>5491</v>
      </c>
      <c r="L898" s="96" t="s">
        <v>5492</v>
      </c>
      <c r="M898" s="95" t="s">
        <v>38</v>
      </c>
      <c r="N898" s="95" t="s">
        <v>5483</v>
      </c>
      <c r="O898" s="95" t="s">
        <v>5483</v>
      </c>
      <c r="P898" s="95" t="s">
        <v>5484</v>
      </c>
      <c r="Q898" s="98">
        <v>3.0</v>
      </c>
      <c r="R898" s="97">
        <v>45990.43648148148</v>
      </c>
      <c r="S898" s="99">
        <v>6314.0</v>
      </c>
      <c r="T898" s="99">
        <v>128.0</v>
      </c>
      <c r="U898" s="99">
        <v>1.0</v>
      </c>
      <c r="V898" s="99">
        <v>28.0</v>
      </c>
      <c r="W898" s="99">
        <v>53384.0</v>
      </c>
    </row>
    <row r="899" ht="15.75" customHeight="1">
      <c r="A899" s="95" t="s">
        <v>5493</v>
      </c>
      <c r="B899" s="95" t="s">
        <v>69</v>
      </c>
      <c r="C899" s="96" t="s">
        <v>5494</v>
      </c>
      <c r="D899" s="95" t="s">
        <v>59</v>
      </c>
      <c r="E899" s="95" t="s">
        <v>5495</v>
      </c>
      <c r="F899" s="95" t="s">
        <v>88</v>
      </c>
      <c r="G899" s="95" t="s">
        <v>88</v>
      </c>
      <c r="H899" s="95" t="s">
        <v>89</v>
      </c>
      <c r="I899" s="95" t="s">
        <v>5496</v>
      </c>
      <c r="J899" s="97">
        <v>45993.78544196759</v>
      </c>
      <c r="K899" s="96" t="s">
        <v>5497</v>
      </c>
      <c r="L899" s="96" t="s">
        <v>5498</v>
      </c>
      <c r="M899" s="95" t="s">
        <v>54</v>
      </c>
      <c r="N899" s="95" t="s">
        <v>5499</v>
      </c>
      <c r="O899" s="95" t="s">
        <v>5499</v>
      </c>
      <c r="P899" s="95" t="s">
        <v>5500</v>
      </c>
      <c r="Q899" s="98">
        <v>3.0</v>
      </c>
      <c r="R899" s="97">
        <v>45912.62170138889</v>
      </c>
      <c r="S899" s="99">
        <v>32480.0</v>
      </c>
      <c r="T899" s="99">
        <v>59.0</v>
      </c>
      <c r="U899" s="99">
        <v>24.0</v>
      </c>
      <c r="V899" s="99">
        <v>183.0</v>
      </c>
      <c r="W899" s="99">
        <v>82476.0</v>
      </c>
    </row>
    <row r="900" ht="15.75" customHeight="1">
      <c r="A900" s="95" t="s">
        <v>5501</v>
      </c>
      <c r="B900" s="95" t="s">
        <v>22</v>
      </c>
      <c r="C900" s="96" t="s">
        <v>5502</v>
      </c>
      <c r="D900" s="95" t="s">
        <v>39</v>
      </c>
      <c r="E900" s="95" t="s">
        <v>39</v>
      </c>
      <c r="F900" s="95" t="s">
        <v>19</v>
      </c>
      <c r="G900" s="95" t="s">
        <v>588</v>
      </c>
      <c r="H900" s="95" t="s">
        <v>21</v>
      </c>
      <c r="I900" s="95" t="s">
        <v>589</v>
      </c>
      <c r="J900" s="97">
        <v>46039.60542217593</v>
      </c>
      <c r="K900" s="95" t="s">
        <v>5503</v>
      </c>
      <c r="L900" s="96" t="s">
        <v>5504</v>
      </c>
      <c r="M900" s="95" t="s">
        <v>93</v>
      </c>
      <c r="N900" s="95" t="s">
        <v>5505</v>
      </c>
      <c r="O900" s="95" t="s">
        <v>5505</v>
      </c>
      <c r="P900" s="95" t="s">
        <v>5506</v>
      </c>
      <c r="Q900" s="98">
        <v>3.0</v>
      </c>
      <c r="R900" s="97">
        <v>45879.70631944444</v>
      </c>
      <c r="S900" s="99">
        <v>609.0</v>
      </c>
      <c r="T900" s="99">
        <v>759.0</v>
      </c>
      <c r="U900" s="99">
        <v>1.0</v>
      </c>
      <c r="V900" s="99">
        <v>23.0</v>
      </c>
      <c r="W900" s="99">
        <v>23451.0</v>
      </c>
    </row>
    <row r="901" ht="15.75" customHeight="1">
      <c r="A901" s="95" t="s">
        <v>5507</v>
      </c>
      <c r="B901" s="95" t="s">
        <v>22</v>
      </c>
      <c r="C901" s="96" t="s">
        <v>5508</v>
      </c>
      <c r="D901" s="95" t="s">
        <v>39</v>
      </c>
      <c r="E901" s="95" t="s">
        <v>39</v>
      </c>
      <c r="F901" s="95" t="s">
        <v>19</v>
      </c>
      <c r="G901" s="95" t="s">
        <v>19</v>
      </c>
      <c r="H901" s="95" t="s">
        <v>21</v>
      </c>
      <c r="I901" s="95" t="s">
        <v>589</v>
      </c>
      <c r="J901" s="97">
        <v>46021.50566978009</v>
      </c>
      <c r="K901" s="95" t="s">
        <v>5509</v>
      </c>
      <c r="L901" s="96" t="s">
        <v>5510</v>
      </c>
      <c r="M901" s="95" t="s">
        <v>93</v>
      </c>
      <c r="N901" s="95" t="s">
        <v>5505</v>
      </c>
      <c r="O901" s="95" t="s">
        <v>5505</v>
      </c>
      <c r="P901" s="95" t="s">
        <v>5506</v>
      </c>
      <c r="Q901" s="98">
        <v>3.0</v>
      </c>
      <c r="R901" s="97">
        <v>45769.63210648148</v>
      </c>
      <c r="S901" s="99">
        <v>609.0</v>
      </c>
      <c r="T901" s="99">
        <v>180.0</v>
      </c>
      <c r="U901" s="99">
        <v>1023.0</v>
      </c>
      <c r="V901" s="99">
        <v>131.0</v>
      </c>
      <c r="W901" s="99">
        <v>23451.0</v>
      </c>
    </row>
    <row r="902" ht="15.75" customHeight="1">
      <c r="A902" s="95" t="s">
        <v>5511</v>
      </c>
      <c r="B902" s="95" t="s">
        <v>157</v>
      </c>
      <c r="C902" s="96" t="s">
        <v>5512</v>
      </c>
      <c r="D902" s="95" t="s">
        <v>39</v>
      </c>
      <c r="E902" s="95" t="s">
        <v>39</v>
      </c>
      <c r="F902" s="95" t="s">
        <v>88</v>
      </c>
      <c r="G902" s="95" t="s">
        <v>2750</v>
      </c>
      <c r="H902" s="95" t="s">
        <v>89</v>
      </c>
      <c r="I902" s="95" t="s">
        <v>859</v>
      </c>
      <c r="J902" s="97">
        <v>45975.67932418981</v>
      </c>
      <c r="K902" s="96" t="s">
        <v>5513</v>
      </c>
      <c r="L902" s="96" t="s">
        <v>5514</v>
      </c>
      <c r="M902" s="95" t="s">
        <v>93</v>
      </c>
      <c r="N902" s="95" t="s">
        <v>5515</v>
      </c>
      <c r="O902" s="95" t="s">
        <v>5515</v>
      </c>
      <c r="P902" s="95" t="s">
        <v>5516</v>
      </c>
      <c r="Q902" s="98">
        <v>3.0</v>
      </c>
      <c r="R902" s="97">
        <v>45775.3262962963</v>
      </c>
      <c r="S902" s="99">
        <v>6968.0</v>
      </c>
      <c r="T902" s="99">
        <v>2847.0</v>
      </c>
      <c r="U902" s="99">
        <v>6.0</v>
      </c>
      <c r="V902" s="99">
        <v>51.0</v>
      </c>
      <c r="W902" s="99">
        <v>152898.0</v>
      </c>
    </row>
    <row r="903" ht="15.75" customHeight="1">
      <c r="A903" s="95" t="s">
        <v>5517</v>
      </c>
      <c r="B903" s="95" t="s">
        <v>22</v>
      </c>
      <c r="C903" s="96" t="s">
        <v>5518</v>
      </c>
      <c r="D903" s="95" t="s">
        <v>39</v>
      </c>
      <c r="E903" s="95" t="s">
        <v>39</v>
      </c>
      <c r="F903" s="95" t="s">
        <v>19</v>
      </c>
      <c r="G903" s="95" t="s">
        <v>19</v>
      </c>
      <c r="H903" s="95" t="s">
        <v>21</v>
      </c>
      <c r="I903" s="95" t="s">
        <v>677</v>
      </c>
      <c r="J903" s="97">
        <v>45993.78544196759</v>
      </c>
      <c r="K903" s="96" t="s">
        <v>5519</v>
      </c>
      <c r="L903" s="95"/>
      <c r="M903" s="95" t="s">
        <v>93</v>
      </c>
      <c r="N903" s="95" t="s">
        <v>5515</v>
      </c>
      <c r="O903" s="95" t="s">
        <v>5515</v>
      </c>
      <c r="P903" s="95" t="s">
        <v>5516</v>
      </c>
      <c r="Q903" s="98">
        <v>3.0</v>
      </c>
      <c r="R903" s="97">
        <v>45720.46450231481</v>
      </c>
      <c r="S903" s="99">
        <v>6968.0</v>
      </c>
      <c r="T903" s="99">
        <v>2056.0</v>
      </c>
      <c r="U903" s="99">
        <v>731.0</v>
      </c>
      <c r="V903" s="99">
        <v>233.0</v>
      </c>
      <c r="W903" s="99">
        <v>152898.0</v>
      </c>
    </row>
    <row r="904" ht="15.75" customHeight="1">
      <c r="A904" s="95" t="s">
        <v>5520</v>
      </c>
      <c r="B904" s="95" t="s">
        <v>131</v>
      </c>
      <c r="C904" s="96" t="s">
        <v>5521</v>
      </c>
      <c r="D904" s="95" t="s">
        <v>39</v>
      </c>
      <c r="E904" s="95" t="s">
        <v>39</v>
      </c>
      <c r="F904" s="95" t="s">
        <v>19</v>
      </c>
      <c r="G904" s="95" t="s">
        <v>19</v>
      </c>
      <c r="H904" s="95" t="s">
        <v>21</v>
      </c>
      <c r="I904" s="95" t="s">
        <v>647</v>
      </c>
      <c r="J904" s="97">
        <v>46039.71700979167</v>
      </c>
      <c r="K904" s="95" t="s">
        <v>5522</v>
      </c>
      <c r="L904" s="95"/>
      <c r="M904" s="95" t="s">
        <v>93</v>
      </c>
      <c r="N904" s="95" t="s">
        <v>5515</v>
      </c>
      <c r="O904" s="95" t="s">
        <v>5515</v>
      </c>
      <c r="P904" s="95" t="s">
        <v>5516</v>
      </c>
      <c r="Q904" s="98">
        <v>3.0</v>
      </c>
      <c r="R904" s="97">
        <v>45793.51577546296</v>
      </c>
      <c r="S904" s="99">
        <v>6968.0</v>
      </c>
      <c r="T904" s="99">
        <v>5043.0</v>
      </c>
      <c r="U904" s="99">
        <v>5.0</v>
      </c>
      <c r="V904" s="99">
        <v>183.0</v>
      </c>
      <c r="W904" s="99">
        <v>152898.0</v>
      </c>
    </row>
    <row r="905" ht="15.75" customHeight="1">
      <c r="A905" s="95" t="s">
        <v>5523</v>
      </c>
      <c r="B905" s="95" t="s">
        <v>131</v>
      </c>
      <c r="C905" s="96" t="s">
        <v>5524</v>
      </c>
      <c r="D905" s="95" t="s">
        <v>39</v>
      </c>
      <c r="E905" s="95" t="s">
        <v>39</v>
      </c>
      <c r="F905" s="95" t="s">
        <v>19</v>
      </c>
      <c r="G905" s="95" t="s">
        <v>19</v>
      </c>
      <c r="H905" s="95" t="s">
        <v>21</v>
      </c>
      <c r="I905" s="95" t="s">
        <v>5525</v>
      </c>
      <c r="J905" s="97">
        <v>46056.94379803241</v>
      </c>
      <c r="K905" s="95" t="s">
        <v>5526</v>
      </c>
      <c r="L905" s="96" t="s">
        <v>5527</v>
      </c>
      <c r="M905" s="95" t="s">
        <v>93</v>
      </c>
      <c r="N905" s="95" t="s">
        <v>5515</v>
      </c>
      <c r="O905" s="95" t="s">
        <v>5515</v>
      </c>
      <c r="P905" s="95" t="s">
        <v>5516</v>
      </c>
      <c r="Q905" s="98">
        <v>3.0</v>
      </c>
      <c r="R905" s="97">
        <v>45971.52921296296</v>
      </c>
      <c r="S905" s="99">
        <v>6968.0</v>
      </c>
      <c r="T905" s="99">
        <v>80.0</v>
      </c>
      <c r="U905" s="99">
        <v>9.0</v>
      </c>
      <c r="V905" s="99">
        <v>252.0</v>
      </c>
      <c r="W905" s="99">
        <v>152898.0</v>
      </c>
    </row>
    <row r="906" ht="15.75" customHeight="1">
      <c r="A906" s="95" t="s">
        <v>5528</v>
      </c>
      <c r="B906" s="95" t="s">
        <v>22</v>
      </c>
      <c r="C906" s="96" t="s">
        <v>5529</v>
      </c>
      <c r="D906" s="95" t="s">
        <v>39</v>
      </c>
      <c r="E906" s="95" t="s">
        <v>39</v>
      </c>
      <c r="F906" s="95" t="s">
        <v>19</v>
      </c>
      <c r="G906" s="95" t="s">
        <v>574</v>
      </c>
      <c r="H906" s="95" t="s">
        <v>21</v>
      </c>
      <c r="I906" s="95" t="s">
        <v>677</v>
      </c>
      <c r="J906" s="97">
        <v>46057.09172366898</v>
      </c>
      <c r="K906" s="95" t="s">
        <v>5530</v>
      </c>
      <c r="L906" s="96" t="s">
        <v>5531</v>
      </c>
      <c r="M906" s="95" t="s">
        <v>93</v>
      </c>
      <c r="N906" s="95" t="s">
        <v>5515</v>
      </c>
      <c r="O906" s="95" t="s">
        <v>5515</v>
      </c>
      <c r="P906" s="95" t="s">
        <v>5516</v>
      </c>
      <c r="Q906" s="98">
        <v>3.0</v>
      </c>
      <c r="R906" s="97">
        <v>45721.3905787037</v>
      </c>
      <c r="S906" s="99">
        <v>6968.0</v>
      </c>
      <c r="T906" s="99">
        <v>4896.0</v>
      </c>
      <c r="U906" s="99">
        <v>64.0</v>
      </c>
      <c r="V906" s="99">
        <v>983.0</v>
      </c>
      <c r="W906" s="99">
        <v>152898.0</v>
      </c>
    </row>
    <row r="907" ht="15.75" customHeight="1">
      <c r="A907" s="95" t="s">
        <v>5532</v>
      </c>
      <c r="B907" s="95" t="s">
        <v>22</v>
      </c>
      <c r="C907" s="96" t="s">
        <v>5533</v>
      </c>
      <c r="D907" s="95" t="s">
        <v>39</v>
      </c>
      <c r="E907" s="95" t="s">
        <v>39</v>
      </c>
      <c r="F907" s="95" t="s">
        <v>19</v>
      </c>
      <c r="G907" s="95" t="s">
        <v>588</v>
      </c>
      <c r="H907" s="95" t="s">
        <v>21</v>
      </c>
      <c r="I907" s="95" t="s">
        <v>677</v>
      </c>
      <c r="J907" s="97">
        <v>46061.01635195602</v>
      </c>
      <c r="K907" s="95" t="s">
        <v>5534</v>
      </c>
      <c r="L907" s="96" t="s">
        <v>5535</v>
      </c>
      <c r="M907" s="95" t="s">
        <v>93</v>
      </c>
      <c r="N907" s="95" t="s">
        <v>5515</v>
      </c>
      <c r="O907" s="95" t="s">
        <v>5515</v>
      </c>
      <c r="P907" s="95" t="s">
        <v>5516</v>
      </c>
      <c r="Q907" s="98">
        <v>3.0</v>
      </c>
      <c r="R907" s="97">
        <v>45775.35751157408</v>
      </c>
      <c r="S907" s="99">
        <v>6968.0</v>
      </c>
      <c r="T907" s="99">
        <v>5087.0</v>
      </c>
      <c r="U907" s="99">
        <v>4.0</v>
      </c>
      <c r="V907" s="99">
        <v>142.0</v>
      </c>
      <c r="W907" s="99">
        <v>152898.0</v>
      </c>
    </row>
    <row r="908" ht="15.75" customHeight="1">
      <c r="A908" s="95" t="s">
        <v>5536</v>
      </c>
      <c r="B908" s="95" t="s">
        <v>22</v>
      </c>
      <c r="C908" s="96" t="s">
        <v>5537</v>
      </c>
      <c r="D908" s="95" t="s">
        <v>39</v>
      </c>
      <c r="E908" s="95" t="s">
        <v>39</v>
      </c>
      <c r="F908" s="95" t="s">
        <v>19</v>
      </c>
      <c r="G908" s="95" t="s">
        <v>19</v>
      </c>
      <c r="H908" s="95" t="s">
        <v>21</v>
      </c>
      <c r="I908" s="95" t="s">
        <v>567</v>
      </c>
      <c r="J908" s="97">
        <v>46072.60571417824</v>
      </c>
      <c r="K908" s="95" t="s">
        <v>5538</v>
      </c>
      <c r="L908" s="96" t="s">
        <v>5539</v>
      </c>
      <c r="M908" s="95" t="s">
        <v>93</v>
      </c>
      <c r="N908" s="95" t="s">
        <v>5515</v>
      </c>
      <c r="O908" s="95" t="s">
        <v>5515</v>
      </c>
      <c r="P908" s="95" t="s">
        <v>5516</v>
      </c>
      <c r="Q908" s="98">
        <v>3.0</v>
      </c>
      <c r="R908" s="97">
        <v>45693.80787037037</v>
      </c>
      <c r="S908" s="99">
        <v>6968.0</v>
      </c>
      <c r="T908" s="99">
        <v>4682.0</v>
      </c>
      <c r="U908" s="99">
        <v>19.0</v>
      </c>
      <c r="V908" s="99">
        <v>75.0</v>
      </c>
      <c r="W908" s="99">
        <v>152898.0</v>
      </c>
    </row>
    <row r="909" ht="15.75" customHeight="1">
      <c r="A909" s="95" t="s">
        <v>5540</v>
      </c>
      <c r="B909" s="95" t="s">
        <v>22</v>
      </c>
      <c r="C909" s="96" t="s">
        <v>5541</v>
      </c>
      <c r="D909" s="95" t="s">
        <v>39</v>
      </c>
      <c r="E909" s="95" t="s">
        <v>39</v>
      </c>
      <c r="F909" s="95" t="s">
        <v>19</v>
      </c>
      <c r="G909" s="95" t="s">
        <v>19</v>
      </c>
      <c r="H909" s="95" t="s">
        <v>21</v>
      </c>
      <c r="I909" s="95" t="s">
        <v>567</v>
      </c>
      <c r="J909" s="97">
        <v>45993.78544196759</v>
      </c>
      <c r="K909" s="96" t="s">
        <v>5542</v>
      </c>
      <c r="L909" s="96" t="s">
        <v>5543</v>
      </c>
      <c r="M909" s="95" t="s">
        <v>93</v>
      </c>
      <c r="N909" s="95" t="s">
        <v>5544</v>
      </c>
      <c r="O909" s="95" t="s">
        <v>5544</v>
      </c>
      <c r="P909" s="95" t="s">
        <v>5545</v>
      </c>
      <c r="Q909" s="98">
        <v>3.0</v>
      </c>
      <c r="R909" s="97">
        <v>44759.68601851852</v>
      </c>
      <c r="S909" s="99">
        <v>6844.0</v>
      </c>
      <c r="T909" s="99">
        <v>1759.0</v>
      </c>
      <c r="U909" s="99">
        <v>19.0</v>
      </c>
      <c r="V909" s="99">
        <v>557.0</v>
      </c>
      <c r="W909" s="99">
        <v>152898.0</v>
      </c>
    </row>
    <row r="910" ht="15.75" customHeight="1">
      <c r="A910" s="95" t="s">
        <v>5546</v>
      </c>
      <c r="B910" s="95" t="s">
        <v>131</v>
      </c>
      <c r="C910" s="96" t="s">
        <v>5547</v>
      </c>
      <c r="D910" s="95" t="s">
        <v>39</v>
      </c>
      <c r="E910" s="95" t="s">
        <v>39</v>
      </c>
      <c r="F910" s="95" t="s">
        <v>19</v>
      </c>
      <c r="G910" s="95" t="s">
        <v>19</v>
      </c>
      <c r="H910" s="95" t="s">
        <v>21</v>
      </c>
      <c r="I910" s="95" t="s">
        <v>647</v>
      </c>
      <c r="J910" s="97">
        <v>46041.42514399305</v>
      </c>
      <c r="K910" s="95" t="s">
        <v>5548</v>
      </c>
      <c r="L910" s="96" t="s">
        <v>5549</v>
      </c>
      <c r="M910" s="95" t="s">
        <v>93</v>
      </c>
      <c r="N910" s="95" t="s">
        <v>5544</v>
      </c>
      <c r="O910" s="95" t="s">
        <v>5544</v>
      </c>
      <c r="P910" s="95" t="s">
        <v>5545</v>
      </c>
      <c r="Q910" s="98">
        <v>3.0</v>
      </c>
      <c r="R910" s="97">
        <v>44502.67502314815</v>
      </c>
      <c r="S910" s="99">
        <v>6844.0</v>
      </c>
      <c r="T910" s="99">
        <v>3605.0</v>
      </c>
      <c r="U910" s="99">
        <v>14.0</v>
      </c>
      <c r="V910" s="99">
        <v>592.0</v>
      </c>
      <c r="W910" s="99">
        <v>152898.0</v>
      </c>
    </row>
    <row r="911" ht="15.75" customHeight="1">
      <c r="A911" s="95" t="s">
        <v>5550</v>
      </c>
      <c r="B911" s="95" t="s">
        <v>22</v>
      </c>
      <c r="C911" s="96" t="s">
        <v>5551</v>
      </c>
      <c r="D911" s="95" t="s">
        <v>39</v>
      </c>
      <c r="E911" s="95" t="s">
        <v>39</v>
      </c>
      <c r="F911" s="95" t="s">
        <v>19</v>
      </c>
      <c r="G911" s="95" t="s">
        <v>19</v>
      </c>
      <c r="H911" s="95" t="s">
        <v>21</v>
      </c>
      <c r="I911" s="95" t="s">
        <v>567</v>
      </c>
      <c r="J911" s="97">
        <v>45975.67932418981</v>
      </c>
      <c r="K911" s="96" t="s">
        <v>5552</v>
      </c>
      <c r="L911" s="95"/>
      <c r="M911" s="95" t="s">
        <v>93</v>
      </c>
      <c r="N911" s="95" t="s">
        <v>5544</v>
      </c>
      <c r="O911" s="95" t="s">
        <v>5544</v>
      </c>
      <c r="P911" s="95" t="s">
        <v>5545</v>
      </c>
      <c r="Q911" s="98">
        <v>3.0</v>
      </c>
      <c r="R911" s="97">
        <v>45735.46130787037</v>
      </c>
      <c r="S911" s="99">
        <v>6844.0</v>
      </c>
      <c r="T911" s="99">
        <v>1410.0</v>
      </c>
      <c r="U911" s="99">
        <v>778.0</v>
      </c>
      <c r="V911" s="99">
        <v>105.0</v>
      </c>
      <c r="W911" s="99">
        <v>152898.0</v>
      </c>
    </row>
    <row r="912" ht="15.75" customHeight="1">
      <c r="A912" s="95" t="s">
        <v>5553</v>
      </c>
      <c r="B912" s="95" t="s">
        <v>22</v>
      </c>
      <c r="C912" s="96" t="s">
        <v>5554</v>
      </c>
      <c r="D912" s="95" t="s">
        <v>39</v>
      </c>
      <c r="E912" s="95" t="s">
        <v>39</v>
      </c>
      <c r="F912" s="95" t="s">
        <v>19</v>
      </c>
      <c r="G912" s="95" t="s">
        <v>19</v>
      </c>
      <c r="H912" s="95" t="s">
        <v>21</v>
      </c>
      <c r="I912" s="95" t="s">
        <v>567</v>
      </c>
      <c r="J912" s="97">
        <v>46008.62898677083</v>
      </c>
      <c r="K912" s="96" t="s">
        <v>5555</v>
      </c>
      <c r="L912" s="96" t="s">
        <v>5556</v>
      </c>
      <c r="M912" s="95" t="s">
        <v>93</v>
      </c>
      <c r="N912" s="95" t="s">
        <v>5544</v>
      </c>
      <c r="O912" s="95" t="s">
        <v>5544</v>
      </c>
      <c r="P912" s="95" t="s">
        <v>5545</v>
      </c>
      <c r="Q912" s="98">
        <v>3.0</v>
      </c>
      <c r="R912" s="97">
        <v>44659.46559027778</v>
      </c>
      <c r="S912" s="99">
        <v>6844.0</v>
      </c>
      <c r="T912" s="99">
        <v>1626.0</v>
      </c>
      <c r="U912" s="99">
        <v>17.0</v>
      </c>
      <c r="V912" s="99">
        <v>322.0</v>
      </c>
      <c r="W912" s="99">
        <v>152898.0</v>
      </c>
    </row>
    <row r="913" ht="15.75" customHeight="1">
      <c r="A913" s="95" t="s">
        <v>5557</v>
      </c>
      <c r="B913" s="95" t="s">
        <v>22</v>
      </c>
      <c r="C913" s="96" t="s">
        <v>5558</v>
      </c>
      <c r="D913" s="95" t="s">
        <v>39</v>
      </c>
      <c r="E913" s="95" t="s">
        <v>39</v>
      </c>
      <c r="F913" s="95" t="s">
        <v>19</v>
      </c>
      <c r="G913" s="95" t="s">
        <v>19</v>
      </c>
      <c r="H913" s="95" t="s">
        <v>21</v>
      </c>
      <c r="I913" s="95" t="s">
        <v>589</v>
      </c>
      <c r="J913" s="97">
        <v>46069.13581600694</v>
      </c>
      <c r="K913" s="95" t="s">
        <v>5559</v>
      </c>
      <c r="L913" s="96" t="s">
        <v>5560</v>
      </c>
      <c r="M913" s="95" t="s">
        <v>93</v>
      </c>
      <c r="N913" s="95" t="s">
        <v>5544</v>
      </c>
      <c r="O913" s="95" t="s">
        <v>5544</v>
      </c>
      <c r="P913" s="95" t="s">
        <v>5545</v>
      </c>
      <c r="Q913" s="98">
        <v>3.0</v>
      </c>
      <c r="R913" s="97">
        <v>44514.52646990741</v>
      </c>
      <c r="S913" s="99">
        <v>6844.0</v>
      </c>
      <c r="T913" s="99">
        <v>3277.0</v>
      </c>
      <c r="U913" s="99">
        <v>5.0</v>
      </c>
      <c r="V913" s="99">
        <v>0.0</v>
      </c>
      <c r="W913" s="99">
        <v>152898.0</v>
      </c>
    </row>
    <row r="914" ht="15.75" customHeight="1">
      <c r="A914" s="95" t="s">
        <v>5561</v>
      </c>
      <c r="B914" s="95" t="s">
        <v>22</v>
      </c>
      <c r="C914" s="96" t="s">
        <v>5562</v>
      </c>
      <c r="D914" s="95" t="s">
        <v>39</v>
      </c>
      <c r="E914" s="95" t="s">
        <v>39</v>
      </c>
      <c r="F914" s="95" t="s">
        <v>19</v>
      </c>
      <c r="G914" s="95" t="s">
        <v>574</v>
      </c>
      <c r="H914" s="95" t="s">
        <v>21</v>
      </c>
      <c r="I914" s="95" t="s">
        <v>567</v>
      </c>
      <c r="J914" s="97">
        <v>46069.13581600694</v>
      </c>
      <c r="K914" s="95" t="s">
        <v>5563</v>
      </c>
      <c r="L914" s="96" t="s">
        <v>5564</v>
      </c>
      <c r="M914" s="95" t="s">
        <v>93</v>
      </c>
      <c r="N914" s="95" t="s">
        <v>5544</v>
      </c>
      <c r="O914" s="95" t="s">
        <v>5544</v>
      </c>
      <c r="P914" s="95" t="s">
        <v>5545</v>
      </c>
      <c r="Q914" s="98">
        <v>3.0</v>
      </c>
      <c r="R914" s="97">
        <v>45683.76611111111</v>
      </c>
      <c r="S914" s="99">
        <v>6844.0</v>
      </c>
      <c r="T914" s="99">
        <v>2580.0</v>
      </c>
      <c r="U914" s="99">
        <v>1.0</v>
      </c>
      <c r="V914" s="99">
        <v>65.0</v>
      </c>
      <c r="W914" s="99">
        <v>152898.0</v>
      </c>
    </row>
    <row r="915" ht="15.75" customHeight="1">
      <c r="A915" s="95" t="s">
        <v>5565</v>
      </c>
      <c r="B915" s="95" t="s">
        <v>22</v>
      </c>
      <c r="C915" s="96" t="s">
        <v>5566</v>
      </c>
      <c r="D915" s="95" t="s">
        <v>124</v>
      </c>
      <c r="E915" s="95" t="s">
        <v>5567</v>
      </c>
      <c r="F915" s="95" t="s">
        <v>19</v>
      </c>
      <c r="G915" s="95" t="s">
        <v>19</v>
      </c>
      <c r="H915" s="95" t="s">
        <v>21</v>
      </c>
      <c r="I915" s="95" t="s">
        <v>589</v>
      </c>
      <c r="J915" s="97">
        <v>46072.52339202546</v>
      </c>
      <c r="K915" s="95" t="s">
        <v>5568</v>
      </c>
      <c r="L915" s="96" t="s">
        <v>5569</v>
      </c>
      <c r="M915" s="95" t="s">
        <v>74</v>
      </c>
      <c r="N915" s="95" t="s">
        <v>5570</v>
      </c>
      <c r="O915" s="95" t="s">
        <v>5570</v>
      </c>
      <c r="P915" s="95" t="s">
        <v>5571</v>
      </c>
      <c r="Q915" s="98">
        <v>3.0</v>
      </c>
      <c r="R915" s="97">
        <v>46056.35081018518</v>
      </c>
      <c r="S915" s="99">
        <v>15013.0</v>
      </c>
      <c r="T915" s="99">
        <v>41.0</v>
      </c>
      <c r="U915" s="99">
        <v>3.0</v>
      </c>
      <c r="V915" s="99">
        <v>47.0</v>
      </c>
      <c r="W915" s="99">
        <v>282276.0</v>
      </c>
    </row>
    <row r="916" ht="15.75" customHeight="1">
      <c r="A916" s="95" t="s">
        <v>5572</v>
      </c>
      <c r="B916" s="95" t="s">
        <v>22</v>
      </c>
      <c r="C916" s="96" t="s">
        <v>5573</v>
      </c>
      <c r="D916" s="95" t="s">
        <v>124</v>
      </c>
      <c r="E916" s="95" t="s">
        <v>1731</v>
      </c>
      <c r="F916" s="95" t="s">
        <v>19</v>
      </c>
      <c r="G916" s="95" t="s">
        <v>19</v>
      </c>
      <c r="H916" s="95" t="s">
        <v>21</v>
      </c>
      <c r="I916" s="95" t="s">
        <v>567</v>
      </c>
      <c r="J916" s="97">
        <v>46021.50581828703</v>
      </c>
      <c r="K916" s="95" t="s">
        <v>5574</v>
      </c>
      <c r="L916" s="96" t="s">
        <v>5575</v>
      </c>
      <c r="M916" s="95" t="s">
        <v>503</v>
      </c>
      <c r="N916" s="95" t="s">
        <v>5576</v>
      </c>
      <c r="O916" s="95" t="s">
        <v>5576</v>
      </c>
      <c r="P916" s="95" t="s">
        <v>5577</v>
      </c>
      <c r="Q916" s="98">
        <v>3.0</v>
      </c>
      <c r="R916" s="97">
        <v>45772.77150462963</v>
      </c>
      <c r="S916" s="99">
        <v>364.0</v>
      </c>
      <c r="T916" s="99">
        <v>27.0</v>
      </c>
      <c r="U916" s="99">
        <v>2.0</v>
      </c>
      <c r="V916" s="99">
        <v>119.0</v>
      </c>
      <c r="W916" s="99">
        <v>2448.0</v>
      </c>
    </row>
    <row r="917" ht="15.75" customHeight="1">
      <c r="A917" s="95" t="s">
        <v>5578</v>
      </c>
      <c r="B917" s="95" t="s">
        <v>22</v>
      </c>
      <c r="C917" s="96" t="s">
        <v>5579</v>
      </c>
      <c r="D917" s="95" t="s">
        <v>124</v>
      </c>
      <c r="E917" s="95" t="s">
        <v>1966</v>
      </c>
      <c r="F917" s="95" t="s">
        <v>19</v>
      </c>
      <c r="G917" s="95" t="s">
        <v>19</v>
      </c>
      <c r="H917" s="95" t="s">
        <v>21</v>
      </c>
      <c r="I917" s="95" t="s">
        <v>567</v>
      </c>
      <c r="J917" s="97">
        <v>46021.50581828703</v>
      </c>
      <c r="K917" s="95" t="s">
        <v>5580</v>
      </c>
      <c r="L917" s="96" t="s">
        <v>5581</v>
      </c>
      <c r="M917" s="95" t="s">
        <v>503</v>
      </c>
      <c r="N917" s="95" t="s">
        <v>5576</v>
      </c>
      <c r="O917" s="95" t="s">
        <v>5576</v>
      </c>
      <c r="P917" s="95" t="s">
        <v>5577</v>
      </c>
      <c r="Q917" s="98">
        <v>3.0</v>
      </c>
      <c r="R917" s="97">
        <v>45637.84956018518</v>
      </c>
      <c r="S917" s="99">
        <v>364.0</v>
      </c>
      <c r="T917" s="99">
        <v>26.0</v>
      </c>
      <c r="U917" s="99">
        <v>1.0</v>
      </c>
      <c r="V917" s="99">
        <v>47.0</v>
      </c>
      <c r="W917" s="99">
        <v>2448.0</v>
      </c>
    </row>
    <row r="918" ht="15.75" customHeight="1">
      <c r="A918" s="95" t="s">
        <v>5582</v>
      </c>
      <c r="B918" s="95" t="s">
        <v>22</v>
      </c>
      <c r="C918" s="96" t="s">
        <v>5583</v>
      </c>
      <c r="D918" s="95" t="s">
        <v>29</v>
      </c>
      <c r="E918" s="95" t="s">
        <v>29</v>
      </c>
      <c r="F918" s="95" t="s">
        <v>88</v>
      </c>
      <c r="G918" s="95" t="s">
        <v>88</v>
      </c>
      <c r="H918" s="95" t="s">
        <v>21</v>
      </c>
      <c r="I918" s="95" t="s">
        <v>567</v>
      </c>
      <c r="J918" s="97">
        <v>46009.8509790625</v>
      </c>
      <c r="K918" s="95" t="s">
        <v>5584</v>
      </c>
      <c r="L918" s="96" t="s">
        <v>5585</v>
      </c>
      <c r="M918" s="95" t="s">
        <v>503</v>
      </c>
      <c r="N918" s="95" t="s">
        <v>5586</v>
      </c>
      <c r="O918" s="95" t="s">
        <v>5586</v>
      </c>
      <c r="P918" s="95" t="s">
        <v>5587</v>
      </c>
      <c r="Q918" s="98">
        <v>3.0</v>
      </c>
      <c r="R918" s="97">
        <v>45973.56934027778</v>
      </c>
      <c r="S918" s="99">
        <v>102.0</v>
      </c>
      <c r="T918" s="99">
        <v>81.0</v>
      </c>
      <c r="U918" s="99">
        <v>1.0</v>
      </c>
      <c r="V918" s="99">
        <v>159.0</v>
      </c>
      <c r="W918" s="99">
        <v>9700.0</v>
      </c>
    </row>
    <row r="919" ht="15.75" customHeight="1">
      <c r="A919" s="95" t="s">
        <v>5588</v>
      </c>
      <c r="B919" s="95" t="s">
        <v>22</v>
      </c>
      <c r="C919" s="96" t="s">
        <v>5589</v>
      </c>
      <c r="D919" s="95" t="s">
        <v>39</v>
      </c>
      <c r="E919" s="95" t="s">
        <v>614</v>
      </c>
      <c r="F919" s="95" t="s">
        <v>19</v>
      </c>
      <c r="G919" s="95" t="s">
        <v>19</v>
      </c>
      <c r="H919" s="95" t="s">
        <v>21</v>
      </c>
      <c r="I919" s="95" t="s">
        <v>567</v>
      </c>
      <c r="J919" s="97">
        <v>46021.49564868055</v>
      </c>
      <c r="K919" s="95" t="s">
        <v>5590</v>
      </c>
      <c r="L919" s="96" t="s">
        <v>5591</v>
      </c>
      <c r="M919" s="95" t="s">
        <v>503</v>
      </c>
      <c r="N919" s="95" t="s">
        <v>5586</v>
      </c>
      <c r="O919" s="95" t="s">
        <v>5586</v>
      </c>
      <c r="P919" s="95" t="s">
        <v>5587</v>
      </c>
      <c r="Q919" s="98">
        <v>3.0</v>
      </c>
      <c r="R919" s="97">
        <v>45803.62493055555</v>
      </c>
      <c r="S919" s="99">
        <v>102.0</v>
      </c>
      <c r="T919" s="99">
        <v>75.0</v>
      </c>
      <c r="U919" s="99">
        <v>1.0</v>
      </c>
      <c r="V919" s="99">
        <v>149.0</v>
      </c>
      <c r="W919" s="99">
        <v>9700.0</v>
      </c>
    </row>
    <row r="920" ht="15.75" customHeight="1">
      <c r="A920" s="95" t="s">
        <v>5592</v>
      </c>
      <c r="B920" s="95" t="s">
        <v>22</v>
      </c>
      <c r="C920" s="96" t="s">
        <v>5593</v>
      </c>
      <c r="D920" s="95" t="s">
        <v>39</v>
      </c>
      <c r="E920" s="95" t="s">
        <v>614</v>
      </c>
      <c r="F920" s="95" t="s">
        <v>19</v>
      </c>
      <c r="G920" s="95" t="s">
        <v>588</v>
      </c>
      <c r="H920" s="95" t="s">
        <v>21</v>
      </c>
      <c r="I920" s="95" t="s">
        <v>711</v>
      </c>
      <c r="J920" s="97">
        <v>46021.50581828703</v>
      </c>
      <c r="K920" s="95" t="s">
        <v>5594</v>
      </c>
      <c r="L920" s="96" t="s">
        <v>5595</v>
      </c>
      <c r="M920" s="95" t="s">
        <v>503</v>
      </c>
      <c r="N920" s="95" t="s">
        <v>5586</v>
      </c>
      <c r="O920" s="95" t="s">
        <v>5586</v>
      </c>
      <c r="P920" s="95" t="s">
        <v>5587</v>
      </c>
      <c r="Q920" s="98">
        <v>3.0</v>
      </c>
      <c r="R920" s="97">
        <v>45806.9418287037</v>
      </c>
      <c r="S920" s="99">
        <v>102.0</v>
      </c>
      <c r="T920" s="99">
        <v>90.0</v>
      </c>
      <c r="U920" s="99">
        <v>2.0</v>
      </c>
      <c r="V920" s="99">
        <v>69.0</v>
      </c>
      <c r="W920" s="99">
        <v>9700.0</v>
      </c>
    </row>
    <row r="921" ht="15.75" customHeight="1">
      <c r="A921" s="95" t="s">
        <v>5596</v>
      </c>
      <c r="B921" s="95" t="s">
        <v>22</v>
      </c>
      <c r="C921" s="96" t="s">
        <v>5597</v>
      </c>
      <c r="D921" s="95" t="s">
        <v>39</v>
      </c>
      <c r="E921" s="95" t="s">
        <v>614</v>
      </c>
      <c r="F921" s="95" t="s">
        <v>19</v>
      </c>
      <c r="G921" s="95" t="s">
        <v>997</v>
      </c>
      <c r="H921" s="95" t="s">
        <v>21</v>
      </c>
      <c r="I921" s="95" t="s">
        <v>677</v>
      </c>
      <c r="J921" s="97">
        <v>46021.50581828703</v>
      </c>
      <c r="K921" s="95" t="s">
        <v>5598</v>
      </c>
      <c r="L921" s="96" t="s">
        <v>5599</v>
      </c>
      <c r="M921" s="95" t="s">
        <v>503</v>
      </c>
      <c r="N921" s="95" t="s">
        <v>5586</v>
      </c>
      <c r="O921" s="95" t="s">
        <v>5586</v>
      </c>
      <c r="P921" s="95" t="s">
        <v>5587</v>
      </c>
      <c r="Q921" s="98">
        <v>3.0</v>
      </c>
      <c r="R921" s="97">
        <v>45806.82077546296</v>
      </c>
      <c r="S921" s="99">
        <v>102.0</v>
      </c>
      <c r="T921" s="99">
        <v>89.0</v>
      </c>
      <c r="U921" s="99">
        <v>1.0</v>
      </c>
      <c r="V921" s="99">
        <v>185.0</v>
      </c>
      <c r="W921" s="99">
        <v>9700.0</v>
      </c>
    </row>
    <row r="922" ht="15.75" customHeight="1">
      <c r="A922" s="95" t="s">
        <v>5600</v>
      </c>
      <c r="B922" s="95" t="s">
        <v>22</v>
      </c>
      <c r="C922" s="96" t="s">
        <v>5601</v>
      </c>
      <c r="D922" s="95" t="s">
        <v>29</v>
      </c>
      <c r="E922" s="95" t="s">
        <v>598</v>
      </c>
      <c r="F922" s="95" t="s">
        <v>19</v>
      </c>
      <c r="G922" s="95" t="s">
        <v>19</v>
      </c>
      <c r="H922" s="95" t="s">
        <v>21</v>
      </c>
      <c r="I922" s="95" t="s">
        <v>567</v>
      </c>
      <c r="J922" s="97">
        <v>46021.50581828703</v>
      </c>
      <c r="K922" s="95" t="s">
        <v>5602</v>
      </c>
      <c r="L922" s="96" t="s">
        <v>5603</v>
      </c>
      <c r="M922" s="95" t="s">
        <v>503</v>
      </c>
      <c r="N922" s="95" t="s">
        <v>5586</v>
      </c>
      <c r="O922" s="95" t="s">
        <v>5586</v>
      </c>
      <c r="P922" s="95" t="s">
        <v>5587</v>
      </c>
      <c r="Q922" s="98">
        <v>3.0</v>
      </c>
      <c r="R922" s="97">
        <v>45801.99896990741</v>
      </c>
      <c r="S922" s="99">
        <v>102.0</v>
      </c>
      <c r="T922" s="99">
        <v>64.0</v>
      </c>
      <c r="U922" s="99">
        <v>3.0</v>
      </c>
      <c r="V922" s="99">
        <v>17.0</v>
      </c>
      <c r="W922" s="99">
        <v>9700.0</v>
      </c>
    </row>
    <row r="923" ht="15.75" customHeight="1">
      <c r="A923" s="95" t="s">
        <v>5604</v>
      </c>
      <c r="B923" s="95" t="s">
        <v>22</v>
      </c>
      <c r="C923" s="96" t="s">
        <v>5605</v>
      </c>
      <c r="D923" s="95" t="s">
        <v>68</v>
      </c>
      <c r="E923" s="95" t="s">
        <v>769</v>
      </c>
      <c r="F923" s="95" t="s">
        <v>19</v>
      </c>
      <c r="G923" s="95" t="s">
        <v>574</v>
      </c>
      <c r="H923" s="95" t="s">
        <v>21</v>
      </c>
      <c r="I923" s="95" t="s">
        <v>677</v>
      </c>
      <c r="J923" s="97">
        <v>46008.62907386574</v>
      </c>
      <c r="K923" s="96" t="s">
        <v>5606</v>
      </c>
      <c r="L923" s="95"/>
      <c r="M923" s="95" t="s">
        <v>67</v>
      </c>
      <c r="N923" s="95" t="s">
        <v>5607</v>
      </c>
      <c r="O923" s="95" t="s">
        <v>5607</v>
      </c>
      <c r="P923" s="95" t="s">
        <v>5608</v>
      </c>
      <c r="Q923" s="98">
        <v>3.0</v>
      </c>
      <c r="R923" s="97">
        <v>45823.71443287037</v>
      </c>
      <c r="S923" s="99">
        <v>3666.0</v>
      </c>
      <c r="T923" s="99">
        <v>15.0</v>
      </c>
      <c r="U923" s="99">
        <v>3.0</v>
      </c>
      <c r="V923" s="99">
        <v>32.0</v>
      </c>
      <c r="W923" s="99">
        <v>7249.0</v>
      </c>
    </row>
    <row r="924" ht="15.75" customHeight="1">
      <c r="A924" s="95" t="s">
        <v>5609</v>
      </c>
      <c r="B924" s="95" t="s">
        <v>22</v>
      </c>
      <c r="C924" s="96" t="s">
        <v>5610</v>
      </c>
      <c r="D924" s="95" t="s">
        <v>39</v>
      </c>
      <c r="E924" s="95" t="s">
        <v>39</v>
      </c>
      <c r="F924" s="95" t="s">
        <v>19</v>
      </c>
      <c r="G924" s="95" t="s">
        <v>574</v>
      </c>
      <c r="H924" s="95" t="s">
        <v>21</v>
      </c>
      <c r="I924" s="95" t="s">
        <v>567</v>
      </c>
      <c r="J924" s="97">
        <v>46021.49564868055</v>
      </c>
      <c r="K924" s="95" t="s">
        <v>5611</v>
      </c>
      <c r="L924" s="96" t="s">
        <v>5612</v>
      </c>
      <c r="M924" s="95" t="s">
        <v>105</v>
      </c>
      <c r="N924" s="95" t="s">
        <v>5613</v>
      </c>
      <c r="O924" s="95" t="s">
        <v>5613</v>
      </c>
      <c r="P924" s="95" t="s">
        <v>5614</v>
      </c>
      <c r="Q924" s="98">
        <v>3.0</v>
      </c>
      <c r="R924" s="97">
        <v>45475.16174768518</v>
      </c>
      <c r="S924" s="99">
        <v>83.0</v>
      </c>
      <c r="T924" s="99">
        <v>8.0</v>
      </c>
      <c r="U924" s="99">
        <v>1.0</v>
      </c>
      <c r="V924" s="99">
        <v>292.0</v>
      </c>
      <c r="W924" s="99">
        <v>12712.0</v>
      </c>
    </row>
    <row r="925" ht="15.75" customHeight="1">
      <c r="A925" s="95" t="s">
        <v>5615</v>
      </c>
      <c r="B925" s="95" t="s">
        <v>131</v>
      </c>
      <c r="C925" s="96" t="s">
        <v>5616</v>
      </c>
      <c r="D925" s="95" t="s">
        <v>39</v>
      </c>
      <c r="E925" s="95" t="s">
        <v>1269</v>
      </c>
      <c r="F925" s="95" t="s">
        <v>58</v>
      </c>
      <c r="G925" s="95" t="s">
        <v>5617</v>
      </c>
      <c r="H925" s="95" t="s">
        <v>60</v>
      </c>
      <c r="I925" s="95" t="s">
        <v>5618</v>
      </c>
      <c r="J925" s="97">
        <v>46021.51275217593</v>
      </c>
      <c r="K925" s="95" t="s">
        <v>5619</v>
      </c>
      <c r="L925" s="96" t="s">
        <v>5620</v>
      </c>
      <c r="M925" s="95" t="s">
        <v>93</v>
      </c>
      <c r="N925" s="95" t="s">
        <v>5621</v>
      </c>
      <c r="O925" s="95" t="s">
        <v>5621</v>
      </c>
      <c r="P925" s="95" t="s">
        <v>5622</v>
      </c>
      <c r="Q925" s="98">
        <v>3.0</v>
      </c>
      <c r="R925" s="97">
        <v>46001.38658564815</v>
      </c>
      <c r="S925" s="99">
        <v>509.0</v>
      </c>
      <c r="T925" s="99">
        <v>260.0</v>
      </c>
      <c r="U925" s="99">
        <v>1.0</v>
      </c>
      <c r="V925" s="99">
        <v>184.0</v>
      </c>
      <c r="W925" s="99">
        <v>21019.0</v>
      </c>
    </row>
    <row r="926" ht="15.75" customHeight="1">
      <c r="A926" s="95" t="s">
        <v>5623</v>
      </c>
      <c r="B926" s="95" t="s">
        <v>22</v>
      </c>
      <c r="C926" s="96" t="s">
        <v>5624</v>
      </c>
      <c r="D926" s="95" t="s">
        <v>59</v>
      </c>
      <c r="E926" s="95" t="s">
        <v>738</v>
      </c>
      <c r="F926" s="95" t="s">
        <v>19</v>
      </c>
      <c r="G926" s="95" t="s">
        <v>19</v>
      </c>
      <c r="H926" s="95" t="s">
        <v>21</v>
      </c>
      <c r="I926" s="95" t="s">
        <v>567</v>
      </c>
      <c r="J926" s="97">
        <v>46021.49564868055</v>
      </c>
      <c r="K926" s="95" t="s">
        <v>5625</v>
      </c>
      <c r="L926" s="96" t="s">
        <v>5626</v>
      </c>
      <c r="M926" s="95" t="s">
        <v>54</v>
      </c>
      <c r="N926" s="95" t="s">
        <v>5627</v>
      </c>
      <c r="O926" s="95" t="s">
        <v>5627</v>
      </c>
      <c r="P926" s="95" t="s">
        <v>5628</v>
      </c>
      <c r="Q926" s="98">
        <v>3.0</v>
      </c>
      <c r="R926" s="97">
        <v>45944.47498842593</v>
      </c>
      <c r="S926" s="99">
        <v>505.0</v>
      </c>
      <c r="T926" s="99">
        <v>87.0</v>
      </c>
      <c r="U926" s="99">
        <v>2.0</v>
      </c>
      <c r="V926" s="99">
        <v>418.0</v>
      </c>
      <c r="W926" s="99">
        <v>13293.0</v>
      </c>
    </row>
    <row r="927" ht="15.75" customHeight="1">
      <c r="A927" s="95" t="s">
        <v>5629</v>
      </c>
      <c r="B927" s="95" t="s">
        <v>131</v>
      </c>
      <c r="C927" s="96" t="s">
        <v>5630</v>
      </c>
      <c r="D927" s="95" t="s">
        <v>59</v>
      </c>
      <c r="E927" s="95" t="s">
        <v>59</v>
      </c>
      <c r="F927" s="95" t="s">
        <v>88</v>
      </c>
      <c r="G927" s="95" t="s">
        <v>88</v>
      </c>
      <c r="H927" s="95" t="s">
        <v>89</v>
      </c>
      <c r="I927" s="95" t="s">
        <v>5261</v>
      </c>
      <c r="J927" s="97">
        <v>46021.51275217593</v>
      </c>
      <c r="K927" s="95" t="s">
        <v>5631</v>
      </c>
      <c r="L927" s="96" t="s">
        <v>5632</v>
      </c>
      <c r="M927" s="95" t="s">
        <v>54</v>
      </c>
      <c r="N927" s="95" t="s">
        <v>5633</v>
      </c>
      <c r="O927" s="95" t="s">
        <v>5633</v>
      </c>
      <c r="P927" s="95" t="s">
        <v>5634</v>
      </c>
      <c r="Q927" s="98">
        <v>3.0</v>
      </c>
      <c r="R927" s="97">
        <v>45716.54149305556</v>
      </c>
      <c r="S927" s="99">
        <v>649.0</v>
      </c>
      <c r="T927" s="99">
        <v>101.0</v>
      </c>
      <c r="U927" s="99">
        <v>18.0</v>
      </c>
      <c r="V927" s="99">
        <v>225.0</v>
      </c>
      <c r="W927" s="99">
        <v>196453.0</v>
      </c>
    </row>
    <row r="928" ht="15.75" customHeight="1">
      <c r="A928" s="95" t="s">
        <v>5635</v>
      </c>
      <c r="B928" s="95" t="s">
        <v>22</v>
      </c>
      <c r="C928" s="96" t="s">
        <v>5636</v>
      </c>
      <c r="D928" s="95" t="s">
        <v>39</v>
      </c>
      <c r="E928" s="95" t="s">
        <v>1208</v>
      </c>
      <c r="F928" s="95" t="s">
        <v>19</v>
      </c>
      <c r="G928" s="95" t="s">
        <v>19</v>
      </c>
      <c r="H928" s="95" t="s">
        <v>21</v>
      </c>
      <c r="I928" s="95" t="s">
        <v>567</v>
      </c>
      <c r="J928" s="97">
        <v>46021.51275217593</v>
      </c>
      <c r="K928" s="95" t="s">
        <v>5637</v>
      </c>
      <c r="L928" s="96" t="s">
        <v>5638</v>
      </c>
      <c r="M928" s="95" t="s">
        <v>54</v>
      </c>
      <c r="N928" s="95" t="s">
        <v>5639</v>
      </c>
      <c r="O928" s="95" t="s">
        <v>5639</v>
      </c>
      <c r="P928" s="95" t="s">
        <v>5640</v>
      </c>
      <c r="Q928" s="98">
        <v>3.0</v>
      </c>
      <c r="R928" s="97">
        <v>45853.94706018519</v>
      </c>
      <c r="S928" s="99">
        <v>927.0</v>
      </c>
      <c r="T928" s="99">
        <v>6.0</v>
      </c>
      <c r="U928" s="99">
        <v>1.0</v>
      </c>
      <c r="V928" s="99">
        <v>68.0</v>
      </c>
      <c r="W928" s="99">
        <v>16021.0</v>
      </c>
    </row>
    <row r="929" ht="15.75" customHeight="1">
      <c r="A929" s="95" t="s">
        <v>5641</v>
      </c>
      <c r="B929" s="95" t="s">
        <v>22</v>
      </c>
      <c r="C929" s="96" t="s">
        <v>5642</v>
      </c>
      <c r="D929" s="95" t="s">
        <v>59</v>
      </c>
      <c r="E929" s="95" t="s">
        <v>1873</v>
      </c>
      <c r="F929" s="95" t="s">
        <v>19</v>
      </c>
      <c r="G929" s="95" t="s">
        <v>19</v>
      </c>
      <c r="H929" s="95" t="s">
        <v>21</v>
      </c>
      <c r="I929" s="95" t="s">
        <v>684</v>
      </c>
      <c r="J929" s="97">
        <v>46021.49308912037</v>
      </c>
      <c r="K929" s="95" t="s">
        <v>5643</v>
      </c>
      <c r="L929" s="96" t="s">
        <v>5644</v>
      </c>
      <c r="M929" s="95" t="s">
        <v>54</v>
      </c>
      <c r="N929" s="95" t="s">
        <v>5645</v>
      </c>
      <c r="O929" s="95" t="s">
        <v>5645</v>
      </c>
      <c r="P929" s="95" t="s">
        <v>5646</v>
      </c>
      <c r="Q929" s="98">
        <v>3.0</v>
      </c>
      <c r="R929" s="97">
        <v>45864.33993055556</v>
      </c>
      <c r="S929" s="99">
        <v>397.0</v>
      </c>
      <c r="T929" s="99">
        <v>22.0</v>
      </c>
      <c r="U929" s="99">
        <v>5.0</v>
      </c>
      <c r="V929" s="99">
        <v>77.0</v>
      </c>
      <c r="W929" s="99">
        <v>13432.0</v>
      </c>
    </row>
    <row r="930" ht="15.75" customHeight="1">
      <c r="A930" s="95" t="s">
        <v>5647</v>
      </c>
      <c r="B930" s="95" t="s">
        <v>22</v>
      </c>
      <c r="C930" s="96" t="s">
        <v>5648</v>
      </c>
      <c r="D930" s="95" t="s">
        <v>59</v>
      </c>
      <c r="E930" s="95" t="s">
        <v>59</v>
      </c>
      <c r="F930" s="95" t="s">
        <v>19</v>
      </c>
      <c r="G930" s="95" t="s">
        <v>19</v>
      </c>
      <c r="H930" s="95" t="s">
        <v>21</v>
      </c>
      <c r="I930" s="95" t="s">
        <v>567</v>
      </c>
      <c r="J930" s="97">
        <v>46021.49564868055</v>
      </c>
      <c r="K930" s="95" t="s">
        <v>5649</v>
      </c>
      <c r="L930" s="96" t="s">
        <v>5650</v>
      </c>
      <c r="M930" s="95" t="s">
        <v>54</v>
      </c>
      <c r="N930" s="95" t="s">
        <v>5651</v>
      </c>
      <c r="O930" s="95" t="s">
        <v>5651</v>
      </c>
      <c r="P930" s="95" t="s">
        <v>5652</v>
      </c>
      <c r="Q930" s="98">
        <v>3.0</v>
      </c>
      <c r="R930" s="97">
        <v>45681.59739583333</v>
      </c>
      <c r="S930" s="99">
        <v>210.0</v>
      </c>
      <c r="T930" s="99">
        <v>346.0</v>
      </c>
      <c r="U930" s="99">
        <v>2.0</v>
      </c>
      <c r="V930" s="99">
        <v>46.0</v>
      </c>
      <c r="W930" s="99">
        <v>62432.0</v>
      </c>
    </row>
    <row r="931" ht="15.75" customHeight="1">
      <c r="A931" s="95" t="s">
        <v>5653</v>
      </c>
      <c r="B931" s="95" t="s">
        <v>22</v>
      </c>
      <c r="C931" s="96" t="s">
        <v>5654</v>
      </c>
      <c r="D931" s="95" t="s">
        <v>124</v>
      </c>
      <c r="E931" s="95" t="s">
        <v>1966</v>
      </c>
      <c r="F931" s="95" t="s">
        <v>19</v>
      </c>
      <c r="G931" s="95" t="s">
        <v>19</v>
      </c>
      <c r="H931" s="95" t="s">
        <v>21</v>
      </c>
      <c r="I931" s="95" t="s">
        <v>567</v>
      </c>
      <c r="J931" s="97">
        <v>46057.09172366898</v>
      </c>
      <c r="K931" s="95" t="s">
        <v>5655</v>
      </c>
      <c r="L931" s="96" t="s">
        <v>5656</v>
      </c>
      <c r="M931" s="95" t="s">
        <v>93</v>
      </c>
      <c r="N931" s="95" t="s">
        <v>5657</v>
      </c>
      <c r="O931" s="95" t="s">
        <v>5657</v>
      </c>
      <c r="P931" s="95" t="s">
        <v>5658</v>
      </c>
      <c r="Q931" s="98">
        <v>3.0</v>
      </c>
      <c r="R931" s="97">
        <v>45736.60466435185</v>
      </c>
      <c r="S931" s="99">
        <v>1447.0</v>
      </c>
      <c r="T931" s="99">
        <v>305.0</v>
      </c>
      <c r="U931" s="99">
        <v>5.0</v>
      </c>
      <c r="V931" s="99">
        <v>59.0</v>
      </c>
      <c r="W931" s="99">
        <v>95235.0</v>
      </c>
    </row>
    <row r="932" ht="15.75" customHeight="1">
      <c r="A932" s="95" t="s">
        <v>5659</v>
      </c>
      <c r="B932" s="95" t="s">
        <v>22</v>
      </c>
      <c r="C932" s="96" t="s">
        <v>5660</v>
      </c>
      <c r="D932" s="95" t="s">
        <v>39</v>
      </c>
      <c r="E932" s="95" t="s">
        <v>1201</v>
      </c>
      <c r="F932" s="95" t="s">
        <v>19</v>
      </c>
      <c r="G932" s="95" t="s">
        <v>19</v>
      </c>
      <c r="H932" s="95" t="s">
        <v>21</v>
      </c>
      <c r="I932" s="95" t="s">
        <v>567</v>
      </c>
      <c r="J932" s="97">
        <v>46072.52378248842</v>
      </c>
      <c r="K932" s="95" t="s">
        <v>5661</v>
      </c>
      <c r="L932" s="96" t="s">
        <v>5662</v>
      </c>
      <c r="M932" s="95" t="s">
        <v>74</v>
      </c>
      <c r="N932" s="95" t="s">
        <v>5663</v>
      </c>
      <c r="O932" s="95" t="s">
        <v>5663</v>
      </c>
      <c r="P932" s="95" t="s">
        <v>5664</v>
      </c>
      <c r="Q932" s="98">
        <v>3.0</v>
      </c>
      <c r="R932" s="97">
        <v>46009.2784837963</v>
      </c>
      <c r="S932" s="99">
        <v>1057.0</v>
      </c>
      <c r="T932" s="99">
        <v>52.0</v>
      </c>
      <c r="U932" s="99">
        <v>7.0</v>
      </c>
      <c r="V932" s="99">
        <v>357.0</v>
      </c>
      <c r="W932" s="99">
        <v>135438.0</v>
      </c>
    </row>
    <row r="933" ht="15.75" customHeight="1">
      <c r="A933" s="95" t="s">
        <v>5665</v>
      </c>
      <c r="B933" s="95" t="s">
        <v>22</v>
      </c>
      <c r="C933" s="96" t="s">
        <v>5666</v>
      </c>
      <c r="D933" s="95" t="s">
        <v>29</v>
      </c>
      <c r="E933" s="95" t="s">
        <v>3793</v>
      </c>
      <c r="F933" s="95" t="s">
        <v>19</v>
      </c>
      <c r="G933" s="95" t="s">
        <v>19</v>
      </c>
      <c r="H933" s="95" t="s">
        <v>21</v>
      </c>
      <c r="I933" s="95" t="s">
        <v>567</v>
      </c>
      <c r="J933" s="97">
        <v>46021.49564868055</v>
      </c>
      <c r="K933" s="95" t="s">
        <v>5667</v>
      </c>
      <c r="L933" s="96" t="s">
        <v>5668</v>
      </c>
      <c r="M933" s="95" t="s">
        <v>28</v>
      </c>
      <c r="N933" s="95" t="s">
        <v>5669</v>
      </c>
      <c r="O933" s="95" t="s">
        <v>5669</v>
      </c>
      <c r="P933" s="95" t="s">
        <v>5670</v>
      </c>
      <c r="Q933" s="98">
        <v>3.0</v>
      </c>
      <c r="R933" s="97">
        <v>45616.60063657408</v>
      </c>
      <c r="S933" s="99">
        <v>235.0</v>
      </c>
      <c r="T933" s="99">
        <v>709.0</v>
      </c>
      <c r="U933" s="99">
        <v>8.0</v>
      </c>
      <c r="V933" s="99">
        <v>244.0</v>
      </c>
      <c r="W933" s="99">
        <v>32019.0</v>
      </c>
    </row>
    <row r="934" ht="15.75" customHeight="1">
      <c r="A934" s="95" t="s">
        <v>5671</v>
      </c>
      <c r="B934" s="95" t="s">
        <v>22</v>
      </c>
      <c r="C934" s="96" t="s">
        <v>5672</v>
      </c>
      <c r="D934" s="95" t="s">
        <v>130</v>
      </c>
      <c r="E934" s="95" t="s">
        <v>1253</v>
      </c>
      <c r="F934" s="95" t="s">
        <v>19</v>
      </c>
      <c r="G934" s="95" t="s">
        <v>19</v>
      </c>
      <c r="H934" s="95" t="s">
        <v>21</v>
      </c>
      <c r="I934" s="95" t="s">
        <v>567</v>
      </c>
      <c r="J934" s="97">
        <v>46021.49564868055</v>
      </c>
      <c r="K934" s="95" t="s">
        <v>5673</v>
      </c>
      <c r="L934" s="96" t="s">
        <v>5674</v>
      </c>
      <c r="M934" s="95" t="s">
        <v>67</v>
      </c>
      <c r="N934" s="95" t="s">
        <v>5675</v>
      </c>
      <c r="O934" s="95" t="s">
        <v>5675</v>
      </c>
      <c r="P934" s="95" t="s">
        <v>5676</v>
      </c>
      <c r="Q934" s="98">
        <v>3.0</v>
      </c>
      <c r="R934" s="97">
        <v>45727.88564814815</v>
      </c>
      <c r="S934" s="99">
        <v>56.0</v>
      </c>
      <c r="T934" s="99">
        <v>43.0</v>
      </c>
      <c r="U934" s="99">
        <v>14.0</v>
      </c>
      <c r="V934" s="99">
        <v>48.0</v>
      </c>
      <c r="W934" s="99">
        <v>100864.0</v>
      </c>
    </row>
    <row r="935" ht="15.75" customHeight="1">
      <c r="A935" s="95" t="s">
        <v>5677</v>
      </c>
      <c r="B935" s="95" t="s">
        <v>131</v>
      </c>
      <c r="C935" s="96" t="s">
        <v>5678</v>
      </c>
      <c r="D935" s="95" t="s">
        <v>59</v>
      </c>
      <c r="E935" s="95" t="s">
        <v>59</v>
      </c>
      <c r="F935" s="95" t="s">
        <v>58</v>
      </c>
      <c r="G935" s="95" t="s">
        <v>58</v>
      </c>
      <c r="H935" s="95" t="s">
        <v>60</v>
      </c>
      <c r="I935" s="95" t="s">
        <v>795</v>
      </c>
      <c r="J935" s="97">
        <v>45975.67930844907</v>
      </c>
      <c r="K935" s="96" t="s">
        <v>5679</v>
      </c>
      <c r="L935" s="96" t="s">
        <v>5680</v>
      </c>
      <c r="M935" s="95" t="s">
        <v>54</v>
      </c>
      <c r="N935" s="95" t="s">
        <v>5681</v>
      </c>
      <c r="O935" s="95" t="s">
        <v>5681</v>
      </c>
      <c r="P935" s="95" t="s">
        <v>5682</v>
      </c>
      <c r="Q935" s="98">
        <v>3.0</v>
      </c>
      <c r="R935" s="97">
        <v>45859.08362268518</v>
      </c>
      <c r="S935" s="99">
        <v>5114.0</v>
      </c>
      <c r="T935" s="99">
        <v>471.0</v>
      </c>
      <c r="U935" s="99">
        <v>10.0</v>
      </c>
      <c r="V935" s="99">
        <v>90.0</v>
      </c>
      <c r="W935" s="99">
        <v>2420918.0</v>
      </c>
    </row>
    <row r="936" ht="15.75" customHeight="1">
      <c r="A936" s="95" t="s">
        <v>5683</v>
      </c>
      <c r="B936" s="95" t="s">
        <v>101</v>
      </c>
      <c r="C936" s="96" t="s">
        <v>5684</v>
      </c>
      <c r="D936" s="95" t="s">
        <v>59</v>
      </c>
      <c r="E936" s="95" t="s">
        <v>1873</v>
      </c>
      <c r="F936" s="95" t="s">
        <v>19</v>
      </c>
      <c r="G936" s="95" t="s">
        <v>574</v>
      </c>
      <c r="H936" s="95" t="s">
        <v>21</v>
      </c>
      <c r="I936" s="95" t="s">
        <v>955</v>
      </c>
      <c r="J936" s="97">
        <v>46003.09519246528</v>
      </c>
      <c r="K936" s="95" t="s">
        <v>5685</v>
      </c>
      <c r="L936" s="96" t="s">
        <v>5686</v>
      </c>
      <c r="M936" s="95" t="s">
        <v>38</v>
      </c>
      <c r="N936" s="95" t="s">
        <v>5687</v>
      </c>
      <c r="O936" s="95" t="s">
        <v>5687</v>
      </c>
      <c r="P936" s="95" t="s">
        <v>5688</v>
      </c>
      <c r="Q936" s="98">
        <v>3.0</v>
      </c>
      <c r="R936" s="97">
        <v>45608.96071759259</v>
      </c>
      <c r="S936" s="99">
        <v>4507.0</v>
      </c>
      <c r="T936" s="99">
        <v>18.0</v>
      </c>
      <c r="U936" s="99">
        <v>4.0</v>
      </c>
      <c r="V936" s="99">
        <v>89.0</v>
      </c>
      <c r="W936" s="99">
        <v>58774.0</v>
      </c>
    </row>
    <row r="937" ht="15.75" customHeight="1">
      <c r="A937" s="95" t="s">
        <v>5689</v>
      </c>
      <c r="B937" s="95" t="s">
        <v>22</v>
      </c>
      <c r="C937" s="96" t="s">
        <v>5690</v>
      </c>
      <c r="D937" s="95" t="s">
        <v>39</v>
      </c>
      <c r="E937" s="95" t="s">
        <v>39</v>
      </c>
      <c r="F937" s="95" t="s">
        <v>19</v>
      </c>
      <c r="G937" s="95" t="s">
        <v>19</v>
      </c>
      <c r="H937" s="95" t="s">
        <v>21</v>
      </c>
      <c r="I937" s="95" t="s">
        <v>633</v>
      </c>
      <c r="J937" s="97">
        <v>46021.50581828703</v>
      </c>
      <c r="K937" s="95" t="s">
        <v>5691</v>
      </c>
      <c r="L937" s="96" t="s">
        <v>5692</v>
      </c>
      <c r="M937" s="95" t="s">
        <v>74</v>
      </c>
      <c r="N937" s="95" t="s">
        <v>5693</v>
      </c>
      <c r="O937" s="95" t="s">
        <v>5693</v>
      </c>
      <c r="P937" s="95" t="s">
        <v>5694</v>
      </c>
      <c r="Q937" s="98">
        <v>3.0</v>
      </c>
      <c r="R937" s="97">
        <v>45835.60795138889</v>
      </c>
      <c r="S937" s="99">
        <v>859.0</v>
      </c>
      <c r="T937" s="99">
        <v>55.0</v>
      </c>
      <c r="U937" s="99">
        <v>29.0</v>
      </c>
      <c r="V937" s="99">
        <v>517.0</v>
      </c>
      <c r="W937" s="99">
        <v>27012.0</v>
      </c>
    </row>
    <row r="938" ht="15.75" customHeight="1">
      <c r="A938" s="95" t="s">
        <v>5695</v>
      </c>
      <c r="B938" s="95" t="s">
        <v>22</v>
      </c>
      <c r="C938" s="96" t="s">
        <v>5696</v>
      </c>
      <c r="D938" s="95" t="s">
        <v>39</v>
      </c>
      <c r="E938" s="95" t="s">
        <v>39</v>
      </c>
      <c r="F938" s="95" t="s">
        <v>19</v>
      </c>
      <c r="G938" s="95" t="s">
        <v>588</v>
      </c>
      <c r="H938" s="95" t="s">
        <v>21</v>
      </c>
      <c r="I938" s="95" t="s">
        <v>943</v>
      </c>
      <c r="J938" s="97">
        <v>46021.50581828703</v>
      </c>
      <c r="K938" s="95" t="s">
        <v>5697</v>
      </c>
      <c r="L938" s="96" t="s">
        <v>5698</v>
      </c>
      <c r="M938" s="95" t="s">
        <v>74</v>
      </c>
      <c r="N938" s="95" t="s">
        <v>5693</v>
      </c>
      <c r="O938" s="95" t="s">
        <v>5693</v>
      </c>
      <c r="P938" s="95" t="s">
        <v>5694</v>
      </c>
      <c r="Q938" s="98">
        <v>3.0</v>
      </c>
      <c r="R938" s="97">
        <v>45871.62252314815</v>
      </c>
      <c r="S938" s="99">
        <v>859.0</v>
      </c>
      <c r="T938" s="99">
        <v>153.0</v>
      </c>
      <c r="U938" s="99">
        <v>74.0</v>
      </c>
      <c r="V938" s="99">
        <v>1421.0</v>
      </c>
      <c r="W938" s="99">
        <v>27012.0</v>
      </c>
    </row>
    <row r="939" ht="15.75" customHeight="1">
      <c r="A939" s="95" t="s">
        <v>5699</v>
      </c>
      <c r="B939" s="95" t="s">
        <v>22</v>
      </c>
      <c r="C939" s="96" t="s">
        <v>5700</v>
      </c>
      <c r="D939" s="95" t="s">
        <v>130</v>
      </c>
      <c r="E939" s="95" t="s">
        <v>917</v>
      </c>
      <c r="F939" s="95" t="s">
        <v>19</v>
      </c>
      <c r="G939" s="95" t="s">
        <v>19</v>
      </c>
      <c r="H939" s="95" t="s">
        <v>21</v>
      </c>
      <c r="I939" s="95" t="s">
        <v>677</v>
      </c>
      <c r="J939" s="97">
        <v>45975.67934811342</v>
      </c>
      <c r="K939" s="96" t="s">
        <v>5701</v>
      </c>
      <c r="L939" s="96" t="s">
        <v>5702</v>
      </c>
      <c r="M939" s="95" t="s">
        <v>17</v>
      </c>
      <c r="N939" s="95" t="s">
        <v>5703</v>
      </c>
      <c r="O939" s="95" t="s">
        <v>5703</v>
      </c>
      <c r="P939" s="95" t="s">
        <v>5704</v>
      </c>
      <c r="Q939" s="98">
        <v>3.0</v>
      </c>
      <c r="R939" s="97">
        <v>45735.45019675926</v>
      </c>
      <c r="S939" s="99">
        <v>10756.0</v>
      </c>
      <c r="T939" s="99">
        <v>168.0</v>
      </c>
      <c r="U939" s="99">
        <v>7.0</v>
      </c>
      <c r="V939" s="99">
        <v>164.0</v>
      </c>
      <c r="W939" s="99">
        <v>77746.0</v>
      </c>
    </row>
    <row r="940" ht="15.75" customHeight="1">
      <c r="A940" s="95" t="s">
        <v>5705</v>
      </c>
      <c r="B940" s="95" t="s">
        <v>131</v>
      </c>
      <c r="C940" s="96" t="s">
        <v>5706</v>
      </c>
      <c r="D940" s="95" t="s">
        <v>130</v>
      </c>
      <c r="E940" s="95" t="s">
        <v>1323</v>
      </c>
      <c r="F940" s="95" t="s">
        <v>58</v>
      </c>
      <c r="G940" s="95" t="s">
        <v>58</v>
      </c>
      <c r="H940" s="95" t="s">
        <v>60</v>
      </c>
      <c r="I940" s="95" t="s">
        <v>795</v>
      </c>
      <c r="J940" s="97">
        <v>46008.62904041666</v>
      </c>
      <c r="K940" s="96" t="s">
        <v>5707</v>
      </c>
      <c r="L940" s="96" t="s">
        <v>5708</v>
      </c>
      <c r="M940" s="95" t="s">
        <v>17</v>
      </c>
      <c r="N940" s="95" t="s">
        <v>5703</v>
      </c>
      <c r="O940" s="95" t="s">
        <v>5703</v>
      </c>
      <c r="P940" s="95" t="s">
        <v>5704</v>
      </c>
      <c r="Q940" s="98">
        <v>3.0</v>
      </c>
      <c r="R940" s="97">
        <v>45758.47555555555</v>
      </c>
      <c r="S940" s="99">
        <v>10756.0</v>
      </c>
      <c r="T940" s="99">
        <v>537.0</v>
      </c>
      <c r="U940" s="99">
        <v>3.0</v>
      </c>
      <c r="V940" s="99">
        <v>467.0</v>
      </c>
      <c r="W940" s="99">
        <v>77746.0</v>
      </c>
    </row>
    <row r="941" ht="15.75" customHeight="1">
      <c r="A941" s="95" t="s">
        <v>5709</v>
      </c>
      <c r="B941" s="95" t="s">
        <v>22</v>
      </c>
      <c r="C941" s="96" t="s">
        <v>5710</v>
      </c>
      <c r="D941" s="95" t="s">
        <v>124</v>
      </c>
      <c r="E941" s="95" t="s">
        <v>2195</v>
      </c>
      <c r="F941" s="95" t="s">
        <v>19</v>
      </c>
      <c r="G941" s="95" t="s">
        <v>19</v>
      </c>
      <c r="H941" s="95" t="s">
        <v>21</v>
      </c>
      <c r="I941" s="95" t="s">
        <v>567</v>
      </c>
      <c r="J941" s="97">
        <v>45975.67930055556</v>
      </c>
      <c r="K941" s="96" t="s">
        <v>5711</v>
      </c>
      <c r="L941" s="96" t="s">
        <v>5712</v>
      </c>
      <c r="M941" s="95" t="s">
        <v>105</v>
      </c>
      <c r="N941" s="95" t="s">
        <v>5713</v>
      </c>
      <c r="O941" s="95" t="s">
        <v>5713</v>
      </c>
      <c r="P941" s="95" t="s">
        <v>5714</v>
      </c>
      <c r="Q941" s="98">
        <v>3.0</v>
      </c>
      <c r="R941" s="97">
        <v>45305.53042824074</v>
      </c>
      <c r="S941" s="99">
        <v>25077.0</v>
      </c>
      <c r="T941" s="99">
        <v>41.0</v>
      </c>
      <c r="U941" s="99">
        <v>1.0</v>
      </c>
      <c r="V941" s="99">
        <v>91.0</v>
      </c>
      <c r="W941" s="99">
        <v>610767.0</v>
      </c>
    </row>
    <row r="942" ht="15.75" customHeight="1">
      <c r="A942" s="95" t="s">
        <v>5715</v>
      </c>
      <c r="B942" s="95" t="s">
        <v>101</v>
      </c>
      <c r="C942" s="96" t="s">
        <v>5716</v>
      </c>
      <c r="D942" s="95" t="s">
        <v>124</v>
      </c>
      <c r="E942" s="95" t="s">
        <v>2195</v>
      </c>
      <c r="F942" s="95" t="s">
        <v>19</v>
      </c>
      <c r="G942" s="95" t="s">
        <v>19</v>
      </c>
      <c r="H942" s="95" t="s">
        <v>21</v>
      </c>
      <c r="I942" s="95" t="s">
        <v>1504</v>
      </c>
      <c r="J942" s="97">
        <v>45975.67930055556</v>
      </c>
      <c r="K942" s="96" t="s">
        <v>5717</v>
      </c>
      <c r="L942" s="96" t="s">
        <v>5718</v>
      </c>
      <c r="M942" s="95" t="s">
        <v>105</v>
      </c>
      <c r="N942" s="95" t="s">
        <v>5713</v>
      </c>
      <c r="O942" s="95" t="s">
        <v>5713</v>
      </c>
      <c r="P942" s="95" t="s">
        <v>5714</v>
      </c>
      <c r="Q942" s="98">
        <v>3.0</v>
      </c>
      <c r="R942" s="97">
        <v>45660.94849537037</v>
      </c>
      <c r="S942" s="99">
        <v>25077.0</v>
      </c>
      <c r="T942" s="99">
        <v>7.0</v>
      </c>
      <c r="U942" s="99">
        <v>1.0</v>
      </c>
      <c r="V942" s="99">
        <v>240.0</v>
      </c>
      <c r="W942" s="99">
        <v>610767.0</v>
      </c>
    </row>
    <row r="943" ht="15.75" customHeight="1">
      <c r="A943" s="95" t="s">
        <v>5719</v>
      </c>
      <c r="B943" s="95" t="s">
        <v>22</v>
      </c>
      <c r="C943" s="96" t="s">
        <v>5720</v>
      </c>
      <c r="D943" s="95" t="s">
        <v>124</v>
      </c>
      <c r="E943" s="95" t="s">
        <v>2195</v>
      </c>
      <c r="F943" s="95" t="s">
        <v>19</v>
      </c>
      <c r="G943" s="95" t="s">
        <v>19</v>
      </c>
      <c r="H943" s="95" t="s">
        <v>21</v>
      </c>
      <c r="I943" s="95" t="s">
        <v>567</v>
      </c>
      <c r="J943" s="97">
        <v>45975.67930055556</v>
      </c>
      <c r="K943" s="96" t="s">
        <v>5721</v>
      </c>
      <c r="L943" s="96" t="s">
        <v>5722</v>
      </c>
      <c r="M943" s="95" t="s">
        <v>105</v>
      </c>
      <c r="N943" s="95" t="s">
        <v>5713</v>
      </c>
      <c r="O943" s="95" t="s">
        <v>5713</v>
      </c>
      <c r="P943" s="95" t="s">
        <v>5714</v>
      </c>
      <c r="Q943" s="98">
        <v>3.0</v>
      </c>
      <c r="R943" s="97">
        <v>45698.04393518518</v>
      </c>
      <c r="S943" s="99">
        <v>25077.0</v>
      </c>
      <c r="T943" s="99">
        <v>43.0</v>
      </c>
      <c r="U943" s="99">
        <v>2.0</v>
      </c>
      <c r="V943" s="99">
        <v>136.0</v>
      </c>
      <c r="W943" s="99">
        <v>610767.0</v>
      </c>
    </row>
    <row r="944" ht="15.75" customHeight="1">
      <c r="A944" s="95" t="s">
        <v>5723</v>
      </c>
      <c r="B944" s="95" t="s">
        <v>22</v>
      </c>
      <c r="C944" s="96" t="s">
        <v>5724</v>
      </c>
      <c r="D944" s="95" t="s">
        <v>124</v>
      </c>
      <c r="E944" s="95" t="s">
        <v>2195</v>
      </c>
      <c r="F944" s="95" t="s">
        <v>19</v>
      </c>
      <c r="G944" s="95" t="s">
        <v>19</v>
      </c>
      <c r="H944" s="95" t="s">
        <v>21</v>
      </c>
      <c r="I944" s="95" t="s">
        <v>567</v>
      </c>
      <c r="J944" s="97">
        <v>45975.67930055556</v>
      </c>
      <c r="K944" s="96" t="s">
        <v>5725</v>
      </c>
      <c r="L944" s="96" t="s">
        <v>5726</v>
      </c>
      <c r="M944" s="95" t="s">
        <v>105</v>
      </c>
      <c r="N944" s="95" t="s">
        <v>5713</v>
      </c>
      <c r="O944" s="95" t="s">
        <v>5713</v>
      </c>
      <c r="P944" s="95" t="s">
        <v>5714</v>
      </c>
      <c r="Q944" s="98">
        <v>3.0</v>
      </c>
      <c r="R944" s="97">
        <v>45590.00888888889</v>
      </c>
      <c r="S944" s="99">
        <v>25077.0</v>
      </c>
      <c r="T944" s="99">
        <v>6.0</v>
      </c>
      <c r="U944" s="99">
        <v>1.0</v>
      </c>
      <c r="V944" s="99">
        <v>114.0</v>
      </c>
      <c r="W944" s="99">
        <v>610767.0</v>
      </c>
    </row>
    <row r="945" ht="15.75" customHeight="1">
      <c r="A945" s="95" t="s">
        <v>5727</v>
      </c>
      <c r="B945" s="95" t="s">
        <v>22</v>
      </c>
      <c r="C945" s="96" t="s">
        <v>5728</v>
      </c>
      <c r="D945" s="95" t="s">
        <v>39</v>
      </c>
      <c r="E945" s="95" t="s">
        <v>39</v>
      </c>
      <c r="F945" s="95" t="s">
        <v>19</v>
      </c>
      <c r="G945" s="95" t="s">
        <v>19</v>
      </c>
      <c r="H945" s="95" t="s">
        <v>21</v>
      </c>
      <c r="I945" s="95" t="s">
        <v>567</v>
      </c>
      <c r="J945" s="97">
        <v>45975.67930844907</v>
      </c>
      <c r="K945" s="96" t="s">
        <v>5729</v>
      </c>
      <c r="L945" s="96" t="s">
        <v>5730</v>
      </c>
      <c r="M945" s="95" t="s">
        <v>54</v>
      </c>
      <c r="N945" s="95" t="s">
        <v>5731</v>
      </c>
      <c r="O945" s="95" t="s">
        <v>5731</v>
      </c>
      <c r="P945" s="95" t="s">
        <v>5732</v>
      </c>
      <c r="Q945" s="98">
        <v>3.0</v>
      </c>
      <c r="R945" s="97">
        <v>45897.48761574074</v>
      </c>
      <c r="S945" s="99">
        <v>12057.0</v>
      </c>
      <c r="T945" s="99">
        <v>151.0</v>
      </c>
      <c r="U945" s="99">
        <v>109.0</v>
      </c>
      <c r="V945" s="99">
        <v>354.0</v>
      </c>
      <c r="W945" s="99">
        <v>57189.0</v>
      </c>
    </row>
    <row r="946" ht="15.75" customHeight="1">
      <c r="A946" s="95" t="s">
        <v>5733</v>
      </c>
      <c r="B946" s="95" t="s">
        <v>22</v>
      </c>
      <c r="C946" s="96" t="s">
        <v>5734</v>
      </c>
      <c r="D946" s="95" t="s">
        <v>20</v>
      </c>
      <c r="E946" s="95" t="s">
        <v>1991</v>
      </c>
      <c r="F946" s="95" t="s">
        <v>19</v>
      </c>
      <c r="G946" s="95" t="s">
        <v>19</v>
      </c>
      <c r="H946" s="95" t="s">
        <v>21</v>
      </c>
      <c r="I946" s="95" t="s">
        <v>567</v>
      </c>
      <c r="J946" s="97">
        <v>45993.7854622338</v>
      </c>
      <c r="K946" s="96" t="s">
        <v>5735</v>
      </c>
      <c r="L946" s="96" t="s">
        <v>5736</v>
      </c>
      <c r="M946" s="95" t="s">
        <v>17</v>
      </c>
      <c r="N946" s="95" t="s">
        <v>5737</v>
      </c>
      <c r="O946" s="95" t="s">
        <v>5737</v>
      </c>
      <c r="P946" s="95" t="s">
        <v>5738</v>
      </c>
      <c r="Q946" s="98">
        <v>3.0</v>
      </c>
      <c r="R946" s="97">
        <v>45602.83908564815</v>
      </c>
      <c r="S946" s="99">
        <v>63762.0</v>
      </c>
      <c r="T946" s="99">
        <v>158.0</v>
      </c>
      <c r="U946" s="99">
        <v>8.0</v>
      </c>
      <c r="V946" s="99">
        <v>207.0</v>
      </c>
      <c r="W946" s="99">
        <v>224751.0</v>
      </c>
    </row>
    <row r="947" ht="15.75" customHeight="1">
      <c r="A947" s="95" t="s">
        <v>5739</v>
      </c>
      <c r="B947" s="95" t="s">
        <v>22</v>
      </c>
      <c r="C947" s="96" t="s">
        <v>5740</v>
      </c>
      <c r="D947" s="95" t="s">
        <v>130</v>
      </c>
      <c r="E947" s="95" t="s">
        <v>917</v>
      </c>
      <c r="F947" s="95" t="s">
        <v>88</v>
      </c>
      <c r="G947" s="95" t="s">
        <v>858</v>
      </c>
      <c r="H947" s="95" t="s">
        <v>21</v>
      </c>
      <c r="I947" s="95" t="s">
        <v>567</v>
      </c>
      <c r="J947" s="97">
        <v>45975.67932418981</v>
      </c>
      <c r="K947" s="96" t="s">
        <v>5741</v>
      </c>
      <c r="L947" s="96" t="s">
        <v>5742</v>
      </c>
      <c r="M947" s="95" t="s">
        <v>93</v>
      </c>
      <c r="N947" s="95" t="s">
        <v>5743</v>
      </c>
      <c r="O947" s="95" t="s">
        <v>5743</v>
      </c>
      <c r="P947" s="95" t="s">
        <v>5744</v>
      </c>
      <c r="Q947" s="98">
        <v>3.0</v>
      </c>
      <c r="R947" s="97">
        <v>45722.71202546296</v>
      </c>
      <c r="S947" s="99">
        <v>26411.0</v>
      </c>
      <c r="T947" s="99">
        <v>759.0</v>
      </c>
      <c r="U947" s="99">
        <v>4.0</v>
      </c>
      <c r="V947" s="99">
        <v>214.0</v>
      </c>
      <c r="W947" s="99">
        <v>312101.0</v>
      </c>
    </row>
    <row r="948" ht="15.75" customHeight="1">
      <c r="A948" s="95" t="s">
        <v>5745</v>
      </c>
      <c r="B948" s="95" t="s">
        <v>131</v>
      </c>
      <c r="C948" s="96" t="s">
        <v>5746</v>
      </c>
      <c r="D948" s="95" t="s">
        <v>124</v>
      </c>
      <c r="E948" s="95" t="s">
        <v>625</v>
      </c>
      <c r="F948" s="95" t="s">
        <v>58</v>
      </c>
      <c r="G948" s="95" t="s">
        <v>1450</v>
      </c>
      <c r="H948" s="95" t="s">
        <v>60</v>
      </c>
      <c r="I948" s="95" t="s">
        <v>5747</v>
      </c>
      <c r="J948" s="97">
        <v>46021.50581828703</v>
      </c>
      <c r="K948" s="95" t="s">
        <v>5748</v>
      </c>
      <c r="L948" s="96" t="s">
        <v>5749</v>
      </c>
      <c r="M948" s="95" t="s">
        <v>74</v>
      </c>
      <c r="N948" s="95" t="s">
        <v>5750</v>
      </c>
      <c r="O948" s="95" t="s">
        <v>5750</v>
      </c>
      <c r="P948" s="95" t="s">
        <v>5751</v>
      </c>
      <c r="Q948" s="98">
        <v>3.0</v>
      </c>
      <c r="R948" s="97">
        <v>45640.03885416667</v>
      </c>
      <c r="S948" s="99">
        <v>171.0</v>
      </c>
      <c r="T948" s="99">
        <v>9.0</v>
      </c>
      <c r="U948" s="99">
        <v>1.0</v>
      </c>
      <c r="V948" s="99">
        <v>126.0</v>
      </c>
      <c r="W948" s="99">
        <v>2295.0</v>
      </c>
    </row>
    <row r="949" ht="15.75" customHeight="1">
      <c r="A949" s="95" t="s">
        <v>5752</v>
      </c>
      <c r="B949" s="95" t="s">
        <v>22</v>
      </c>
      <c r="C949" s="96" t="s">
        <v>5753</v>
      </c>
      <c r="D949" s="95" t="s">
        <v>68</v>
      </c>
      <c r="E949" s="95" t="s">
        <v>3150</v>
      </c>
      <c r="F949" s="95" t="s">
        <v>19</v>
      </c>
      <c r="G949" s="95" t="s">
        <v>19</v>
      </c>
      <c r="H949" s="95" t="s">
        <v>21</v>
      </c>
      <c r="I949" s="95" t="s">
        <v>567</v>
      </c>
      <c r="J949" s="97">
        <v>46080.66219077546</v>
      </c>
      <c r="K949" s="95" t="s">
        <v>5754</v>
      </c>
      <c r="L949" s="95"/>
      <c r="M949" s="95" t="s">
        <v>93</v>
      </c>
      <c r="N949" s="95" t="s">
        <v>5755</v>
      </c>
      <c r="O949" s="95" t="s">
        <v>5755</v>
      </c>
      <c r="P949" s="95" t="s">
        <v>5756</v>
      </c>
      <c r="Q949" s="98">
        <v>3.0</v>
      </c>
      <c r="R949" s="97">
        <v>46063.46606481481</v>
      </c>
      <c r="S949" s="99">
        <v>32884.0</v>
      </c>
      <c r="T949" s="99">
        <v>258.0</v>
      </c>
      <c r="U949" s="99">
        <v>1.0</v>
      </c>
      <c r="V949" s="99">
        <v>103.0</v>
      </c>
      <c r="W949" s="99">
        <v>999999.0</v>
      </c>
    </row>
    <row r="950" ht="15.75" customHeight="1">
      <c r="A950" s="95" t="s">
        <v>5757</v>
      </c>
      <c r="B950" s="95" t="s">
        <v>22</v>
      </c>
      <c r="C950" s="96" t="s">
        <v>5758</v>
      </c>
      <c r="D950" s="95" t="s">
        <v>68</v>
      </c>
      <c r="E950" s="95" t="s">
        <v>3150</v>
      </c>
      <c r="F950" s="95" t="s">
        <v>19</v>
      </c>
      <c r="G950" s="95" t="s">
        <v>19</v>
      </c>
      <c r="H950" s="95" t="s">
        <v>21</v>
      </c>
      <c r="I950" s="95" t="s">
        <v>677</v>
      </c>
      <c r="J950" s="97">
        <v>46039.71667966435</v>
      </c>
      <c r="K950" s="95" t="s">
        <v>5759</v>
      </c>
      <c r="L950" s="96" t="s">
        <v>5760</v>
      </c>
      <c r="M950" s="95" t="s">
        <v>93</v>
      </c>
      <c r="N950" s="95" t="s">
        <v>5755</v>
      </c>
      <c r="O950" s="95" t="s">
        <v>5755</v>
      </c>
      <c r="P950" s="95" t="s">
        <v>5756</v>
      </c>
      <c r="Q950" s="98">
        <v>3.0</v>
      </c>
      <c r="R950" s="97">
        <v>45607.74118055555</v>
      </c>
      <c r="S950" s="99">
        <v>32884.0</v>
      </c>
      <c r="T950" s="99">
        <v>78.0</v>
      </c>
      <c r="U950" s="99">
        <v>1.0</v>
      </c>
      <c r="V950" s="99">
        <v>146.0</v>
      </c>
      <c r="W950" s="99">
        <v>999999.0</v>
      </c>
    </row>
    <row r="951" ht="15.75" customHeight="1">
      <c r="A951" s="95" t="s">
        <v>5761</v>
      </c>
      <c r="B951" s="95" t="s">
        <v>131</v>
      </c>
      <c r="C951" s="96" t="s">
        <v>5762</v>
      </c>
      <c r="D951" s="95" t="s">
        <v>68</v>
      </c>
      <c r="E951" s="95" t="s">
        <v>3150</v>
      </c>
      <c r="F951" s="95" t="s">
        <v>19</v>
      </c>
      <c r="G951" s="95" t="s">
        <v>574</v>
      </c>
      <c r="H951" s="95" t="s">
        <v>136</v>
      </c>
      <c r="I951" s="95" t="s">
        <v>2306</v>
      </c>
      <c r="J951" s="97">
        <v>46041.06819328704</v>
      </c>
      <c r="K951" s="95" t="s">
        <v>5763</v>
      </c>
      <c r="L951" s="95"/>
      <c r="M951" s="95" t="s">
        <v>93</v>
      </c>
      <c r="N951" s="95" t="s">
        <v>5755</v>
      </c>
      <c r="O951" s="95" t="s">
        <v>5755</v>
      </c>
      <c r="P951" s="95" t="s">
        <v>5756</v>
      </c>
      <c r="Q951" s="98">
        <v>3.0</v>
      </c>
      <c r="R951" s="97">
        <v>45707.32113425926</v>
      </c>
      <c r="S951" s="99">
        <v>32884.0</v>
      </c>
      <c r="T951" s="99">
        <v>209.0</v>
      </c>
      <c r="U951" s="99">
        <v>1.0</v>
      </c>
      <c r="V951" s="99">
        <v>52.0</v>
      </c>
      <c r="W951" s="99">
        <v>999999.0</v>
      </c>
    </row>
    <row r="952" ht="15.75" customHeight="1">
      <c r="A952" s="95" t="s">
        <v>5764</v>
      </c>
      <c r="B952" s="95" t="s">
        <v>22</v>
      </c>
      <c r="C952" s="96" t="s">
        <v>5765</v>
      </c>
      <c r="D952" s="95" t="s">
        <v>124</v>
      </c>
      <c r="E952" s="95" t="s">
        <v>2195</v>
      </c>
      <c r="F952" s="95" t="s">
        <v>88</v>
      </c>
      <c r="G952" s="95" t="s">
        <v>2750</v>
      </c>
      <c r="H952" s="95" t="s">
        <v>21</v>
      </c>
      <c r="I952" s="95" t="s">
        <v>589</v>
      </c>
      <c r="J952" s="97">
        <v>46061.01635195602</v>
      </c>
      <c r="K952" s="95" t="s">
        <v>5766</v>
      </c>
      <c r="L952" s="96" t="s">
        <v>5767</v>
      </c>
      <c r="M952" s="95" t="s">
        <v>93</v>
      </c>
      <c r="N952" s="95" t="s">
        <v>5755</v>
      </c>
      <c r="O952" s="95" t="s">
        <v>5755</v>
      </c>
      <c r="P952" s="95" t="s">
        <v>5756</v>
      </c>
      <c r="Q952" s="98">
        <v>3.0</v>
      </c>
      <c r="R952" s="97">
        <v>46041.75121527778</v>
      </c>
      <c r="S952" s="99">
        <v>32884.0</v>
      </c>
      <c r="T952" s="99">
        <v>314.0</v>
      </c>
      <c r="U952" s="99">
        <v>1.0</v>
      </c>
      <c r="V952" s="99">
        <v>54.0</v>
      </c>
      <c r="W952" s="99">
        <v>999999.0</v>
      </c>
    </row>
    <row r="953" ht="15.75" customHeight="1">
      <c r="A953" s="95" t="s">
        <v>5768</v>
      </c>
      <c r="B953" s="95" t="s">
        <v>22</v>
      </c>
      <c r="C953" s="96" t="s">
        <v>5769</v>
      </c>
      <c r="D953" s="95" t="s">
        <v>68</v>
      </c>
      <c r="E953" s="95" t="s">
        <v>5770</v>
      </c>
      <c r="F953" s="95" t="s">
        <v>19</v>
      </c>
      <c r="G953" s="95" t="s">
        <v>19</v>
      </c>
      <c r="H953" s="95" t="s">
        <v>21</v>
      </c>
      <c r="I953" s="95" t="s">
        <v>567</v>
      </c>
      <c r="J953" s="97">
        <v>46079.69018296296</v>
      </c>
      <c r="K953" s="95" t="s">
        <v>5771</v>
      </c>
      <c r="L953" s="95"/>
      <c r="M953" s="95" t="s">
        <v>93</v>
      </c>
      <c r="N953" s="95" t="s">
        <v>5755</v>
      </c>
      <c r="O953" s="95" t="s">
        <v>5755</v>
      </c>
      <c r="P953" s="95" t="s">
        <v>5756</v>
      </c>
      <c r="Q953" s="98">
        <v>3.0</v>
      </c>
      <c r="R953" s="97">
        <v>45966.5511574074</v>
      </c>
      <c r="S953" s="99">
        <v>32884.0</v>
      </c>
      <c r="T953" s="99">
        <v>1170.0</v>
      </c>
      <c r="U953" s="99">
        <v>4.0</v>
      </c>
      <c r="V953" s="99">
        <v>279.0</v>
      </c>
      <c r="W953" s="99">
        <v>999999.0</v>
      </c>
    </row>
    <row r="954" ht="15.75" customHeight="1">
      <c r="A954" s="95" t="s">
        <v>5772</v>
      </c>
      <c r="B954" s="95" t="s">
        <v>69</v>
      </c>
      <c r="C954" s="96" t="s">
        <v>5773</v>
      </c>
      <c r="D954" s="95" t="s">
        <v>59</v>
      </c>
      <c r="E954" s="95" t="s">
        <v>1873</v>
      </c>
      <c r="F954" s="95" t="s">
        <v>88</v>
      </c>
      <c r="G954" s="95" t="s">
        <v>88</v>
      </c>
      <c r="H954" s="95" t="s">
        <v>89</v>
      </c>
      <c r="I954" s="95" t="s">
        <v>640</v>
      </c>
      <c r="J954" s="97">
        <v>45993.78544196759</v>
      </c>
      <c r="K954" s="96" t="s">
        <v>5774</v>
      </c>
      <c r="L954" s="96" t="s">
        <v>5775</v>
      </c>
      <c r="M954" s="95" t="s">
        <v>54</v>
      </c>
      <c r="N954" s="95" t="s">
        <v>5776</v>
      </c>
      <c r="O954" s="95" t="s">
        <v>5776</v>
      </c>
      <c r="P954" s="95" t="s">
        <v>5777</v>
      </c>
      <c r="Q954" s="98">
        <v>3.0</v>
      </c>
      <c r="R954" s="97">
        <v>45915.73240740741</v>
      </c>
      <c r="S954" s="99">
        <v>4948.0</v>
      </c>
      <c r="T954" s="99">
        <v>786.0</v>
      </c>
      <c r="U954" s="99">
        <v>5.0</v>
      </c>
      <c r="V954" s="99">
        <v>46.0</v>
      </c>
      <c r="W954" s="99">
        <v>353211.0</v>
      </c>
    </row>
    <row r="955" ht="15.75" customHeight="1">
      <c r="A955" s="95" t="s">
        <v>5778</v>
      </c>
      <c r="B955" s="95" t="s">
        <v>69</v>
      </c>
      <c r="C955" s="96" t="s">
        <v>5779</v>
      </c>
      <c r="D955" s="95" t="s">
        <v>59</v>
      </c>
      <c r="E955" s="95" t="s">
        <v>59</v>
      </c>
      <c r="F955" s="95" t="s">
        <v>58</v>
      </c>
      <c r="G955" s="95" t="s">
        <v>58</v>
      </c>
      <c r="H955" s="95" t="s">
        <v>77</v>
      </c>
      <c r="I955" s="95" t="s">
        <v>599</v>
      </c>
      <c r="J955" s="97">
        <v>45993.78544196759</v>
      </c>
      <c r="K955" s="96" t="s">
        <v>5780</v>
      </c>
      <c r="L955" s="96" t="s">
        <v>5781</v>
      </c>
      <c r="M955" s="95" t="s">
        <v>54</v>
      </c>
      <c r="N955" s="95" t="s">
        <v>5776</v>
      </c>
      <c r="O955" s="95" t="s">
        <v>5776</v>
      </c>
      <c r="P955" s="95" t="s">
        <v>5777</v>
      </c>
      <c r="Q955" s="98">
        <v>3.0</v>
      </c>
      <c r="R955" s="97">
        <v>45874.66547453704</v>
      </c>
      <c r="S955" s="99">
        <v>4948.0</v>
      </c>
      <c r="T955" s="99">
        <v>44.0</v>
      </c>
      <c r="U955" s="99">
        <v>7.0</v>
      </c>
      <c r="V955" s="99">
        <v>137.0</v>
      </c>
      <c r="W955" s="99">
        <v>353211.0</v>
      </c>
    </row>
    <row r="956" ht="15.75" customHeight="1">
      <c r="A956" s="95" t="s">
        <v>5782</v>
      </c>
      <c r="B956" s="95" t="s">
        <v>157</v>
      </c>
      <c r="C956" s="96" t="s">
        <v>5783</v>
      </c>
      <c r="D956" s="95" t="s">
        <v>39</v>
      </c>
      <c r="E956" s="95" t="s">
        <v>1208</v>
      </c>
      <c r="F956" s="95" t="s">
        <v>88</v>
      </c>
      <c r="G956" s="95" t="s">
        <v>88</v>
      </c>
      <c r="H956" s="95" t="s">
        <v>89</v>
      </c>
      <c r="I956" s="95" t="s">
        <v>859</v>
      </c>
      <c r="J956" s="97">
        <v>46003.09086516203</v>
      </c>
      <c r="K956" s="95" t="s">
        <v>5784</v>
      </c>
      <c r="L956" s="96" t="s">
        <v>5785</v>
      </c>
      <c r="M956" s="95" t="s">
        <v>105</v>
      </c>
      <c r="N956" s="95" t="s">
        <v>5786</v>
      </c>
      <c r="O956" s="95" t="s">
        <v>5786</v>
      </c>
      <c r="P956" s="95" t="s">
        <v>5787</v>
      </c>
      <c r="Q956" s="98">
        <v>3.0</v>
      </c>
      <c r="R956" s="97">
        <v>45979.96784722222</v>
      </c>
      <c r="S956" s="99">
        <v>946.0</v>
      </c>
      <c r="T956" s="99">
        <v>4.0</v>
      </c>
      <c r="U956" s="99">
        <v>2.0</v>
      </c>
      <c r="V956" s="99">
        <v>320.0</v>
      </c>
      <c r="W956" s="99">
        <v>690852.0</v>
      </c>
    </row>
    <row r="957" ht="15.75" customHeight="1">
      <c r="A957" s="95" t="s">
        <v>5788</v>
      </c>
      <c r="B957" s="95" t="s">
        <v>22</v>
      </c>
      <c r="C957" s="96" t="s">
        <v>5789</v>
      </c>
      <c r="D957" s="95" t="s">
        <v>124</v>
      </c>
      <c r="E957" s="95" t="s">
        <v>1731</v>
      </c>
      <c r="F957" s="95" t="s">
        <v>19</v>
      </c>
      <c r="G957" s="95" t="s">
        <v>19</v>
      </c>
      <c r="H957" s="95" t="s">
        <v>21</v>
      </c>
      <c r="I957" s="95" t="s">
        <v>567</v>
      </c>
      <c r="J957" s="97">
        <v>46021.49564868055</v>
      </c>
      <c r="K957" s="95" t="s">
        <v>5790</v>
      </c>
      <c r="L957" s="96" t="s">
        <v>5791</v>
      </c>
      <c r="M957" s="95" t="s">
        <v>105</v>
      </c>
      <c r="N957" s="95" t="s">
        <v>5792</v>
      </c>
      <c r="O957" s="95" t="s">
        <v>5792</v>
      </c>
      <c r="P957" s="95" t="s">
        <v>5793</v>
      </c>
      <c r="Q957" s="98">
        <v>3.0</v>
      </c>
      <c r="R957" s="97">
        <v>45337.62622685185</v>
      </c>
      <c r="S957" s="99">
        <v>161.0</v>
      </c>
      <c r="T957" s="99">
        <v>164.0</v>
      </c>
      <c r="U957" s="99">
        <v>10.0</v>
      </c>
      <c r="V957" s="99">
        <v>276.0</v>
      </c>
      <c r="W957" s="99">
        <v>34735.0</v>
      </c>
    </row>
    <row r="958" ht="15.75" customHeight="1">
      <c r="A958" s="95" t="s">
        <v>5794</v>
      </c>
      <c r="B958" s="95" t="s">
        <v>22</v>
      </c>
      <c r="C958" s="96" t="s">
        <v>5795</v>
      </c>
      <c r="D958" s="95" t="s">
        <v>29</v>
      </c>
      <c r="E958" s="95" t="s">
        <v>910</v>
      </c>
      <c r="F958" s="95" t="s">
        <v>19</v>
      </c>
      <c r="G958" s="95" t="s">
        <v>19</v>
      </c>
      <c r="H958" s="95" t="s">
        <v>21</v>
      </c>
      <c r="I958" s="95" t="s">
        <v>567</v>
      </c>
      <c r="J958" s="97">
        <v>46021.49564868055</v>
      </c>
      <c r="K958" s="95" t="s">
        <v>5796</v>
      </c>
      <c r="L958" s="96" t="s">
        <v>5797</v>
      </c>
      <c r="M958" s="95" t="s">
        <v>105</v>
      </c>
      <c r="N958" s="95" t="s">
        <v>5792</v>
      </c>
      <c r="O958" s="95" t="s">
        <v>5792</v>
      </c>
      <c r="P958" s="95" t="s">
        <v>5793</v>
      </c>
      <c r="Q958" s="98">
        <v>3.0</v>
      </c>
      <c r="R958" s="97">
        <v>45518.47116898148</v>
      </c>
      <c r="S958" s="99">
        <v>161.0</v>
      </c>
      <c r="T958" s="99">
        <v>178.0</v>
      </c>
      <c r="U958" s="99">
        <v>1.0</v>
      </c>
      <c r="V958" s="99">
        <v>105.0</v>
      </c>
      <c r="W958" s="99">
        <v>34735.0</v>
      </c>
    </row>
    <row r="959" ht="15.75" customHeight="1">
      <c r="A959" s="95" t="s">
        <v>5798</v>
      </c>
      <c r="B959" s="95" t="s">
        <v>22</v>
      </c>
      <c r="C959" s="96" t="s">
        <v>5799</v>
      </c>
      <c r="D959" s="95" t="s">
        <v>39</v>
      </c>
      <c r="E959" s="95" t="s">
        <v>1201</v>
      </c>
      <c r="F959" s="95" t="s">
        <v>19</v>
      </c>
      <c r="G959" s="95" t="s">
        <v>1367</v>
      </c>
      <c r="H959" s="95" t="s">
        <v>21</v>
      </c>
      <c r="I959" s="95" t="s">
        <v>5800</v>
      </c>
      <c r="J959" s="97">
        <v>45975.67934811342</v>
      </c>
      <c r="K959" s="96" t="s">
        <v>5801</v>
      </c>
      <c r="L959" s="96" t="s">
        <v>5802</v>
      </c>
      <c r="M959" s="95" t="s">
        <v>17</v>
      </c>
      <c r="N959" s="95" t="s">
        <v>5803</v>
      </c>
      <c r="O959" s="95" t="s">
        <v>5803</v>
      </c>
      <c r="P959" s="95" t="s">
        <v>5804</v>
      </c>
      <c r="Q959" s="98">
        <v>3.0</v>
      </c>
      <c r="R959" s="97">
        <v>45879.53696759259</v>
      </c>
      <c r="S959" s="99">
        <v>62.0</v>
      </c>
      <c r="T959" s="99">
        <v>220.0</v>
      </c>
      <c r="U959" s="99">
        <v>4.0</v>
      </c>
      <c r="V959" s="99">
        <v>130.0</v>
      </c>
      <c r="W959" s="99">
        <v>19947.0</v>
      </c>
    </row>
    <row r="960" ht="15.75" customHeight="1">
      <c r="A960" s="95" t="s">
        <v>5805</v>
      </c>
      <c r="B960" s="95" t="s">
        <v>131</v>
      </c>
      <c r="C960" s="96" t="s">
        <v>5806</v>
      </c>
      <c r="D960" s="95" t="s">
        <v>39</v>
      </c>
      <c r="E960" s="95" t="s">
        <v>5807</v>
      </c>
      <c r="F960" s="95" t="s">
        <v>19</v>
      </c>
      <c r="G960" s="95" t="s">
        <v>19</v>
      </c>
      <c r="H960" s="95" t="s">
        <v>21</v>
      </c>
      <c r="I960" s="95" t="s">
        <v>924</v>
      </c>
      <c r="J960" s="97">
        <v>46008.62903820602</v>
      </c>
      <c r="K960" s="96" t="s">
        <v>5808</v>
      </c>
      <c r="L960" s="96" t="s">
        <v>5809</v>
      </c>
      <c r="M960" s="95" t="s">
        <v>17</v>
      </c>
      <c r="N960" s="95" t="s">
        <v>5803</v>
      </c>
      <c r="O960" s="95" t="s">
        <v>5803</v>
      </c>
      <c r="P960" s="95" t="s">
        <v>5804</v>
      </c>
      <c r="Q960" s="98">
        <v>3.0</v>
      </c>
      <c r="R960" s="97">
        <v>45704.95811342593</v>
      </c>
      <c r="S960" s="99">
        <v>62.0</v>
      </c>
      <c r="T960" s="99">
        <v>45.0</v>
      </c>
      <c r="U960" s="99">
        <v>12.0</v>
      </c>
      <c r="V960" s="99">
        <v>264.0</v>
      </c>
      <c r="W960" s="99">
        <v>19947.0</v>
      </c>
    </row>
    <row r="961" ht="15.75" customHeight="1">
      <c r="A961" s="95" t="s">
        <v>5810</v>
      </c>
      <c r="B961" s="95" t="s">
        <v>69</v>
      </c>
      <c r="C961" s="96" t="s">
        <v>5811</v>
      </c>
      <c r="D961" s="95" t="s">
        <v>59</v>
      </c>
      <c r="E961" s="95" t="s">
        <v>738</v>
      </c>
      <c r="F961" s="95" t="s">
        <v>19</v>
      </c>
      <c r="G961" s="95" t="s">
        <v>574</v>
      </c>
      <c r="H961" s="95" t="s">
        <v>21</v>
      </c>
      <c r="I961" s="95" t="s">
        <v>5812</v>
      </c>
      <c r="J961" s="97">
        <v>46021.51275217593</v>
      </c>
      <c r="K961" s="95" t="s">
        <v>5813</v>
      </c>
      <c r="L961" s="96" t="s">
        <v>5814</v>
      </c>
      <c r="M961" s="95" t="s">
        <v>54</v>
      </c>
      <c r="N961" s="95" t="s">
        <v>5815</v>
      </c>
      <c r="O961" s="95" t="s">
        <v>5815</v>
      </c>
      <c r="P961" s="95" t="s">
        <v>5816</v>
      </c>
      <c r="Q961" s="98">
        <v>3.0</v>
      </c>
      <c r="R961" s="97">
        <v>45706.66378472222</v>
      </c>
      <c r="S961" s="99">
        <v>330.0</v>
      </c>
      <c r="T961" s="99">
        <v>741.0</v>
      </c>
      <c r="U961" s="99">
        <v>1.0</v>
      </c>
      <c r="V961" s="99">
        <v>292.0</v>
      </c>
      <c r="W961" s="99">
        <v>117529.0</v>
      </c>
    </row>
    <row r="962" ht="15.75" customHeight="1">
      <c r="A962" s="95" t="s">
        <v>5817</v>
      </c>
      <c r="B962" s="95" t="s">
        <v>101</v>
      </c>
      <c r="C962" s="96" t="s">
        <v>5818</v>
      </c>
      <c r="D962" s="95" t="s">
        <v>124</v>
      </c>
      <c r="E962" s="95" t="s">
        <v>124</v>
      </c>
      <c r="F962" s="95" t="s">
        <v>19</v>
      </c>
      <c r="G962" s="95" t="s">
        <v>19</v>
      </c>
      <c r="H962" s="95" t="s">
        <v>21</v>
      </c>
      <c r="I962" s="95" t="s">
        <v>4028</v>
      </c>
      <c r="J962" s="97">
        <v>45993.7854622338</v>
      </c>
      <c r="K962" s="96" t="s">
        <v>5819</v>
      </c>
      <c r="L962" s="96" t="s">
        <v>5820</v>
      </c>
      <c r="M962" s="95" t="s">
        <v>17</v>
      </c>
      <c r="N962" s="95" t="s">
        <v>5821</v>
      </c>
      <c r="O962" s="95" t="s">
        <v>5821</v>
      </c>
      <c r="P962" s="95" t="s">
        <v>5822</v>
      </c>
      <c r="Q962" s="98">
        <v>3.0</v>
      </c>
      <c r="R962" s="97">
        <v>45606.40052083333</v>
      </c>
      <c r="S962" s="99">
        <v>124.0</v>
      </c>
      <c r="T962" s="99">
        <v>94.0</v>
      </c>
      <c r="U962" s="99">
        <v>1.0</v>
      </c>
      <c r="V962" s="99">
        <v>29.0</v>
      </c>
      <c r="W962" s="99">
        <v>4669.0</v>
      </c>
    </row>
    <row r="963" ht="15.75" customHeight="1">
      <c r="A963" s="95" t="s">
        <v>5823</v>
      </c>
      <c r="B963" s="95" t="s">
        <v>22</v>
      </c>
      <c r="C963" s="96" t="s">
        <v>5824</v>
      </c>
      <c r="D963" s="95" t="s">
        <v>20</v>
      </c>
      <c r="E963" s="95" t="s">
        <v>638</v>
      </c>
      <c r="F963" s="95" t="s">
        <v>19</v>
      </c>
      <c r="G963" s="95" t="s">
        <v>574</v>
      </c>
      <c r="H963" s="95" t="s">
        <v>21</v>
      </c>
      <c r="I963" s="95" t="s">
        <v>567</v>
      </c>
      <c r="J963" s="97">
        <v>46072.52378248842</v>
      </c>
      <c r="K963" s="95" t="s">
        <v>5825</v>
      </c>
      <c r="L963" s="96" t="s">
        <v>5826</v>
      </c>
      <c r="M963" s="95" t="s">
        <v>74</v>
      </c>
      <c r="N963" s="95" t="s">
        <v>5827</v>
      </c>
      <c r="O963" s="95" t="s">
        <v>5827</v>
      </c>
      <c r="P963" s="95" t="s">
        <v>5828</v>
      </c>
      <c r="Q963" s="98">
        <v>3.0</v>
      </c>
      <c r="R963" s="97">
        <v>46058.79403935185</v>
      </c>
      <c r="S963" s="99">
        <v>913.0</v>
      </c>
      <c r="T963" s="99">
        <v>849.0</v>
      </c>
      <c r="U963" s="99">
        <v>27.0</v>
      </c>
      <c r="V963" s="99">
        <v>922.0</v>
      </c>
      <c r="W963" s="99">
        <v>432649.0</v>
      </c>
    </row>
    <row r="964" ht="15.75" customHeight="1">
      <c r="A964" s="95" t="s">
        <v>5829</v>
      </c>
      <c r="B964" s="95" t="s">
        <v>22</v>
      </c>
      <c r="C964" s="96" t="s">
        <v>5830</v>
      </c>
      <c r="D964" s="95" t="s">
        <v>20</v>
      </c>
      <c r="E964" s="95" t="s">
        <v>638</v>
      </c>
      <c r="F964" s="95" t="s">
        <v>19</v>
      </c>
      <c r="G964" s="95" t="s">
        <v>19</v>
      </c>
      <c r="H964" s="95" t="s">
        <v>21</v>
      </c>
      <c r="I964" s="95" t="s">
        <v>567</v>
      </c>
      <c r="J964" s="97">
        <v>46072.52378248842</v>
      </c>
      <c r="K964" s="95" t="s">
        <v>5831</v>
      </c>
      <c r="L964" s="96" t="s">
        <v>5832</v>
      </c>
      <c r="M964" s="95" t="s">
        <v>74</v>
      </c>
      <c r="N964" s="95" t="s">
        <v>5827</v>
      </c>
      <c r="O964" s="95" t="s">
        <v>5827</v>
      </c>
      <c r="P964" s="95" t="s">
        <v>5828</v>
      </c>
      <c r="Q964" s="98">
        <v>3.0</v>
      </c>
      <c r="R964" s="97">
        <v>46041.58376157407</v>
      </c>
      <c r="S964" s="99">
        <v>913.0</v>
      </c>
      <c r="T964" s="99">
        <v>431.0</v>
      </c>
      <c r="U964" s="99">
        <v>29.0</v>
      </c>
      <c r="V964" s="99">
        <v>107.0</v>
      </c>
      <c r="W964" s="99">
        <v>432649.0</v>
      </c>
    </row>
    <row r="965" ht="15.75" customHeight="1">
      <c r="A965" s="95" t="s">
        <v>5833</v>
      </c>
      <c r="B965" s="95" t="s">
        <v>22</v>
      </c>
      <c r="C965" s="96" t="s">
        <v>5834</v>
      </c>
      <c r="D965" s="95" t="s">
        <v>68</v>
      </c>
      <c r="E965" s="95" t="s">
        <v>1901</v>
      </c>
      <c r="F965" s="95" t="s">
        <v>19</v>
      </c>
      <c r="G965" s="95" t="s">
        <v>19</v>
      </c>
      <c r="H965" s="95" t="s">
        <v>21</v>
      </c>
      <c r="I965" s="95" t="s">
        <v>567</v>
      </c>
      <c r="J965" s="97">
        <v>46021.49564868055</v>
      </c>
      <c r="K965" s="95" t="s">
        <v>5835</v>
      </c>
      <c r="L965" s="96" t="s">
        <v>5836</v>
      </c>
      <c r="M965" s="95" t="s">
        <v>54</v>
      </c>
      <c r="N965" s="95" t="s">
        <v>5837</v>
      </c>
      <c r="O965" s="95" t="s">
        <v>5837</v>
      </c>
      <c r="P965" s="95" t="s">
        <v>5838</v>
      </c>
      <c r="Q965" s="98">
        <v>3.0</v>
      </c>
      <c r="R965" s="97">
        <v>45750.57681712963</v>
      </c>
      <c r="S965" s="99">
        <v>534.0</v>
      </c>
      <c r="T965" s="99">
        <v>60.0</v>
      </c>
      <c r="U965" s="99">
        <v>3.0</v>
      </c>
      <c r="V965" s="99">
        <v>165.0</v>
      </c>
      <c r="W965" s="99">
        <v>116287.0</v>
      </c>
    </row>
    <row r="966" ht="15.75" customHeight="1">
      <c r="A966" s="95" t="s">
        <v>5839</v>
      </c>
      <c r="B966" s="95" t="s">
        <v>22</v>
      </c>
      <c r="C966" s="96" t="s">
        <v>5840</v>
      </c>
      <c r="D966" s="95" t="s">
        <v>59</v>
      </c>
      <c r="E966" s="95" t="s">
        <v>665</v>
      </c>
      <c r="F966" s="95" t="s">
        <v>19</v>
      </c>
      <c r="G966" s="95" t="s">
        <v>19</v>
      </c>
      <c r="H966" s="95" t="s">
        <v>21</v>
      </c>
      <c r="I966" s="95" t="s">
        <v>567</v>
      </c>
      <c r="J966" s="97">
        <v>46021.49574680556</v>
      </c>
      <c r="K966" s="95" t="s">
        <v>5841</v>
      </c>
      <c r="L966" s="96" t="s">
        <v>5842</v>
      </c>
      <c r="M966" s="95" t="s">
        <v>54</v>
      </c>
      <c r="N966" s="95" t="s">
        <v>5843</v>
      </c>
      <c r="O966" s="95" t="s">
        <v>5843</v>
      </c>
      <c r="P966" s="95" t="s">
        <v>5844</v>
      </c>
      <c r="Q966" s="98">
        <v>3.0</v>
      </c>
      <c r="R966" s="97">
        <v>45944.68861111111</v>
      </c>
      <c r="S966" s="99">
        <v>83.0</v>
      </c>
      <c r="T966" s="99">
        <v>3696.0</v>
      </c>
      <c r="U966" s="99">
        <v>28.0</v>
      </c>
      <c r="V966" s="99">
        <v>191.0</v>
      </c>
      <c r="W966" s="99">
        <v>497925.0</v>
      </c>
    </row>
    <row r="967" ht="15.75" customHeight="1">
      <c r="A967" s="95" t="s">
        <v>5845</v>
      </c>
      <c r="B967" s="95" t="s">
        <v>22</v>
      </c>
      <c r="C967" s="96" t="s">
        <v>5846</v>
      </c>
      <c r="D967" s="95" t="s">
        <v>59</v>
      </c>
      <c r="E967" s="95" t="s">
        <v>59</v>
      </c>
      <c r="F967" s="95" t="s">
        <v>19</v>
      </c>
      <c r="G967" s="95" t="s">
        <v>574</v>
      </c>
      <c r="H967" s="95" t="s">
        <v>21</v>
      </c>
      <c r="I967" s="95" t="s">
        <v>567</v>
      </c>
      <c r="J967" s="97">
        <v>46021.49564868055</v>
      </c>
      <c r="K967" s="95" t="s">
        <v>5847</v>
      </c>
      <c r="L967" s="96" t="s">
        <v>5848</v>
      </c>
      <c r="M967" s="95" t="s">
        <v>54</v>
      </c>
      <c r="N967" s="95" t="s">
        <v>5843</v>
      </c>
      <c r="O967" s="95" t="s">
        <v>5843</v>
      </c>
      <c r="P967" s="95" t="s">
        <v>5844</v>
      </c>
      <c r="Q967" s="98">
        <v>3.0</v>
      </c>
      <c r="R967" s="97">
        <v>45938.59230324074</v>
      </c>
      <c r="S967" s="99">
        <v>83.0</v>
      </c>
      <c r="T967" s="99">
        <v>3566.0</v>
      </c>
      <c r="U967" s="99">
        <v>115.0</v>
      </c>
      <c r="V967" s="99">
        <v>1300.0</v>
      </c>
      <c r="W967" s="99">
        <v>497925.0</v>
      </c>
    </row>
    <row r="968" ht="15.75" customHeight="1">
      <c r="A968" s="95" t="s">
        <v>5849</v>
      </c>
      <c r="B968" s="95" t="s">
        <v>22</v>
      </c>
      <c r="C968" s="96" t="s">
        <v>5850</v>
      </c>
      <c r="D968" s="95" t="s">
        <v>59</v>
      </c>
      <c r="E968" s="95" t="s">
        <v>59</v>
      </c>
      <c r="F968" s="95" t="s">
        <v>19</v>
      </c>
      <c r="G968" s="95" t="s">
        <v>19</v>
      </c>
      <c r="H968" s="95" t="s">
        <v>21</v>
      </c>
      <c r="I968" s="95" t="s">
        <v>567</v>
      </c>
      <c r="J968" s="97">
        <v>45975.67930844907</v>
      </c>
      <c r="K968" s="96" t="s">
        <v>5851</v>
      </c>
      <c r="L968" s="96" t="s">
        <v>5852</v>
      </c>
      <c r="M968" s="95" t="s">
        <v>54</v>
      </c>
      <c r="N968" s="95" t="s">
        <v>5853</v>
      </c>
      <c r="O968" s="95" t="s">
        <v>5853</v>
      </c>
      <c r="P968" s="95" t="s">
        <v>5854</v>
      </c>
      <c r="Q968" s="98">
        <v>3.0</v>
      </c>
      <c r="R968" s="97">
        <v>45637.40471064814</v>
      </c>
      <c r="S968" s="99">
        <v>2328.0</v>
      </c>
      <c r="T968" s="99">
        <v>560.0</v>
      </c>
      <c r="U968" s="99">
        <v>10.0</v>
      </c>
      <c r="V968" s="99">
        <v>197.0</v>
      </c>
      <c r="W968" s="99">
        <v>178518.0</v>
      </c>
    </row>
    <row r="969" ht="15.75" customHeight="1">
      <c r="A969" s="95" t="s">
        <v>5855</v>
      </c>
      <c r="B969" s="95" t="s">
        <v>22</v>
      </c>
      <c r="C969" s="96" t="s">
        <v>5856</v>
      </c>
      <c r="D969" s="95" t="s">
        <v>130</v>
      </c>
      <c r="E969" s="95" t="s">
        <v>1025</v>
      </c>
      <c r="F969" s="95" t="s">
        <v>19</v>
      </c>
      <c r="G969" s="95" t="s">
        <v>588</v>
      </c>
      <c r="H969" s="95" t="s">
        <v>21</v>
      </c>
      <c r="I969" s="95" t="s">
        <v>589</v>
      </c>
      <c r="J969" s="97">
        <v>46021.49308912037</v>
      </c>
      <c r="K969" s="95" t="s">
        <v>5857</v>
      </c>
      <c r="L969" s="96" t="s">
        <v>5858</v>
      </c>
      <c r="M969" s="95" t="s">
        <v>28</v>
      </c>
      <c r="N969" s="95" t="s">
        <v>5859</v>
      </c>
      <c r="O969" s="95" t="s">
        <v>5859</v>
      </c>
      <c r="P969" s="95" t="s">
        <v>5860</v>
      </c>
      <c r="Q969" s="98">
        <v>3.0</v>
      </c>
      <c r="R969" s="97">
        <v>45765.73981481481</v>
      </c>
      <c r="S969" s="99">
        <v>86.0</v>
      </c>
      <c r="T969" s="99">
        <v>434.0</v>
      </c>
      <c r="U969" s="99">
        <v>1.0</v>
      </c>
      <c r="V969" s="99">
        <v>28.0</v>
      </c>
      <c r="W969" s="99">
        <v>330923.0</v>
      </c>
    </row>
    <row r="970" ht="15.75" customHeight="1">
      <c r="A970" s="95" t="s">
        <v>5861</v>
      </c>
      <c r="B970" s="95" t="s">
        <v>22</v>
      </c>
      <c r="C970" s="96" t="s">
        <v>5862</v>
      </c>
      <c r="D970" s="95" t="s">
        <v>130</v>
      </c>
      <c r="E970" s="95" t="s">
        <v>1025</v>
      </c>
      <c r="F970" s="95" t="s">
        <v>19</v>
      </c>
      <c r="G970" s="95" t="s">
        <v>574</v>
      </c>
      <c r="H970" s="95" t="s">
        <v>21</v>
      </c>
      <c r="I970" s="95" t="s">
        <v>589</v>
      </c>
      <c r="J970" s="97">
        <v>46021.49574680556</v>
      </c>
      <c r="K970" s="95" t="s">
        <v>5863</v>
      </c>
      <c r="L970" s="96" t="s">
        <v>5864</v>
      </c>
      <c r="M970" s="95" t="s">
        <v>28</v>
      </c>
      <c r="N970" s="95" t="s">
        <v>5859</v>
      </c>
      <c r="O970" s="95" t="s">
        <v>5859</v>
      </c>
      <c r="P970" s="95" t="s">
        <v>5860</v>
      </c>
      <c r="Q970" s="98">
        <v>3.0</v>
      </c>
      <c r="R970" s="97">
        <v>45763.81256944445</v>
      </c>
      <c r="S970" s="99">
        <v>86.0</v>
      </c>
      <c r="T970" s="99">
        <v>425.0</v>
      </c>
      <c r="U970" s="99">
        <v>9.0</v>
      </c>
      <c r="V970" s="99">
        <v>344.0</v>
      </c>
      <c r="W970" s="99">
        <v>330923.0</v>
      </c>
    </row>
    <row r="971" ht="15.75" customHeight="1">
      <c r="A971" s="95" t="s">
        <v>5865</v>
      </c>
      <c r="B971" s="95" t="s">
        <v>22</v>
      </c>
      <c r="C971" s="96" t="s">
        <v>5866</v>
      </c>
      <c r="D971" s="95" t="s">
        <v>130</v>
      </c>
      <c r="E971" s="95" t="s">
        <v>1025</v>
      </c>
      <c r="F971" s="95" t="s">
        <v>19</v>
      </c>
      <c r="G971" s="95" t="s">
        <v>19</v>
      </c>
      <c r="H971" s="95" t="s">
        <v>21</v>
      </c>
      <c r="I971" s="95" t="s">
        <v>1634</v>
      </c>
      <c r="J971" s="97">
        <v>46021.49574680556</v>
      </c>
      <c r="K971" s="95" t="s">
        <v>5867</v>
      </c>
      <c r="L971" s="96" t="s">
        <v>5868</v>
      </c>
      <c r="M971" s="95" t="s">
        <v>28</v>
      </c>
      <c r="N971" s="95" t="s">
        <v>5859</v>
      </c>
      <c r="O971" s="95" t="s">
        <v>5859</v>
      </c>
      <c r="P971" s="95" t="s">
        <v>5860</v>
      </c>
      <c r="Q971" s="98">
        <v>3.0</v>
      </c>
      <c r="R971" s="97">
        <v>45768.55626157407</v>
      </c>
      <c r="S971" s="99">
        <v>86.0</v>
      </c>
      <c r="T971" s="99">
        <v>438.0</v>
      </c>
      <c r="U971" s="99">
        <v>6.0</v>
      </c>
      <c r="V971" s="99">
        <v>793.0</v>
      </c>
      <c r="W971" s="99">
        <v>330923.0</v>
      </c>
    </row>
    <row r="972" ht="15.75" customHeight="1">
      <c r="A972" s="95" t="s">
        <v>5869</v>
      </c>
      <c r="B972" s="95" t="s">
        <v>22</v>
      </c>
      <c r="C972" s="96" t="s">
        <v>5870</v>
      </c>
      <c r="D972" s="95" t="s">
        <v>130</v>
      </c>
      <c r="E972" s="95" t="s">
        <v>5871</v>
      </c>
      <c r="F972" s="95" t="s">
        <v>19</v>
      </c>
      <c r="G972" s="95" t="s">
        <v>19</v>
      </c>
      <c r="H972" s="95" t="s">
        <v>21</v>
      </c>
      <c r="I972" s="95" t="s">
        <v>677</v>
      </c>
      <c r="J972" s="97">
        <v>46021.49574680556</v>
      </c>
      <c r="K972" s="95" t="s">
        <v>5872</v>
      </c>
      <c r="L972" s="96" t="s">
        <v>5873</v>
      </c>
      <c r="M972" s="95" t="s">
        <v>28</v>
      </c>
      <c r="N972" s="95" t="s">
        <v>5859</v>
      </c>
      <c r="O972" s="95" t="s">
        <v>5859</v>
      </c>
      <c r="P972" s="95" t="s">
        <v>5860</v>
      </c>
      <c r="Q972" s="98">
        <v>3.0</v>
      </c>
      <c r="R972" s="97">
        <v>45754.82594907407</v>
      </c>
      <c r="S972" s="99">
        <v>86.0</v>
      </c>
      <c r="T972" s="99">
        <v>403.0</v>
      </c>
      <c r="U972" s="99">
        <v>2.0</v>
      </c>
      <c r="V972" s="99">
        <v>594.0</v>
      </c>
      <c r="W972" s="99">
        <v>330923.0</v>
      </c>
    </row>
    <row r="973" ht="15.75" customHeight="1">
      <c r="A973" s="95" t="s">
        <v>5874</v>
      </c>
      <c r="B973" s="95" t="s">
        <v>22</v>
      </c>
      <c r="C973" s="96" t="s">
        <v>5875</v>
      </c>
      <c r="D973" s="95" t="s">
        <v>130</v>
      </c>
      <c r="E973" s="95" t="s">
        <v>1025</v>
      </c>
      <c r="F973" s="95" t="s">
        <v>19</v>
      </c>
      <c r="G973" s="95" t="s">
        <v>19</v>
      </c>
      <c r="H973" s="95" t="s">
        <v>21</v>
      </c>
      <c r="I973" s="95" t="s">
        <v>567</v>
      </c>
      <c r="J973" s="97">
        <v>46021.49574680556</v>
      </c>
      <c r="K973" s="95" t="s">
        <v>5876</v>
      </c>
      <c r="L973" s="96" t="s">
        <v>5877</v>
      </c>
      <c r="M973" s="95" t="s">
        <v>28</v>
      </c>
      <c r="N973" s="95" t="s">
        <v>5859</v>
      </c>
      <c r="O973" s="95" t="s">
        <v>5859</v>
      </c>
      <c r="P973" s="95" t="s">
        <v>5860</v>
      </c>
      <c r="Q973" s="98">
        <v>3.0</v>
      </c>
      <c r="R973" s="97">
        <v>45660.44542824074</v>
      </c>
      <c r="S973" s="99">
        <v>86.0</v>
      </c>
      <c r="T973" s="99">
        <v>368.0</v>
      </c>
      <c r="U973" s="99">
        <v>4.0</v>
      </c>
      <c r="V973" s="99">
        <v>460.0</v>
      </c>
      <c r="W973" s="99">
        <v>330923.0</v>
      </c>
    </row>
    <row r="974" ht="15.75" customHeight="1">
      <c r="A974" s="95" t="s">
        <v>5878</v>
      </c>
      <c r="B974" s="95" t="s">
        <v>22</v>
      </c>
      <c r="C974" s="96" t="s">
        <v>5879</v>
      </c>
      <c r="D974" s="95" t="s">
        <v>130</v>
      </c>
      <c r="E974" s="95" t="s">
        <v>1025</v>
      </c>
      <c r="F974" s="95" t="s">
        <v>19</v>
      </c>
      <c r="G974" s="95" t="s">
        <v>19</v>
      </c>
      <c r="H974" s="95" t="s">
        <v>21</v>
      </c>
      <c r="I974" s="95" t="s">
        <v>677</v>
      </c>
      <c r="J974" s="97">
        <v>46021.49574680556</v>
      </c>
      <c r="K974" s="95" t="s">
        <v>5880</v>
      </c>
      <c r="L974" s="96" t="s">
        <v>5881</v>
      </c>
      <c r="M974" s="95" t="s">
        <v>28</v>
      </c>
      <c r="N974" s="95" t="s">
        <v>5859</v>
      </c>
      <c r="O974" s="95" t="s">
        <v>5859</v>
      </c>
      <c r="P974" s="95" t="s">
        <v>5860</v>
      </c>
      <c r="Q974" s="98">
        <v>3.0</v>
      </c>
      <c r="R974" s="97">
        <v>45619.66137731481</v>
      </c>
      <c r="S974" s="99">
        <v>86.0</v>
      </c>
      <c r="T974" s="99">
        <v>335.0</v>
      </c>
      <c r="U974" s="99">
        <v>6.0</v>
      </c>
      <c r="V974" s="99">
        <v>974.0</v>
      </c>
      <c r="W974" s="99">
        <v>330923.0</v>
      </c>
    </row>
    <row r="975" ht="15.75" customHeight="1">
      <c r="A975" s="95" t="s">
        <v>5882</v>
      </c>
      <c r="B975" s="95" t="s">
        <v>22</v>
      </c>
      <c r="C975" s="96" t="s">
        <v>5883</v>
      </c>
      <c r="D975" s="95" t="s">
        <v>39</v>
      </c>
      <c r="E975" s="95" t="s">
        <v>39</v>
      </c>
      <c r="F975" s="95" t="s">
        <v>19</v>
      </c>
      <c r="G975" s="95" t="s">
        <v>19</v>
      </c>
      <c r="H975" s="95" t="s">
        <v>21</v>
      </c>
      <c r="I975" s="95" t="s">
        <v>567</v>
      </c>
      <c r="J975" s="97">
        <v>46003.09379704861</v>
      </c>
      <c r="K975" s="95" t="s">
        <v>5884</v>
      </c>
      <c r="L975" s="96" t="s">
        <v>5885</v>
      </c>
      <c r="M975" s="95" t="s">
        <v>38</v>
      </c>
      <c r="N975" s="95" t="s">
        <v>5886</v>
      </c>
      <c r="O975" s="95" t="s">
        <v>5886</v>
      </c>
      <c r="P975" s="95" t="s">
        <v>5887</v>
      </c>
      <c r="Q975" s="98">
        <v>3.0</v>
      </c>
      <c r="R975" s="97">
        <v>45978.60240740741</v>
      </c>
      <c r="S975" s="99">
        <v>845.0</v>
      </c>
      <c r="T975" s="99">
        <v>1054.0</v>
      </c>
      <c r="U975" s="99">
        <v>2.0</v>
      </c>
      <c r="V975" s="99">
        <v>1856.0</v>
      </c>
      <c r="W975" s="99">
        <v>61272.0</v>
      </c>
    </row>
    <row r="976" ht="15.75" customHeight="1">
      <c r="A976" s="95" t="s">
        <v>5888</v>
      </c>
      <c r="B976" s="95" t="s">
        <v>22</v>
      </c>
      <c r="C976" s="96" t="s">
        <v>5889</v>
      </c>
      <c r="D976" s="95" t="s">
        <v>39</v>
      </c>
      <c r="E976" s="95" t="s">
        <v>39</v>
      </c>
      <c r="F976" s="95" t="s">
        <v>19</v>
      </c>
      <c r="G976" s="95" t="s">
        <v>574</v>
      </c>
      <c r="H976" s="95" t="s">
        <v>21</v>
      </c>
      <c r="I976" s="95" t="s">
        <v>567</v>
      </c>
      <c r="J976" s="97">
        <v>46003.09519246528</v>
      </c>
      <c r="K976" s="95" t="s">
        <v>5890</v>
      </c>
      <c r="L976" s="96" t="s">
        <v>5891</v>
      </c>
      <c r="M976" s="95" t="s">
        <v>38</v>
      </c>
      <c r="N976" s="95" t="s">
        <v>5886</v>
      </c>
      <c r="O976" s="95" t="s">
        <v>5886</v>
      </c>
      <c r="P976" s="95" t="s">
        <v>5887</v>
      </c>
      <c r="Q976" s="98">
        <v>3.0</v>
      </c>
      <c r="R976" s="97">
        <v>45684.64703703704</v>
      </c>
      <c r="S976" s="99">
        <v>845.0</v>
      </c>
      <c r="T976" s="99">
        <v>842.0</v>
      </c>
      <c r="U976" s="99">
        <v>15.0</v>
      </c>
      <c r="V976" s="99">
        <v>166.0</v>
      </c>
      <c r="W976" s="99">
        <v>61272.0</v>
      </c>
    </row>
    <row r="977" ht="15.75" customHeight="1">
      <c r="A977" s="95" t="s">
        <v>5892</v>
      </c>
      <c r="B977" s="95" t="s">
        <v>22</v>
      </c>
      <c r="C977" s="96" t="s">
        <v>5893</v>
      </c>
      <c r="D977" s="95" t="s">
        <v>39</v>
      </c>
      <c r="E977" s="95" t="s">
        <v>39</v>
      </c>
      <c r="F977" s="95" t="s">
        <v>19</v>
      </c>
      <c r="G977" s="95" t="s">
        <v>19</v>
      </c>
      <c r="H977" s="95" t="s">
        <v>21</v>
      </c>
      <c r="I977" s="95" t="s">
        <v>567</v>
      </c>
      <c r="J977" s="97">
        <v>46003.09379704861</v>
      </c>
      <c r="K977" s="95" t="s">
        <v>5894</v>
      </c>
      <c r="L977" s="96" t="s">
        <v>5895</v>
      </c>
      <c r="M977" s="95" t="s">
        <v>38</v>
      </c>
      <c r="N977" s="95" t="s">
        <v>5886</v>
      </c>
      <c r="O977" s="95" t="s">
        <v>5886</v>
      </c>
      <c r="P977" s="95" t="s">
        <v>5887</v>
      </c>
      <c r="Q977" s="98">
        <v>3.0</v>
      </c>
      <c r="R977" s="97">
        <v>45987.32924768519</v>
      </c>
      <c r="S977" s="99">
        <v>845.0</v>
      </c>
      <c r="T977" s="99">
        <v>49.0</v>
      </c>
      <c r="U977" s="99">
        <v>1.0</v>
      </c>
      <c r="V977" s="99">
        <v>263.0</v>
      </c>
      <c r="W977" s="99">
        <v>61272.0</v>
      </c>
    </row>
    <row r="978" ht="15.75" customHeight="1">
      <c r="A978" s="95" t="s">
        <v>5896</v>
      </c>
      <c r="B978" s="95" t="s">
        <v>22</v>
      </c>
      <c r="C978" s="96" t="s">
        <v>5897</v>
      </c>
      <c r="D978" s="95" t="s">
        <v>39</v>
      </c>
      <c r="E978" s="95" t="s">
        <v>39</v>
      </c>
      <c r="F978" s="95" t="s">
        <v>19</v>
      </c>
      <c r="G978" s="95" t="s">
        <v>1427</v>
      </c>
      <c r="H978" s="95" t="s">
        <v>21</v>
      </c>
      <c r="I978" s="95" t="s">
        <v>567</v>
      </c>
      <c r="J978" s="97">
        <v>45975.67934811342</v>
      </c>
      <c r="K978" s="96" t="s">
        <v>5898</v>
      </c>
      <c r="L978" s="96" t="s">
        <v>5899</v>
      </c>
      <c r="M978" s="95" t="s">
        <v>17</v>
      </c>
      <c r="N978" s="95" t="s">
        <v>5900</v>
      </c>
      <c r="O978" s="95" t="s">
        <v>5900</v>
      </c>
      <c r="P978" s="95" t="s">
        <v>5901</v>
      </c>
      <c r="Q978" s="98">
        <v>3.0</v>
      </c>
      <c r="R978" s="97">
        <v>45727.71427083333</v>
      </c>
      <c r="S978" s="99">
        <v>3750.0</v>
      </c>
      <c r="T978" s="99">
        <v>9.0</v>
      </c>
      <c r="U978" s="99">
        <v>2.0</v>
      </c>
      <c r="V978" s="99">
        <v>85.0</v>
      </c>
      <c r="W978" s="99">
        <v>286746.0</v>
      </c>
    </row>
    <row r="979" ht="15.75" customHeight="1">
      <c r="A979" s="95" t="s">
        <v>5902</v>
      </c>
      <c r="B979" s="95" t="s">
        <v>22</v>
      </c>
      <c r="C979" s="96" t="s">
        <v>5903</v>
      </c>
      <c r="D979" s="95" t="s">
        <v>29</v>
      </c>
      <c r="E979" s="95" t="s">
        <v>5904</v>
      </c>
      <c r="F979" s="95" t="s">
        <v>19</v>
      </c>
      <c r="G979" s="95" t="s">
        <v>19</v>
      </c>
      <c r="H979" s="95" t="s">
        <v>21</v>
      </c>
      <c r="I979" s="95" t="s">
        <v>567</v>
      </c>
      <c r="J979" s="97">
        <v>45975.67934811342</v>
      </c>
      <c r="K979" s="96" t="s">
        <v>5905</v>
      </c>
      <c r="L979" s="96" t="s">
        <v>5906</v>
      </c>
      <c r="M979" s="95" t="s">
        <v>17</v>
      </c>
      <c r="N979" s="95" t="s">
        <v>5907</v>
      </c>
      <c r="O979" s="95" t="s">
        <v>5907</v>
      </c>
      <c r="P979" s="95" t="s">
        <v>5908</v>
      </c>
      <c r="Q979" s="98">
        <v>3.0</v>
      </c>
      <c r="R979" s="97">
        <v>45909.740625</v>
      </c>
      <c r="S979" s="99">
        <v>4368.0</v>
      </c>
      <c r="T979" s="99">
        <v>53.0</v>
      </c>
      <c r="U979" s="99">
        <v>3.0</v>
      </c>
      <c r="V979" s="99">
        <v>51.0</v>
      </c>
      <c r="W979" s="99">
        <v>19352.0</v>
      </c>
    </row>
    <row r="980" ht="15.75" customHeight="1">
      <c r="A980" s="95" t="s">
        <v>5909</v>
      </c>
      <c r="B980" s="95" t="s">
        <v>22</v>
      </c>
      <c r="C980" s="96" t="s">
        <v>5910</v>
      </c>
      <c r="D980" s="95" t="s">
        <v>39</v>
      </c>
      <c r="E980" s="95" t="s">
        <v>39</v>
      </c>
      <c r="F980" s="95" t="s">
        <v>19</v>
      </c>
      <c r="G980" s="95" t="s">
        <v>19</v>
      </c>
      <c r="H980" s="95" t="s">
        <v>21</v>
      </c>
      <c r="I980" s="95" t="s">
        <v>677</v>
      </c>
      <c r="J980" s="97">
        <v>46056.93918255787</v>
      </c>
      <c r="K980" s="95" t="s">
        <v>5911</v>
      </c>
      <c r="L980" s="96" t="s">
        <v>5912</v>
      </c>
      <c r="M980" s="95" t="s">
        <v>503</v>
      </c>
      <c r="N980" s="95" t="s">
        <v>5913</v>
      </c>
      <c r="O980" s="95" t="s">
        <v>5913</v>
      </c>
      <c r="P980" s="95" t="s">
        <v>5914</v>
      </c>
      <c r="Q980" s="98">
        <v>3.0</v>
      </c>
      <c r="R980" s="97">
        <v>45691.02707175926</v>
      </c>
      <c r="S980" s="99">
        <v>19977.0</v>
      </c>
      <c r="T980" s="99">
        <v>84.0</v>
      </c>
      <c r="U980" s="99">
        <v>4.0</v>
      </c>
      <c r="V980" s="99">
        <v>32.0</v>
      </c>
      <c r="W980" s="99">
        <v>9940.0</v>
      </c>
    </row>
    <row r="981" ht="15.75" customHeight="1">
      <c r="A981" s="95" t="s">
        <v>5915</v>
      </c>
      <c r="B981" s="95" t="s">
        <v>131</v>
      </c>
      <c r="C981" s="96" t="s">
        <v>5916</v>
      </c>
      <c r="D981" s="95" t="s">
        <v>20</v>
      </c>
      <c r="E981" s="95" t="s">
        <v>872</v>
      </c>
      <c r="F981" s="95" t="s">
        <v>19</v>
      </c>
      <c r="G981" s="95" t="s">
        <v>19</v>
      </c>
      <c r="H981" s="95" t="s">
        <v>21</v>
      </c>
      <c r="I981" s="95" t="s">
        <v>5525</v>
      </c>
      <c r="J981" s="97">
        <v>46008.62903821759</v>
      </c>
      <c r="K981" s="96" t="s">
        <v>5917</v>
      </c>
      <c r="L981" s="95"/>
      <c r="M981" s="95" t="s">
        <v>17</v>
      </c>
      <c r="N981" s="95" t="s">
        <v>5918</v>
      </c>
      <c r="O981" s="95" t="s">
        <v>5918</v>
      </c>
      <c r="P981" s="95" t="s">
        <v>5919</v>
      </c>
      <c r="Q981" s="98">
        <v>3.0</v>
      </c>
      <c r="R981" s="97">
        <v>45723.03541666667</v>
      </c>
      <c r="S981" s="99">
        <v>0.0</v>
      </c>
      <c r="T981" s="99">
        <v>285.0</v>
      </c>
      <c r="U981" s="99">
        <v>10.0</v>
      </c>
      <c r="V981" s="99">
        <v>941.0</v>
      </c>
      <c r="W981" s="99">
        <v>2993252.0</v>
      </c>
    </row>
    <row r="982" ht="15.75" customHeight="1">
      <c r="A982" s="95" t="s">
        <v>5920</v>
      </c>
      <c r="B982" s="95" t="s">
        <v>22</v>
      </c>
      <c r="C982" s="96" t="s">
        <v>5921</v>
      </c>
      <c r="D982" s="95" t="s">
        <v>59</v>
      </c>
      <c r="E982" s="95" t="s">
        <v>665</v>
      </c>
      <c r="F982" s="95" t="s">
        <v>19</v>
      </c>
      <c r="G982" s="95" t="s">
        <v>19</v>
      </c>
      <c r="H982" s="95" t="s">
        <v>21</v>
      </c>
      <c r="I982" s="95" t="s">
        <v>567</v>
      </c>
      <c r="J982" s="97">
        <v>46021.49574680556</v>
      </c>
      <c r="K982" s="95" t="s">
        <v>5922</v>
      </c>
      <c r="L982" s="96" t="s">
        <v>5923</v>
      </c>
      <c r="M982" s="95" t="s">
        <v>54</v>
      </c>
      <c r="N982" s="95" t="s">
        <v>5924</v>
      </c>
      <c r="O982" s="95" t="s">
        <v>5924</v>
      </c>
      <c r="P982" s="95" t="s">
        <v>5925</v>
      </c>
      <c r="Q982" s="98">
        <v>3.0</v>
      </c>
      <c r="R982" s="97">
        <v>45895.43430555556</v>
      </c>
      <c r="S982" s="99">
        <v>69.0</v>
      </c>
      <c r="T982" s="99">
        <v>428.0</v>
      </c>
      <c r="U982" s="99">
        <v>2.0</v>
      </c>
      <c r="V982" s="99">
        <v>341.0</v>
      </c>
      <c r="W982" s="99">
        <v>118275.0</v>
      </c>
    </row>
    <row r="983" ht="15.75" customHeight="1">
      <c r="A983" s="95" t="s">
        <v>5926</v>
      </c>
      <c r="B983" s="95" t="s">
        <v>22</v>
      </c>
      <c r="C983" s="96" t="s">
        <v>5927</v>
      </c>
      <c r="D983" s="95" t="s">
        <v>59</v>
      </c>
      <c r="E983" s="95" t="s">
        <v>665</v>
      </c>
      <c r="F983" s="95" t="s">
        <v>19</v>
      </c>
      <c r="G983" s="95" t="s">
        <v>19</v>
      </c>
      <c r="H983" s="95" t="s">
        <v>21</v>
      </c>
      <c r="I983" s="95" t="s">
        <v>567</v>
      </c>
      <c r="J983" s="97">
        <v>46021.49574680556</v>
      </c>
      <c r="K983" s="95" t="s">
        <v>5928</v>
      </c>
      <c r="L983" s="96" t="s">
        <v>5929</v>
      </c>
      <c r="M983" s="95" t="s">
        <v>54</v>
      </c>
      <c r="N983" s="95" t="s">
        <v>5924</v>
      </c>
      <c r="O983" s="95" t="s">
        <v>5924</v>
      </c>
      <c r="P983" s="95" t="s">
        <v>5925</v>
      </c>
      <c r="Q983" s="98">
        <v>3.0</v>
      </c>
      <c r="R983" s="97">
        <v>45840.57836805555</v>
      </c>
      <c r="S983" s="99">
        <v>69.0</v>
      </c>
      <c r="T983" s="99">
        <v>47.0</v>
      </c>
      <c r="U983" s="99">
        <v>20.0</v>
      </c>
      <c r="V983" s="99">
        <v>1238.0</v>
      </c>
      <c r="W983" s="99">
        <v>118275.0</v>
      </c>
    </row>
    <row r="984" ht="15.75" customHeight="1">
      <c r="A984" s="95" t="s">
        <v>5930</v>
      </c>
      <c r="B984" s="95" t="s">
        <v>22</v>
      </c>
      <c r="C984" s="96" t="s">
        <v>5931</v>
      </c>
      <c r="D984" s="95" t="s">
        <v>39</v>
      </c>
      <c r="E984" s="95" t="s">
        <v>39</v>
      </c>
      <c r="F984" s="95" t="s">
        <v>19</v>
      </c>
      <c r="G984" s="95" t="s">
        <v>19</v>
      </c>
      <c r="H984" s="95" t="s">
        <v>21</v>
      </c>
      <c r="I984" s="95" t="s">
        <v>567</v>
      </c>
      <c r="J984" s="97">
        <v>46072.52339202546</v>
      </c>
      <c r="K984" s="96" t="s">
        <v>5932</v>
      </c>
      <c r="L984" s="96" t="s">
        <v>5933</v>
      </c>
      <c r="M984" s="95" t="s">
        <v>74</v>
      </c>
      <c r="N984" s="95" t="s">
        <v>5934</v>
      </c>
      <c r="O984" s="95" t="s">
        <v>5934</v>
      </c>
      <c r="P984" s="95" t="s">
        <v>5935</v>
      </c>
      <c r="Q984" s="98">
        <v>3.0</v>
      </c>
      <c r="R984" s="97">
        <v>46061.8100462963</v>
      </c>
      <c r="S984" s="99">
        <v>1602.0</v>
      </c>
      <c r="T984" s="99">
        <v>19.0</v>
      </c>
      <c r="U984" s="99">
        <v>1.0</v>
      </c>
      <c r="V984" s="99">
        <v>64.0</v>
      </c>
      <c r="W984" s="99">
        <v>319520.0</v>
      </c>
    </row>
    <row r="985" ht="15.75" customHeight="1">
      <c r="A985" s="95" t="s">
        <v>55</v>
      </c>
      <c r="B985" s="95" t="s">
        <v>22</v>
      </c>
      <c r="C985" s="96" t="s">
        <v>63</v>
      </c>
      <c r="D985" s="95" t="s">
        <v>59</v>
      </c>
      <c r="E985" s="95" t="s">
        <v>59</v>
      </c>
      <c r="F985" s="95" t="s">
        <v>58</v>
      </c>
      <c r="G985" s="95" t="s">
        <v>58</v>
      </c>
      <c r="H985" s="95" t="s">
        <v>21</v>
      </c>
      <c r="I985" s="95" t="s">
        <v>567</v>
      </c>
      <c r="J985" s="97">
        <v>46021.49308912037</v>
      </c>
      <c r="K985" s="95" t="s">
        <v>62</v>
      </c>
      <c r="L985" s="96" t="s">
        <v>61</v>
      </c>
      <c r="M985" s="95" t="s">
        <v>54</v>
      </c>
      <c r="N985" s="95" t="s">
        <v>56</v>
      </c>
      <c r="O985" s="95" t="s">
        <v>56</v>
      </c>
      <c r="P985" s="95" t="s">
        <v>5936</v>
      </c>
      <c r="Q985" s="98">
        <v>3.0</v>
      </c>
      <c r="R985" s="97">
        <v>45786.58421296296</v>
      </c>
      <c r="S985" s="99">
        <v>1103.0</v>
      </c>
      <c r="T985" s="99">
        <v>817.0</v>
      </c>
      <c r="U985" s="99">
        <v>19.0</v>
      </c>
      <c r="V985" s="99">
        <v>78.0</v>
      </c>
      <c r="W985" s="99">
        <v>51202.0</v>
      </c>
    </row>
    <row r="986" ht="15.75" customHeight="1">
      <c r="A986" s="95" t="s">
        <v>5937</v>
      </c>
      <c r="B986" s="95" t="s">
        <v>22</v>
      </c>
      <c r="C986" s="96" t="s">
        <v>5938</v>
      </c>
      <c r="D986" s="95" t="s">
        <v>59</v>
      </c>
      <c r="E986" s="95" t="s">
        <v>59</v>
      </c>
      <c r="F986" s="95" t="s">
        <v>19</v>
      </c>
      <c r="G986" s="95" t="s">
        <v>574</v>
      </c>
      <c r="H986" s="95" t="s">
        <v>21</v>
      </c>
      <c r="I986" s="95" t="s">
        <v>567</v>
      </c>
      <c r="J986" s="97">
        <v>46021.49308912037</v>
      </c>
      <c r="K986" s="95" t="s">
        <v>5939</v>
      </c>
      <c r="L986" s="96" t="s">
        <v>5940</v>
      </c>
      <c r="M986" s="95" t="s">
        <v>54</v>
      </c>
      <c r="N986" s="95" t="s">
        <v>5941</v>
      </c>
      <c r="O986" s="95" t="s">
        <v>5941</v>
      </c>
      <c r="P986" s="95" t="s">
        <v>5942</v>
      </c>
      <c r="Q986" s="98">
        <v>3.0</v>
      </c>
      <c r="R986" s="97">
        <v>45769.74094907408</v>
      </c>
      <c r="S986" s="99">
        <v>326.0</v>
      </c>
      <c r="T986" s="99">
        <v>388.0</v>
      </c>
      <c r="U986" s="99">
        <v>1.0</v>
      </c>
      <c r="V986" s="99">
        <v>132.0</v>
      </c>
      <c r="W986" s="99">
        <v>316677.0</v>
      </c>
    </row>
    <row r="987" ht="15.75" customHeight="1">
      <c r="A987" s="95" t="s">
        <v>5943</v>
      </c>
      <c r="B987" s="95" t="s">
        <v>101</v>
      </c>
      <c r="C987" s="96" t="s">
        <v>5944</v>
      </c>
      <c r="D987" s="95" t="s">
        <v>59</v>
      </c>
      <c r="E987" s="95" t="s">
        <v>1873</v>
      </c>
      <c r="F987" s="95" t="s">
        <v>19</v>
      </c>
      <c r="G987" s="95" t="s">
        <v>574</v>
      </c>
      <c r="H987" s="95" t="s">
        <v>21</v>
      </c>
      <c r="I987" s="95" t="s">
        <v>1504</v>
      </c>
      <c r="J987" s="97">
        <v>45988.61478482639</v>
      </c>
      <c r="K987" s="95" t="s">
        <v>5945</v>
      </c>
      <c r="L987" s="96" t="s">
        <v>5946</v>
      </c>
      <c r="M987" s="95" t="s">
        <v>17</v>
      </c>
      <c r="N987" s="95" t="s">
        <v>5947</v>
      </c>
      <c r="O987" s="95" t="s">
        <v>5947</v>
      </c>
      <c r="P987" s="95" t="s">
        <v>5948</v>
      </c>
      <c r="Q987" s="98">
        <v>3.0</v>
      </c>
      <c r="R987" s="97">
        <v>45684.54679398148</v>
      </c>
      <c r="S987" s="99">
        <v>0.0</v>
      </c>
      <c r="T987" s="99">
        <v>12.0</v>
      </c>
      <c r="U987" s="99">
        <v>1.0</v>
      </c>
      <c r="V987" s="99">
        <v>78.0</v>
      </c>
      <c r="W987" s="99">
        <v>73209.0</v>
      </c>
    </row>
    <row r="988" ht="15.75" customHeight="1">
      <c r="A988" s="95" t="s">
        <v>5949</v>
      </c>
      <c r="B988" s="95" t="s">
        <v>101</v>
      </c>
      <c r="C988" s="96" t="s">
        <v>5950</v>
      </c>
      <c r="D988" s="95" t="s">
        <v>39</v>
      </c>
      <c r="E988" s="95" t="s">
        <v>39</v>
      </c>
      <c r="F988" s="95" t="s">
        <v>19</v>
      </c>
      <c r="G988" s="95" t="s">
        <v>19</v>
      </c>
      <c r="H988" s="95" t="s">
        <v>21</v>
      </c>
      <c r="I988" s="95" t="s">
        <v>5951</v>
      </c>
      <c r="J988" s="97">
        <v>46021.51275217593</v>
      </c>
      <c r="K988" s="95" t="s">
        <v>5952</v>
      </c>
      <c r="L988" s="96" t="s">
        <v>5953</v>
      </c>
      <c r="M988" s="95" t="s">
        <v>54</v>
      </c>
      <c r="N988" s="95" t="s">
        <v>5954</v>
      </c>
      <c r="O988" s="95" t="s">
        <v>5954</v>
      </c>
      <c r="P988" s="95" t="s">
        <v>5955</v>
      </c>
      <c r="Q988" s="98">
        <v>3.0</v>
      </c>
      <c r="R988" s="97">
        <v>45754.43418981481</v>
      </c>
      <c r="S988" s="99">
        <v>108.0</v>
      </c>
      <c r="T988" s="99">
        <v>24.0</v>
      </c>
      <c r="U988" s="99">
        <v>4.0</v>
      </c>
      <c r="V988" s="99">
        <v>378.0</v>
      </c>
      <c r="W988" s="99">
        <v>18431.0</v>
      </c>
    </row>
    <row r="989" ht="15.75" customHeight="1">
      <c r="A989" s="95" t="s">
        <v>5956</v>
      </c>
      <c r="B989" s="95" t="s">
        <v>101</v>
      </c>
      <c r="C989" s="96" t="s">
        <v>5957</v>
      </c>
      <c r="D989" s="95" t="s">
        <v>39</v>
      </c>
      <c r="E989" s="95" t="s">
        <v>960</v>
      </c>
      <c r="F989" s="95" t="s">
        <v>19</v>
      </c>
      <c r="G989" s="95" t="s">
        <v>19</v>
      </c>
      <c r="H989" s="95" t="s">
        <v>21</v>
      </c>
      <c r="I989" s="95" t="s">
        <v>890</v>
      </c>
      <c r="J989" s="97">
        <v>46021.51275217593</v>
      </c>
      <c r="K989" s="95" t="s">
        <v>5958</v>
      </c>
      <c r="L989" s="96" t="s">
        <v>5959</v>
      </c>
      <c r="M989" s="95" t="s">
        <v>54</v>
      </c>
      <c r="N989" s="95" t="s">
        <v>5954</v>
      </c>
      <c r="O989" s="95" t="s">
        <v>5954</v>
      </c>
      <c r="P989" s="95" t="s">
        <v>5955</v>
      </c>
      <c r="Q989" s="98">
        <v>3.0</v>
      </c>
      <c r="R989" s="97">
        <v>45847.55377314815</v>
      </c>
      <c r="S989" s="99">
        <v>108.0</v>
      </c>
      <c r="T989" s="99">
        <v>41.0</v>
      </c>
      <c r="U989" s="99">
        <v>2.0</v>
      </c>
      <c r="V989" s="99">
        <v>464.0</v>
      </c>
      <c r="W989" s="99">
        <v>18431.0</v>
      </c>
    </row>
    <row r="990" ht="15.75" customHeight="1">
      <c r="A990" s="95" t="s">
        <v>5960</v>
      </c>
      <c r="B990" s="95" t="s">
        <v>22</v>
      </c>
      <c r="C990" s="96" t="s">
        <v>5961</v>
      </c>
      <c r="D990" s="95" t="s">
        <v>59</v>
      </c>
      <c r="E990" s="95" t="s">
        <v>59</v>
      </c>
      <c r="F990" s="95" t="s">
        <v>19</v>
      </c>
      <c r="G990" s="95" t="s">
        <v>19</v>
      </c>
      <c r="H990" s="95" t="s">
        <v>21</v>
      </c>
      <c r="I990" s="95" t="s">
        <v>589</v>
      </c>
      <c r="J990" s="97">
        <v>46006.66430814815</v>
      </c>
      <c r="K990" s="95" t="s">
        <v>5962</v>
      </c>
      <c r="L990" s="96" t="s">
        <v>5963</v>
      </c>
      <c r="M990" s="95" t="s">
        <v>54</v>
      </c>
      <c r="N990" s="95" t="s">
        <v>5964</v>
      </c>
      <c r="O990" s="95" t="s">
        <v>5964</v>
      </c>
      <c r="P990" s="95" t="s">
        <v>5965</v>
      </c>
      <c r="Q990" s="98">
        <v>3.0</v>
      </c>
      <c r="R990" s="97">
        <v>45922.60991898148</v>
      </c>
      <c r="S990" s="99">
        <v>2042.0</v>
      </c>
      <c r="T990" s="99">
        <v>69.0</v>
      </c>
      <c r="U990" s="99">
        <v>6.0</v>
      </c>
      <c r="V990" s="99">
        <v>44.0</v>
      </c>
      <c r="W990" s="99">
        <v>2137413.0</v>
      </c>
    </row>
    <row r="991" ht="15.75" customHeight="1">
      <c r="A991" s="95" t="s">
        <v>5966</v>
      </c>
      <c r="B991" s="95" t="s">
        <v>157</v>
      </c>
      <c r="C991" s="96" t="s">
        <v>5967</v>
      </c>
      <c r="D991" s="95" t="s">
        <v>59</v>
      </c>
      <c r="E991" s="95" t="s">
        <v>59</v>
      </c>
      <c r="F991" s="95" t="s">
        <v>19</v>
      </c>
      <c r="G991" s="95" t="s">
        <v>1367</v>
      </c>
      <c r="H991" s="95" t="s">
        <v>89</v>
      </c>
      <c r="I991" s="95" t="s">
        <v>897</v>
      </c>
      <c r="J991" s="97">
        <v>45975.67930844907</v>
      </c>
      <c r="K991" s="96" t="s">
        <v>5968</v>
      </c>
      <c r="L991" s="96" t="s">
        <v>5969</v>
      </c>
      <c r="M991" s="95" t="s">
        <v>54</v>
      </c>
      <c r="N991" s="95" t="s">
        <v>5970</v>
      </c>
      <c r="O991" s="95" t="s">
        <v>5970</v>
      </c>
      <c r="P991" s="95" t="s">
        <v>5971</v>
      </c>
      <c r="Q991" s="98">
        <v>3.0</v>
      </c>
      <c r="R991" s="97">
        <v>45727.08456018518</v>
      </c>
      <c r="S991" s="99">
        <v>118360.0</v>
      </c>
      <c r="T991" s="99">
        <v>1525.0</v>
      </c>
      <c r="U991" s="99">
        <v>45.0</v>
      </c>
      <c r="V991" s="99">
        <v>265.0</v>
      </c>
      <c r="W991" s="99">
        <v>999999.0</v>
      </c>
    </row>
    <row r="992" ht="15.75" customHeight="1">
      <c r="A992" s="95" t="s">
        <v>5972</v>
      </c>
      <c r="B992" s="95" t="s">
        <v>22</v>
      </c>
      <c r="C992" s="96" t="s">
        <v>5973</v>
      </c>
      <c r="D992" s="95" t="s">
        <v>59</v>
      </c>
      <c r="E992" s="95" t="s">
        <v>59</v>
      </c>
      <c r="F992" s="95" t="s">
        <v>19</v>
      </c>
      <c r="G992" s="95" t="s">
        <v>1427</v>
      </c>
      <c r="H992" s="95" t="s">
        <v>21</v>
      </c>
      <c r="I992" s="95" t="s">
        <v>567</v>
      </c>
      <c r="J992" s="97">
        <v>45975.67930844907</v>
      </c>
      <c r="K992" s="96" t="s">
        <v>5974</v>
      </c>
      <c r="L992" s="96" t="s">
        <v>5975</v>
      </c>
      <c r="M992" s="95" t="s">
        <v>54</v>
      </c>
      <c r="N992" s="95" t="s">
        <v>5970</v>
      </c>
      <c r="O992" s="95" t="s">
        <v>5970</v>
      </c>
      <c r="P992" s="95" t="s">
        <v>5971</v>
      </c>
      <c r="Q992" s="98">
        <v>3.0</v>
      </c>
      <c r="R992" s="97">
        <v>45715.71571759259</v>
      </c>
      <c r="S992" s="99">
        <v>118360.0</v>
      </c>
      <c r="T992" s="99">
        <v>681.0</v>
      </c>
      <c r="U992" s="99">
        <v>4.0</v>
      </c>
      <c r="V992" s="99">
        <v>160.0</v>
      </c>
      <c r="W992" s="99">
        <v>999999.0</v>
      </c>
    </row>
    <row r="993" ht="15.75" customHeight="1">
      <c r="A993" s="95" t="s">
        <v>5976</v>
      </c>
      <c r="B993" s="95" t="s">
        <v>22</v>
      </c>
      <c r="C993" s="96" t="s">
        <v>5977</v>
      </c>
      <c r="D993" s="95" t="s">
        <v>59</v>
      </c>
      <c r="E993" s="95" t="s">
        <v>59</v>
      </c>
      <c r="F993" s="95" t="s">
        <v>19</v>
      </c>
      <c r="G993" s="95" t="s">
        <v>19</v>
      </c>
      <c r="H993" s="95" t="s">
        <v>21</v>
      </c>
      <c r="I993" s="95" t="s">
        <v>943</v>
      </c>
      <c r="J993" s="97">
        <v>45978.46012408565</v>
      </c>
      <c r="K993" s="95" t="s">
        <v>5978</v>
      </c>
      <c r="L993" s="95"/>
      <c r="M993" s="95" t="s">
        <v>54</v>
      </c>
      <c r="N993" s="95" t="s">
        <v>5970</v>
      </c>
      <c r="O993" s="95" t="s">
        <v>5970</v>
      </c>
      <c r="P993" s="95" t="s">
        <v>5971</v>
      </c>
      <c r="Q993" s="98">
        <v>3.0</v>
      </c>
      <c r="R993" s="97">
        <v>45770.85520833333</v>
      </c>
      <c r="S993" s="99">
        <v>118360.0</v>
      </c>
      <c r="T993" s="99">
        <v>906.0</v>
      </c>
      <c r="U993" s="99">
        <v>23.0</v>
      </c>
      <c r="V993" s="99">
        <v>50.0</v>
      </c>
      <c r="W993" s="99">
        <v>999999.0</v>
      </c>
    </row>
    <row r="994" ht="15.75" customHeight="1">
      <c r="A994" s="95" t="s">
        <v>5979</v>
      </c>
      <c r="B994" s="95" t="s">
        <v>22</v>
      </c>
      <c r="C994" s="96" t="s">
        <v>5980</v>
      </c>
      <c r="D994" s="95" t="s">
        <v>59</v>
      </c>
      <c r="E994" s="95" t="s">
        <v>59</v>
      </c>
      <c r="F994" s="95" t="s">
        <v>19</v>
      </c>
      <c r="G994" s="95" t="s">
        <v>19</v>
      </c>
      <c r="H994" s="95" t="s">
        <v>21</v>
      </c>
      <c r="I994" s="95" t="s">
        <v>567</v>
      </c>
      <c r="J994" s="97">
        <v>45975.67930844907</v>
      </c>
      <c r="K994" s="96" t="s">
        <v>5981</v>
      </c>
      <c r="L994" s="96" t="s">
        <v>5982</v>
      </c>
      <c r="M994" s="95" t="s">
        <v>54</v>
      </c>
      <c r="N994" s="95" t="s">
        <v>5970</v>
      </c>
      <c r="O994" s="95" t="s">
        <v>5970</v>
      </c>
      <c r="P994" s="95" t="s">
        <v>5971</v>
      </c>
      <c r="Q994" s="98">
        <v>3.0</v>
      </c>
      <c r="R994" s="97">
        <v>45867.66835648148</v>
      </c>
      <c r="S994" s="99">
        <v>118360.0</v>
      </c>
      <c r="T994" s="99">
        <v>1004.0</v>
      </c>
      <c r="U994" s="99">
        <v>10.0</v>
      </c>
      <c r="V994" s="99">
        <v>62.0</v>
      </c>
      <c r="W994" s="99">
        <v>999999.0</v>
      </c>
    </row>
    <row r="995" ht="15.75" customHeight="1">
      <c r="A995" s="95" t="s">
        <v>5983</v>
      </c>
      <c r="B995" s="95" t="s">
        <v>69</v>
      </c>
      <c r="C995" s="96" t="s">
        <v>5984</v>
      </c>
      <c r="D995" s="95" t="s">
        <v>39</v>
      </c>
      <c r="E995" s="95" t="s">
        <v>39</v>
      </c>
      <c r="F995" s="95" t="s">
        <v>19</v>
      </c>
      <c r="G995" s="95" t="s">
        <v>19</v>
      </c>
      <c r="H995" s="95" t="s">
        <v>21</v>
      </c>
      <c r="I995" s="95" t="s">
        <v>5985</v>
      </c>
      <c r="J995" s="97">
        <v>45975.67934811342</v>
      </c>
      <c r="K995" s="96" t="s">
        <v>5986</v>
      </c>
      <c r="L995" s="96" t="s">
        <v>5987</v>
      </c>
      <c r="M995" s="95" t="s">
        <v>17</v>
      </c>
      <c r="N995" s="95" t="s">
        <v>5988</v>
      </c>
      <c r="O995" s="95" t="s">
        <v>5988</v>
      </c>
      <c r="P995" s="95" t="s">
        <v>5989</v>
      </c>
      <c r="Q995" s="98">
        <v>3.0</v>
      </c>
      <c r="R995" s="97">
        <v>45891.48599537037</v>
      </c>
      <c r="S995" s="99">
        <v>667.0</v>
      </c>
      <c r="T995" s="99">
        <v>132.0</v>
      </c>
      <c r="U995" s="99">
        <v>13.0</v>
      </c>
      <c r="V995" s="99">
        <v>185.0</v>
      </c>
      <c r="W995" s="99">
        <v>9768.0</v>
      </c>
    </row>
    <row r="996" ht="15.75" customHeight="1">
      <c r="A996" s="95" t="s">
        <v>5990</v>
      </c>
      <c r="B996" s="95" t="s">
        <v>157</v>
      </c>
      <c r="C996" s="96" t="s">
        <v>5991</v>
      </c>
      <c r="D996" s="95" t="s">
        <v>59</v>
      </c>
      <c r="E996" s="95" t="s">
        <v>1873</v>
      </c>
      <c r="F996" s="95" t="s">
        <v>19</v>
      </c>
      <c r="G996" s="95" t="s">
        <v>1367</v>
      </c>
      <c r="H996" s="95" t="s">
        <v>89</v>
      </c>
      <c r="I996" s="95" t="s">
        <v>897</v>
      </c>
      <c r="J996" s="97">
        <v>45975.67930055556</v>
      </c>
      <c r="K996" s="96" t="s">
        <v>5992</v>
      </c>
      <c r="L996" s="95"/>
      <c r="M996" s="95" t="s">
        <v>105</v>
      </c>
      <c r="N996" s="95" t="s">
        <v>5993</v>
      </c>
      <c r="O996" s="95" t="s">
        <v>5993</v>
      </c>
      <c r="P996" s="95" t="s">
        <v>5994</v>
      </c>
      <c r="Q996" s="98">
        <v>3.0</v>
      </c>
      <c r="R996" s="97">
        <v>45672.7565625</v>
      </c>
      <c r="S996" s="99">
        <v>3536.0</v>
      </c>
      <c r="T996" s="99">
        <v>2.0</v>
      </c>
      <c r="U996" s="99">
        <v>1.0</v>
      </c>
      <c r="V996" s="99">
        <v>189.0</v>
      </c>
      <c r="W996" s="99">
        <v>1.4267607E7</v>
      </c>
    </row>
    <row r="997" ht="15.75" customHeight="1">
      <c r="A997" s="95" t="s">
        <v>5995</v>
      </c>
      <c r="B997" s="95" t="s">
        <v>22</v>
      </c>
      <c r="C997" s="96" t="s">
        <v>5996</v>
      </c>
      <c r="D997" s="95" t="s">
        <v>124</v>
      </c>
      <c r="E997" s="95" t="s">
        <v>124</v>
      </c>
      <c r="F997" s="95" t="s">
        <v>19</v>
      </c>
      <c r="G997" s="95"/>
      <c r="H997" s="95" t="s">
        <v>21</v>
      </c>
      <c r="I997" s="95" t="s">
        <v>567</v>
      </c>
      <c r="J997" s="97">
        <v>46021.51275217593</v>
      </c>
      <c r="K997" s="95" t="s">
        <v>5997</v>
      </c>
      <c r="L997" s="96" t="s">
        <v>5998</v>
      </c>
      <c r="M997" s="95" t="s">
        <v>28</v>
      </c>
      <c r="N997" s="95" t="s">
        <v>5999</v>
      </c>
      <c r="O997" s="95" t="s">
        <v>5999</v>
      </c>
      <c r="P997" s="95" t="s">
        <v>6000</v>
      </c>
      <c r="Q997" s="98">
        <v>3.0</v>
      </c>
      <c r="R997" s="97">
        <v>45779.17819444444</v>
      </c>
      <c r="S997" s="99">
        <v>4452.0</v>
      </c>
      <c r="T997" s="99">
        <v>18.0</v>
      </c>
      <c r="U997" s="99">
        <v>2.0</v>
      </c>
      <c r="V997" s="99">
        <v>2627.0</v>
      </c>
      <c r="W997" s="99">
        <v>541823.0</v>
      </c>
    </row>
    <row r="998" ht="15.75" customHeight="1">
      <c r="A998" s="95" t="s">
        <v>6001</v>
      </c>
      <c r="B998" s="95" t="s">
        <v>131</v>
      </c>
      <c r="C998" s="96" t="s">
        <v>6002</v>
      </c>
      <c r="D998" s="95" t="s">
        <v>39</v>
      </c>
      <c r="E998" s="95" t="s">
        <v>1404</v>
      </c>
      <c r="F998" s="95" t="s">
        <v>88</v>
      </c>
      <c r="G998" s="95" t="s">
        <v>88</v>
      </c>
      <c r="H998" s="95" t="s">
        <v>89</v>
      </c>
      <c r="I998" s="95" t="s">
        <v>726</v>
      </c>
      <c r="J998" s="97">
        <v>46057.09163388889</v>
      </c>
      <c r="K998" s="95" t="s">
        <v>6003</v>
      </c>
      <c r="L998" s="95"/>
      <c r="M998" s="95" t="s">
        <v>93</v>
      </c>
      <c r="N998" s="95" t="s">
        <v>6004</v>
      </c>
      <c r="O998" s="95" t="s">
        <v>6004</v>
      </c>
      <c r="P998" s="95" t="s">
        <v>6005</v>
      </c>
      <c r="Q998" s="98">
        <v>3.0</v>
      </c>
      <c r="R998" s="97">
        <v>45704.96939814815</v>
      </c>
      <c r="S998" s="99">
        <v>826.0</v>
      </c>
      <c r="T998" s="99">
        <v>780.0</v>
      </c>
      <c r="U998" s="99">
        <v>3.0</v>
      </c>
      <c r="V998" s="99">
        <v>88.0</v>
      </c>
      <c r="W998" s="99">
        <v>37905.0</v>
      </c>
    </row>
    <row r="999" ht="15.75" customHeight="1">
      <c r="A999" s="95" t="s">
        <v>6006</v>
      </c>
      <c r="B999" s="95" t="s">
        <v>22</v>
      </c>
      <c r="C999" s="96" t="s">
        <v>6007</v>
      </c>
      <c r="D999" s="95" t="s">
        <v>59</v>
      </c>
      <c r="E999" s="95" t="s">
        <v>3394</v>
      </c>
      <c r="F999" s="95" t="s">
        <v>19</v>
      </c>
      <c r="G999" s="95" t="s">
        <v>19</v>
      </c>
      <c r="H999" s="95" t="s">
        <v>21</v>
      </c>
      <c r="I999" s="95" t="s">
        <v>711</v>
      </c>
      <c r="J999" s="97">
        <v>46021.49574680556</v>
      </c>
      <c r="K999" s="95" t="s">
        <v>6008</v>
      </c>
      <c r="L999" s="96" t="s">
        <v>6009</v>
      </c>
      <c r="M999" s="95" t="s">
        <v>54</v>
      </c>
      <c r="N999" s="95" t="s">
        <v>6010</v>
      </c>
      <c r="O999" s="95" t="s">
        <v>6010</v>
      </c>
      <c r="P999" s="95" t="s">
        <v>6011</v>
      </c>
      <c r="Q999" s="98">
        <v>3.0</v>
      </c>
      <c r="R999" s="97">
        <v>45791.2925462963</v>
      </c>
      <c r="S999" s="99">
        <v>340.0</v>
      </c>
      <c r="T999" s="99">
        <v>563.0</v>
      </c>
      <c r="U999" s="99">
        <v>8.0</v>
      </c>
      <c r="V999" s="99">
        <v>213.0</v>
      </c>
      <c r="W999" s="99">
        <v>39845.0</v>
      </c>
    </row>
    <row r="1000" ht="15.75" customHeight="1">
      <c r="A1000" s="95" t="s">
        <v>6012</v>
      </c>
      <c r="B1000" s="95" t="s">
        <v>131</v>
      </c>
      <c r="C1000" s="96" t="s">
        <v>6013</v>
      </c>
      <c r="D1000" s="95" t="s">
        <v>39</v>
      </c>
      <c r="E1000" s="95" t="s">
        <v>39</v>
      </c>
      <c r="F1000" s="95" t="s">
        <v>19</v>
      </c>
      <c r="G1000" s="95" t="s">
        <v>19</v>
      </c>
      <c r="H1000" s="95" t="s">
        <v>21</v>
      </c>
      <c r="I1000" s="95" t="s">
        <v>5525</v>
      </c>
      <c r="J1000" s="97">
        <v>46040.67627811342</v>
      </c>
      <c r="K1000" s="95" t="s">
        <v>6014</v>
      </c>
      <c r="L1000" s="96" t="s">
        <v>6015</v>
      </c>
      <c r="M1000" s="95" t="s">
        <v>74</v>
      </c>
      <c r="N1000" s="95" t="s">
        <v>6016</v>
      </c>
      <c r="O1000" s="95" t="s">
        <v>6016</v>
      </c>
      <c r="P1000" s="95" t="s">
        <v>6017</v>
      </c>
      <c r="Q1000" s="98">
        <v>3.0</v>
      </c>
      <c r="R1000" s="97">
        <v>45929.58666666667</v>
      </c>
      <c r="S1000" s="99">
        <v>265.0</v>
      </c>
      <c r="T1000" s="99">
        <v>2975.0</v>
      </c>
      <c r="U1000" s="99">
        <v>7.0</v>
      </c>
      <c r="V1000" s="99">
        <v>80.0</v>
      </c>
      <c r="W1000" s="99">
        <v>12891.0</v>
      </c>
    </row>
    <row r="1001" ht="15.75" customHeight="1">
      <c r="A1001" s="95" t="s">
        <v>6018</v>
      </c>
      <c r="B1001" s="95" t="s">
        <v>22</v>
      </c>
      <c r="C1001" s="96" t="s">
        <v>6019</v>
      </c>
      <c r="D1001" s="95" t="s">
        <v>168</v>
      </c>
      <c r="E1001" s="95" t="s">
        <v>168</v>
      </c>
      <c r="F1001" s="95" t="s">
        <v>19</v>
      </c>
      <c r="G1001" s="95" t="s">
        <v>574</v>
      </c>
      <c r="H1001" s="95" t="s">
        <v>21</v>
      </c>
      <c r="I1001" s="95" t="s">
        <v>711</v>
      </c>
      <c r="J1001" s="97">
        <v>46021.49574680556</v>
      </c>
      <c r="K1001" s="95" t="s">
        <v>6020</v>
      </c>
      <c r="L1001" s="96" t="s">
        <v>6021</v>
      </c>
      <c r="M1001" s="95" t="s">
        <v>105</v>
      </c>
      <c r="N1001" s="95" t="s">
        <v>6022</v>
      </c>
      <c r="O1001" s="95" t="s">
        <v>6022</v>
      </c>
      <c r="P1001" s="95" t="s">
        <v>6023</v>
      </c>
      <c r="Q1001" s="98">
        <v>3.0</v>
      </c>
      <c r="R1001" s="97">
        <v>45687.80653935186</v>
      </c>
      <c r="S1001" s="99">
        <v>2716.0</v>
      </c>
      <c r="T1001" s="99">
        <v>14.0</v>
      </c>
      <c r="U1001" s="99">
        <v>1.0</v>
      </c>
      <c r="V1001" s="99">
        <v>94.0</v>
      </c>
      <c r="W1001" s="99">
        <v>999999.0</v>
      </c>
    </row>
    <row r="1002" ht="15.75" customHeight="1">
      <c r="A1002" s="95" t="s">
        <v>6024</v>
      </c>
      <c r="B1002" s="95" t="s">
        <v>22</v>
      </c>
      <c r="C1002" s="96" t="s">
        <v>6025</v>
      </c>
      <c r="D1002" s="95" t="s">
        <v>20</v>
      </c>
      <c r="E1002" s="95" t="s">
        <v>872</v>
      </c>
      <c r="F1002" s="95" t="s">
        <v>19</v>
      </c>
      <c r="G1002" s="95" t="s">
        <v>19</v>
      </c>
      <c r="H1002" s="95" t="s">
        <v>21</v>
      </c>
      <c r="I1002" s="95" t="s">
        <v>677</v>
      </c>
      <c r="J1002" s="97">
        <v>45993.7854622338</v>
      </c>
      <c r="K1002" s="96" t="s">
        <v>6026</v>
      </c>
      <c r="L1002" s="96" t="s">
        <v>6027</v>
      </c>
      <c r="M1002" s="95" t="s">
        <v>17</v>
      </c>
      <c r="N1002" s="95" t="s">
        <v>6028</v>
      </c>
      <c r="O1002" s="95" t="s">
        <v>6028</v>
      </c>
      <c r="P1002" s="95" t="s">
        <v>6029</v>
      </c>
      <c r="Q1002" s="98">
        <v>3.0</v>
      </c>
      <c r="R1002" s="97">
        <v>45714.07261574074</v>
      </c>
      <c r="S1002" s="99">
        <v>230.0</v>
      </c>
      <c r="T1002" s="99">
        <v>70.0</v>
      </c>
      <c r="U1002" s="99">
        <v>5.0</v>
      </c>
      <c r="V1002" s="99">
        <v>895.0</v>
      </c>
      <c r="W1002" s="99">
        <v>77096.0</v>
      </c>
    </row>
    <row r="1003" ht="15.75" customHeight="1">
      <c r="A1003" s="95" t="s">
        <v>6030</v>
      </c>
      <c r="B1003" s="95" t="s">
        <v>131</v>
      </c>
      <c r="C1003" s="96" t="s">
        <v>6031</v>
      </c>
      <c r="D1003" s="95" t="s">
        <v>20</v>
      </c>
      <c r="E1003" s="95" t="s">
        <v>638</v>
      </c>
      <c r="F1003" s="95" t="s">
        <v>19</v>
      </c>
      <c r="G1003" s="95" t="s">
        <v>19</v>
      </c>
      <c r="H1003" s="95" t="s">
        <v>21</v>
      </c>
      <c r="I1003" s="95" t="s">
        <v>647</v>
      </c>
      <c r="J1003" s="97">
        <v>46057.09195101852</v>
      </c>
      <c r="K1003" s="95" t="s">
        <v>6032</v>
      </c>
      <c r="L1003" s="96" t="s">
        <v>6033</v>
      </c>
      <c r="M1003" s="95" t="s">
        <v>93</v>
      </c>
      <c r="N1003" s="95" t="s">
        <v>6034</v>
      </c>
      <c r="O1003" s="95" t="s">
        <v>6034</v>
      </c>
      <c r="P1003" s="95" t="s">
        <v>6035</v>
      </c>
      <c r="Q1003" s="98">
        <v>3.0</v>
      </c>
      <c r="R1003" s="97">
        <v>46015.49089120371</v>
      </c>
      <c r="S1003" s="99">
        <v>10765.0</v>
      </c>
      <c r="T1003" s="99">
        <v>2416.0</v>
      </c>
      <c r="U1003" s="99">
        <v>8.0</v>
      </c>
      <c r="V1003" s="99">
        <v>1010.0</v>
      </c>
      <c r="W1003" s="99">
        <v>601005.0</v>
      </c>
    </row>
    <row r="1004" ht="15.75" customHeight="1">
      <c r="A1004" s="95" t="s">
        <v>6036</v>
      </c>
      <c r="B1004" s="95" t="s">
        <v>157</v>
      </c>
      <c r="C1004" s="96" t="s">
        <v>6037</v>
      </c>
      <c r="D1004" s="95" t="s">
        <v>20</v>
      </c>
      <c r="E1004" s="95" t="s">
        <v>638</v>
      </c>
      <c r="F1004" s="95" t="s">
        <v>88</v>
      </c>
      <c r="G1004" s="95" t="s">
        <v>88</v>
      </c>
      <c r="H1004" s="95" t="s">
        <v>89</v>
      </c>
      <c r="I1004" s="95" t="s">
        <v>859</v>
      </c>
      <c r="J1004" s="97">
        <v>46069.65903020834</v>
      </c>
      <c r="K1004" s="95" t="s">
        <v>6038</v>
      </c>
      <c r="L1004" s="96" t="s">
        <v>6039</v>
      </c>
      <c r="M1004" s="95" t="s">
        <v>93</v>
      </c>
      <c r="N1004" s="95" t="s">
        <v>6034</v>
      </c>
      <c r="O1004" s="95" t="s">
        <v>6034</v>
      </c>
      <c r="P1004" s="95" t="s">
        <v>6035</v>
      </c>
      <c r="Q1004" s="98">
        <v>3.0</v>
      </c>
      <c r="R1004" s="97">
        <v>46055.64086805555</v>
      </c>
      <c r="S1004" s="99">
        <v>10765.0</v>
      </c>
      <c r="T1004" s="99">
        <v>2583.0</v>
      </c>
      <c r="U1004" s="99">
        <v>3.0</v>
      </c>
      <c r="V1004" s="99">
        <v>108.0</v>
      </c>
      <c r="W1004" s="99">
        <v>601005.0</v>
      </c>
    </row>
    <row r="1005" ht="15.75" customHeight="1">
      <c r="A1005" s="95" t="s">
        <v>6040</v>
      </c>
      <c r="B1005" s="95" t="s">
        <v>22</v>
      </c>
      <c r="C1005" s="96" t="s">
        <v>6041</v>
      </c>
      <c r="D1005" s="95" t="s">
        <v>124</v>
      </c>
      <c r="E1005" s="95" t="s">
        <v>6042</v>
      </c>
      <c r="F1005" s="95" t="s">
        <v>19</v>
      </c>
      <c r="G1005" s="95" t="s">
        <v>19</v>
      </c>
      <c r="H1005" s="95" t="s">
        <v>21</v>
      </c>
      <c r="I1005" s="95" t="s">
        <v>943</v>
      </c>
      <c r="J1005" s="97">
        <v>45993.7854622338</v>
      </c>
      <c r="K1005" s="96" t="s">
        <v>6043</v>
      </c>
      <c r="L1005" s="95"/>
      <c r="M1005" s="95" t="s">
        <v>17</v>
      </c>
      <c r="N1005" s="95" t="s">
        <v>6044</v>
      </c>
      <c r="O1005" s="95" t="s">
        <v>6044</v>
      </c>
      <c r="P1005" s="95" t="s">
        <v>6045</v>
      </c>
      <c r="Q1005" s="98">
        <v>3.0</v>
      </c>
      <c r="R1005" s="97">
        <v>45885.82105324074</v>
      </c>
      <c r="S1005" s="99">
        <v>3985.0</v>
      </c>
      <c r="T1005" s="99">
        <v>630.0</v>
      </c>
      <c r="U1005" s="99">
        <v>6.0</v>
      </c>
      <c r="V1005" s="99">
        <v>499.0</v>
      </c>
      <c r="W1005" s="99">
        <v>24767.0</v>
      </c>
    </row>
    <row r="1006" ht="15.75" customHeight="1">
      <c r="A1006" s="95" t="s">
        <v>6046</v>
      </c>
      <c r="B1006" s="95" t="s">
        <v>101</v>
      </c>
      <c r="C1006" s="96" t="s">
        <v>6047</v>
      </c>
      <c r="D1006" s="95" t="s">
        <v>29</v>
      </c>
      <c r="E1006" s="95" t="s">
        <v>598</v>
      </c>
      <c r="F1006" s="95" t="s">
        <v>88</v>
      </c>
      <c r="G1006" s="95" t="s">
        <v>858</v>
      </c>
      <c r="H1006" s="95" t="s">
        <v>21</v>
      </c>
      <c r="I1006" s="95" t="s">
        <v>2990</v>
      </c>
      <c r="J1006" s="97">
        <v>46056.9370691088</v>
      </c>
      <c r="K1006" s="95" t="s">
        <v>6048</v>
      </c>
      <c r="L1006" s="96" t="s">
        <v>6049</v>
      </c>
      <c r="M1006" s="95" t="s">
        <v>74</v>
      </c>
      <c r="N1006" s="95" t="s">
        <v>6050</v>
      </c>
      <c r="O1006" s="95" t="s">
        <v>6050</v>
      </c>
      <c r="P1006" s="95" t="s">
        <v>6051</v>
      </c>
      <c r="Q1006" s="98">
        <v>3.0</v>
      </c>
      <c r="R1006" s="97">
        <v>45610.58789351852</v>
      </c>
      <c r="S1006" s="99">
        <v>103.0</v>
      </c>
      <c r="T1006" s="99">
        <v>4.0</v>
      </c>
      <c r="U1006" s="99">
        <v>1.0</v>
      </c>
      <c r="V1006" s="99">
        <v>37.0</v>
      </c>
      <c r="W1006" s="99">
        <v>4610.0</v>
      </c>
    </row>
    <row r="1007" ht="15.75" customHeight="1">
      <c r="A1007" s="95" t="s">
        <v>6052</v>
      </c>
      <c r="B1007" s="95" t="s">
        <v>22</v>
      </c>
      <c r="C1007" s="96" t="s">
        <v>6053</v>
      </c>
      <c r="D1007" s="95" t="s">
        <v>20</v>
      </c>
      <c r="E1007" s="95" t="s">
        <v>845</v>
      </c>
      <c r="F1007" s="95" t="s">
        <v>19</v>
      </c>
      <c r="G1007" s="95" t="s">
        <v>19</v>
      </c>
      <c r="H1007" s="95" t="s">
        <v>21</v>
      </c>
      <c r="I1007" s="95" t="s">
        <v>567</v>
      </c>
      <c r="J1007" s="97">
        <v>46008.6290381713</v>
      </c>
      <c r="K1007" s="96" t="s">
        <v>6054</v>
      </c>
      <c r="L1007" s="96" t="s">
        <v>6055</v>
      </c>
      <c r="M1007" s="95" t="s">
        <v>17</v>
      </c>
      <c r="N1007" s="95" t="s">
        <v>6056</v>
      </c>
      <c r="O1007" s="95" t="s">
        <v>6056</v>
      </c>
      <c r="P1007" s="95" t="s">
        <v>6057</v>
      </c>
      <c r="Q1007" s="98">
        <v>3.0</v>
      </c>
      <c r="R1007" s="97">
        <v>45916.86464120371</v>
      </c>
      <c r="S1007" s="99">
        <v>1535.0</v>
      </c>
      <c r="T1007" s="99">
        <v>12.0</v>
      </c>
      <c r="U1007" s="99">
        <v>1.0</v>
      </c>
      <c r="V1007" s="99">
        <v>22.0</v>
      </c>
      <c r="W1007" s="99">
        <v>73637.0</v>
      </c>
    </row>
    <row r="1008" ht="15.75" customHeight="1">
      <c r="A1008" s="95" t="s">
        <v>6058</v>
      </c>
      <c r="B1008" s="95" t="s">
        <v>22</v>
      </c>
      <c r="C1008" s="96" t="s">
        <v>6059</v>
      </c>
      <c r="D1008" s="95" t="s">
        <v>59</v>
      </c>
      <c r="E1008" s="95" t="s">
        <v>59</v>
      </c>
      <c r="F1008" s="95" t="s">
        <v>19</v>
      </c>
      <c r="G1008" s="95" t="s">
        <v>19</v>
      </c>
      <c r="H1008" s="95" t="s">
        <v>21</v>
      </c>
      <c r="I1008" s="95" t="s">
        <v>567</v>
      </c>
      <c r="J1008" s="97">
        <v>45975.67934811342</v>
      </c>
      <c r="K1008" s="96" t="s">
        <v>6060</v>
      </c>
      <c r="L1008" s="96" t="s">
        <v>6061</v>
      </c>
      <c r="M1008" s="95" t="s">
        <v>17</v>
      </c>
      <c r="N1008" s="95" t="s">
        <v>6062</v>
      </c>
      <c r="O1008" s="95" t="s">
        <v>6062</v>
      </c>
      <c r="P1008" s="95" t="s">
        <v>6063</v>
      </c>
      <c r="Q1008" s="98">
        <v>3.0</v>
      </c>
      <c r="R1008" s="97">
        <v>45866.42484953703</v>
      </c>
      <c r="S1008" s="99">
        <v>51.0</v>
      </c>
      <c r="T1008" s="99">
        <v>37.0</v>
      </c>
      <c r="U1008" s="99">
        <v>8.0</v>
      </c>
      <c r="V1008" s="99">
        <v>311.0</v>
      </c>
      <c r="W1008" s="99">
        <v>4656.0</v>
      </c>
    </row>
    <row r="1009" ht="15.75" customHeight="1">
      <c r="A1009" s="95" t="s">
        <v>6064</v>
      </c>
      <c r="B1009" s="95" t="s">
        <v>22</v>
      </c>
      <c r="C1009" s="96" t="s">
        <v>6065</v>
      </c>
      <c r="D1009" s="95" t="s">
        <v>20</v>
      </c>
      <c r="E1009" s="95" t="s">
        <v>1991</v>
      </c>
      <c r="F1009" s="95" t="s">
        <v>19</v>
      </c>
      <c r="G1009" s="95" t="s">
        <v>574</v>
      </c>
      <c r="H1009" s="95" t="s">
        <v>21</v>
      </c>
      <c r="I1009" s="95" t="s">
        <v>567</v>
      </c>
      <c r="J1009" s="97">
        <v>45986.53189861111</v>
      </c>
      <c r="K1009" s="95" t="s">
        <v>6066</v>
      </c>
      <c r="L1009" s="96" t="s">
        <v>6067</v>
      </c>
      <c r="M1009" s="95" t="s">
        <v>17</v>
      </c>
      <c r="N1009" s="95" t="s">
        <v>6068</v>
      </c>
      <c r="O1009" s="95" t="s">
        <v>6068</v>
      </c>
      <c r="P1009" s="95" t="s">
        <v>6069</v>
      </c>
      <c r="Q1009" s="98">
        <v>3.0</v>
      </c>
      <c r="R1009" s="97">
        <v>45781.64354166666</v>
      </c>
      <c r="S1009" s="99">
        <v>300.0</v>
      </c>
      <c r="T1009" s="99">
        <v>280.0</v>
      </c>
      <c r="U1009" s="99">
        <v>3.0</v>
      </c>
      <c r="V1009" s="99">
        <v>218.0</v>
      </c>
      <c r="W1009" s="99">
        <v>170933.0</v>
      </c>
    </row>
    <row r="1010" ht="15.75" customHeight="1">
      <c r="A1010" s="95" t="s">
        <v>6070</v>
      </c>
      <c r="B1010" s="95" t="s">
        <v>131</v>
      </c>
      <c r="C1010" s="96" t="s">
        <v>6071</v>
      </c>
      <c r="D1010" s="95" t="s">
        <v>68</v>
      </c>
      <c r="E1010" s="95" t="s">
        <v>6072</v>
      </c>
      <c r="F1010" s="95" t="s">
        <v>58</v>
      </c>
      <c r="G1010" s="95" t="s">
        <v>58</v>
      </c>
      <c r="H1010" s="95" t="s">
        <v>136</v>
      </c>
      <c r="I1010" s="95" t="s">
        <v>2306</v>
      </c>
      <c r="J1010" s="97">
        <v>45975.67930844907</v>
      </c>
      <c r="K1010" s="96" t="s">
        <v>6073</v>
      </c>
      <c r="L1010" s="96" t="s">
        <v>6074</v>
      </c>
      <c r="M1010" s="95" t="s">
        <v>54</v>
      </c>
      <c r="N1010" s="95" t="s">
        <v>6075</v>
      </c>
      <c r="O1010" s="95" t="s">
        <v>6075</v>
      </c>
      <c r="P1010" s="95" t="s">
        <v>6076</v>
      </c>
      <c r="Q1010" s="98">
        <v>3.0</v>
      </c>
      <c r="R1010" s="97">
        <v>45793.78545138889</v>
      </c>
      <c r="S1010" s="99">
        <v>5570.0</v>
      </c>
      <c r="T1010" s="99">
        <v>78.0</v>
      </c>
      <c r="U1010" s="99">
        <v>19.0</v>
      </c>
      <c r="V1010" s="99">
        <v>92.0</v>
      </c>
      <c r="W1010" s="99">
        <v>860349.0</v>
      </c>
    </row>
    <row r="1011" ht="15.75" customHeight="1">
      <c r="A1011" s="95" t="s">
        <v>6077</v>
      </c>
      <c r="B1011" s="95" t="s">
        <v>22</v>
      </c>
      <c r="C1011" s="96" t="s">
        <v>6078</v>
      </c>
      <c r="D1011" s="95" t="s">
        <v>49</v>
      </c>
      <c r="E1011" s="95" t="s">
        <v>49</v>
      </c>
      <c r="F1011" s="95" t="s">
        <v>19</v>
      </c>
      <c r="G1011" s="95" t="s">
        <v>19</v>
      </c>
      <c r="H1011" s="95" t="s">
        <v>21</v>
      </c>
      <c r="I1011" s="95" t="s">
        <v>567</v>
      </c>
      <c r="J1011" s="97">
        <v>45975.6793321412</v>
      </c>
      <c r="K1011" s="96" t="s">
        <v>6079</v>
      </c>
      <c r="L1011" s="96" t="s">
        <v>6080</v>
      </c>
      <c r="M1011" s="95" t="s">
        <v>93</v>
      </c>
      <c r="N1011" s="95" t="s">
        <v>6081</v>
      </c>
      <c r="O1011" s="95" t="s">
        <v>6081</v>
      </c>
      <c r="P1011" s="95" t="s">
        <v>6082</v>
      </c>
      <c r="Q1011" s="98">
        <v>3.0</v>
      </c>
      <c r="R1011" s="97">
        <v>45833.51004629629</v>
      </c>
      <c r="S1011" s="99">
        <v>5386.0</v>
      </c>
      <c r="T1011" s="99">
        <v>612.0</v>
      </c>
      <c r="U1011" s="99">
        <v>1.0</v>
      </c>
      <c r="V1011" s="99">
        <v>74.0</v>
      </c>
      <c r="W1011" s="99">
        <v>91898.0</v>
      </c>
    </row>
    <row r="1012" ht="15.75" customHeight="1">
      <c r="A1012" s="95" t="s">
        <v>6083</v>
      </c>
      <c r="B1012" s="95" t="s">
        <v>22</v>
      </c>
      <c r="C1012" s="96" t="s">
        <v>6084</v>
      </c>
      <c r="D1012" s="95" t="s">
        <v>124</v>
      </c>
      <c r="E1012" s="95" t="s">
        <v>124</v>
      </c>
      <c r="F1012" s="95" t="s">
        <v>19</v>
      </c>
      <c r="G1012" s="95" t="s">
        <v>19</v>
      </c>
      <c r="H1012" s="95" t="s">
        <v>21</v>
      </c>
      <c r="I1012" s="95" t="s">
        <v>567</v>
      </c>
      <c r="J1012" s="97">
        <v>46072.52378248842</v>
      </c>
      <c r="K1012" s="95" t="s">
        <v>6085</v>
      </c>
      <c r="L1012" s="96" t="s">
        <v>6086</v>
      </c>
      <c r="M1012" s="95" t="s">
        <v>74</v>
      </c>
      <c r="N1012" s="95" t="s">
        <v>6087</v>
      </c>
      <c r="O1012" s="95" t="s">
        <v>6087</v>
      </c>
      <c r="P1012" s="95" t="s">
        <v>6088</v>
      </c>
      <c r="Q1012" s="98">
        <v>3.0</v>
      </c>
      <c r="R1012" s="97">
        <v>46061.0515162037</v>
      </c>
      <c r="S1012" s="99">
        <v>372.0</v>
      </c>
      <c r="T1012" s="99">
        <v>19.0</v>
      </c>
      <c r="U1012" s="99">
        <v>10.0</v>
      </c>
      <c r="V1012" s="99">
        <v>4432.0</v>
      </c>
      <c r="W1012" s="99">
        <v>127660.0</v>
      </c>
    </row>
    <row r="1013" ht="15.75" customHeight="1">
      <c r="A1013" s="95" t="s">
        <v>6089</v>
      </c>
      <c r="B1013" s="95" t="s">
        <v>22</v>
      </c>
      <c r="C1013" s="96" t="s">
        <v>6090</v>
      </c>
      <c r="D1013" s="95" t="s">
        <v>68</v>
      </c>
      <c r="E1013" s="95" t="s">
        <v>6091</v>
      </c>
      <c r="F1013" s="95" t="s">
        <v>19</v>
      </c>
      <c r="G1013" s="95" t="s">
        <v>574</v>
      </c>
      <c r="H1013" s="95" t="s">
        <v>21</v>
      </c>
      <c r="I1013" s="95" t="s">
        <v>567</v>
      </c>
      <c r="J1013" s="97">
        <v>46008.62903814814</v>
      </c>
      <c r="K1013" s="96" t="s">
        <v>6092</v>
      </c>
      <c r="L1013" s="96" t="s">
        <v>6093</v>
      </c>
      <c r="M1013" s="95" t="s">
        <v>17</v>
      </c>
      <c r="N1013" s="95" t="s">
        <v>6094</v>
      </c>
      <c r="O1013" s="95" t="s">
        <v>6094</v>
      </c>
      <c r="P1013" s="95" t="s">
        <v>6095</v>
      </c>
      <c r="Q1013" s="98">
        <v>3.0</v>
      </c>
      <c r="R1013" s="97">
        <v>45832.88914351852</v>
      </c>
      <c r="S1013" s="99">
        <v>587.0</v>
      </c>
      <c r="T1013" s="99">
        <v>432.0</v>
      </c>
      <c r="U1013" s="99">
        <v>13.0</v>
      </c>
      <c r="V1013" s="99">
        <v>33.0</v>
      </c>
      <c r="W1013" s="99">
        <v>103283.0</v>
      </c>
    </row>
    <row r="1014" ht="15.75" customHeight="1">
      <c r="A1014" s="95" t="s">
        <v>6096</v>
      </c>
      <c r="B1014" s="95" t="s">
        <v>22</v>
      </c>
      <c r="C1014" s="96" t="s">
        <v>6097</v>
      </c>
      <c r="D1014" s="95" t="s">
        <v>20</v>
      </c>
      <c r="E1014" s="95" t="s">
        <v>20</v>
      </c>
      <c r="F1014" s="95" t="s">
        <v>19</v>
      </c>
      <c r="G1014" s="95" t="s">
        <v>19</v>
      </c>
      <c r="H1014" s="95" t="s">
        <v>21</v>
      </c>
      <c r="I1014" s="95" t="s">
        <v>567</v>
      </c>
      <c r="J1014" s="97">
        <v>45993.7854622338</v>
      </c>
      <c r="K1014" s="96" t="s">
        <v>6098</v>
      </c>
      <c r="L1014" s="96" t="s">
        <v>6099</v>
      </c>
      <c r="M1014" s="95" t="s">
        <v>17</v>
      </c>
      <c r="N1014" s="95" t="s">
        <v>6100</v>
      </c>
      <c r="O1014" s="95" t="s">
        <v>6100</v>
      </c>
      <c r="P1014" s="95" t="s">
        <v>6101</v>
      </c>
      <c r="Q1014" s="98">
        <v>3.0</v>
      </c>
      <c r="R1014" s="97">
        <v>45793.33400462963</v>
      </c>
      <c r="S1014" s="99">
        <v>13155.0</v>
      </c>
      <c r="T1014" s="99">
        <v>30.0</v>
      </c>
      <c r="U1014" s="99">
        <v>2.0</v>
      </c>
      <c r="V1014" s="99">
        <v>164.0</v>
      </c>
      <c r="W1014" s="99">
        <v>34074.0</v>
      </c>
    </row>
    <row r="1015" ht="15.75" customHeight="1">
      <c r="A1015" s="95" t="s">
        <v>6102</v>
      </c>
      <c r="B1015" s="95" t="s">
        <v>22</v>
      </c>
      <c r="C1015" s="96" t="s">
        <v>6103</v>
      </c>
      <c r="D1015" s="95" t="s">
        <v>20</v>
      </c>
      <c r="E1015" s="95" t="s">
        <v>20</v>
      </c>
      <c r="F1015" s="95" t="s">
        <v>19</v>
      </c>
      <c r="G1015" s="95" t="s">
        <v>19</v>
      </c>
      <c r="H1015" s="95" t="s">
        <v>21</v>
      </c>
      <c r="I1015" s="95" t="s">
        <v>567</v>
      </c>
      <c r="J1015" s="97">
        <v>45978.46329891204</v>
      </c>
      <c r="K1015" s="95" t="s">
        <v>6104</v>
      </c>
      <c r="L1015" s="95"/>
      <c r="M1015" s="95" t="s">
        <v>17</v>
      </c>
      <c r="N1015" s="95" t="s">
        <v>6105</v>
      </c>
      <c r="O1015" s="95" t="s">
        <v>6105</v>
      </c>
      <c r="P1015" s="95" t="s">
        <v>6106</v>
      </c>
      <c r="Q1015" s="98">
        <v>3.0</v>
      </c>
      <c r="R1015" s="97">
        <v>45904.78714120371</v>
      </c>
      <c r="S1015" s="99">
        <v>30827.0</v>
      </c>
      <c r="T1015" s="99">
        <v>16.0</v>
      </c>
      <c r="U1015" s="99">
        <v>9.0</v>
      </c>
      <c r="V1015" s="99">
        <v>106.0</v>
      </c>
      <c r="W1015" s="99">
        <v>132369.0</v>
      </c>
    </row>
    <row r="1016" ht="15.75" customHeight="1">
      <c r="A1016" s="95" t="s">
        <v>6107</v>
      </c>
      <c r="B1016" s="95" t="s">
        <v>22</v>
      </c>
      <c r="C1016" s="96" t="s">
        <v>6108</v>
      </c>
      <c r="D1016" s="95" t="s">
        <v>49</v>
      </c>
      <c r="E1016" s="95" t="s">
        <v>49</v>
      </c>
      <c r="F1016" s="95" t="s">
        <v>19</v>
      </c>
      <c r="G1016" s="95" t="s">
        <v>19</v>
      </c>
      <c r="H1016" s="95" t="s">
        <v>21</v>
      </c>
      <c r="I1016" s="95" t="s">
        <v>567</v>
      </c>
      <c r="J1016" s="97">
        <v>46021.49574680556</v>
      </c>
      <c r="K1016" s="95" t="s">
        <v>6109</v>
      </c>
      <c r="L1016" s="96" t="s">
        <v>6110</v>
      </c>
      <c r="M1016" s="95" t="s">
        <v>54</v>
      </c>
      <c r="N1016" s="95" t="s">
        <v>6111</v>
      </c>
      <c r="O1016" s="95" t="s">
        <v>6111</v>
      </c>
      <c r="P1016" s="95" t="s">
        <v>6112</v>
      </c>
      <c r="Q1016" s="98">
        <v>3.0</v>
      </c>
      <c r="R1016" s="97">
        <v>45699.78030092592</v>
      </c>
      <c r="S1016" s="99">
        <v>500.0</v>
      </c>
      <c r="T1016" s="99">
        <v>647.0</v>
      </c>
      <c r="U1016" s="99">
        <v>2.0</v>
      </c>
      <c r="V1016" s="99">
        <v>686.0</v>
      </c>
      <c r="W1016" s="99">
        <v>326942.0</v>
      </c>
    </row>
    <row r="1017" ht="15.75" customHeight="1">
      <c r="A1017" s="95" t="s">
        <v>6113</v>
      </c>
      <c r="B1017" s="95" t="s">
        <v>69</v>
      </c>
      <c r="C1017" s="96" t="s">
        <v>6114</v>
      </c>
      <c r="D1017" s="95" t="s">
        <v>49</v>
      </c>
      <c r="E1017" s="95" t="s">
        <v>49</v>
      </c>
      <c r="F1017" s="95" t="s">
        <v>19</v>
      </c>
      <c r="G1017" s="95" t="s">
        <v>574</v>
      </c>
      <c r="H1017" s="95" t="s">
        <v>21</v>
      </c>
      <c r="I1017" s="95" t="s">
        <v>998</v>
      </c>
      <c r="J1017" s="97">
        <v>46021.49574680556</v>
      </c>
      <c r="K1017" s="95" t="s">
        <v>6115</v>
      </c>
      <c r="L1017" s="96" t="s">
        <v>6116</v>
      </c>
      <c r="M1017" s="95" t="s">
        <v>54</v>
      </c>
      <c r="N1017" s="95" t="s">
        <v>6111</v>
      </c>
      <c r="O1017" s="95" t="s">
        <v>6111</v>
      </c>
      <c r="P1017" s="95" t="s">
        <v>6112</v>
      </c>
      <c r="Q1017" s="98">
        <v>3.0</v>
      </c>
      <c r="R1017" s="97">
        <v>45944.72322916667</v>
      </c>
      <c r="S1017" s="99">
        <v>500.0</v>
      </c>
      <c r="T1017" s="99">
        <v>1403.0</v>
      </c>
      <c r="U1017" s="99">
        <v>1.0</v>
      </c>
      <c r="V1017" s="99">
        <v>212.0</v>
      </c>
      <c r="W1017" s="99">
        <v>326942.0</v>
      </c>
    </row>
    <row r="1018" ht="15.75" customHeight="1">
      <c r="A1018" s="95" t="s">
        <v>6117</v>
      </c>
      <c r="B1018" s="95" t="s">
        <v>22</v>
      </c>
      <c r="C1018" s="96" t="s">
        <v>6118</v>
      </c>
      <c r="D1018" s="95" t="s">
        <v>49</v>
      </c>
      <c r="E1018" s="95" t="s">
        <v>49</v>
      </c>
      <c r="F1018" s="95" t="s">
        <v>19</v>
      </c>
      <c r="G1018" s="95" t="s">
        <v>574</v>
      </c>
      <c r="H1018" s="95" t="s">
        <v>21</v>
      </c>
      <c r="I1018" s="95" t="s">
        <v>567</v>
      </c>
      <c r="J1018" s="97">
        <v>46021.49574680556</v>
      </c>
      <c r="K1018" s="95" t="s">
        <v>6119</v>
      </c>
      <c r="L1018" s="96" t="s">
        <v>6120</v>
      </c>
      <c r="M1018" s="95" t="s">
        <v>54</v>
      </c>
      <c r="N1018" s="95" t="s">
        <v>6111</v>
      </c>
      <c r="O1018" s="95" t="s">
        <v>6111</v>
      </c>
      <c r="P1018" s="95" t="s">
        <v>6112</v>
      </c>
      <c r="Q1018" s="98">
        <v>3.0</v>
      </c>
      <c r="R1018" s="97">
        <v>45903.57559027777</v>
      </c>
      <c r="S1018" s="99">
        <v>500.0</v>
      </c>
      <c r="T1018" s="99">
        <v>1306.0</v>
      </c>
      <c r="U1018" s="99">
        <v>21.0</v>
      </c>
      <c r="V1018" s="99">
        <v>609.0</v>
      </c>
      <c r="W1018" s="99">
        <v>326942.0</v>
      </c>
    </row>
    <row r="1019" ht="15.75" customHeight="1">
      <c r="A1019" s="95" t="s">
        <v>6121</v>
      </c>
      <c r="B1019" s="95" t="s">
        <v>22</v>
      </c>
      <c r="C1019" s="96" t="s">
        <v>6122</v>
      </c>
      <c r="D1019" s="95" t="s">
        <v>59</v>
      </c>
      <c r="E1019" s="95" t="s">
        <v>738</v>
      </c>
      <c r="F1019" s="95" t="s">
        <v>19</v>
      </c>
      <c r="G1019" s="95" t="s">
        <v>19</v>
      </c>
      <c r="H1019" s="95" t="s">
        <v>21</v>
      </c>
      <c r="I1019" s="95" t="s">
        <v>567</v>
      </c>
      <c r="J1019" s="97">
        <v>45975.67930844907</v>
      </c>
      <c r="K1019" s="96" t="s">
        <v>6123</v>
      </c>
      <c r="L1019" s="96" t="s">
        <v>6124</v>
      </c>
      <c r="M1019" s="95" t="s">
        <v>54</v>
      </c>
      <c r="N1019" s="95" t="s">
        <v>6125</v>
      </c>
      <c r="O1019" s="95" t="s">
        <v>6125</v>
      </c>
      <c r="P1019" s="95" t="s">
        <v>6126</v>
      </c>
      <c r="Q1019" s="98">
        <v>3.0</v>
      </c>
      <c r="R1019" s="97">
        <v>45903.21681712963</v>
      </c>
      <c r="S1019" s="99">
        <v>18327.0</v>
      </c>
      <c r="T1019" s="99">
        <v>41.0</v>
      </c>
      <c r="U1019" s="99">
        <v>22.0</v>
      </c>
      <c r="V1019" s="99">
        <v>144.0</v>
      </c>
      <c r="W1019" s="99">
        <v>49419.0</v>
      </c>
    </row>
    <row r="1020" ht="15.75" customHeight="1">
      <c r="A1020" s="95" t="s">
        <v>6127</v>
      </c>
      <c r="B1020" s="95" t="s">
        <v>22</v>
      </c>
      <c r="C1020" s="96" t="s">
        <v>6128</v>
      </c>
      <c r="D1020" s="95" t="s">
        <v>29</v>
      </c>
      <c r="E1020" s="95" t="s">
        <v>1783</v>
      </c>
      <c r="F1020" s="95" t="s">
        <v>19</v>
      </c>
      <c r="G1020" s="95" t="s">
        <v>19</v>
      </c>
      <c r="H1020" s="95" t="s">
        <v>21</v>
      </c>
      <c r="I1020" s="95" t="s">
        <v>567</v>
      </c>
      <c r="J1020" s="97">
        <v>46069.65903020834</v>
      </c>
      <c r="K1020" s="95" t="s">
        <v>6129</v>
      </c>
      <c r="L1020" s="96" t="s">
        <v>6130</v>
      </c>
      <c r="M1020" s="95" t="s">
        <v>93</v>
      </c>
      <c r="N1020" s="95" t="s">
        <v>6131</v>
      </c>
      <c r="O1020" s="95" t="s">
        <v>6131</v>
      </c>
      <c r="P1020" s="95" t="s">
        <v>6132</v>
      </c>
      <c r="Q1020" s="98">
        <v>3.0</v>
      </c>
      <c r="R1020" s="97">
        <v>45453.66570601852</v>
      </c>
      <c r="S1020" s="99">
        <v>5071.0</v>
      </c>
      <c r="T1020" s="99">
        <v>158.0</v>
      </c>
      <c r="U1020" s="99">
        <v>8.0</v>
      </c>
      <c r="V1020" s="99">
        <v>346.0</v>
      </c>
      <c r="W1020" s="99">
        <v>526093.0</v>
      </c>
    </row>
    <row r="1021" ht="15.75" customHeight="1">
      <c r="A1021" s="95" t="s">
        <v>6133</v>
      </c>
      <c r="B1021" s="95" t="s">
        <v>22</v>
      </c>
      <c r="C1021" s="96" t="s">
        <v>6134</v>
      </c>
      <c r="D1021" s="95" t="s">
        <v>29</v>
      </c>
      <c r="E1021" s="95" t="s">
        <v>658</v>
      </c>
      <c r="F1021" s="95" t="s">
        <v>19</v>
      </c>
      <c r="G1021" s="95" t="s">
        <v>19</v>
      </c>
      <c r="H1021" s="95" t="s">
        <v>21</v>
      </c>
      <c r="I1021" s="95" t="s">
        <v>567</v>
      </c>
      <c r="J1021" s="97">
        <v>46069.65903020834</v>
      </c>
      <c r="K1021" s="95" t="s">
        <v>6135</v>
      </c>
      <c r="L1021" s="96" t="s">
        <v>6136</v>
      </c>
      <c r="M1021" s="95" t="s">
        <v>93</v>
      </c>
      <c r="N1021" s="95" t="s">
        <v>6131</v>
      </c>
      <c r="O1021" s="95" t="s">
        <v>6131</v>
      </c>
      <c r="P1021" s="95" t="s">
        <v>6132</v>
      </c>
      <c r="Q1021" s="98">
        <v>3.0</v>
      </c>
      <c r="R1021" s="97">
        <v>45720.27549768519</v>
      </c>
      <c r="S1021" s="99">
        <v>5071.0</v>
      </c>
      <c r="T1021" s="99">
        <v>687.0</v>
      </c>
      <c r="U1021" s="99">
        <v>2.0</v>
      </c>
      <c r="V1021" s="99">
        <v>111.0</v>
      </c>
      <c r="W1021" s="99">
        <v>526093.0</v>
      </c>
    </row>
    <row r="1022" ht="15.75" customHeight="1">
      <c r="A1022" s="95" t="s">
        <v>6137</v>
      </c>
      <c r="B1022" s="95" t="s">
        <v>22</v>
      </c>
      <c r="C1022" s="96" t="s">
        <v>6138</v>
      </c>
      <c r="D1022" s="95" t="s">
        <v>29</v>
      </c>
      <c r="E1022" s="95" t="s">
        <v>658</v>
      </c>
      <c r="F1022" s="95" t="s">
        <v>19</v>
      </c>
      <c r="G1022" s="95" t="s">
        <v>19</v>
      </c>
      <c r="H1022" s="95" t="s">
        <v>21</v>
      </c>
      <c r="I1022" s="95" t="s">
        <v>567</v>
      </c>
      <c r="J1022" s="97">
        <v>46069.65883778935</v>
      </c>
      <c r="K1022" s="95" t="s">
        <v>6139</v>
      </c>
      <c r="L1022" s="95"/>
      <c r="M1022" s="95" t="s">
        <v>93</v>
      </c>
      <c r="N1022" s="95" t="s">
        <v>6131</v>
      </c>
      <c r="O1022" s="95" t="s">
        <v>6131</v>
      </c>
      <c r="P1022" s="95" t="s">
        <v>6132</v>
      </c>
      <c r="Q1022" s="98">
        <v>3.0</v>
      </c>
      <c r="R1022" s="97">
        <v>45797.34271990741</v>
      </c>
      <c r="S1022" s="99">
        <v>5071.0</v>
      </c>
      <c r="T1022" s="99">
        <v>120.0</v>
      </c>
      <c r="U1022" s="99">
        <v>16.0</v>
      </c>
      <c r="V1022" s="99">
        <v>537.0</v>
      </c>
      <c r="W1022" s="99">
        <v>526093.0</v>
      </c>
    </row>
    <row r="1023" ht="15.75" customHeight="1">
      <c r="A1023" s="95" t="s">
        <v>6140</v>
      </c>
      <c r="B1023" s="95" t="s">
        <v>22</v>
      </c>
      <c r="C1023" s="96" t="s">
        <v>6141</v>
      </c>
      <c r="D1023" s="95" t="s">
        <v>29</v>
      </c>
      <c r="E1023" s="95" t="s">
        <v>658</v>
      </c>
      <c r="F1023" s="95" t="s">
        <v>19</v>
      </c>
      <c r="G1023" s="95" t="s">
        <v>1367</v>
      </c>
      <c r="H1023" s="95" t="s">
        <v>21</v>
      </c>
      <c r="I1023" s="95" t="s">
        <v>567</v>
      </c>
      <c r="J1023" s="97">
        <v>46069.65910748843</v>
      </c>
      <c r="K1023" s="95" t="s">
        <v>6142</v>
      </c>
      <c r="L1023" s="96" t="s">
        <v>6143</v>
      </c>
      <c r="M1023" s="95" t="s">
        <v>93</v>
      </c>
      <c r="N1023" s="95" t="s">
        <v>6131</v>
      </c>
      <c r="O1023" s="95" t="s">
        <v>6131</v>
      </c>
      <c r="P1023" s="95" t="s">
        <v>6132</v>
      </c>
      <c r="Q1023" s="98">
        <v>3.0</v>
      </c>
      <c r="R1023" s="97">
        <v>45789.42163194445</v>
      </c>
      <c r="S1023" s="99">
        <v>5071.0</v>
      </c>
      <c r="T1023" s="99">
        <v>24.0</v>
      </c>
      <c r="U1023" s="99">
        <v>6.0</v>
      </c>
      <c r="V1023" s="99">
        <v>368.0</v>
      </c>
      <c r="W1023" s="99">
        <v>526093.0</v>
      </c>
    </row>
    <row r="1024" ht="15.75" customHeight="1">
      <c r="A1024" s="95" t="s">
        <v>6144</v>
      </c>
      <c r="B1024" s="95" t="s">
        <v>22</v>
      </c>
      <c r="C1024" s="96" t="s">
        <v>6145</v>
      </c>
      <c r="D1024" s="95" t="s">
        <v>59</v>
      </c>
      <c r="E1024" s="95" t="s">
        <v>59</v>
      </c>
      <c r="F1024" s="95" t="s">
        <v>19</v>
      </c>
      <c r="G1024" s="95" t="s">
        <v>19</v>
      </c>
      <c r="H1024" s="95" t="s">
        <v>21</v>
      </c>
      <c r="I1024" s="95" t="s">
        <v>567</v>
      </c>
      <c r="J1024" s="97">
        <v>46057.09133766204</v>
      </c>
      <c r="K1024" s="95" t="s">
        <v>6146</v>
      </c>
      <c r="L1024" s="96" t="s">
        <v>6147</v>
      </c>
      <c r="M1024" s="95" t="s">
        <v>93</v>
      </c>
      <c r="N1024" s="95" t="s">
        <v>6148</v>
      </c>
      <c r="O1024" s="95" t="s">
        <v>6148</v>
      </c>
      <c r="P1024" s="95" t="s">
        <v>6149</v>
      </c>
      <c r="Q1024" s="98">
        <v>3.0</v>
      </c>
      <c r="R1024" s="97">
        <v>45728.49793981481</v>
      </c>
      <c r="S1024" s="99">
        <v>654.0</v>
      </c>
      <c r="T1024" s="99">
        <v>934.0</v>
      </c>
      <c r="U1024" s="99">
        <v>4.0</v>
      </c>
      <c r="V1024" s="99">
        <v>175.0</v>
      </c>
      <c r="W1024" s="99">
        <v>112341.0</v>
      </c>
    </row>
    <row r="1025" ht="15.75" customHeight="1">
      <c r="A1025" s="95" t="s">
        <v>6150</v>
      </c>
      <c r="B1025" s="95" t="s">
        <v>22</v>
      </c>
      <c r="C1025" s="96" t="s">
        <v>6151</v>
      </c>
      <c r="D1025" s="95" t="s">
        <v>130</v>
      </c>
      <c r="E1025" s="95" t="s">
        <v>130</v>
      </c>
      <c r="F1025" s="95" t="s">
        <v>19</v>
      </c>
      <c r="G1025" s="95" t="s">
        <v>19</v>
      </c>
      <c r="H1025" s="95" t="s">
        <v>21</v>
      </c>
      <c r="I1025" s="95" t="s">
        <v>567</v>
      </c>
      <c r="J1025" s="97">
        <v>46021.51275217593</v>
      </c>
      <c r="K1025" s="95" t="s">
        <v>6152</v>
      </c>
      <c r="L1025" s="96" t="s">
        <v>6153</v>
      </c>
      <c r="M1025" s="95" t="s">
        <v>93</v>
      </c>
      <c r="N1025" s="95" t="s">
        <v>6154</v>
      </c>
      <c r="O1025" s="95" t="s">
        <v>6154</v>
      </c>
      <c r="P1025" s="95" t="s">
        <v>6155</v>
      </c>
      <c r="Q1025" s="98">
        <v>3.0</v>
      </c>
      <c r="R1025" s="97">
        <v>45944.55083333333</v>
      </c>
      <c r="S1025" s="99">
        <v>362.0</v>
      </c>
      <c r="T1025" s="99">
        <v>19.0</v>
      </c>
      <c r="U1025" s="99">
        <v>13.0</v>
      </c>
      <c r="V1025" s="99">
        <v>154.0</v>
      </c>
      <c r="W1025" s="99">
        <v>20672.0</v>
      </c>
    </row>
    <row r="1026" ht="15.75" customHeight="1">
      <c r="A1026" s="95" t="s">
        <v>6156</v>
      </c>
      <c r="B1026" s="95" t="s">
        <v>131</v>
      </c>
      <c r="C1026" s="96" t="s">
        <v>6157</v>
      </c>
      <c r="D1026" s="95" t="s">
        <v>39</v>
      </c>
      <c r="E1026" s="95" t="s">
        <v>39</v>
      </c>
      <c r="F1026" s="95" t="s">
        <v>58</v>
      </c>
      <c r="G1026" s="95" t="s">
        <v>58</v>
      </c>
      <c r="H1026" s="95" t="s">
        <v>60</v>
      </c>
      <c r="I1026" s="95" t="s">
        <v>1354</v>
      </c>
      <c r="J1026" s="97">
        <v>46021.50581828703</v>
      </c>
      <c r="K1026" s="95" t="s">
        <v>6158</v>
      </c>
      <c r="L1026" s="96" t="s">
        <v>6159</v>
      </c>
      <c r="M1026" s="95" t="s">
        <v>67</v>
      </c>
      <c r="N1026" s="95" t="s">
        <v>6160</v>
      </c>
      <c r="O1026" s="95" t="s">
        <v>6160</v>
      </c>
      <c r="P1026" s="95" t="s">
        <v>6161</v>
      </c>
      <c r="Q1026" s="98">
        <v>3.0</v>
      </c>
      <c r="R1026" s="97">
        <v>45757.22543981481</v>
      </c>
      <c r="S1026" s="99">
        <v>488.0</v>
      </c>
      <c r="T1026" s="99">
        <v>272.0</v>
      </c>
      <c r="U1026" s="99">
        <v>1.0</v>
      </c>
      <c r="V1026" s="99">
        <v>16.0</v>
      </c>
      <c r="W1026" s="99">
        <v>27412.0</v>
      </c>
    </row>
    <row r="1027" ht="15.75" customHeight="1">
      <c r="A1027" s="95" t="s">
        <v>6162</v>
      </c>
      <c r="B1027" s="95" t="s">
        <v>22</v>
      </c>
      <c r="C1027" s="96" t="s">
        <v>6163</v>
      </c>
      <c r="D1027" s="95" t="s">
        <v>68</v>
      </c>
      <c r="E1027" s="95" t="s">
        <v>1671</v>
      </c>
      <c r="F1027" s="95" t="s">
        <v>19</v>
      </c>
      <c r="G1027" s="95" t="s">
        <v>19</v>
      </c>
      <c r="H1027" s="95" t="s">
        <v>21</v>
      </c>
      <c r="I1027" s="95" t="s">
        <v>567</v>
      </c>
      <c r="J1027" s="97">
        <v>46008.62899347222</v>
      </c>
      <c r="K1027" s="96" t="s">
        <v>6164</v>
      </c>
      <c r="L1027" s="95"/>
      <c r="M1027" s="95" t="s">
        <v>93</v>
      </c>
      <c r="N1027" s="95" t="s">
        <v>6165</v>
      </c>
      <c r="O1027" s="95" t="s">
        <v>6165</v>
      </c>
      <c r="P1027" s="95" t="s">
        <v>6166</v>
      </c>
      <c r="Q1027" s="98">
        <v>3.0</v>
      </c>
      <c r="R1027" s="97">
        <v>45923.40098379629</v>
      </c>
      <c r="S1027" s="99">
        <v>570.0</v>
      </c>
      <c r="T1027" s="99">
        <v>24.0</v>
      </c>
      <c r="U1027" s="99">
        <v>14.0</v>
      </c>
      <c r="V1027" s="99">
        <v>145.0</v>
      </c>
      <c r="W1027" s="99">
        <v>12495.0</v>
      </c>
    </row>
    <row r="1028" ht="15.75" customHeight="1">
      <c r="A1028" s="95" t="s">
        <v>6167</v>
      </c>
      <c r="B1028" s="95" t="s">
        <v>22</v>
      </c>
      <c r="C1028" s="96" t="s">
        <v>6168</v>
      </c>
      <c r="D1028" s="95" t="s">
        <v>59</v>
      </c>
      <c r="E1028" s="95" t="s">
        <v>1347</v>
      </c>
      <c r="F1028" s="95" t="s">
        <v>19</v>
      </c>
      <c r="G1028" s="95" t="s">
        <v>19</v>
      </c>
      <c r="H1028" s="95" t="s">
        <v>21</v>
      </c>
      <c r="I1028" s="95" t="s">
        <v>567</v>
      </c>
      <c r="J1028" s="97">
        <v>45975.67932418981</v>
      </c>
      <c r="K1028" s="96" t="s">
        <v>6169</v>
      </c>
      <c r="L1028" s="95"/>
      <c r="M1028" s="95" t="s">
        <v>93</v>
      </c>
      <c r="N1028" s="95" t="s">
        <v>6170</v>
      </c>
      <c r="O1028" s="95" t="s">
        <v>6170</v>
      </c>
      <c r="P1028" s="95" t="s">
        <v>6171</v>
      </c>
      <c r="Q1028" s="98">
        <v>3.0</v>
      </c>
      <c r="R1028" s="97">
        <v>44818.70850694444</v>
      </c>
      <c r="S1028" s="99">
        <v>2997.0</v>
      </c>
      <c r="T1028" s="99">
        <v>1058.0</v>
      </c>
      <c r="U1028" s="99">
        <v>13.0</v>
      </c>
      <c r="V1028" s="99">
        <v>247.0</v>
      </c>
      <c r="W1028" s="99">
        <v>84606.0</v>
      </c>
    </row>
    <row r="1029" ht="15.75" customHeight="1">
      <c r="A1029" s="95" t="s">
        <v>6172</v>
      </c>
      <c r="B1029" s="95" t="s">
        <v>22</v>
      </c>
      <c r="C1029" s="96" t="s">
        <v>6173</v>
      </c>
      <c r="D1029" s="95" t="s">
        <v>59</v>
      </c>
      <c r="E1029" s="95" t="s">
        <v>59</v>
      </c>
      <c r="F1029" s="95" t="s">
        <v>19</v>
      </c>
      <c r="G1029" s="95" t="s">
        <v>19</v>
      </c>
      <c r="H1029" s="95" t="s">
        <v>21</v>
      </c>
      <c r="I1029" s="95" t="s">
        <v>567</v>
      </c>
      <c r="J1029" s="97">
        <v>46069.65769826389</v>
      </c>
      <c r="K1029" s="95" t="s">
        <v>6174</v>
      </c>
      <c r="L1029" s="96" t="s">
        <v>6175</v>
      </c>
      <c r="M1029" s="95" t="s">
        <v>93</v>
      </c>
      <c r="N1029" s="95" t="s">
        <v>6170</v>
      </c>
      <c r="O1029" s="95" t="s">
        <v>6170</v>
      </c>
      <c r="P1029" s="95" t="s">
        <v>6171</v>
      </c>
      <c r="Q1029" s="98">
        <v>3.0</v>
      </c>
      <c r="R1029" s="97">
        <v>43069.06799768518</v>
      </c>
      <c r="S1029" s="99">
        <v>2997.0</v>
      </c>
      <c r="T1029" s="99">
        <v>287.0</v>
      </c>
      <c r="U1029" s="99">
        <v>5.0</v>
      </c>
      <c r="V1029" s="99">
        <v>177.0</v>
      </c>
      <c r="W1029" s="99">
        <v>84606.0</v>
      </c>
    </row>
    <row r="1030" ht="15.75" customHeight="1">
      <c r="A1030" s="95" t="s">
        <v>6176</v>
      </c>
      <c r="B1030" s="95" t="s">
        <v>22</v>
      </c>
      <c r="C1030" s="96" t="s">
        <v>6177</v>
      </c>
      <c r="D1030" s="95" t="s">
        <v>59</v>
      </c>
      <c r="E1030" s="95" t="s">
        <v>1347</v>
      </c>
      <c r="F1030" s="95" t="s">
        <v>19</v>
      </c>
      <c r="G1030" s="95" t="s">
        <v>19</v>
      </c>
      <c r="H1030" s="95" t="s">
        <v>21</v>
      </c>
      <c r="I1030" s="95" t="s">
        <v>567</v>
      </c>
      <c r="J1030" s="97">
        <v>46072.60571417824</v>
      </c>
      <c r="K1030" s="95" t="s">
        <v>6178</v>
      </c>
      <c r="L1030" s="95"/>
      <c r="M1030" s="95" t="s">
        <v>93</v>
      </c>
      <c r="N1030" s="95" t="s">
        <v>6170</v>
      </c>
      <c r="O1030" s="95" t="s">
        <v>6170</v>
      </c>
      <c r="P1030" s="95" t="s">
        <v>6171</v>
      </c>
      <c r="Q1030" s="98">
        <v>3.0</v>
      </c>
      <c r="R1030" s="97">
        <v>43580.98652777778</v>
      </c>
      <c r="S1030" s="99">
        <v>2997.0</v>
      </c>
      <c r="T1030" s="99">
        <v>553.0</v>
      </c>
      <c r="U1030" s="99">
        <v>41.0</v>
      </c>
      <c r="V1030" s="99">
        <v>466.0</v>
      </c>
      <c r="W1030" s="99">
        <v>84606.0</v>
      </c>
    </row>
    <row r="1031" ht="15.75" customHeight="1">
      <c r="A1031" s="95" t="s">
        <v>6179</v>
      </c>
      <c r="B1031" s="95" t="s">
        <v>131</v>
      </c>
      <c r="C1031" s="96" t="s">
        <v>6180</v>
      </c>
      <c r="D1031" s="95" t="s">
        <v>20</v>
      </c>
      <c r="E1031" s="95" t="s">
        <v>6181</v>
      </c>
      <c r="F1031" s="95" t="s">
        <v>19</v>
      </c>
      <c r="G1031" s="95" t="s">
        <v>574</v>
      </c>
      <c r="H1031" s="95" t="s">
        <v>21</v>
      </c>
      <c r="I1031" s="95" t="s">
        <v>647</v>
      </c>
      <c r="J1031" s="97">
        <v>46021.50581828703</v>
      </c>
      <c r="K1031" s="95" t="s">
        <v>6182</v>
      </c>
      <c r="L1031" s="96" t="s">
        <v>6183</v>
      </c>
      <c r="M1031" s="95" t="s">
        <v>38</v>
      </c>
      <c r="N1031" s="95" t="s">
        <v>6184</v>
      </c>
      <c r="O1031" s="95" t="s">
        <v>6184</v>
      </c>
      <c r="P1031" s="95" t="s">
        <v>6185</v>
      </c>
      <c r="Q1031" s="98">
        <v>3.0</v>
      </c>
      <c r="R1031" s="97">
        <v>45909.36682870371</v>
      </c>
      <c r="S1031" s="99">
        <v>456.0</v>
      </c>
      <c r="T1031" s="99">
        <v>781.0</v>
      </c>
      <c r="U1031" s="99">
        <v>2.0</v>
      </c>
      <c r="V1031" s="99">
        <v>1437.0</v>
      </c>
      <c r="W1031" s="99">
        <v>47706.0</v>
      </c>
    </row>
    <row r="1032" ht="15.75" customHeight="1">
      <c r="A1032" s="95" t="s">
        <v>6186</v>
      </c>
      <c r="B1032" s="95" t="s">
        <v>22</v>
      </c>
      <c r="C1032" s="96" t="s">
        <v>6187</v>
      </c>
      <c r="D1032" s="95" t="s">
        <v>68</v>
      </c>
      <c r="E1032" s="95" t="s">
        <v>6188</v>
      </c>
      <c r="F1032" s="95" t="s">
        <v>19</v>
      </c>
      <c r="G1032" s="95" t="s">
        <v>19</v>
      </c>
      <c r="H1032" s="95" t="s">
        <v>21</v>
      </c>
      <c r="I1032" s="95" t="s">
        <v>589</v>
      </c>
      <c r="J1032" s="97">
        <v>46021.50581828703</v>
      </c>
      <c r="K1032" s="95" t="s">
        <v>6189</v>
      </c>
      <c r="L1032" s="96" t="s">
        <v>6190</v>
      </c>
      <c r="M1032" s="95" t="s">
        <v>74</v>
      </c>
      <c r="N1032" s="95" t="s">
        <v>6191</v>
      </c>
      <c r="O1032" s="95" t="s">
        <v>6191</v>
      </c>
      <c r="P1032" s="95" t="s">
        <v>6192</v>
      </c>
      <c r="Q1032" s="98">
        <v>3.0</v>
      </c>
      <c r="R1032" s="97">
        <v>45890.89790509259</v>
      </c>
      <c r="S1032" s="99">
        <v>69.0</v>
      </c>
      <c r="T1032" s="99">
        <v>103.0</v>
      </c>
      <c r="U1032" s="99">
        <v>22.0</v>
      </c>
      <c r="V1032" s="99">
        <v>201.0</v>
      </c>
      <c r="W1032" s="99">
        <v>7519.0</v>
      </c>
    </row>
    <row r="1033" ht="15.75" customHeight="1">
      <c r="A1033" s="95" t="s">
        <v>6193</v>
      </c>
      <c r="B1033" s="95" t="s">
        <v>22</v>
      </c>
      <c r="C1033" s="96" t="s">
        <v>6194</v>
      </c>
      <c r="D1033" s="95" t="s">
        <v>20</v>
      </c>
      <c r="E1033" s="95" t="s">
        <v>638</v>
      </c>
      <c r="F1033" s="95" t="s">
        <v>19</v>
      </c>
      <c r="G1033" s="95" t="s">
        <v>19</v>
      </c>
      <c r="H1033" s="95" t="s">
        <v>21</v>
      </c>
      <c r="I1033" s="95" t="s">
        <v>677</v>
      </c>
      <c r="J1033" s="97">
        <v>46021.50581828703</v>
      </c>
      <c r="K1033" s="95" t="s">
        <v>6195</v>
      </c>
      <c r="L1033" s="96" t="s">
        <v>6196</v>
      </c>
      <c r="M1033" s="95" t="s">
        <v>74</v>
      </c>
      <c r="N1033" s="95" t="s">
        <v>6191</v>
      </c>
      <c r="O1033" s="95" t="s">
        <v>6191</v>
      </c>
      <c r="P1033" s="95" t="s">
        <v>6192</v>
      </c>
      <c r="Q1033" s="98">
        <v>3.0</v>
      </c>
      <c r="R1033" s="97">
        <v>45892.49766203704</v>
      </c>
      <c r="S1033" s="99">
        <v>69.0</v>
      </c>
      <c r="T1033" s="99">
        <v>152.0</v>
      </c>
      <c r="U1033" s="99">
        <v>14.0</v>
      </c>
      <c r="V1033" s="99">
        <v>93.0</v>
      </c>
      <c r="W1033" s="99">
        <v>7519.0</v>
      </c>
    </row>
    <row r="1034" ht="15.75" customHeight="1">
      <c r="A1034" s="95" t="s">
        <v>6197</v>
      </c>
      <c r="B1034" s="95" t="s">
        <v>69</v>
      </c>
      <c r="C1034" s="96" t="s">
        <v>6198</v>
      </c>
      <c r="D1034" s="95" t="s">
        <v>20</v>
      </c>
      <c r="E1034" s="95" t="s">
        <v>638</v>
      </c>
      <c r="F1034" s="95" t="s">
        <v>19</v>
      </c>
      <c r="G1034" s="95" t="s">
        <v>19</v>
      </c>
      <c r="H1034" s="95" t="s">
        <v>21</v>
      </c>
      <c r="I1034" s="95" t="s">
        <v>1044</v>
      </c>
      <c r="J1034" s="97">
        <v>46021.49574680556</v>
      </c>
      <c r="K1034" s="95" t="s">
        <v>6199</v>
      </c>
      <c r="L1034" s="96" t="s">
        <v>6200</v>
      </c>
      <c r="M1034" s="95" t="s">
        <v>54</v>
      </c>
      <c r="N1034" s="95" t="s">
        <v>6201</v>
      </c>
      <c r="O1034" s="95" t="s">
        <v>6201</v>
      </c>
      <c r="P1034" s="95" t="s">
        <v>6202</v>
      </c>
      <c r="Q1034" s="98">
        <v>3.0</v>
      </c>
      <c r="R1034" s="97">
        <v>45634.09659722223</v>
      </c>
      <c r="S1034" s="99">
        <v>159.0</v>
      </c>
      <c r="T1034" s="99">
        <v>87.0</v>
      </c>
      <c r="U1034" s="99">
        <v>9.0</v>
      </c>
      <c r="V1034" s="99">
        <v>242.0</v>
      </c>
      <c r="W1034" s="99">
        <v>6113.0</v>
      </c>
    </row>
    <row r="1035" ht="15.75" customHeight="1">
      <c r="A1035" s="95" t="s">
        <v>6203</v>
      </c>
      <c r="B1035" s="95" t="s">
        <v>22</v>
      </c>
      <c r="C1035" s="96" t="s">
        <v>6204</v>
      </c>
      <c r="D1035" s="95" t="s">
        <v>39</v>
      </c>
      <c r="E1035" s="95" t="s">
        <v>39</v>
      </c>
      <c r="F1035" s="95" t="s">
        <v>19</v>
      </c>
      <c r="G1035" s="95" t="s">
        <v>19</v>
      </c>
      <c r="H1035" s="95" t="s">
        <v>21</v>
      </c>
      <c r="I1035" s="95" t="s">
        <v>567</v>
      </c>
      <c r="J1035" s="97">
        <v>46021.50581828703</v>
      </c>
      <c r="K1035" s="95" t="s">
        <v>6205</v>
      </c>
      <c r="L1035" s="96" t="s">
        <v>6206</v>
      </c>
      <c r="M1035" s="95" t="s">
        <v>74</v>
      </c>
      <c r="N1035" s="95" t="s">
        <v>6207</v>
      </c>
      <c r="O1035" s="95" t="s">
        <v>6207</v>
      </c>
      <c r="P1035" s="95" t="s">
        <v>6208</v>
      </c>
      <c r="Q1035" s="98">
        <v>3.0</v>
      </c>
      <c r="R1035" s="97">
        <v>45800.86398148148</v>
      </c>
      <c r="S1035" s="99">
        <v>621.0</v>
      </c>
      <c r="T1035" s="99">
        <v>18.0</v>
      </c>
      <c r="U1035" s="99">
        <v>7.0</v>
      </c>
      <c r="V1035" s="99">
        <v>213.0</v>
      </c>
      <c r="W1035" s="99">
        <v>1199758.0</v>
      </c>
    </row>
    <row r="1036" ht="15.75" customHeight="1">
      <c r="A1036" s="95" t="s">
        <v>6209</v>
      </c>
      <c r="B1036" s="95" t="s">
        <v>69</v>
      </c>
      <c r="C1036" s="96" t="s">
        <v>6210</v>
      </c>
      <c r="D1036" s="95" t="s">
        <v>130</v>
      </c>
      <c r="E1036" s="95" t="s">
        <v>6211</v>
      </c>
      <c r="F1036" s="95" t="s">
        <v>58</v>
      </c>
      <c r="G1036" s="95" t="s">
        <v>58</v>
      </c>
      <c r="H1036" s="95" t="s">
        <v>60</v>
      </c>
      <c r="I1036" s="95" t="s">
        <v>6212</v>
      </c>
      <c r="J1036" s="97">
        <v>46072.52339202546</v>
      </c>
      <c r="K1036" s="95" t="s">
        <v>6213</v>
      </c>
      <c r="L1036" s="95"/>
      <c r="M1036" s="95" t="s">
        <v>74</v>
      </c>
      <c r="N1036" s="95" t="s">
        <v>6214</v>
      </c>
      <c r="O1036" s="95" t="s">
        <v>6214</v>
      </c>
      <c r="P1036" s="95" t="s">
        <v>6215</v>
      </c>
      <c r="Q1036" s="98">
        <v>3.0</v>
      </c>
      <c r="R1036" s="97">
        <v>45971.78244212963</v>
      </c>
      <c r="S1036" s="99">
        <v>3466.0</v>
      </c>
      <c r="T1036" s="99">
        <v>51.0</v>
      </c>
      <c r="U1036" s="99">
        <v>25.0</v>
      </c>
      <c r="V1036" s="99">
        <v>443.0</v>
      </c>
      <c r="W1036" s="99">
        <v>271854.0</v>
      </c>
    </row>
    <row r="1037" ht="15.75" customHeight="1">
      <c r="A1037" s="95" t="s">
        <v>6216</v>
      </c>
      <c r="B1037" s="95" t="s">
        <v>157</v>
      </c>
      <c r="C1037" s="96" t="s">
        <v>6217</v>
      </c>
      <c r="D1037" s="95" t="s">
        <v>20</v>
      </c>
      <c r="E1037" s="95" t="s">
        <v>20</v>
      </c>
      <c r="F1037" s="95" t="s">
        <v>88</v>
      </c>
      <c r="G1037" s="95" t="s">
        <v>858</v>
      </c>
      <c r="H1037" s="95" t="s">
        <v>60</v>
      </c>
      <c r="I1037" s="95" t="s">
        <v>6218</v>
      </c>
      <c r="J1037" s="97">
        <v>46021.51275217593</v>
      </c>
      <c r="K1037" s="95" t="s">
        <v>6219</v>
      </c>
      <c r="L1037" s="96" t="s">
        <v>6220</v>
      </c>
      <c r="M1037" s="95" t="s">
        <v>67</v>
      </c>
      <c r="N1037" s="95" t="s">
        <v>6221</v>
      </c>
      <c r="O1037" s="95" t="s">
        <v>6221</v>
      </c>
      <c r="P1037" s="95" t="s">
        <v>6222</v>
      </c>
      <c r="Q1037" s="98">
        <v>3.0</v>
      </c>
      <c r="R1037" s="97">
        <v>45962.93152777778</v>
      </c>
      <c r="S1037" s="99">
        <v>92.0</v>
      </c>
      <c r="T1037" s="99">
        <v>65.0</v>
      </c>
      <c r="U1037" s="99">
        <v>4.0</v>
      </c>
      <c r="V1037" s="99">
        <v>245.0</v>
      </c>
      <c r="W1037" s="99">
        <v>36367.0</v>
      </c>
    </row>
    <row r="1038" ht="15.75" customHeight="1">
      <c r="A1038" s="95" t="s">
        <v>6223</v>
      </c>
      <c r="B1038" s="95" t="s">
        <v>22</v>
      </c>
      <c r="C1038" s="96" t="s">
        <v>6224</v>
      </c>
      <c r="D1038" s="95" t="s">
        <v>168</v>
      </c>
      <c r="E1038" s="95" t="s">
        <v>168</v>
      </c>
      <c r="F1038" s="95" t="s">
        <v>88</v>
      </c>
      <c r="G1038" s="95" t="s">
        <v>6225</v>
      </c>
      <c r="H1038" s="95" t="s">
        <v>21</v>
      </c>
      <c r="I1038" s="95" t="s">
        <v>677</v>
      </c>
      <c r="J1038" s="97">
        <v>45978.4583896412</v>
      </c>
      <c r="K1038" s="95" t="s">
        <v>6226</v>
      </c>
      <c r="L1038" s="96" t="s">
        <v>6227</v>
      </c>
      <c r="M1038" s="95" t="s">
        <v>105</v>
      </c>
      <c r="N1038" s="95" t="s">
        <v>6228</v>
      </c>
      <c r="O1038" s="95" t="s">
        <v>6228</v>
      </c>
      <c r="P1038" s="95" t="s">
        <v>6229</v>
      </c>
      <c r="Q1038" s="98">
        <v>3.0</v>
      </c>
      <c r="R1038" s="97">
        <v>45863.76119212963</v>
      </c>
      <c r="S1038" s="99">
        <v>178.0</v>
      </c>
      <c r="T1038" s="99">
        <v>108.0</v>
      </c>
      <c r="U1038" s="99">
        <v>4.0</v>
      </c>
      <c r="V1038" s="99">
        <v>532.0</v>
      </c>
      <c r="W1038" s="99">
        <v>396460.0</v>
      </c>
    </row>
    <row r="1039" ht="15.75" customHeight="1">
      <c r="A1039" s="95" t="s">
        <v>6230</v>
      </c>
      <c r="B1039" s="95" t="s">
        <v>22</v>
      </c>
      <c r="C1039" s="96" t="s">
        <v>6231</v>
      </c>
      <c r="D1039" s="95" t="s">
        <v>168</v>
      </c>
      <c r="E1039" s="95" t="s">
        <v>168</v>
      </c>
      <c r="F1039" s="95" t="s">
        <v>19</v>
      </c>
      <c r="G1039" s="95" t="s">
        <v>19</v>
      </c>
      <c r="H1039" s="95" t="s">
        <v>21</v>
      </c>
      <c r="I1039" s="95" t="s">
        <v>567</v>
      </c>
      <c r="J1039" s="97">
        <v>46003.09086516203</v>
      </c>
      <c r="K1039" s="95" t="s">
        <v>6232</v>
      </c>
      <c r="L1039" s="96" t="s">
        <v>6233</v>
      </c>
      <c r="M1039" s="95" t="s">
        <v>105</v>
      </c>
      <c r="N1039" s="95" t="s">
        <v>6234</v>
      </c>
      <c r="O1039" s="95" t="s">
        <v>6234</v>
      </c>
      <c r="P1039" s="95" t="s">
        <v>6235</v>
      </c>
      <c r="Q1039" s="98">
        <v>3.0</v>
      </c>
      <c r="R1039" s="97">
        <v>45981.79252314815</v>
      </c>
      <c r="S1039" s="99">
        <v>235.0</v>
      </c>
      <c r="T1039" s="99">
        <v>96.0</v>
      </c>
      <c r="U1039" s="99">
        <v>4.0</v>
      </c>
      <c r="V1039" s="99">
        <v>1350.0</v>
      </c>
      <c r="W1039" s="99">
        <v>287690.0</v>
      </c>
    </row>
    <row r="1040" ht="15.75" customHeight="1">
      <c r="A1040" s="95" t="s">
        <v>6236</v>
      </c>
      <c r="B1040" s="95" t="s">
        <v>101</v>
      </c>
      <c r="C1040" s="96" t="s">
        <v>6237</v>
      </c>
      <c r="D1040" s="95" t="s">
        <v>39</v>
      </c>
      <c r="E1040" s="95" t="s">
        <v>39</v>
      </c>
      <c r="F1040" s="95" t="s">
        <v>19</v>
      </c>
      <c r="G1040" s="95" t="s">
        <v>19</v>
      </c>
      <c r="H1040" s="95" t="s">
        <v>21</v>
      </c>
      <c r="I1040" s="95" t="s">
        <v>1589</v>
      </c>
      <c r="J1040" s="97">
        <v>45978.46329891204</v>
      </c>
      <c r="K1040" s="95" t="s">
        <v>6238</v>
      </c>
      <c r="L1040" s="96" t="s">
        <v>6239</v>
      </c>
      <c r="M1040" s="95" t="s">
        <v>17</v>
      </c>
      <c r="N1040" s="95" t="s">
        <v>6240</v>
      </c>
      <c r="O1040" s="95" t="s">
        <v>6240</v>
      </c>
      <c r="P1040" s="95" t="s">
        <v>6241</v>
      </c>
      <c r="Q1040" s="98">
        <v>3.0</v>
      </c>
      <c r="R1040" s="97">
        <v>45842.61858796296</v>
      </c>
      <c r="S1040" s="99">
        <v>273.0</v>
      </c>
      <c r="T1040" s="99">
        <v>171.0</v>
      </c>
      <c r="U1040" s="99">
        <v>19.0</v>
      </c>
      <c r="V1040" s="99">
        <v>247.0</v>
      </c>
      <c r="W1040" s="99">
        <v>23759.0</v>
      </c>
    </row>
    <row r="1041" ht="15.75" customHeight="1">
      <c r="A1041" s="95" t="s">
        <v>6242</v>
      </c>
      <c r="B1041" s="95" t="s">
        <v>22</v>
      </c>
      <c r="C1041" s="96" t="s">
        <v>6243</v>
      </c>
      <c r="D1041" s="95" t="s">
        <v>39</v>
      </c>
      <c r="E1041" s="95" t="s">
        <v>960</v>
      </c>
      <c r="F1041" s="95" t="s">
        <v>19</v>
      </c>
      <c r="G1041" s="95" t="s">
        <v>19</v>
      </c>
      <c r="H1041" s="95" t="s">
        <v>21</v>
      </c>
      <c r="I1041" s="95" t="s">
        <v>943</v>
      </c>
      <c r="J1041" s="97">
        <v>46008.62903813658</v>
      </c>
      <c r="K1041" s="96" t="s">
        <v>6244</v>
      </c>
      <c r="L1041" s="96" t="s">
        <v>6245</v>
      </c>
      <c r="M1041" s="95" t="s">
        <v>17</v>
      </c>
      <c r="N1041" s="95" t="s">
        <v>6240</v>
      </c>
      <c r="O1041" s="95" t="s">
        <v>6240</v>
      </c>
      <c r="P1041" s="95" t="s">
        <v>6241</v>
      </c>
      <c r="Q1041" s="98">
        <v>3.0</v>
      </c>
      <c r="R1041" s="97">
        <v>45813.73773148148</v>
      </c>
      <c r="S1041" s="99">
        <v>273.0</v>
      </c>
      <c r="T1041" s="99">
        <v>174.0</v>
      </c>
      <c r="U1041" s="99">
        <v>2.0</v>
      </c>
      <c r="V1041" s="99">
        <v>86.0</v>
      </c>
      <c r="W1041" s="99">
        <v>23759.0</v>
      </c>
    </row>
    <row r="1042" ht="15.75" customHeight="1">
      <c r="A1042" s="95" t="s">
        <v>6246</v>
      </c>
      <c r="B1042" s="95" t="s">
        <v>22</v>
      </c>
      <c r="C1042" s="96" t="s">
        <v>6247</v>
      </c>
      <c r="D1042" s="95" t="s">
        <v>124</v>
      </c>
      <c r="E1042" s="95" t="s">
        <v>625</v>
      </c>
      <c r="F1042" s="95" t="s">
        <v>19</v>
      </c>
      <c r="G1042" s="95" t="s">
        <v>19</v>
      </c>
      <c r="H1042" s="95" t="s">
        <v>21</v>
      </c>
      <c r="I1042" s="95" t="s">
        <v>567</v>
      </c>
      <c r="J1042" s="97">
        <v>45975.67939547454</v>
      </c>
      <c r="K1042" s="96" t="s">
        <v>6248</v>
      </c>
      <c r="L1042" s="96" t="s">
        <v>6249</v>
      </c>
      <c r="M1042" s="95" t="s">
        <v>74</v>
      </c>
      <c r="N1042" s="95" t="s">
        <v>6250</v>
      </c>
      <c r="O1042" s="95" t="s">
        <v>6250</v>
      </c>
      <c r="P1042" s="95" t="s">
        <v>6251</v>
      </c>
      <c r="Q1042" s="98">
        <v>3.0</v>
      </c>
      <c r="R1042" s="97">
        <v>45708.18828703704</v>
      </c>
      <c r="S1042" s="99">
        <v>67403.0</v>
      </c>
      <c r="T1042" s="99">
        <v>11.0</v>
      </c>
      <c r="U1042" s="99">
        <v>3.0</v>
      </c>
      <c r="V1042" s="99">
        <v>253.0</v>
      </c>
      <c r="W1042" s="99">
        <v>999999.0</v>
      </c>
    </row>
    <row r="1043" ht="15.75" customHeight="1">
      <c r="A1043" s="95" t="s">
        <v>6252</v>
      </c>
      <c r="B1043" s="95" t="s">
        <v>22</v>
      </c>
      <c r="C1043" s="96" t="s">
        <v>6253</v>
      </c>
      <c r="D1043" s="95" t="s">
        <v>59</v>
      </c>
      <c r="E1043" s="95" t="s">
        <v>738</v>
      </c>
      <c r="F1043" s="95" t="s">
        <v>19</v>
      </c>
      <c r="G1043" s="95" t="s">
        <v>19</v>
      </c>
      <c r="H1043" s="95" t="s">
        <v>21</v>
      </c>
      <c r="I1043" s="95" t="s">
        <v>567</v>
      </c>
      <c r="J1043" s="97">
        <v>46021.51275217593</v>
      </c>
      <c r="K1043" s="95" t="s">
        <v>6254</v>
      </c>
      <c r="L1043" s="96" t="s">
        <v>6255</v>
      </c>
      <c r="M1043" s="95" t="s">
        <v>93</v>
      </c>
      <c r="N1043" s="95" t="s">
        <v>6256</v>
      </c>
      <c r="O1043" s="95" t="s">
        <v>6256</v>
      </c>
      <c r="P1043" s="95" t="s">
        <v>6257</v>
      </c>
      <c r="Q1043" s="98">
        <v>3.0</v>
      </c>
      <c r="R1043" s="97">
        <v>45874.4928125</v>
      </c>
      <c r="S1043" s="99">
        <v>56.0</v>
      </c>
      <c r="T1043" s="99">
        <v>39.0</v>
      </c>
      <c r="U1043" s="99">
        <v>13.0</v>
      </c>
      <c r="V1043" s="99">
        <v>179.0</v>
      </c>
      <c r="W1043" s="99">
        <v>6792.0</v>
      </c>
    </row>
    <row r="1044" ht="15.75" customHeight="1">
      <c r="A1044" s="95" t="s">
        <v>6258</v>
      </c>
      <c r="B1044" s="95" t="s">
        <v>22</v>
      </c>
      <c r="C1044" s="96" t="s">
        <v>6259</v>
      </c>
      <c r="D1044" s="95" t="s">
        <v>59</v>
      </c>
      <c r="E1044" s="95" t="s">
        <v>738</v>
      </c>
      <c r="F1044" s="95" t="s">
        <v>19</v>
      </c>
      <c r="G1044" s="95" t="s">
        <v>19</v>
      </c>
      <c r="H1044" s="95" t="s">
        <v>21</v>
      </c>
      <c r="I1044" s="95" t="s">
        <v>589</v>
      </c>
      <c r="J1044" s="97">
        <v>46021.51275217593</v>
      </c>
      <c r="K1044" s="95" t="s">
        <v>6260</v>
      </c>
      <c r="L1044" s="96" t="s">
        <v>6261</v>
      </c>
      <c r="M1044" s="95" t="s">
        <v>93</v>
      </c>
      <c r="N1044" s="95" t="s">
        <v>6256</v>
      </c>
      <c r="O1044" s="95" t="s">
        <v>6256</v>
      </c>
      <c r="P1044" s="95" t="s">
        <v>6257</v>
      </c>
      <c r="Q1044" s="98">
        <v>3.0</v>
      </c>
      <c r="R1044" s="97">
        <v>45884.48929398148</v>
      </c>
      <c r="S1044" s="99">
        <v>56.0</v>
      </c>
      <c r="T1044" s="99">
        <v>55.0</v>
      </c>
      <c r="U1044" s="99">
        <v>17.0</v>
      </c>
      <c r="V1044" s="99">
        <v>89.0</v>
      </c>
      <c r="W1044" s="99">
        <v>6792.0</v>
      </c>
    </row>
    <row r="1045" ht="15.75" customHeight="1">
      <c r="A1045" s="95" t="s">
        <v>6262</v>
      </c>
      <c r="B1045" s="95" t="s">
        <v>131</v>
      </c>
      <c r="C1045" s="96" t="s">
        <v>6263</v>
      </c>
      <c r="D1045" s="95" t="s">
        <v>39</v>
      </c>
      <c r="E1045" s="95" t="s">
        <v>39</v>
      </c>
      <c r="F1045" s="95" t="s">
        <v>19</v>
      </c>
      <c r="G1045" s="95" t="s">
        <v>19</v>
      </c>
      <c r="H1045" s="95" t="s">
        <v>21</v>
      </c>
      <c r="I1045" s="95" t="s">
        <v>647</v>
      </c>
      <c r="J1045" s="97">
        <v>46021.50581828703</v>
      </c>
      <c r="K1045" s="95" t="s">
        <v>6264</v>
      </c>
      <c r="L1045" s="96" t="s">
        <v>6265</v>
      </c>
      <c r="M1045" s="95" t="s">
        <v>93</v>
      </c>
      <c r="N1045" s="95" t="s">
        <v>6266</v>
      </c>
      <c r="O1045" s="95" t="s">
        <v>6266</v>
      </c>
      <c r="P1045" s="95" t="s">
        <v>6267</v>
      </c>
      <c r="Q1045" s="98">
        <v>3.0</v>
      </c>
      <c r="R1045" s="97">
        <v>45964.56241898148</v>
      </c>
      <c r="S1045" s="99">
        <v>63.0</v>
      </c>
      <c r="T1045" s="99">
        <v>193.0</v>
      </c>
      <c r="U1045" s="99">
        <v>21.0</v>
      </c>
      <c r="V1045" s="99">
        <v>151.0</v>
      </c>
      <c r="W1045" s="99">
        <v>22444.0</v>
      </c>
    </row>
    <row r="1046" ht="15.75" customHeight="1">
      <c r="A1046" s="95" t="s">
        <v>6268</v>
      </c>
      <c r="B1046" s="95" t="s">
        <v>69</v>
      </c>
      <c r="C1046" s="96" t="s">
        <v>6269</v>
      </c>
      <c r="D1046" s="95" t="s">
        <v>39</v>
      </c>
      <c r="E1046" s="95" t="s">
        <v>39</v>
      </c>
      <c r="F1046" s="95" t="s">
        <v>58</v>
      </c>
      <c r="G1046" s="95" t="s">
        <v>2409</v>
      </c>
      <c r="H1046" s="95" t="s">
        <v>77</v>
      </c>
      <c r="I1046" s="95" t="s">
        <v>1572</v>
      </c>
      <c r="J1046" s="97">
        <v>46021.50993377315</v>
      </c>
      <c r="K1046" s="95" t="s">
        <v>6270</v>
      </c>
      <c r="L1046" s="96" t="s">
        <v>6271</v>
      </c>
      <c r="M1046" s="95" t="s">
        <v>74</v>
      </c>
      <c r="N1046" s="95" t="s">
        <v>6272</v>
      </c>
      <c r="O1046" s="95" t="s">
        <v>6272</v>
      </c>
      <c r="P1046" s="95" t="s">
        <v>6273</v>
      </c>
      <c r="Q1046" s="98">
        <v>3.0</v>
      </c>
      <c r="R1046" s="97">
        <v>45763.3296875</v>
      </c>
      <c r="S1046" s="99">
        <v>65.0</v>
      </c>
      <c r="T1046" s="99">
        <v>9.0</v>
      </c>
      <c r="U1046" s="99">
        <v>2.0</v>
      </c>
      <c r="V1046" s="99">
        <v>25.0</v>
      </c>
      <c r="W1046" s="99">
        <v>4356.0</v>
      </c>
    </row>
    <row r="1047" ht="15.75" customHeight="1">
      <c r="A1047" s="95" t="s">
        <v>6274</v>
      </c>
      <c r="B1047" s="95" t="s">
        <v>22</v>
      </c>
      <c r="C1047" s="96" t="s">
        <v>6275</v>
      </c>
      <c r="D1047" s="95" t="s">
        <v>29</v>
      </c>
      <c r="E1047" s="95" t="s">
        <v>598</v>
      </c>
      <c r="F1047" s="95" t="s">
        <v>19</v>
      </c>
      <c r="G1047" s="95" t="s">
        <v>1427</v>
      </c>
      <c r="H1047" s="95" t="s">
        <v>21</v>
      </c>
      <c r="I1047" s="95" t="s">
        <v>633</v>
      </c>
      <c r="J1047" s="97">
        <v>45992.53624017361</v>
      </c>
      <c r="K1047" s="95" t="s">
        <v>6276</v>
      </c>
      <c r="L1047" s="96" t="s">
        <v>6277</v>
      </c>
      <c r="M1047" s="95" t="s">
        <v>38</v>
      </c>
      <c r="N1047" s="95" t="s">
        <v>6278</v>
      </c>
      <c r="O1047" s="95" t="s">
        <v>6278</v>
      </c>
      <c r="P1047" s="95" t="s">
        <v>6279</v>
      </c>
      <c r="Q1047" s="98">
        <v>3.0</v>
      </c>
      <c r="R1047" s="97">
        <v>45981.28483796296</v>
      </c>
      <c r="S1047" s="99">
        <v>5133.0</v>
      </c>
      <c r="T1047" s="99">
        <v>704.0</v>
      </c>
      <c r="U1047" s="99">
        <v>10.0</v>
      </c>
      <c r="V1047" s="99">
        <v>503.0</v>
      </c>
      <c r="W1047" s="99">
        <v>125992.0</v>
      </c>
    </row>
    <row r="1048" ht="15.75" customHeight="1">
      <c r="A1048" s="95" t="s">
        <v>6280</v>
      </c>
      <c r="B1048" s="95" t="s">
        <v>131</v>
      </c>
      <c r="C1048" s="96" t="s">
        <v>6281</v>
      </c>
      <c r="D1048" s="95" t="s">
        <v>59</v>
      </c>
      <c r="E1048" s="95" t="s">
        <v>738</v>
      </c>
      <c r="F1048" s="95" t="s">
        <v>19</v>
      </c>
      <c r="G1048" s="95" t="s">
        <v>19</v>
      </c>
      <c r="H1048" s="95" t="s">
        <v>60</v>
      </c>
      <c r="I1048" s="95" t="s">
        <v>6282</v>
      </c>
      <c r="J1048" s="97">
        <v>46021.49584533564</v>
      </c>
      <c r="K1048" s="95" t="s">
        <v>6283</v>
      </c>
      <c r="L1048" s="96" t="s">
        <v>6284</v>
      </c>
      <c r="M1048" s="95" t="s">
        <v>54</v>
      </c>
      <c r="N1048" s="95" t="s">
        <v>6285</v>
      </c>
      <c r="O1048" s="95" t="s">
        <v>6285</v>
      </c>
      <c r="P1048" s="95" t="s">
        <v>6286</v>
      </c>
      <c r="Q1048" s="98">
        <v>3.0</v>
      </c>
      <c r="R1048" s="97">
        <v>45816.64675925926</v>
      </c>
      <c r="S1048" s="99">
        <v>166.0</v>
      </c>
      <c r="T1048" s="99">
        <v>500.0</v>
      </c>
      <c r="U1048" s="99">
        <v>27.0</v>
      </c>
      <c r="V1048" s="99">
        <v>133.0</v>
      </c>
      <c r="W1048" s="99">
        <v>15064.0</v>
      </c>
    </row>
    <row r="1049" ht="15.75" customHeight="1">
      <c r="A1049" s="95" t="s">
        <v>6287</v>
      </c>
      <c r="B1049" s="95" t="s">
        <v>22</v>
      </c>
      <c r="C1049" s="96" t="s">
        <v>6288</v>
      </c>
      <c r="D1049" s="95" t="s">
        <v>39</v>
      </c>
      <c r="E1049" s="95" t="s">
        <v>960</v>
      </c>
      <c r="F1049" s="95" t="s">
        <v>19</v>
      </c>
      <c r="G1049" s="95" t="s">
        <v>19</v>
      </c>
      <c r="H1049" s="95" t="s">
        <v>21</v>
      </c>
      <c r="I1049" s="95" t="s">
        <v>677</v>
      </c>
      <c r="J1049" s="97">
        <v>46021.49584533564</v>
      </c>
      <c r="K1049" s="95" t="s">
        <v>6289</v>
      </c>
      <c r="L1049" s="96" t="s">
        <v>6290</v>
      </c>
      <c r="M1049" s="95" t="s">
        <v>54</v>
      </c>
      <c r="N1049" s="95" t="s">
        <v>6285</v>
      </c>
      <c r="O1049" s="95" t="s">
        <v>6285</v>
      </c>
      <c r="P1049" s="95" t="s">
        <v>6286</v>
      </c>
      <c r="Q1049" s="98">
        <v>3.0</v>
      </c>
      <c r="R1049" s="97">
        <v>45815.9494212963</v>
      </c>
      <c r="S1049" s="99">
        <v>166.0</v>
      </c>
      <c r="T1049" s="99">
        <v>450.0</v>
      </c>
      <c r="U1049" s="99">
        <v>66.0</v>
      </c>
      <c r="V1049" s="99">
        <v>605.0</v>
      </c>
      <c r="W1049" s="99">
        <v>15064.0</v>
      </c>
    </row>
    <row r="1050" ht="15.75" customHeight="1">
      <c r="A1050" s="95" t="s">
        <v>6291</v>
      </c>
      <c r="B1050" s="95" t="s">
        <v>69</v>
      </c>
      <c r="C1050" s="96" t="s">
        <v>6292</v>
      </c>
      <c r="D1050" s="95" t="s">
        <v>39</v>
      </c>
      <c r="E1050" s="95" t="s">
        <v>960</v>
      </c>
      <c r="F1050" s="95" t="s">
        <v>19</v>
      </c>
      <c r="G1050" s="95" t="s">
        <v>574</v>
      </c>
      <c r="H1050" s="95" t="s">
        <v>60</v>
      </c>
      <c r="I1050" s="95" t="s">
        <v>2126</v>
      </c>
      <c r="J1050" s="97">
        <v>46021.49584533564</v>
      </c>
      <c r="K1050" s="95" t="s">
        <v>6293</v>
      </c>
      <c r="L1050" s="96" t="s">
        <v>6294</v>
      </c>
      <c r="M1050" s="95" t="s">
        <v>54</v>
      </c>
      <c r="N1050" s="95" t="s">
        <v>6285</v>
      </c>
      <c r="O1050" s="95" t="s">
        <v>6285</v>
      </c>
      <c r="P1050" s="95" t="s">
        <v>6286</v>
      </c>
      <c r="Q1050" s="98">
        <v>3.0</v>
      </c>
      <c r="R1050" s="97">
        <v>45815.38979166667</v>
      </c>
      <c r="S1050" s="99">
        <v>166.0</v>
      </c>
      <c r="T1050" s="99">
        <v>3.0</v>
      </c>
      <c r="U1050" s="99">
        <v>4.0</v>
      </c>
      <c r="V1050" s="99">
        <v>328.0</v>
      </c>
      <c r="W1050" s="99">
        <v>15064.0</v>
      </c>
    </row>
    <row r="1051" ht="15.75" customHeight="1">
      <c r="A1051" s="95" t="s">
        <v>6295</v>
      </c>
      <c r="B1051" s="95" t="s">
        <v>22</v>
      </c>
      <c r="C1051" s="96" t="s">
        <v>6296</v>
      </c>
      <c r="D1051" s="95" t="s">
        <v>39</v>
      </c>
      <c r="E1051" s="95" t="s">
        <v>960</v>
      </c>
      <c r="F1051" s="95" t="s">
        <v>19</v>
      </c>
      <c r="G1051" s="95" t="s">
        <v>19</v>
      </c>
      <c r="H1051" s="95" t="s">
        <v>21</v>
      </c>
      <c r="I1051" s="95" t="s">
        <v>567</v>
      </c>
      <c r="J1051" s="97">
        <v>46021.49584533564</v>
      </c>
      <c r="K1051" s="95" t="s">
        <v>6297</v>
      </c>
      <c r="L1051" s="96" t="s">
        <v>6298</v>
      </c>
      <c r="M1051" s="95" t="s">
        <v>54</v>
      </c>
      <c r="N1051" s="95" t="s">
        <v>6285</v>
      </c>
      <c r="O1051" s="95" t="s">
        <v>6285</v>
      </c>
      <c r="P1051" s="95" t="s">
        <v>6286</v>
      </c>
      <c r="Q1051" s="98">
        <v>3.0</v>
      </c>
      <c r="R1051" s="97">
        <v>45821.75454861111</v>
      </c>
      <c r="S1051" s="99">
        <v>166.0</v>
      </c>
      <c r="T1051" s="99">
        <v>40.0</v>
      </c>
      <c r="U1051" s="99">
        <v>1.0</v>
      </c>
      <c r="V1051" s="99">
        <v>272.0</v>
      </c>
      <c r="W1051" s="99">
        <v>15064.0</v>
      </c>
    </row>
    <row r="1052" ht="15.75" customHeight="1">
      <c r="A1052" s="95" t="s">
        <v>6299</v>
      </c>
      <c r="B1052" s="95" t="s">
        <v>22</v>
      </c>
      <c r="C1052" s="96" t="s">
        <v>6300</v>
      </c>
      <c r="D1052" s="95" t="s">
        <v>39</v>
      </c>
      <c r="E1052" s="95" t="s">
        <v>960</v>
      </c>
      <c r="F1052" s="95" t="s">
        <v>19</v>
      </c>
      <c r="G1052" s="95" t="s">
        <v>588</v>
      </c>
      <c r="H1052" s="95" t="s">
        <v>21</v>
      </c>
      <c r="I1052" s="95" t="s">
        <v>589</v>
      </c>
      <c r="J1052" s="97">
        <v>46021.49308912037</v>
      </c>
      <c r="K1052" s="95" t="s">
        <v>6301</v>
      </c>
      <c r="L1052" s="96" t="s">
        <v>6302</v>
      </c>
      <c r="M1052" s="95" t="s">
        <v>54</v>
      </c>
      <c r="N1052" s="95" t="s">
        <v>6285</v>
      </c>
      <c r="O1052" s="95" t="s">
        <v>6285</v>
      </c>
      <c r="P1052" s="95" t="s">
        <v>6286</v>
      </c>
      <c r="Q1052" s="98">
        <v>3.0</v>
      </c>
      <c r="R1052" s="97">
        <v>45709.33950231481</v>
      </c>
      <c r="S1052" s="99">
        <v>166.0</v>
      </c>
      <c r="T1052" s="99">
        <v>148.0</v>
      </c>
      <c r="U1052" s="99">
        <v>8.0</v>
      </c>
      <c r="V1052" s="99">
        <v>52.0</v>
      </c>
      <c r="W1052" s="99">
        <v>15064.0</v>
      </c>
    </row>
    <row r="1053" ht="15.75" customHeight="1">
      <c r="A1053" s="95" t="s">
        <v>6303</v>
      </c>
      <c r="B1053" s="95" t="s">
        <v>101</v>
      </c>
      <c r="C1053" s="96" t="s">
        <v>6304</v>
      </c>
      <c r="D1053" s="95" t="s">
        <v>168</v>
      </c>
      <c r="E1053" s="95" t="s">
        <v>606</v>
      </c>
      <c r="F1053" s="95" t="s">
        <v>19</v>
      </c>
      <c r="G1053" s="95" t="s">
        <v>19</v>
      </c>
      <c r="H1053" s="95" t="s">
        <v>21</v>
      </c>
      <c r="I1053" s="95" t="s">
        <v>1497</v>
      </c>
      <c r="J1053" s="97">
        <v>46021.49584533564</v>
      </c>
      <c r="K1053" s="95" t="s">
        <v>6305</v>
      </c>
      <c r="L1053" s="96" t="s">
        <v>6306</v>
      </c>
      <c r="M1053" s="95" t="s">
        <v>105</v>
      </c>
      <c r="N1053" s="95" t="s">
        <v>6307</v>
      </c>
      <c r="O1053" s="95" t="s">
        <v>6307</v>
      </c>
      <c r="P1053" s="95" t="s">
        <v>6308</v>
      </c>
      <c r="Q1053" s="98">
        <v>3.0</v>
      </c>
      <c r="R1053" s="97">
        <v>45278.91315972222</v>
      </c>
      <c r="S1053" s="99">
        <v>142.0</v>
      </c>
      <c r="T1053" s="99">
        <v>1214.0</v>
      </c>
      <c r="U1053" s="99">
        <v>14.0</v>
      </c>
      <c r="V1053" s="99">
        <v>592.0</v>
      </c>
      <c r="W1053" s="99">
        <v>94076.0</v>
      </c>
    </row>
    <row r="1054" ht="15.75" customHeight="1">
      <c r="A1054" s="95" t="s">
        <v>6309</v>
      </c>
      <c r="B1054" s="95" t="s">
        <v>22</v>
      </c>
      <c r="C1054" s="96" t="s">
        <v>6310</v>
      </c>
      <c r="D1054" s="95" t="s">
        <v>547</v>
      </c>
      <c r="E1054" s="95" t="s">
        <v>547</v>
      </c>
      <c r="F1054" s="95" t="s">
        <v>19</v>
      </c>
      <c r="G1054" s="95" t="s">
        <v>1427</v>
      </c>
      <c r="H1054" s="95" t="s">
        <v>21</v>
      </c>
      <c r="I1054" s="95" t="s">
        <v>567</v>
      </c>
      <c r="J1054" s="97">
        <v>46021.49584533564</v>
      </c>
      <c r="K1054" s="95" t="s">
        <v>6311</v>
      </c>
      <c r="L1054" s="96" t="s">
        <v>6312</v>
      </c>
      <c r="M1054" s="95" t="s">
        <v>105</v>
      </c>
      <c r="N1054" s="95" t="s">
        <v>6307</v>
      </c>
      <c r="O1054" s="95" t="s">
        <v>6307</v>
      </c>
      <c r="P1054" s="95" t="s">
        <v>6308</v>
      </c>
      <c r="Q1054" s="98">
        <v>3.0</v>
      </c>
      <c r="R1054" s="97">
        <v>45412.14158564815</v>
      </c>
      <c r="S1054" s="99">
        <v>142.0</v>
      </c>
      <c r="T1054" s="99">
        <v>1255.0</v>
      </c>
      <c r="U1054" s="99">
        <v>4.0</v>
      </c>
      <c r="V1054" s="99">
        <v>147.0</v>
      </c>
      <c r="W1054" s="99">
        <v>94076.0</v>
      </c>
    </row>
    <row r="1055" ht="15.75" customHeight="1">
      <c r="A1055" s="95" t="s">
        <v>6313</v>
      </c>
      <c r="B1055" s="95" t="s">
        <v>22</v>
      </c>
      <c r="C1055" s="96" t="s">
        <v>6314</v>
      </c>
      <c r="D1055" s="95" t="s">
        <v>124</v>
      </c>
      <c r="E1055" s="95" t="s">
        <v>6042</v>
      </c>
      <c r="F1055" s="95" t="s">
        <v>88</v>
      </c>
      <c r="G1055" s="95" t="s">
        <v>88</v>
      </c>
      <c r="H1055" s="95" t="s">
        <v>21</v>
      </c>
      <c r="I1055" s="95" t="s">
        <v>567</v>
      </c>
      <c r="J1055" s="97">
        <v>46072.60571417824</v>
      </c>
      <c r="K1055" s="95" t="s">
        <v>6315</v>
      </c>
      <c r="L1055" s="95"/>
      <c r="M1055" s="95" t="s">
        <v>93</v>
      </c>
      <c r="N1055" s="95" t="s">
        <v>6316</v>
      </c>
      <c r="O1055" s="95" t="s">
        <v>6316</v>
      </c>
      <c r="P1055" s="95" t="s">
        <v>6317</v>
      </c>
      <c r="Q1055" s="98">
        <v>3.0</v>
      </c>
      <c r="R1055" s="97">
        <v>45840.7605787037</v>
      </c>
      <c r="S1055" s="99">
        <v>655.0</v>
      </c>
      <c r="T1055" s="99">
        <v>8685.0</v>
      </c>
      <c r="U1055" s="99">
        <v>19.0</v>
      </c>
      <c r="V1055" s="99">
        <v>259.0</v>
      </c>
      <c r="W1055" s="99">
        <v>999999.0</v>
      </c>
    </row>
    <row r="1056" ht="15.75" customHeight="1">
      <c r="A1056" s="95" t="s">
        <v>6318</v>
      </c>
      <c r="B1056" s="95" t="s">
        <v>22</v>
      </c>
      <c r="C1056" s="96" t="s">
        <v>6319</v>
      </c>
      <c r="D1056" s="95" t="s">
        <v>39</v>
      </c>
      <c r="E1056" s="95" t="s">
        <v>39</v>
      </c>
      <c r="F1056" s="95" t="s">
        <v>19</v>
      </c>
      <c r="G1056" s="95" t="s">
        <v>19</v>
      </c>
      <c r="H1056" s="95" t="s">
        <v>21</v>
      </c>
      <c r="I1056" s="95" t="s">
        <v>677</v>
      </c>
      <c r="J1056" s="97">
        <v>46021.50581828703</v>
      </c>
      <c r="K1056" s="95" t="s">
        <v>6320</v>
      </c>
      <c r="L1056" s="96" t="s">
        <v>6321</v>
      </c>
      <c r="M1056" s="95" t="s">
        <v>74</v>
      </c>
      <c r="N1056" s="95" t="s">
        <v>6322</v>
      </c>
      <c r="O1056" s="95" t="s">
        <v>6322</v>
      </c>
      <c r="P1056" s="95" t="s">
        <v>6323</v>
      </c>
      <c r="Q1056" s="98">
        <v>3.0</v>
      </c>
      <c r="R1056" s="97">
        <v>45775.43578703704</v>
      </c>
      <c r="S1056" s="99">
        <v>161.0</v>
      </c>
      <c r="T1056" s="99">
        <v>36.0</v>
      </c>
      <c r="U1056" s="99">
        <v>2.0</v>
      </c>
      <c r="V1056" s="99">
        <v>36.0</v>
      </c>
      <c r="W1056" s="99">
        <v>3206.0</v>
      </c>
    </row>
    <row r="1057" ht="15.75" customHeight="1">
      <c r="A1057" s="95" t="s">
        <v>6324</v>
      </c>
      <c r="B1057" s="95" t="s">
        <v>22</v>
      </c>
      <c r="C1057" s="96" t="s">
        <v>6325</v>
      </c>
      <c r="D1057" s="95" t="s">
        <v>547</v>
      </c>
      <c r="E1057" s="95" t="s">
        <v>6326</v>
      </c>
      <c r="F1057" s="95" t="s">
        <v>19</v>
      </c>
      <c r="G1057" s="95" t="s">
        <v>574</v>
      </c>
      <c r="H1057" s="95" t="s">
        <v>21</v>
      </c>
      <c r="I1057" s="95" t="s">
        <v>567</v>
      </c>
      <c r="J1057" s="97">
        <v>46072.52391952546</v>
      </c>
      <c r="K1057" s="95" t="s">
        <v>6327</v>
      </c>
      <c r="L1057" s="96" t="s">
        <v>6328</v>
      </c>
      <c r="M1057" s="95" t="s">
        <v>74</v>
      </c>
      <c r="N1057" s="95" t="s">
        <v>6329</v>
      </c>
      <c r="O1057" s="95" t="s">
        <v>6329</v>
      </c>
      <c r="P1057" s="95" t="s">
        <v>6330</v>
      </c>
      <c r="Q1057" s="98">
        <v>3.0</v>
      </c>
      <c r="R1057" s="97">
        <v>45993.72391203704</v>
      </c>
      <c r="S1057" s="99">
        <v>573.0</v>
      </c>
      <c r="T1057" s="99">
        <v>377.0</v>
      </c>
      <c r="U1057" s="99">
        <v>24.0</v>
      </c>
      <c r="V1057" s="99">
        <v>72.0</v>
      </c>
      <c r="W1057" s="99">
        <v>69921.0</v>
      </c>
    </row>
    <row r="1058" ht="15.75" customHeight="1">
      <c r="A1058" s="95" t="s">
        <v>6331</v>
      </c>
      <c r="B1058" s="95" t="s">
        <v>22</v>
      </c>
      <c r="C1058" s="96" t="s">
        <v>6332</v>
      </c>
      <c r="D1058" s="95" t="s">
        <v>130</v>
      </c>
      <c r="E1058" s="95" t="s">
        <v>2109</v>
      </c>
      <c r="F1058" s="95" t="s">
        <v>88</v>
      </c>
      <c r="G1058" s="95" t="s">
        <v>88</v>
      </c>
      <c r="H1058" s="95" t="s">
        <v>21</v>
      </c>
      <c r="I1058" s="95" t="s">
        <v>567</v>
      </c>
      <c r="J1058" s="97">
        <v>46040.67627811342</v>
      </c>
      <c r="K1058" s="95" t="s">
        <v>6333</v>
      </c>
      <c r="L1058" s="96" t="s">
        <v>6334</v>
      </c>
      <c r="M1058" s="95" t="s">
        <v>74</v>
      </c>
      <c r="N1058" s="95" t="s">
        <v>6329</v>
      </c>
      <c r="O1058" s="95" t="s">
        <v>6329</v>
      </c>
      <c r="P1058" s="95" t="s">
        <v>6330</v>
      </c>
      <c r="Q1058" s="98">
        <v>3.0</v>
      </c>
      <c r="R1058" s="97">
        <v>45759.5666550926</v>
      </c>
      <c r="S1058" s="99">
        <v>573.0</v>
      </c>
      <c r="T1058" s="99">
        <v>66.0</v>
      </c>
      <c r="U1058" s="99">
        <v>1.0</v>
      </c>
      <c r="V1058" s="99">
        <v>154.0</v>
      </c>
      <c r="W1058" s="99">
        <v>69921.0</v>
      </c>
    </row>
    <row r="1059" ht="15.75" customHeight="1">
      <c r="A1059" s="95" t="s">
        <v>6335</v>
      </c>
      <c r="B1059" s="95" t="s">
        <v>22</v>
      </c>
      <c r="C1059" s="96" t="s">
        <v>6336</v>
      </c>
      <c r="D1059" s="95" t="s">
        <v>39</v>
      </c>
      <c r="E1059" s="95" t="s">
        <v>39</v>
      </c>
      <c r="F1059" s="95" t="s">
        <v>19</v>
      </c>
      <c r="G1059" s="95" t="s">
        <v>588</v>
      </c>
      <c r="H1059" s="95" t="s">
        <v>21</v>
      </c>
      <c r="I1059" s="95" t="s">
        <v>589</v>
      </c>
      <c r="J1059" s="97">
        <v>46021.50581828703</v>
      </c>
      <c r="K1059" s="95" t="s">
        <v>6337</v>
      </c>
      <c r="L1059" s="96" t="s">
        <v>6338</v>
      </c>
      <c r="M1059" s="95" t="s">
        <v>74</v>
      </c>
      <c r="N1059" s="95" t="s">
        <v>6329</v>
      </c>
      <c r="O1059" s="95" t="s">
        <v>6329</v>
      </c>
      <c r="P1059" s="95" t="s">
        <v>6330</v>
      </c>
      <c r="Q1059" s="98">
        <v>3.0</v>
      </c>
      <c r="R1059" s="97">
        <v>45914.49873842593</v>
      </c>
      <c r="S1059" s="99">
        <v>573.0</v>
      </c>
      <c r="T1059" s="99">
        <v>85.0</v>
      </c>
      <c r="U1059" s="99">
        <v>10.0</v>
      </c>
      <c r="V1059" s="99">
        <v>102.0</v>
      </c>
      <c r="W1059" s="99">
        <v>69921.0</v>
      </c>
    </row>
    <row r="1060" ht="15.75" customHeight="1">
      <c r="A1060" s="95" t="s">
        <v>6339</v>
      </c>
      <c r="B1060" s="95" t="s">
        <v>22</v>
      </c>
      <c r="C1060" s="96" t="s">
        <v>6340</v>
      </c>
      <c r="D1060" s="95" t="s">
        <v>59</v>
      </c>
      <c r="E1060" s="95" t="s">
        <v>738</v>
      </c>
      <c r="F1060" s="95" t="s">
        <v>19</v>
      </c>
      <c r="G1060" s="95" t="s">
        <v>19</v>
      </c>
      <c r="H1060" s="95" t="s">
        <v>21</v>
      </c>
      <c r="I1060" s="95" t="s">
        <v>567</v>
      </c>
      <c r="J1060" s="97">
        <v>46021.51275217593</v>
      </c>
      <c r="K1060" s="95" t="s">
        <v>6341</v>
      </c>
      <c r="L1060" s="96" t="s">
        <v>6342</v>
      </c>
      <c r="M1060" s="95" t="s">
        <v>54</v>
      </c>
      <c r="N1060" s="95" t="s">
        <v>6343</v>
      </c>
      <c r="O1060" s="95" t="s">
        <v>6343</v>
      </c>
      <c r="P1060" s="95" t="s">
        <v>6344</v>
      </c>
      <c r="Q1060" s="98">
        <v>3.0</v>
      </c>
      <c r="R1060" s="97">
        <v>45833.03792824074</v>
      </c>
      <c r="S1060" s="99">
        <v>151.0</v>
      </c>
      <c r="T1060" s="99">
        <v>262.0</v>
      </c>
      <c r="U1060" s="99">
        <v>18.0</v>
      </c>
      <c r="V1060" s="99">
        <v>390.0</v>
      </c>
      <c r="W1060" s="99">
        <v>30494.0</v>
      </c>
    </row>
    <row r="1061" ht="15.75" customHeight="1">
      <c r="A1061" s="95" t="s">
        <v>6345</v>
      </c>
      <c r="B1061" s="95" t="s">
        <v>69</v>
      </c>
      <c r="C1061" s="96" t="s">
        <v>6346</v>
      </c>
      <c r="D1061" s="95" t="s">
        <v>39</v>
      </c>
      <c r="E1061" s="95" t="s">
        <v>960</v>
      </c>
      <c r="F1061" s="95" t="s">
        <v>19</v>
      </c>
      <c r="G1061" s="95" t="s">
        <v>19</v>
      </c>
      <c r="H1061" s="95" t="s">
        <v>21</v>
      </c>
      <c r="I1061" s="95" t="s">
        <v>1664</v>
      </c>
      <c r="J1061" s="97">
        <v>46021.51275217593</v>
      </c>
      <c r="K1061" s="95" t="s">
        <v>6347</v>
      </c>
      <c r="L1061" s="96" t="s">
        <v>6348</v>
      </c>
      <c r="M1061" s="95" t="s">
        <v>54</v>
      </c>
      <c r="N1061" s="95" t="s">
        <v>6343</v>
      </c>
      <c r="O1061" s="95" t="s">
        <v>6343</v>
      </c>
      <c r="P1061" s="95" t="s">
        <v>6344</v>
      </c>
      <c r="Q1061" s="98">
        <v>3.0</v>
      </c>
      <c r="R1061" s="97">
        <v>45830.90405092593</v>
      </c>
      <c r="S1061" s="99">
        <v>151.0</v>
      </c>
      <c r="T1061" s="99">
        <v>119.0</v>
      </c>
      <c r="U1061" s="99">
        <v>33.0</v>
      </c>
      <c r="V1061" s="99">
        <v>1063.0</v>
      </c>
      <c r="W1061" s="99">
        <v>30494.0</v>
      </c>
    </row>
    <row r="1062" ht="15.75" customHeight="1">
      <c r="A1062" s="95" t="s">
        <v>6349</v>
      </c>
      <c r="B1062" s="95" t="s">
        <v>22</v>
      </c>
      <c r="C1062" s="96" t="s">
        <v>6350</v>
      </c>
      <c r="D1062" s="95" t="s">
        <v>548</v>
      </c>
      <c r="E1062" s="95" t="s">
        <v>6351</v>
      </c>
      <c r="F1062" s="95" t="s">
        <v>19</v>
      </c>
      <c r="G1062" s="95" t="s">
        <v>19</v>
      </c>
      <c r="H1062" s="95" t="s">
        <v>21</v>
      </c>
      <c r="I1062" s="95" t="s">
        <v>567</v>
      </c>
      <c r="J1062" s="97">
        <v>45975.6793321412</v>
      </c>
      <c r="K1062" s="96" t="s">
        <v>6352</v>
      </c>
      <c r="L1062" s="96" t="s">
        <v>6353</v>
      </c>
      <c r="M1062" s="95" t="s">
        <v>503</v>
      </c>
      <c r="N1062" s="95" t="s">
        <v>6354</v>
      </c>
      <c r="O1062" s="95" t="s">
        <v>6354</v>
      </c>
      <c r="P1062" s="95" t="s">
        <v>6355</v>
      </c>
      <c r="Q1062" s="98">
        <v>3.0</v>
      </c>
      <c r="R1062" s="97">
        <v>45896.49348379629</v>
      </c>
      <c r="S1062" s="99">
        <v>23296.0</v>
      </c>
      <c r="T1062" s="99">
        <v>8.0</v>
      </c>
      <c r="U1062" s="99">
        <v>1.0</v>
      </c>
      <c r="V1062" s="99">
        <v>34.0</v>
      </c>
      <c r="W1062" s="99">
        <v>23660.0</v>
      </c>
    </row>
    <row r="1063" ht="15.75" customHeight="1">
      <c r="A1063" s="95" t="s">
        <v>6356</v>
      </c>
      <c r="B1063" s="95" t="s">
        <v>22</v>
      </c>
      <c r="C1063" s="96" t="s">
        <v>6357</v>
      </c>
      <c r="D1063" s="95" t="s">
        <v>29</v>
      </c>
      <c r="E1063" s="95" t="s">
        <v>29</v>
      </c>
      <c r="F1063" s="95" t="s">
        <v>19</v>
      </c>
      <c r="G1063" s="95" t="s">
        <v>1427</v>
      </c>
      <c r="H1063" s="95" t="s">
        <v>21</v>
      </c>
      <c r="I1063" s="95" t="s">
        <v>6358</v>
      </c>
      <c r="J1063" s="97">
        <v>46008.62907387732</v>
      </c>
      <c r="K1063" s="96" t="s">
        <v>6359</v>
      </c>
      <c r="L1063" s="96" t="s">
        <v>6360</v>
      </c>
      <c r="M1063" s="95" t="s">
        <v>67</v>
      </c>
      <c r="N1063" s="95" t="s">
        <v>6361</v>
      </c>
      <c r="O1063" s="95" t="s">
        <v>6361</v>
      </c>
      <c r="P1063" s="95" t="s">
        <v>6362</v>
      </c>
      <c r="Q1063" s="98">
        <v>3.0</v>
      </c>
      <c r="R1063" s="97">
        <v>45736.61484953704</v>
      </c>
      <c r="S1063" s="99">
        <v>2086.0</v>
      </c>
      <c r="T1063" s="99">
        <v>140.0</v>
      </c>
      <c r="U1063" s="99">
        <v>7.0</v>
      </c>
      <c r="V1063" s="99">
        <v>71.0</v>
      </c>
      <c r="W1063" s="99">
        <v>5615.0</v>
      </c>
    </row>
    <row r="1064" ht="15.75" customHeight="1">
      <c r="A1064" s="95" t="s">
        <v>6363</v>
      </c>
      <c r="B1064" s="95" t="s">
        <v>69</v>
      </c>
      <c r="C1064" s="96" t="s">
        <v>6364</v>
      </c>
      <c r="D1064" s="95" t="s">
        <v>39</v>
      </c>
      <c r="E1064" s="95" t="s">
        <v>614</v>
      </c>
      <c r="F1064" s="95" t="s">
        <v>88</v>
      </c>
      <c r="G1064" s="95" t="s">
        <v>639</v>
      </c>
      <c r="H1064" s="95" t="s">
        <v>89</v>
      </c>
      <c r="I1064" s="95" t="s">
        <v>1922</v>
      </c>
      <c r="J1064" s="97">
        <v>46008.62900243056</v>
      </c>
      <c r="K1064" s="96" t="s">
        <v>6365</v>
      </c>
      <c r="L1064" s="96" t="s">
        <v>6366</v>
      </c>
      <c r="M1064" s="95" t="s">
        <v>503</v>
      </c>
      <c r="N1064" s="95" t="s">
        <v>6367</v>
      </c>
      <c r="O1064" s="95" t="s">
        <v>6367</v>
      </c>
      <c r="P1064" s="95" t="s">
        <v>6368</v>
      </c>
      <c r="Q1064" s="98">
        <v>3.0</v>
      </c>
      <c r="R1064" s="97">
        <v>45736.53127314815</v>
      </c>
      <c r="S1064" s="99">
        <v>50.0</v>
      </c>
      <c r="T1064" s="99">
        <v>25.0</v>
      </c>
      <c r="U1064" s="99">
        <v>4.0</v>
      </c>
      <c r="V1064" s="99">
        <v>22.0</v>
      </c>
      <c r="W1064" s="99">
        <v>1575.0</v>
      </c>
    </row>
    <row r="1065" ht="15.75" customHeight="1">
      <c r="A1065" s="95" t="s">
        <v>6369</v>
      </c>
      <c r="B1065" s="95" t="s">
        <v>22</v>
      </c>
      <c r="C1065" s="96" t="s">
        <v>6370</v>
      </c>
      <c r="D1065" s="95" t="s">
        <v>39</v>
      </c>
      <c r="E1065" s="95" t="s">
        <v>39</v>
      </c>
      <c r="F1065" s="95" t="s">
        <v>19</v>
      </c>
      <c r="G1065" s="95" t="s">
        <v>19</v>
      </c>
      <c r="H1065" s="95" t="s">
        <v>21</v>
      </c>
      <c r="I1065" s="95" t="s">
        <v>567</v>
      </c>
      <c r="J1065" s="97">
        <v>46021.50581828703</v>
      </c>
      <c r="K1065" s="95" t="s">
        <v>6371</v>
      </c>
      <c r="L1065" s="96" t="s">
        <v>6372</v>
      </c>
      <c r="M1065" s="95" t="s">
        <v>74</v>
      </c>
      <c r="N1065" s="95" t="s">
        <v>6373</v>
      </c>
      <c r="O1065" s="95" t="s">
        <v>6373</v>
      </c>
      <c r="P1065" s="95" t="s">
        <v>6374</v>
      </c>
      <c r="Q1065" s="98">
        <v>3.0</v>
      </c>
      <c r="R1065" s="97">
        <v>45831.26716435186</v>
      </c>
      <c r="S1065" s="99">
        <v>70.0</v>
      </c>
      <c r="T1065" s="99">
        <v>96.0</v>
      </c>
      <c r="U1065" s="99">
        <v>2.0</v>
      </c>
      <c r="V1065" s="99">
        <v>217.0</v>
      </c>
      <c r="W1065" s="99">
        <v>119008.0</v>
      </c>
    </row>
    <row r="1066" ht="15.75" customHeight="1">
      <c r="A1066" s="95" t="s">
        <v>6375</v>
      </c>
      <c r="B1066" s="95" t="s">
        <v>22</v>
      </c>
      <c r="C1066" s="96" t="s">
        <v>6376</v>
      </c>
      <c r="D1066" s="95" t="s">
        <v>124</v>
      </c>
      <c r="E1066" s="95" t="s">
        <v>124</v>
      </c>
      <c r="F1066" s="95" t="s">
        <v>19</v>
      </c>
      <c r="G1066" s="95" t="s">
        <v>19</v>
      </c>
      <c r="H1066" s="95" t="s">
        <v>21</v>
      </c>
      <c r="I1066" s="95" t="s">
        <v>589</v>
      </c>
      <c r="J1066" s="97">
        <v>46061.01691743056</v>
      </c>
      <c r="K1066" s="96" t="s">
        <v>6377</v>
      </c>
      <c r="L1066" s="96" t="s">
        <v>6378</v>
      </c>
      <c r="M1066" s="95" t="s">
        <v>503</v>
      </c>
      <c r="N1066" s="95" t="s">
        <v>6379</v>
      </c>
      <c r="O1066" s="95" t="s">
        <v>6379</v>
      </c>
      <c r="P1066" s="95" t="s">
        <v>6380</v>
      </c>
      <c r="Q1066" s="98">
        <v>3.0</v>
      </c>
      <c r="R1066" s="97">
        <v>45956.23179398148</v>
      </c>
      <c r="S1066" s="99">
        <v>247.0</v>
      </c>
      <c r="T1066" s="99">
        <v>100.0</v>
      </c>
      <c r="U1066" s="99">
        <v>15.0</v>
      </c>
      <c r="V1066" s="99">
        <v>96.0</v>
      </c>
      <c r="W1066" s="99">
        <v>17718.0</v>
      </c>
    </row>
    <row r="1067" ht="15.75" customHeight="1">
      <c r="A1067" s="95" t="s">
        <v>6381</v>
      </c>
      <c r="B1067" s="95" t="s">
        <v>101</v>
      </c>
      <c r="C1067" s="96" t="s">
        <v>6382</v>
      </c>
      <c r="D1067" s="95" t="s">
        <v>547</v>
      </c>
      <c r="E1067" s="95" t="s">
        <v>5233</v>
      </c>
      <c r="F1067" s="95" t="s">
        <v>19</v>
      </c>
      <c r="G1067" s="95" t="s">
        <v>19</v>
      </c>
      <c r="H1067" s="95" t="s">
        <v>21</v>
      </c>
      <c r="I1067" s="95" t="s">
        <v>2990</v>
      </c>
      <c r="J1067" s="97">
        <v>46021.50581828703</v>
      </c>
      <c r="K1067" s="95" t="s">
        <v>6383</v>
      </c>
      <c r="L1067" s="96" t="s">
        <v>6384</v>
      </c>
      <c r="M1067" s="95" t="s">
        <v>67</v>
      </c>
      <c r="N1067" s="95" t="s">
        <v>6385</v>
      </c>
      <c r="O1067" s="95" t="s">
        <v>6385</v>
      </c>
      <c r="P1067" s="95" t="s">
        <v>6386</v>
      </c>
      <c r="Q1067" s="98">
        <v>3.0</v>
      </c>
      <c r="R1067" s="97">
        <v>45869.02310185185</v>
      </c>
      <c r="S1067" s="99">
        <v>1476.0</v>
      </c>
      <c r="T1067" s="99">
        <v>38.0</v>
      </c>
      <c r="U1067" s="99">
        <v>1.0</v>
      </c>
      <c r="V1067" s="99">
        <v>35.0</v>
      </c>
      <c r="W1067" s="99">
        <v>68824.0</v>
      </c>
    </row>
    <row r="1068" ht="15.75" customHeight="1">
      <c r="A1068" s="95" t="s">
        <v>6387</v>
      </c>
      <c r="B1068" s="95" t="s">
        <v>69</v>
      </c>
      <c r="C1068" s="96" t="s">
        <v>6388</v>
      </c>
      <c r="D1068" s="95" t="s">
        <v>39</v>
      </c>
      <c r="E1068" s="95" t="s">
        <v>39</v>
      </c>
      <c r="F1068" s="95" t="s">
        <v>19</v>
      </c>
      <c r="G1068" s="95" t="s">
        <v>19</v>
      </c>
      <c r="H1068" s="95" t="s">
        <v>21</v>
      </c>
      <c r="I1068" s="95" t="s">
        <v>998</v>
      </c>
      <c r="J1068" s="97">
        <v>45993.78544196759</v>
      </c>
      <c r="K1068" s="96" t="s">
        <v>6389</v>
      </c>
      <c r="L1068" s="96" t="s">
        <v>6390</v>
      </c>
      <c r="M1068" s="95" t="s">
        <v>93</v>
      </c>
      <c r="N1068" s="95" t="s">
        <v>6391</v>
      </c>
      <c r="O1068" s="95" t="s">
        <v>6391</v>
      </c>
      <c r="P1068" s="95" t="s">
        <v>6392</v>
      </c>
      <c r="Q1068" s="98">
        <v>3.0</v>
      </c>
      <c r="R1068" s="97">
        <v>44806.83613425926</v>
      </c>
      <c r="S1068" s="99">
        <v>7619.0</v>
      </c>
      <c r="T1068" s="99">
        <v>1437.0</v>
      </c>
      <c r="U1068" s="99">
        <v>20.0</v>
      </c>
      <c r="V1068" s="99">
        <v>192.0</v>
      </c>
      <c r="W1068" s="99">
        <v>133742.0</v>
      </c>
    </row>
    <row r="1069" ht="15.75" customHeight="1">
      <c r="A1069" s="95" t="s">
        <v>6393</v>
      </c>
      <c r="B1069" s="95" t="s">
        <v>22</v>
      </c>
      <c r="C1069" s="96" t="s">
        <v>6394</v>
      </c>
      <c r="D1069" s="95" t="s">
        <v>39</v>
      </c>
      <c r="E1069" s="95" t="s">
        <v>39</v>
      </c>
      <c r="F1069" s="95" t="s">
        <v>19</v>
      </c>
      <c r="G1069" s="95" t="s">
        <v>19</v>
      </c>
      <c r="H1069" s="95" t="s">
        <v>21</v>
      </c>
      <c r="I1069" s="95" t="s">
        <v>589</v>
      </c>
      <c r="J1069" s="97">
        <v>45993.78544196759</v>
      </c>
      <c r="K1069" s="96" t="s">
        <v>6395</v>
      </c>
      <c r="L1069" s="96" t="s">
        <v>6396</v>
      </c>
      <c r="M1069" s="95" t="s">
        <v>93</v>
      </c>
      <c r="N1069" s="95" t="s">
        <v>6391</v>
      </c>
      <c r="O1069" s="95" t="s">
        <v>6391</v>
      </c>
      <c r="P1069" s="95" t="s">
        <v>6392</v>
      </c>
      <c r="Q1069" s="98">
        <v>3.0</v>
      </c>
      <c r="R1069" s="97">
        <v>45046.62685185186</v>
      </c>
      <c r="S1069" s="99">
        <v>7619.0</v>
      </c>
      <c r="T1069" s="99">
        <v>1465.0</v>
      </c>
      <c r="U1069" s="99">
        <v>2.0</v>
      </c>
      <c r="V1069" s="99">
        <v>111.0</v>
      </c>
      <c r="W1069" s="99">
        <v>133742.0</v>
      </c>
    </row>
    <row r="1070" ht="15.75" customHeight="1">
      <c r="A1070" s="95" t="s">
        <v>6397</v>
      </c>
      <c r="B1070" s="95" t="s">
        <v>22</v>
      </c>
      <c r="C1070" s="96" t="s">
        <v>6398</v>
      </c>
      <c r="D1070" s="95" t="s">
        <v>39</v>
      </c>
      <c r="E1070" s="95" t="s">
        <v>1404</v>
      </c>
      <c r="F1070" s="95" t="s">
        <v>19</v>
      </c>
      <c r="G1070" s="95" t="s">
        <v>19</v>
      </c>
      <c r="H1070" s="95" t="s">
        <v>21</v>
      </c>
      <c r="I1070" s="95" t="s">
        <v>589</v>
      </c>
      <c r="J1070" s="97">
        <v>46021.50388815972</v>
      </c>
      <c r="K1070" s="95" t="s">
        <v>6399</v>
      </c>
      <c r="L1070" s="96" t="s">
        <v>6400</v>
      </c>
      <c r="M1070" s="95" t="s">
        <v>74</v>
      </c>
      <c r="N1070" s="95" t="s">
        <v>6401</v>
      </c>
      <c r="O1070" s="95" t="s">
        <v>6401</v>
      </c>
      <c r="P1070" s="95" t="s">
        <v>6402</v>
      </c>
      <c r="Q1070" s="98">
        <v>3.0</v>
      </c>
      <c r="R1070" s="97">
        <v>45614.76637731482</v>
      </c>
      <c r="S1070" s="99">
        <v>118.0</v>
      </c>
      <c r="T1070" s="99">
        <v>5.0</v>
      </c>
      <c r="U1070" s="99">
        <v>1.0</v>
      </c>
      <c r="V1070" s="99">
        <v>15.0</v>
      </c>
      <c r="W1070" s="99">
        <v>10357.0</v>
      </c>
    </row>
    <row r="1071" ht="15.75" customHeight="1">
      <c r="A1071" s="95" t="s">
        <v>6403</v>
      </c>
      <c r="B1071" s="95" t="s">
        <v>22</v>
      </c>
      <c r="C1071" s="96" t="s">
        <v>6404</v>
      </c>
      <c r="D1071" s="95" t="s">
        <v>20</v>
      </c>
      <c r="E1071" s="95" t="s">
        <v>638</v>
      </c>
      <c r="F1071" s="95" t="s">
        <v>19</v>
      </c>
      <c r="G1071" s="95" t="s">
        <v>19</v>
      </c>
      <c r="H1071" s="95" t="s">
        <v>21</v>
      </c>
      <c r="I1071" s="95" t="s">
        <v>589</v>
      </c>
      <c r="J1071" s="97">
        <v>45993.78544196759</v>
      </c>
      <c r="K1071" s="96" t="s">
        <v>6405</v>
      </c>
      <c r="L1071" s="96" t="s">
        <v>6406</v>
      </c>
      <c r="M1071" s="95" t="s">
        <v>54</v>
      </c>
      <c r="N1071" s="95" t="s">
        <v>6407</v>
      </c>
      <c r="O1071" s="95" t="s">
        <v>6407</v>
      </c>
      <c r="P1071" s="95" t="s">
        <v>6408</v>
      </c>
      <c r="Q1071" s="98">
        <v>3.0</v>
      </c>
      <c r="R1071" s="97">
        <v>45873.16677083333</v>
      </c>
      <c r="S1071" s="99">
        <v>7557.0</v>
      </c>
      <c r="T1071" s="99">
        <v>274.0</v>
      </c>
      <c r="U1071" s="99">
        <v>8.0</v>
      </c>
      <c r="V1071" s="99">
        <v>524.0</v>
      </c>
      <c r="W1071" s="99">
        <v>50083.0</v>
      </c>
    </row>
    <row r="1072" ht="15.75" customHeight="1">
      <c r="A1072" s="95" t="s">
        <v>6409</v>
      </c>
      <c r="B1072" s="95" t="s">
        <v>22</v>
      </c>
      <c r="C1072" s="96" t="s">
        <v>6410</v>
      </c>
      <c r="D1072" s="95" t="s">
        <v>29</v>
      </c>
      <c r="E1072" s="95" t="s">
        <v>910</v>
      </c>
      <c r="F1072" s="95" t="s">
        <v>19</v>
      </c>
      <c r="G1072" s="95" t="s">
        <v>19</v>
      </c>
      <c r="H1072" s="95" t="s">
        <v>21</v>
      </c>
      <c r="I1072" s="95" t="s">
        <v>567</v>
      </c>
      <c r="J1072" s="97">
        <v>46069.66215004629</v>
      </c>
      <c r="K1072" s="95" t="s">
        <v>6411</v>
      </c>
      <c r="L1072" s="96" t="s">
        <v>6412</v>
      </c>
      <c r="M1072" s="95" t="s">
        <v>74</v>
      </c>
      <c r="N1072" s="95" t="s">
        <v>6413</v>
      </c>
      <c r="O1072" s="95" t="s">
        <v>6413</v>
      </c>
      <c r="P1072" s="95" t="s">
        <v>6414</v>
      </c>
      <c r="Q1072" s="98">
        <v>3.0</v>
      </c>
      <c r="R1072" s="97">
        <v>45842.42929398148</v>
      </c>
      <c r="S1072" s="99">
        <v>26535.0</v>
      </c>
      <c r="T1072" s="99">
        <v>45.0</v>
      </c>
      <c r="U1072" s="99">
        <v>4.0</v>
      </c>
      <c r="V1072" s="99">
        <v>103.0</v>
      </c>
      <c r="W1072" s="99">
        <v>311397.0</v>
      </c>
    </row>
    <row r="1073" ht="15.75" customHeight="1">
      <c r="A1073" s="95" t="s">
        <v>6415</v>
      </c>
      <c r="B1073" s="95" t="s">
        <v>22</v>
      </c>
      <c r="C1073" s="96" t="s">
        <v>6416</v>
      </c>
      <c r="D1073" s="95" t="s">
        <v>124</v>
      </c>
      <c r="E1073" s="95" t="s">
        <v>794</v>
      </c>
      <c r="F1073" s="95" t="s">
        <v>19</v>
      </c>
      <c r="G1073" s="95" t="s">
        <v>19</v>
      </c>
      <c r="H1073" s="95" t="s">
        <v>21</v>
      </c>
      <c r="I1073" s="95" t="s">
        <v>567</v>
      </c>
      <c r="J1073" s="97">
        <v>46021.49308912037</v>
      </c>
      <c r="K1073" s="95" t="s">
        <v>6417</v>
      </c>
      <c r="L1073" s="96" t="s">
        <v>6418</v>
      </c>
      <c r="M1073" s="95" t="s">
        <v>503</v>
      </c>
      <c r="N1073" s="95" t="s">
        <v>6419</v>
      </c>
      <c r="O1073" s="95" t="s">
        <v>6419</v>
      </c>
      <c r="P1073" s="95" t="s">
        <v>6420</v>
      </c>
      <c r="Q1073" s="98">
        <v>3.0</v>
      </c>
      <c r="R1073" s="97">
        <v>45940.7599537037</v>
      </c>
      <c r="S1073" s="99">
        <v>1230.0</v>
      </c>
      <c r="T1073" s="99">
        <v>43.0</v>
      </c>
      <c r="U1073" s="99">
        <v>3.0</v>
      </c>
      <c r="V1073" s="99">
        <v>122.0</v>
      </c>
      <c r="W1073" s="99">
        <v>9748.0</v>
      </c>
    </row>
    <row r="1074" ht="15.75" customHeight="1">
      <c r="A1074" s="95" t="s">
        <v>6421</v>
      </c>
      <c r="B1074" s="95" t="s">
        <v>22</v>
      </c>
      <c r="C1074" s="96" t="s">
        <v>6422</v>
      </c>
      <c r="D1074" s="95" t="s">
        <v>39</v>
      </c>
      <c r="E1074" s="95" t="s">
        <v>39</v>
      </c>
      <c r="F1074" s="95" t="s">
        <v>19</v>
      </c>
      <c r="G1074" s="95" t="s">
        <v>19</v>
      </c>
      <c r="H1074" s="95" t="s">
        <v>21</v>
      </c>
      <c r="I1074" s="95" t="s">
        <v>567</v>
      </c>
      <c r="J1074" s="97">
        <v>46008.62903813658</v>
      </c>
      <c r="K1074" s="96" t="s">
        <v>6423</v>
      </c>
      <c r="L1074" s="96" t="s">
        <v>6424</v>
      </c>
      <c r="M1074" s="95" t="s">
        <v>17</v>
      </c>
      <c r="N1074" s="95" t="s">
        <v>6425</v>
      </c>
      <c r="O1074" s="95" t="s">
        <v>6425</v>
      </c>
      <c r="P1074" s="95" t="s">
        <v>6426</v>
      </c>
      <c r="Q1074" s="98">
        <v>3.0</v>
      </c>
      <c r="R1074" s="97">
        <v>45720.21097222222</v>
      </c>
      <c r="S1074" s="99">
        <v>7233.0</v>
      </c>
      <c r="T1074" s="99">
        <v>256.0</v>
      </c>
      <c r="U1074" s="99">
        <v>1.0</v>
      </c>
      <c r="V1074" s="99">
        <v>72.0</v>
      </c>
      <c r="W1074" s="99">
        <v>17623.0</v>
      </c>
    </row>
    <row r="1075" ht="15.75" customHeight="1">
      <c r="A1075" s="95" t="s">
        <v>6427</v>
      </c>
      <c r="B1075" s="95" t="s">
        <v>22</v>
      </c>
      <c r="C1075" s="96" t="s">
        <v>6428</v>
      </c>
      <c r="D1075" s="95" t="s">
        <v>59</v>
      </c>
      <c r="E1075" s="95" t="s">
        <v>59</v>
      </c>
      <c r="F1075" s="95" t="s">
        <v>19</v>
      </c>
      <c r="G1075" s="95" t="s">
        <v>19</v>
      </c>
      <c r="H1075" s="95" t="s">
        <v>21</v>
      </c>
      <c r="I1075" s="95" t="s">
        <v>567</v>
      </c>
      <c r="J1075" s="97">
        <v>46021.50581828703</v>
      </c>
      <c r="K1075" s="95" t="s">
        <v>6429</v>
      </c>
      <c r="L1075" s="96" t="s">
        <v>6430</v>
      </c>
      <c r="M1075" s="95" t="s">
        <v>74</v>
      </c>
      <c r="N1075" s="95" t="s">
        <v>6431</v>
      </c>
      <c r="O1075" s="95" t="s">
        <v>6431</v>
      </c>
      <c r="P1075" s="95" t="s">
        <v>6432</v>
      </c>
      <c r="Q1075" s="98">
        <v>3.0</v>
      </c>
      <c r="R1075" s="97">
        <v>45601.61725694445</v>
      </c>
      <c r="S1075" s="99">
        <v>158.0</v>
      </c>
      <c r="T1075" s="99">
        <v>2.0</v>
      </c>
      <c r="U1075" s="99">
        <v>2.0</v>
      </c>
      <c r="V1075" s="99">
        <v>238.0</v>
      </c>
      <c r="W1075" s="99">
        <v>27128.0</v>
      </c>
    </row>
    <row r="1076" ht="15.75" customHeight="1">
      <c r="A1076" s="95" t="s">
        <v>6433</v>
      </c>
      <c r="B1076" s="95" t="s">
        <v>22</v>
      </c>
      <c r="C1076" s="96" t="s">
        <v>6434</v>
      </c>
      <c r="D1076" s="95" t="s">
        <v>20</v>
      </c>
      <c r="E1076" s="95" t="s">
        <v>762</v>
      </c>
      <c r="F1076" s="95" t="s">
        <v>19</v>
      </c>
      <c r="G1076" s="95" t="s">
        <v>19</v>
      </c>
      <c r="H1076" s="95" t="s">
        <v>21</v>
      </c>
      <c r="I1076" s="95" t="s">
        <v>1634</v>
      </c>
      <c r="J1076" s="97">
        <v>45975.67939547454</v>
      </c>
      <c r="K1076" s="96" t="s">
        <v>6435</v>
      </c>
      <c r="L1076" s="96" t="s">
        <v>6436</v>
      </c>
      <c r="M1076" s="95" t="s">
        <v>74</v>
      </c>
      <c r="N1076" s="95" t="s">
        <v>6437</v>
      </c>
      <c r="O1076" s="95" t="s">
        <v>6437</v>
      </c>
      <c r="P1076" s="95" t="s">
        <v>6438</v>
      </c>
      <c r="Q1076" s="98">
        <v>3.0</v>
      </c>
      <c r="R1076" s="97">
        <v>45870.6278125</v>
      </c>
      <c r="S1076" s="99">
        <v>21167.0</v>
      </c>
      <c r="T1076" s="99">
        <v>36.0</v>
      </c>
      <c r="U1076" s="99">
        <v>6.0</v>
      </c>
      <c r="V1076" s="99">
        <v>155.0</v>
      </c>
      <c r="W1076" s="99">
        <v>999999.0</v>
      </c>
    </row>
    <row r="1077" ht="15.75" customHeight="1">
      <c r="A1077" s="95" t="s">
        <v>6439</v>
      </c>
      <c r="B1077" s="95" t="s">
        <v>22</v>
      </c>
      <c r="C1077" s="96" t="s">
        <v>6440</v>
      </c>
      <c r="D1077" s="95" t="s">
        <v>20</v>
      </c>
      <c r="E1077" s="95" t="s">
        <v>638</v>
      </c>
      <c r="F1077" s="95" t="s">
        <v>19</v>
      </c>
      <c r="G1077" s="95" t="s">
        <v>19</v>
      </c>
      <c r="H1077" s="95" t="s">
        <v>21</v>
      </c>
      <c r="I1077" s="95" t="s">
        <v>567</v>
      </c>
      <c r="J1077" s="97">
        <v>45977.67176236111</v>
      </c>
      <c r="K1077" s="95" t="s">
        <v>6441</v>
      </c>
      <c r="L1077" s="95"/>
      <c r="M1077" s="95" t="s">
        <v>74</v>
      </c>
      <c r="N1077" s="95" t="s">
        <v>6437</v>
      </c>
      <c r="O1077" s="95" t="s">
        <v>6437</v>
      </c>
      <c r="P1077" s="95" t="s">
        <v>6438</v>
      </c>
      <c r="Q1077" s="98">
        <v>3.0</v>
      </c>
      <c r="R1077" s="97">
        <v>45938.56322916667</v>
      </c>
      <c r="S1077" s="99">
        <v>21167.0</v>
      </c>
      <c r="T1077" s="99">
        <v>12.0</v>
      </c>
      <c r="U1077" s="99">
        <v>1.0</v>
      </c>
      <c r="V1077" s="99">
        <v>116.0</v>
      </c>
      <c r="W1077" s="99">
        <v>999999.0</v>
      </c>
    </row>
    <row r="1078" ht="15.75" customHeight="1">
      <c r="A1078" s="95" t="s">
        <v>6442</v>
      </c>
      <c r="B1078" s="95" t="s">
        <v>69</v>
      </c>
      <c r="C1078" s="96" t="s">
        <v>6443</v>
      </c>
      <c r="D1078" s="95" t="s">
        <v>20</v>
      </c>
      <c r="E1078" s="95" t="s">
        <v>762</v>
      </c>
      <c r="F1078" s="95" t="s">
        <v>88</v>
      </c>
      <c r="G1078" s="95" t="s">
        <v>639</v>
      </c>
      <c r="H1078" s="95" t="s">
        <v>89</v>
      </c>
      <c r="I1078" s="95" t="s">
        <v>640</v>
      </c>
      <c r="J1078" s="97">
        <v>46008.62907603009</v>
      </c>
      <c r="K1078" s="96" t="s">
        <v>6444</v>
      </c>
      <c r="L1078" s="96" t="s">
        <v>6445</v>
      </c>
      <c r="M1078" s="95" t="s">
        <v>74</v>
      </c>
      <c r="N1078" s="95" t="s">
        <v>6437</v>
      </c>
      <c r="O1078" s="95" t="s">
        <v>6437</v>
      </c>
      <c r="P1078" s="95" t="s">
        <v>6438</v>
      </c>
      <c r="Q1078" s="98">
        <v>3.0</v>
      </c>
      <c r="R1078" s="97">
        <v>45877.88787037037</v>
      </c>
      <c r="S1078" s="99">
        <v>21167.0</v>
      </c>
      <c r="T1078" s="99">
        <v>4.0</v>
      </c>
      <c r="U1078" s="99">
        <v>10.0</v>
      </c>
      <c r="V1078" s="99">
        <v>1181.0</v>
      </c>
      <c r="W1078" s="99">
        <v>999999.0</v>
      </c>
    </row>
    <row r="1079" ht="15.75" customHeight="1">
      <c r="A1079" s="95" t="s">
        <v>6446</v>
      </c>
      <c r="B1079" s="95" t="s">
        <v>69</v>
      </c>
      <c r="C1079" s="96" t="s">
        <v>6447</v>
      </c>
      <c r="D1079" s="95" t="s">
        <v>168</v>
      </c>
      <c r="E1079" s="95" t="s">
        <v>168</v>
      </c>
      <c r="F1079" s="95" t="s">
        <v>58</v>
      </c>
      <c r="G1079" s="95" t="s">
        <v>58</v>
      </c>
      <c r="H1079" s="95" t="s">
        <v>77</v>
      </c>
      <c r="I1079" s="95" t="s">
        <v>6448</v>
      </c>
      <c r="J1079" s="97">
        <v>45993.7854622338</v>
      </c>
      <c r="K1079" s="96" t="s">
        <v>6449</v>
      </c>
      <c r="L1079" s="96" t="s">
        <v>6450</v>
      </c>
      <c r="M1079" s="95" t="s">
        <v>17</v>
      </c>
      <c r="N1079" s="95" t="s">
        <v>6451</v>
      </c>
      <c r="O1079" s="95" t="s">
        <v>6451</v>
      </c>
      <c r="P1079" s="95" t="s">
        <v>6452</v>
      </c>
      <c r="Q1079" s="98">
        <v>3.0</v>
      </c>
      <c r="R1079" s="97">
        <v>45602.62979166667</v>
      </c>
      <c r="S1079" s="99">
        <v>248.0</v>
      </c>
      <c r="T1079" s="99">
        <v>26.0</v>
      </c>
      <c r="U1079" s="99">
        <v>1.0</v>
      </c>
      <c r="V1079" s="99">
        <v>148.0</v>
      </c>
      <c r="W1079" s="99">
        <v>53757.0</v>
      </c>
    </row>
    <row r="1080" ht="15.75" customHeight="1">
      <c r="A1080" s="95" t="s">
        <v>6453</v>
      </c>
      <c r="B1080" s="95" t="s">
        <v>22</v>
      </c>
      <c r="C1080" s="96" t="s">
        <v>6454</v>
      </c>
      <c r="D1080" s="95" t="s">
        <v>29</v>
      </c>
      <c r="E1080" s="95" t="s">
        <v>29</v>
      </c>
      <c r="F1080" s="95" t="s">
        <v>19</v>
      </c>
      <c r="G1080" s="95" t="s">
        <v>1427</v>
      </c>
      <c r="H1080" s="95" t="s">
        <v>21</v>
      </c>
      <c r="I1080" s="95" t="s">
        <v>943</v>
      </c>
      <c r="J1080" s="97">
        <v>46003.09519246528</v>
      </c>
      <c r="K1080" s="95" t="s">
        <v>6455</v>
      </c>
      <c r="L1080" s="96" t="s">
        <v>6456</v>
      </c>
      <c r="M1080" s="95" t="s">
        <v>38</v>
      </c>
      <c r="N1080" s="95" t="s">
        <v>6457</v>
      </c>
      <c r="O1080" s="95" t="s">
        <v>6457</v>
      </c>
      <c r="P1080" s="95" t="s">
        <v>6458</v>
      </c>
      <c r="Q1080" s="98">
        <v>3.0</v>
      </c>
      <c r="R1080" s="97">
        <v>45833.52251157408</v>
      </c>
      <c r="S1080" s="99">
        <v>1805.0</v>
      </c>
      <c r="T1080" s="99">
        <v>2131.0</v>
      </c>
      <c r="U1080" s="99">
        <v>1.0</v>
      </c>
      <c r="V1080" s="99">
        <v>74.0</v>
      </c>
      <c r="W1080" s="99">
        <v>293553.0</v>
      </c>
    </row>
    <row r="1081" ht="15.75" customHeight="1">
      <c r="A1081" s="95" t="s">
        <v>6459</v>
      </c>
      <c r="B1081" s="95" t="s">
        <v>22</v>
      </c>
      <c r="C1081" s="96" t="s">
        <v>6460</v>
      </c>
      <c r="D1081" s="95" t="s">
        <v>547</v>
      </c>
      <c r="E1081" s="95" t="s">
        <v>547</v>
      </c>
      <c r="F1081" s="95" t="s">
        <v>19</v>
      </c>
      <c r="G1081" s="95" t="s">
        <v>19</v>
      </c>
      <c r="H1081" s="95" t="s">
        <v>21</v>
      </c>
      <c r="I1081" s="95" t="s">
        <v>567</v>
      </c>
      <c r="J1081" s="97">
        <v>45975.67928111111</v>
      </c>
      <c r="K1081" s="96" t="s">
        <v>6461</v>
      </c>
      <c r="L1081" s="96" t="s">
        <v>6462</v>
      </c>
      <c r="M1081" s="95" t="s">
        <v>105</v>
      </c>
      <c r="N1081" s="95" t="s">
        <v>6463</v>
      </c>
      <c r="O1081" s="95" t="s">
        <v>6463</v>
      </c>
      <c r="P1081" s="95" t="s">
        <v>6464</v>
      </c>
      <c r="Q1081" s="98">
        <v>3.0</v>
      </c>
      <c r="R1081" s="97">
        <v>45283.25194444445</v>
      </c>
      <c r="S1081" s="99">
        <v>153.0</v>
      </c>
      <c r="T1081" s="99">
        <v>1.0</v>
      </c>
      <c r="U1081" s="99">
        <v>1.0</v>
      </c>
      <c r="V1081" s="99">
        <v>181.0</v>
      </c>
      <c r="W1081" s="99">
        <v>4829.0</v>
      </c>
    </row>
    <row r="1082" ht="15.75" customHeight="1">
      <c r="A1082" s="95" t="s">
        <v>6465</v>
      </c>
      <c r="B1082" s="95" t="s">
        <v>22</v>
      </c>
      <c r="C1082" s="96" t="s">
        <v>6466</v>
      </c>
      <c r="D1082" s="95" t="s">
        <v>49</v>
      </c>
      <c r="E1082" s="95" t="s">
        <v>1082</v>
      </c>
      <c r="F1082" s="95" t="s">
        <v>19</v>
      </c>
      <c r="G1082" s="95" t="s">
        <v>19</v>
      </c>
      <c r="H1082" s="95" t="s">
        <v>21</v>
      </c>
      <c r="I1082" s="95" t="s">
        <v>567</v>
      </c>
      <c r="J1082" s="97">
        <v>46003.09519246528</v>
      </c>
      <c r="K1082" s="95" t="s">
        <v>6467</v>
      </c>
      <c r="L1082" s="96" t="s">
        <v>6468</v>
      </c>
      <c r="M1082" s="95" t="s">
        <v>38</v>
      </c>
      <c r="N1082" s="95" t="s">
        <v>6469</v>
      </c>
      <c r="O1082" s="95" t="s">
        <v>6469</v>
      </c>
      <c r="P1082" s="95" t="s">
        <v>6470</v>
      </c>
      <c r="Q1082" s="98">
        <v>3.0</v>
      </c>
      <c r="R1082" s="97">
        <v>45624.99384259259</v>
      </c>
      <c r="S1082" s="99">
        <v>326.0</v>
      </c>
      <c r="T1082" s="99">
        <v>221.0</v>
      </c>
      <c r="U1082" s="99">
        <v>1.0</v>
      </c>
      <c r="V1082" s="99">
        <v>200.0</v>
      </c>
      <c r="W1082" s="99">
        <v>49019.0</v>
      </c>
    </row>
    <row r="1083" ht="15.75" customHeight="1">
      <c r="A1083" s="95" t="s">
        <v>6471</v>
      </c>
      <c r="B1083" s="95" t="s">
        <v>22</v>
      </c>
      <c r="C1083" s="96" t="s">
        <v>6472</v>
      </c>
      <c r="D1083" s="95" t="s">
        <v>168</v>
      </c>
      <c r="E1083" s="95" t="s">
        <v>168</v>
      </c>
      <c r="F1083" s="95" t="s">
        <v>19</v>
      </c>
      <c r="G1083" s="95" t="s">
        <v>588</v>
      </c>
      <c r="H1083" s="95" t="s">
        <v>21</v>
      </c>
      <c r="I1083" s="95" t="s">
        <v>677</v>
      </c>
      <c r="J1083" s="97">
        <v>45975.67934811342</v>
      </c>
      <c r="K1083" s="96" t="s">
        <v>6473</v>
      </c>
      <c r="L1083" s="96" t="s">
        <v>6474</v>
      </c>
      <c r="M1083" s="95" t="s">
        <v>17</v>
      </c>
      <c r="N1083" s="95" t="s">
        <v>6475</v>
      </c>
      <c r="O1083" s="95" t="s">
        <v>6475</v>
      </c>
      <c r="P1083" s="95" t="s">
        <v>6476</v>
      </c>
      <c r="Q1083" s="98">
        <v>3.0</v>
      </c>
      <c r="R1083" s="97">
        <v>45614.27616898148</v>
      </c>
      <c r="S1083" s="99">
        <v>0.0</v>
      </c>
      <c r="T1083" s="99">
        <v>27.0</v>
      </c>
      <c r="U1083" s="99">
        <v>2.0</v>
      </c>
      <c r="V1083" s="99">
        <v>93.0</v>
      </c>
      <c r="W1083" s="99">
        <v>28595.0</v>
      </c>
    </row>
    <row r="1084" ht="15.75" customHeight="1">
      <c r="A1084" s="95" t="s">
        <v>6477</v>
      </c>
      <c r="B1084" s="95" t="s">
        <v>22</v>
      </c>
      <c r="C1084" s="96" t="s">
        <v>6478</v>
      </c>
      <c r="D1084" s="95" t="s">
        <v>20</v>
      </c>
      <c r="E1084" s="95" t="s">
        <v>638</v>
      </c>
      <c r="F1084" s="95" t="s">
        <v>19</v>
      </c>
      <c r="G1084" s="95" t="s">
        <v>19</v>
      </c>
      <c r="H1084" s="95" t="s">
        <v>21</v>
      </c>
      <c r="I1084" s="95" t="s">
        <v>589</v>
      </c>
      <c r="J1084" s="97">
        <v>46021.49308912037</v>
      </c>
      <c r="K1084" s="95" t="s">
        <v>6479</v>
      </c>
      <c r="L1084" s="96" t="s">
        <v>6480</v>
      </c>
      <c r="M1084" s="95" t="s">
        <v>74</v>
      </c>
      <c r="N1084" s="95" t="s">
        <v>6481</v>
      </c>
      <c r="O1084" s="95" t="s">
        <v>6481</v>
      </c>
      <c r="P1084" s="95" t="s">
        <v>6482</v>
      </c>
      <c r="Q1084" s="98">
        <v>3.0</v>
      </c>
      <c r="R1084" s="97">
        <v>45942.52405092592</v>
      </c>
      <c r="S1084" s="99">
        <v>1378.0</v>
      </c>
      <c r="T1084" s="99">
        <v>8.0</v>
      </c>
      <c r="U1084" s="99">
        <v>2.0</v>
      </c>
      <c r="V1084" s="99">
        <v>71.0</v>
      </c>
      <c r="W1084" s="99">
        <v>15182.0</v>
      </c>
    </row>
    <row r="1085" ht="15.75" customHeight="1">
      <c r="A1085" s="95" t="s">
        <v>6483</v>
      </c>
      <c r="B1085" s="95" t="s">
        <v>101</v>
      </c>
      <c r="C1085" s="96" t="s">
        <v>6484</v>
      </c>
      <c r="D1085" s="95" t="s">
        <v>39</v>
      </c>
      <c r="E1085" s="95" t="s">
        <v>39</v>
      </c>
      <c r="F1085" s="95" t="s">
        <v>19</v>
      </c>
      <c r="G1085" s="95"/>
      <c r="H1085" s="95" t="s">
        <v>21</v>
      </c>
      <c r="I1085" s="95" t="s">
        <v>607</v>
      </c>
      <c r="J1085" s="97">
        <v>46021.50581828703</v>
      </c>
      <c r="K1085" s="95" t="s">
        <v>6485</v>
      </c>
      <c r="L1085" s="96" t="s">
        <v>6486</v>
      </c>
      <c r="M1085" s="95" t="s">
        <v>74</v>
      </c>
      <c r="N1085" s="95" t="s">
        <v>6487</v>
      </c>
      <c r="O1085" s="95" t="s">
        <v>6487</v>
      </c>
      <c r="P1085" s="95" t="s">
        <v>6488</v>
      </c>
      <c r="Q1085" s="98">
        <v>3.0</v>
      </c>
      <c r="R1085" s="97">
        <v>45870.58340277777</v>
      </c>
      <c r="S1085" s="99">
        <v>2327.0</v>
      </c>
      <c r="T1085" s="99">
        <v>10.0</v>
      </c>
      <c r="U1085" s="99">
        <v>3.0</v>
      </c>
      <c r="V1085" s="99">
        <v>55.0</v>
      </c>
      <c r="W1085" s="99">
        <v>5344.0</v>
      </c>
    </row>
    <row r="1086" ht="15.75" customHeight="1">
      <c r="A1086" s="95" t="s">
        <v>6489</v>
      </c>
      <c r="B1086" s="95" t="s">
        <v>22</v>
      </c>
      <c r="C1086" s="96" t="s">
        <v>6490</v>
      </c>
      <c r="D1086" s="95" t="s">
        <v>39</v>
      </c>
      <c r="E1086" s="95" t="s">
        <v>39</v>
      </c>
      <c r="F1086" s="95" t="s">
        <v>19</v>
      </c>
      <c r="G1086" s="95" t="s">
        <v>19</v>
      </c>
      <c r="H1086" s="95" t="s">
        <v>21</v>
      </c>
      <c r="I1086" s="95" t="s">
        <v>567</v>
      </c>
      <c r="J1086" s="97">
        <v>45975.67928111111</v>
      </c>
      <c r="K1086" s="96" t="s">
        <v>6491</v>
      </c>
      <c r="L1086" s="96" t="s">
        <v>6492</v>
      </c>
      <c r="M1086" s="95" t="s">
        <v>28</v>
      </c>
      <c r="N1086" s="95" t="s">
        <v>6493</v>
      </c>
      <c r="O1086" s="95" t="s">
        <v>6493</v>
      </c>
      <c r="P1086" s="95" t="s">
        <v>6494</v>
      </c>
      <c r="Q1086" s="98">
        <v>3.0</v>
      </c>
      <c r="R1086" s="97">
        <v>45903.81907407408</v>
      </c>
      <c r="S1086" s="99">
        <v>198.0</v>
      </c>
      <c r="T1086" s="99">
        <v>13.0</v>
      </c>
      <c r="U1086" s="99">
        <v>10.0</v>
      </c>
      <c r="V1086" s="99">
        <v>755.0</v>
      </c>
      <c r="W1086" s="99">
        <v>10280.0</v>
      </c>
    </row>
    <row r="1087" ht="15.75" customHeight="1">
      <c r="A1087" s="95" t="s">
        <v>6495</v>
      </c>
      <c r="B1087" s="95" t="s">
        <v>22</v>
      </c>
      <c r="C1087" s="96" t="s">
        <v>6496</v>
      </c>
      <c r="D1087" s="95" t="s">
        <v>124</v>
      </c>
      <c r="E1087" s="95" t="s">
        <v>124</v>
      </c>
      <c r="F1087" s="95" t="s">
        <v>19</v>
      </c>
      <c r="G1087" s="95" t="s">
        <v>19</v>
      </c>
      <c r="H1087" s="95" t="s">
        <v>21</v>
      </c>
      <c r="I1087" s="95" t="s">
        <v>567</v>
      </c>
      <c r="J1087" s="97">
        <v>46021.50581828703</v>
      </c>
      <c r="K1087" s="95" t="s">
        <v>6497</v>
      </c>
      <c r="L1087" s="96" t="s">
        <v>6498</v>
      </c>
      <c r="M1087" s="95" t="s">
        <v>67</v>
      </c>
      <c r="N1087" s="95" t="s">
        <v>6499</v>
      </c>
      <c r="O1087" s="95" t="s">
        <v>6499</v>
      </c>
      <c r="P1087" s="95" t="s">
        <v>6500</v>
      </c>
      <c r="Q1087" s="98">
        <v>3.0</v>
      </c>
      <c r="R1087" s="97">
        <v>45638.58115740741</v>
      </c>
      <c r="S1087" s="99">
        <v>53390.0</v>
      </c>
      <c r="T1087" s="99">
        <v>400.0</v>
      </c>
      <c r="U1087" s="99">
        <v>3.0</v>
      </c>
      <c r="V1087" s="99">
        <v>260.0</v>
      </c>
      <c r="W1087" s="99">
        <v>88734.0</v>
      </c>
    </row>
    <row r="1088" ht="15.75" customHeight="1">
      <c r="A1088" s="95" t="s">
        <v>6501</v>
      </c>
      <c r="B1088" s="95" t="s">
        <v>22</v>
      </c>
      <c r="C1088" s="96" t="s">
        <v>6502</v>
      </c>
      <c r="D1088" s="95" t="s">
        <v>168</v>
      </c>
      <c r="E1088" s="95" t="s">
        <v>168</v>
      </c>
      <c r="F1088" s="95" t="s">
        <v>19</v>
      </c>
      <c r="G1088" s="95" t="s">
        <v>19</v>
      </c>
      <c r="H1088" s="95" t="s">
        <v>21</v>
      </c>
      <c r="I1088" s="95" t="s">
        <v>567</v>
      </c>
      <c r="J1088" s="97">
        <v>45993.7854622338</v>
      </c>
      <c r="K1088" s="96" t="s">
        <v>6503</v>
      </c>
      <c r="L1088" s="96" t="s">
        <v>6504</v>
      </c>
      <c r="M1088" s="95" t="s">
        <v>17</v>
      </c>
      <c r="N1088" s="95" t="s">
        <v>6505</v>
      </c>
      <c r="O1088" s="95" t="s">
        <v>6505</v>
      </c>
      <c r="P1088" s="95" t="s">
        <v>6506</v>
      </c>
      <c r="Q1088" s="98">
        <v>3.0</v>
      </c>
      <c r="R1088" s="97">
        <v>45807.95539351852</v>
      </c>
      <c r="S1088" s="99">
        <v>178.0</v>
      </c>
      <c r="T1088" s="99">
        <v>28.0</v>
      </c>
      <c r="U1088" s="99">
        <v>8.0</v>
      </c>
      <c r="V1088" s="99">
        <v>99.0</v>
      </c>
      <c r="W1088" s="99">
        <v>29236.0</v>
      </c>
    </row>
    <row r="1089" ht="15.75" customHeight="1">
      <c r="A1089" s="95" t="s">
        <v>6507</v>
      </c>
      <c r="B1089" s="95" t="s">
        <v>22</v>
      </c>
      <c r="C1089" s="96" t="s">
        <v>6508</v>
      </c>
      <c r="D1089" s="95" t="s">
        <v>124</v>
      </c>
      <c r="E1089" s="95" t="s">
        <v>794</v>
      </c>
      <c r="F1089" s="95" t="s">
        <v>19</v>
      </c>
      <c r="G1089" s="95" t="s">
        <v>574</v>
      </c>
      <c r="H1089" s="95" t="s">
        <v>21</v>
      </c>
      <c r="I1089" s="95" t="s">
        <v>567</v>
      </c>
      <c r="J1089" s="97">
        <v>46021.50581828703</v>
      </c>
      <c r="K1089" s="95" t="s">
        <v>6509</v>
      </c>
      <c r="L1089" s="96" t="s">
        <v>6510</v>
      </c>
      <c r="M1089" s="95" t="s">
        <v>503</v>
      </c>
      <c r="N1089" s="95" t="s">
        <v>6511</v>
      </c>
      <c r="O1089" s="95" t="s">
        <v>6511</v>
      </c>
      <c r="P1089" s="95" t="s">
        <v>6512</v>
      </c>
      <c r="Q1089" s="98">
        <v>3.0</v>
      </c>
      <c r="R1089" s="97">
        <v>45599.53856481481</v>
      </c>
      <c r="S1089" s="99">
        <v>0.0</v>
      </c>
      <c r="T1089" s="99">
        <v>1258.0</v>
      </c>
      <c r="U1089" s="99">
        <v>11.0</v>
      </c>
      <c r="V1089" s="99">
        <v>514.0</v>
      </c>
      <c r="W1089" s="99">
        <v>408363.0</v>
      </c>
    </row>
    <row r="1090" ht="15.75" customHeight="1">
      <c r="A1090" s="95" t="s">
        <v>6513</v>
      </c>
      <c r="B1090" s="95" t="s">
        <v>101</v>
      </c>
      <c r="C1090" s="96" t="s">
        <v>6514</v>
      </c>
      <c r="D1090" s="95" t="s">
        <v>124</v>
      </c>
      <c r="E1090" s="95" t="s">
        <v>794</v>
      </c>
      <c r="F1090" s="95" t="s">
        <v>19</v>
      </c>
      <c r="G1090" s="95" t="s">
        <v>19</v>
      </c>
      <c r="H1090" s="95" t="s">
        <v>21</v>
      </c>
      <c r="I1090" s="95" t="s">
        <v>2990</v>
      </c>
      <c r="J1090" s="97">
        <v>45975.67939547454</v>
      </c>
      <c r="K1090" s="96" t="s">
        <v>6515</v>
      </c>
      <c r="L1090" s="96" t="s">
        <v>6516</v>
      </c>
      <c r="M1090" s="95" t="s">
        <v>74</v>
      </c>
      <c r="N1090" s="95" t="s">
        <v>6517</v>
      </c>
      <c r="O1090" s="95" t="s">
        <v>6517</v>
      </c>
      <c r="P1090" s="95" t="s">
        <v>6518</v>
      </c>
      <c r="Q1090" s="98">
        <v>3.0</v>
      </c>
      <c r="R1090" s="97">
        <v>45781.90061342593</v>
      </c>
      <c r="S1090" s="99">
        <v>2146.0</v>
      </c>
      <c r="T1090" s="99">
        <v>71.0</v>
      </c>
      <c r="U1090" s="99">
        <v>39.0</v>
      </c>
      <c r="V1090" s="99">
        <v>741.0</v>
      </c>
      <c r="W1090" s="99">
        <v>2363748.0</v>
      </c>
    </row>
    <row r="1091" ht="15.75" customHeight="1">
      <c r="A1091" s="95" t="s">
        <v>6519</v>
      </c>
      <c r="B1091" s="95" t="s">
        <v>22</v>
      </c>
      <c r="C1091" s="96" t="s">
        <v>6520</v>
      </c>
      <c r="D1091" s="95" t="s">
        <v>130</v>
      </c>
      <c r="E1091" s="95" t="s">
        <v>2109</v>
      </c>
      <c r="F1091" s="95" t="s">
        <v>19</v>
      </c>
      <c r="G1091" s="95" t="s">
        <v>19</v>
      </c>
      <c r="H1091" s="95" t="s">
        <v>21</v>
      </c>
      <c r="I1091" s="95" t="s">
        <v>589</v>
      </c>
      <c r="J1091" s="97">
        <v>45993.7854622338</v>
      </c>
      <c r="K1091" s="96" t="s">
        <v>6521</v>
      </c>
      <c r="L1091" s="96" t="s">
        <v>6522</v>
      </c>
      <c r="M1091" s="95" t="s">
        <v>17</v>
      </c>
      <c r="N1091" s="95" t="s">
        <v>6523</v>
      </c>
      <c r="O1091" s="95" t="s">
        <v>6523</v>
      </c>
      <c r="P1091" s="95" t="s">
        <v>6524</v>
      </c>
      <c r="Q1091" s="98">
        <v>3.0</v>
      </c>
      <c r="R1091" s="97">
        <v>45663.77027777778</v>
      </c>
      <c r="S1091" s="99">
        <v>2343.0</v>
      </c>
      <c r="T1091" s="99">
        <v>35.0</v>
      </c>
      <c r="U1091" s="99">
        <v>1.0</v>
      </c>
      <c r="V1091" s="99">
        <v>123.0</v>
      </c>
      <c r="W1091" s="99">
        <v>103450.0</v>
      </c>
    </row>
    <row r="1092" ht="15.75" customHeight="1">
      <c r="A1092" s="95" t="s">
        <v>6525</v>
      </c>
      <c r="B1092" s="95" t="s">
        <v>69</v>
      </c>
      <c r="C1092" s="96" t="s">
        <v>6526</v>
      </c>
      <c r="D1092" s="95" t="s">
        <v>130</v>
      </c>
      <c r="E1092" s="95" t="s">
        <v>130</v>
      </c>
      <c r="F1092" s="95" t="s">
        <v>19</v>
      </c>
      <c r="G1092" s="95" t="s">
        <v>19</v>
      </c>
      <c r="H1092" s="95" t="s">
        <v>21</v>
      </c>
      <c r="I1092" s="95" t="s">
        <v>998</v>
      </c>
      <c r="J1092" s="97">
        <v>46008.62904045139</v>
      </c>
      <c r="K1092" s="96" t="s">
        <v>6527</v>
      </c>
      <c r="L1092" s="96" t="s">
        <v>6528</v>
      </c>
      <c r="M1092" s="95" t="s">
        <v>17</v>
      </c>
      <c r="N1092" s="95" t="s">
        <v>6523</v>
      </c>
      <c r="O1092" s="95" t="s">
        <v>6523</v>
      </c>
      <c r="P1092" s="95" t="s">
        <v>6524</v>
      </c>
      <c r="Q1092" s="98">
        <v>3.0</v>
      </c>
      <c r="R1092" s="97">
        <v>45867.57482638889</v>
      </c>
      <c r="S1092" s="99">
        <v>2343.0</v>
      </c>
      <c r="T1092" s="99">
        <v>99.0</v>
      </c>
      <c r="U1092" s="99">
        <v>5.0</v>
      </c>
      <c r="V1092" s="99">
        <v>110.0</v>
      </c>
      <c r="W1092" s="99">
        <v>103450.0</v>
      </c>
    </row>
    <row r="1093" ht="15.75" customHeight="1">
      <c r="A1093" s="95" t="s">
        <v>6529</v>
      </c>
      <c r="B1093" s="95" t="s">
        <v>69</v>
      </c>
      <c r="C1093" s="96" t="s">
        <v>6530</v>
      </c>
      <c r="D1093" s="95" t="s">
        <v>49</v>
      </c>
      <c r="E1093" s="95" t="s">
        <v>6531</v>
      </c>
      <c r="F1093" s="95" t="s">
        <v>88</v>
      </c>
      <c r="G1093" s="95" t="s">
        <v>639</v>
      </c>
      <c r="H1093" s="95" t="s">
        <v>89</v>
      </c>
      <c r="I1093" s="95" t="s">
        <v>6532</v>
      </c>
      <c r="J1093" s="97">
        <v>46069.66116252315</v>
      </c>
      <c r="K1093" s="95" t="s">
        <v>6533</v>
      </c>
      <c r="L1093" s="96" t="s">
        <v>6534</v>
      </c>
      <c r="M1093" s="95" t="s">
        <v>74</v>
      </c>
      <c r="N1093" s="95" t="s">
        <v>6535</v>
      </c>
      <c r="O1093" s="95" t="s">
        <v>6535</v>
      </c>
      <c r="P1093" s="95" t="s">
        <v>6536</v>
      </c>
      <c r="Q1093" s="98">
        <v>3.0</v>
      </c>
      <c r="R1093" s="97">
        <v>45813.73630787037</v>
      </c>
      <c r="S1093" s="99">
        <v>13079.0</v>
      </c>
      <c r="T1093" s="99">
        <v>52.0</v>
      </c>
      <c r="U1093" s="99">
        <v>1.0</v>
      </c>
      <c r="V1093" s="99">
        <v>24.0</v>
      </c>
      <c r="W1093" s="99">
        <v>999999.0</v>
      </c>
    </row>
    <row r="1094" ht="15.75" customHeight="1">
      <c r="A1094" s="95" t="s">
        <v>6537</v>
      </c>
      <c r="B1094" s="95" t="s">
        <v>157</v>
      </c>
      <c r="C1094" s="96" t="s">
        <v>6538</v>
      </c>
      <c r="D1094" s="95" t="s">
        <v>49</v>
      </c>
      <c r="E1094" s="95" t="s">
        <v>6531</v>
      </c>
      <c r="F1094" s="95" t="s">
        <v>88</v>
      </c>
      <c r="G1094" s="95" t="s">
        <v>858</v>
      </c>
      <c r="H1094" s="95" t="s">
        <v>89</v>
      </c>
      <c r="I1094" s="95" t="s">
        <v>897</v>
      </c>
      <c r="J1094" s="97">
        <v>45977.67162935185</v>
      </c>
      <c r="K1094" s="95" t="s">
        <v>6539</v>
      </c>
      <c r="L1094" s="96" t="s">
        <v>6540</v>
      </c>
      <c r="M1094" s="95" t="s">
        <v>74</v>
      </c>
      <c r="N1094" s="95" t="s">
        <v>6535</v>
      </c>
      <c r="O1094" s="95" t="s">
        <v>6535</v>
      </c>
      <c r="P1094" s="95" t="s">
        <v>6536</v>
      </c>
      <c r="Q1094" s="98">
        <v>3.0</v>
      </c>
      <c r="R1094" s="97">
        <v>45931.46708333334</v>
      </c>
      <c r="S1094" s="99">
        <v>13079.0</v>
      </c>
      <c r="T1094" s="99">
        <v>22.0</v>
      </c>
      <c r="U1094" s="99">
        <v>3.0</v>
      </c>
      <c r="V1094" s="99">
        <v>307.0</v>
      </c>
      <c r="W1094" s="99">
        <v>999999.0</v>
      </c>
    </row>
    <row r="1095" ht="15.75" customHeight="1">
      <c r="A1095" s="95" t="s">
        <v>6541</v>
      </c>
      <c r="B1095" s="95" t="s">
        <v>69</v>
      </c>
      <c r="C1095" s="96" t="s">
        <v>6542</v>
      </c>
      <c r="D1095" s="95" t="s">
        <v>49</v>
      </c>
      <c r="E1095" s="95" t="s">
        <v>6543</v>
      </c>
      <c r="F1095" s="95" t="s">
        <v>88</v>
      </c>
      <c r="G1095" s="95" t="s">
        <v>88</v>
      </c>
      <c r="H1095" s="95" t="s">
        <v>89</v>
      </c>
      <c r="I1095" s="95" t="s">
        <v>640</v>
      </c>
      <c r="J1095" s="97">
        <v>45975.67939547454</v>
      </c>
      <c r="K1095" s="96" t="s">
        <v>6544</v>
      </c>
      <c r="L1095" s="96" t="s">
        <v>6545</v>
      </c>
      <c r="M1095" s="95" t="s">
        <v>74</v>
      </c>
      <c r="N1095" s="95" t="s">
        <v>6535</v>
      </c>
      <c r="O1095" s="95" t="s">
        <v>6535</v>
      </c>
      <c r="P1095" s="95" t="s">
        <v>6536</v>
      </c>
      <c r="Q1095" s="98">
        <v>3.0</v>
      </c>
      <c r="R1095" s="97">
        <v>45882.86144675926</v>
      </c>
      <c r="S1095" s="99">
        <v>13079.0</v>
      </c>
      <c r="T1095" s="99">
        <v>27.0</v>
      </c>
      <c r="U1095" s="99">
        <v>1.0</v>
      </c>
      <c r="V1095" s="99">
        <v>45.0</v>
      </c>
      <c r="W1095" s="99">
        <v>999999.0</v>
      </c>
    </row>
    <row r="1096" ht="15.75" customHeight="1">
      <c r="A1096" s="95" t="s">
        <v>6546</v>
      </c>
      <c r="B1096" s="95" t="s">
        <v>22</v>
      </c>
      <c r="C1096" s="96" t="s">
        <v>6547</v>
      </c>
      <c r="D1096" s="95" t="s">
        <v>124</v>
      </c>
      <c r="E1096" s="95" t="s">
        <v>6548</v>
      </c>
      <c r="F1096" s="95" t="s">
        <v>19</v>
      </c>
      <c r="G1096" s="95" t="s">
        <v>19</v>
      </c>
      <c r="H1096" s="95" t="s">
        <v>21</v>
      </c>
      <c r="I1096" s="95" t="s">
        <v>567</v>
      </c>
      <c r="J1096" s="97">
        <v>45975.67939547454</v>
      </c>
      <c r="K1096" s="96" t="s">
        <v>6549</v>
      </c>
      <c r="L1096" s="96" t="s">
        <v>6550</v>
      </c>
      <c r="M1096" s="95" t="s">
        <v>74</v>
      </c>
      <c r="N1096" s="95" t="s">
        <v>6551</v>
      </c>
      <c r="O1096" s="95" t="s">
        <v>6551</v>
      </c>
      <c r="P1096" s="95" t="s">
        <v>6552</v>
      </c>
      <c r="Q1096" s="98">
        <v>3.0</v>
      </c>
      <c r="R1096" s="97">
        <v>45826.88263888889</v>
      </c>
      <c r="S1096" s="99">
        <v>2827.0</v>
      </c>
      <c r="T1096" s="99">
        <v>13.0</v>
      </c>
      <c r="U1096" s="99">
        <v>20.0</v>
      </c>
      <c r="V1096" s="99">
        <v>152.0</v>
      </c>
      <c r="W1096" s="99">
        <v>999999.0</v>
      </c>
    </row>
    <row r="1097" ht="15.75" customHeight="1">
      <c r="A1097" s="95" t="s">
        <v>6553</v>
      </c>
      <c r="B1097" s="95" t="s">
        <v>22</v>
      </c>
      <c r="C1097" s="96" t="s">
        <v>6554</v>
      </c>
      <c r="D1097" s="95" t="s">
        <v>124</v>
      </c>
      <c r="E1097" s="95" t="s">
        <v>2158</v>
      </c>
      <c r="F1097" s="95" t="s">
        <v>19</v>
      </c>
      <c r="G1097" s="95" t="s">
        <v>574</v>
      </c>
      <c r="H1097" s="95" t="s">
        <v>21</v>
      </c>
      <c r="I1097" s="95" t="s">
        <v>567</v>
      </c>
      <c r="J1097" s="97">
        <v>45975.67939547454</v>
      </c>
      <c r="K1097" s="96" t="s">
        <v>6555</v>
      </c>
      <c r="L1097" s="96" t="s">
        <v>6556</v>
      </c>
      <c r="M1097" s="95" t="s">
        <v>74</v>
      </c>
      <c r="N1097" s="95" t="s">
        <v>6551</v>
      </c>
      <c r="O1097" s="95" t="s">
        <v>6551</v>
      </c>
      <c r="P1097" s="95" t="s">
        <v>6552</v>
      </c>
      <c r="Q1097" s="98">
        <v>3.0</v>
      </c>
      <c r="R1097" s="97">
        <v>45701.60900462963</v>
      </c>
      <c r="S1097" s="99">
        <v>2827.0</v>
      </c>
      <c r="T1097" s="99">
        <v>32.0</v>
      </c>
      <c r="U1097" s="99">
        <v>8.0</v>
      </c>
      <c r="V1097" s="99">
        <v>164.0</v>
      </c>
      <c r="W1097" s="99">
        <v>999999.0</v>
      </c>
    </row>
    <row r="1098" ht="15.75" customHeight="1">
      <c r="A1098" s="95" t="s">
        <v>6557</v>
      </c>
      <c r="B1098" s="95" t="s">
        <v>69</v>
      </c>
      <c r="C1098" s="96" t="s">
        <v>6558</v>
      </c>
      <c r="D1098" s="95" t="s">
        <v>49</v>
      </c>
      <c r="E1098" s="95" t="s">
        <v>1082</v>
      </c>
      <c r="F1098" s="95" t="s">
        <v>58</v>
      </c>
      <c r="G1098" s="95" t="s">
        <v>58</v>
      </c>
      <c r="H1098" s="95" t="s">
        <v>77</v>
      </c>
      <c r="I1098" s="95" t="s">
        <v>5296</v>
      </c>
      <c r="J1098" s="97">
        <v>46021.50388815972</v>
      </c>
      <c r="K1098" s="95" t="s">
        <v>6559</v>
      </c>
      <c r="L1098" s="96" t="s">
        <v>6560</v>
      </c>
      <c r="M1098" s="95" t="s">
        <v>74</v>
      </c>
      <c r="N1098" s="95" t="s">
        <v>6561</v>
      </c>
      <c r="O1098" s="95" t="s">
        <v>6561</v>
      </c>
      <c r="P1098" s="95" t="s">
        <v>6562</v>
      </c>
      <c r="Q1098" s="98">
        <v>3.0</v>
      </c>
      <c r="R1098" s="97">
        <v>45695.48709490741</v>
      </c>
      <c r="S1098" s="99">
        <v>825.0</v>
      </c>
      <c r="T1098" s="99">
        <v>285.0</v>
      </c>
      <c r="U1098" s="99">
        <v>1.0</v>
      </c>
      <c r="V1098" s="99">
        <v>213.0</v>
      </c>
      <c r="W1098" s="99">
        <v>134148.0</v>
      </c>
    </row>
    <row r="1099" ht="15.75" customHeight="1">
      <c r="A1099" s="95" t="s">
        <v>6563</v>
      </c>
      <c r="B1099" s="95" t="s">
        <v>101</v>
      </c>
      <c r="C1099" s="96" t="s">
        <v>6564</v>
      </c>
      <c r="D1099" s="95" t="s">
        <v>39</v>
      </c>
      <c r="E1099" s="95" t="s">
        <v>39</v>
      </c>
      <c r="F1099" s="95" t="s">
        <v>19</v>
      </c>
      <c r="G1099" s="95" t="s">
        <v>19</v>
      </c>
      <c r="H1099" s="95" t="s">
        <v>21</v>
      </c>
      <c r="I1099" s="95" t="s">
        <v>890</v>
      </c>
      <c r="J1099" s="97">
        <v>45982.02396422454</v>
      </c>
      <c r="K1099" s="95" t="s">
        <v>6565</v>
      </c>
      <c r="L1099" s="96" t="s">
        <v>6566</v>
      </c>
      <c r="M1099" s="95" t="s">
        <v>54</v>
      </c>
      <c r="N1099" s="95" t="s">
        <v>6567</v>
      </c>
      <c r="O1099" s="95" t="s">
        <v>6567</v>
      </c>
      <c r="P1099" s="95" t="s">
        <v>6568</v>
      </c>
      <c r="Q1099" s="98">
        <v>3.0</v>
      </c>
      <c r="R1099" s="97">
        <v>45945.22273148148</v>
      </c>
      <c r="S1099" s="99">
        <v>5322.0</v>
      </c>
      <c r="T1099" s="99">
        <v>521.0</v>
      </c>
      <c r="U1099" s="99">
        <v>1.0</v>
      </c>
      <c r="V1099" s="99">
        <v>70.0</v>
      </c>
      <c r="W1099" s="99">
        <v>31209.0</v>
      </c>
    </row>
    <row r="1100" ht="15.75" customHeight="1">
      <c r="A1100" s="95" t="s">
        <v>6569</v>
      </c>
      <c r="B1100" s="95" t="s">
        <v>101</v>
      </c>
      <c r="C1100" s="96" t="s">
        <v>6570</v>
      </c>
      <c r="D1100" s="95" t="s">
        <v>39</v>
      </c>
      <c r="E1100" s="95" t="s">
        <v>39</v>
      </c>
      <c r="F1100" s="95" t="s">
        <v>19</v>
      </c>
      <c r="G1100" s="95"/>
      <c r="H1100" s="95" t="s">
        <v>21</v>
      </c>
      <c r="I1100" s="95" t="s">
        <v>745</v>
      </c>
      <c r="J1100" s="97">
        <v>45975.67930844907</v>
      </c>
      <c r="K1100" s="96" t="s">
        <v>6571</v>
      </c>
      <c r="L1100" s="96" t="s">
        <v>6572</v>
      </c>
      <c r="M1100" s="95" t="s">
        <v>54</v>
      </c>
      <c r="N1100" s="95" t="s">
        <v>6567</v>
      </c>
      <c r="O1100" s="95" t="s">
        <v>6567</v>
      </c>
      <c r="P1100" s="95" t="s">
        <v>6568</v>
      </c>
      <c r="Q1100" s="98">
        <v>3.0</v>
      </c>
      <c r="R1100" s="97">
        <v>45922.71371527778</v>
      </c>
      <c r="S1100" s="99">
        <v>5322.0</v>
      </c>
      <c r="T1100" s="99">
        <v>521.0</v>
      </c>
      <c r="U1100" s="99">
        <v>1.0</v>
      </c>
      <c r="V1100" s="99">
        <v>262.0</v>
      </c>
      <c r="W1100" s="99">
        <v>31209.0</v>
      </c>
    </row>
    <row r="1101" ht="15.75" customHeight="1">
      <c r="A1101" s="95" t="s">
        <v>6573</v>
      </c>
      <c r="B1101" s="95" t="s">
        <v>22</v>
      </c>
      <c r="C1101" s="96" t="s">
        <v>6574</v>
      </c>
      <c r="D1101" s="95" t="s">
        <v>59</v>
      </c>
      <c r="E1101" s="95" t="s">
        <v>1347</v>
      </c>
      <c r="F1101" s="95" t="s">
        <v>19</v>
      </c>
      <c r="G1101" s="95" t="s">
        <v>19</v>
      </c>
      <c r="H1101" s="95" t="s">
        <v>21</v>
      </c>
      <c r="I1101" s="95" t="s">
        <v>567</v>
      </c>
      <c r="J1101" s="97">
        <v>46021.50581828703</v>
      </c>
      <c r="K1101" s="95" t="s">
        <v>6575</v>
      </c>
      <c r="L1101" s="96" t="s">
        <v>6576</v>
      </c>
      <c r="M1101" s="95" t="s">
        <v>93</v>
      </c>
      <c r="N1101" s="95" t="s">
        <v>6577</v>
      </c>
      <c r="O1101" s="95" t="s">
        <v>6577</v>
      </c>
      <c r="P1101" s="95" t="s">
        <v>6578</v>
      </c>
      <c r="Q1101" s="98">
        <v>3.0</v>
      </c>
      <c r="R1101" s="97">
        <v>45826.39895833333</v>
      </c>
      <c r="S1101" s="99">
        <v>96.0</v>
      </c>
      <c r="T1101" s="99">
        <v>614.0</v>
      </c>
      <c r="U1101" s="99">
        <v>1.0</v>
      </c>
      <c r="V1101" s="99">
        <v>207.0</v>
      </c>
      <c r="W1101" s="99">
        <v>34755.0</v>
      </c>
    </row>
    <row r="1102" ht="15.75" customHeight="1">
      <c r="A1102" s="95" t="s">
        <v>6579</v>
      </c>
      <c r="B1102" s="95" t="s">
        <v>69</v>
      </c>
      <c r="C1102" s="96" t="s">
        <v>6580</v>
      </c>
      <c r="D1102" s="95" t="s">
        <v>39</v>
      </c>
      <c r="E1102" s="95" t="s">
        <v>6581</v>
      </c>
      <c r="F1102" s="95" t="s">
        <v>58</v>
      </c>
      <c r="G1102" s="95" t="s">
        <v>1095</v>
      </c>
      <c r="H1102" s="95" t="s">
        <v>77</v>
      </c>
      <c r="I1102" s="95" t="s">
        <v>599</v>
      </c>
      <c r="J1102" s="97">
        <v>46021.51275217593</v>
      </c>
      <c r="K1102" s="95" t="s">
        <v>6582</v>
      </c>
      <c r="L1102" s="96" t="s">
        <v>6583</v>
      </c>
      <c r="M1102" s="95" t="s">
        <v>93</v>
      </c>
      <c r="N1102" s="95" t="s">
        <v>6584</v>
      </c>
      <c r="O1102" s="95" t="s">
        <v>6584</v>
      </c>
      <c r="P1102" s="95" t="s">
        <v>6585</v>
      </c>
      <c r="Q1102" s="98">
        <v>3.0</v>
      </c>
      <c r="R1102" s="97">
        <v>45712.63158564815</v>
      </c>
      <c r="S1102" s="99">
        <v>1809.0</v>
      </c>
      <c r="T1102" s="99">
        <v>309.0</v>
      </c>
      <c r="U1102" s="99">
        <v>11.0</v>
      </c>
      <c r="V1102" s="99">
        <v>140.0</v>
      </c>
      <c r="W1102" s="99">
        <v>237449.0</v>
      </c>
    </row>
    <row r="1103" ht="15.75" customHeight="1">
      <c r="A1103" s="95" t="s">
        <v>6586</v>
      </c>
      <c r="B1103" s="95" t="s">
        <v>131</v>
      </c>
      <c r="C1103" s="96" t="s">
        <v>6587</v>
      </c>
      <c r="D1103" s="95" t="s">
        <v>39</v>
      </c>
      <c r="E1103" s="95" t="s">
        <v>6581</v>
      </c>
      <c r="F1103" s="95" t="s">
        <v>19</v>
      </c>
      <c r="G1103" s="95" t="s">
        <v>19</v>
      </c>
      <c r="H1103" s="95" t="s">
        <v>21</v>
      </c>
      <c r="I1103" s="95" t="s">
        <v>647</v>
      </c>
      <c r="J1103" s="97">
        <v>46021.50993377315</v>
      </c>
      <c r="K1103" s="95" t="s">
        <v>6588</v>
      </c>
      <c r="L1103" s="96" t="s">
        <v>6589</v>
      </c>
      <c r="M1103" s="95" t="s">
        <v>93</v>
      </c>
      <c r="N1103" s="95" t="s">
        <v>6584</v>
      </c>
      <c r="O1103" s="95" t="s">
        <v>6584</v>
      </c>
      <c r="P1103" s="95" t="s">
        <v>6585</v>
      </c>
      <c r="Q1103" s="98">
        <v>3.0</v>
      </c>
      <c r="R1103" s="97">
        <v>45924.28820601852</v>
      </c>
      <c r="S1103" s="99">
        <v>1809.0</v>
      </c>
      <c r="T1103" s="99">
        <v>392.0</v>
      </c>
      <c r="U1103" s="99">
        <v>3.0</v>
      </c>
      <c r="V1103" s="99">
        <v>417.0</v>
      </c>
      <c r="W1103" s="99">
        <v>237449.0</v>
      </c>
    </row>
    <row r="1104" ht="15.75" customHeight="1">
      <c r="A1104" s="95" t="s">
        <v>6590</v>
      </c>
      <c r="B1104" s="95" t="s">
        <v>157</v>
      </c>
      <c r="C1104" s="96" t="s">
        <v>6591</v>
      </c>
      <c r="D1104" s="95" t="s">
        <v>29</v>
      </c>
      <c r="E1104" s="95" t="s">
        <v>658</v>
      </c>
      <c r="F1104" s="95" t="s">
        <v>88</v>
      </c>
      <c r="G1104" s="95" t="s">
        <v>88</v>
      </c>
      <c r="H1104" s="95" t="s">
        <v>89</v>
      </c>
      <c r="I1104" s="95" t="s">
        <v>859</v>
      </c>
      <c r="J1104" s="97">
        <v>45993.78544196759</v>
      </c>
      <c r="K1104" s="96" t="s">
        <v>6592</v>
      </c>
      <c r="L1104" s="95"/>
      <c r="M1104" s="95" t="s">
        <v>93</v>
      </c>
      <c r="N1104" s="95" t="s">
        <v>6593</v>
      </c>
      <c r="O1104" s="95" t="s">
        <v>6593</v>
      </c>
      <c r="P1104" s="95" t="s">
        <v>6594</v>
      </c>
      <c r="Q1104" s="98">
        <v>3.0</v>
      </c>
      <c r="R1104" s="97">
        <v>45618.435</v>
      </c>
      <c r="S1104" s="99">
        <v>6296.0</v>
      </c>
      <c r="T1104" s="99">
        <v>407.0</v>
      </c>
      <c r="U1104" s="99">
        <v>1.0</v>
      </c>
      <c r="V1104" s="99">
        <v>161.0</v>
      </c>
      <c r="W1104" s="99">
        <v>437002.0</v>
      </c>
    </row>
    <row r="1105" ht="15.75" customHeight="1">
      <c r="A1105" s="95" t="s">
        <v>6595</v>
      </c>
      <c r="B1105" s="95" t="s">
        <v>22</v>
      </c>
      <c r="C1105" s="96" t="s">
        <v>6596</v>
      </c>
      <c r="D1105" s="95" t="s">
        <v>39</v>
      </c>
      <c r="E1105" s="95" t="s">
        <v>718</v>
      </c>
      <c r="F1105" s="95" t="s">
        <v>19</v>
      </c>
      <c r="G1105" s="95" t="s">
        <v>19</v>
      </c>
      <c r="H1105" s="95" t="s">
        <v>21</v>
      </c>
      <c r="I1105" s="95" t="s">
        <v>567</v>
      </c>
      <c r="J1105" s="97">
        <v>46021.50597040509</v>
      </c>
      <c r="K1105" s="95" t="s">
        <v>6597</v>
      </c>
      <c r="L1105" s="96" t="s">
        <v>6598</v>
      </c>
      <c r="M1105" s="95" t="s">
        <v>74</v>
      </c>
      <c r="N1105" s="95" t="s">
        <v>6599</v>
      </c>
      <c r="O1105" s="95" t="s">
        <v>6599</v>
      </c>
      <c r="P1105" s="95" t="s">
        <v>6600</v>
      </c>
      <c r="Q1105" s="98">
        <v>3.0</v>
      </c>
      <c r="R1105" s="97">
        <v>45922.49508101852</v>
      </c>
      <c r="S1105" s="99">
        <v>1277.0</v>
      </c>
      <c r="T1105" s="99">
        <v>422.0</v>
      </c>
      <c r="U1105" s="99">
        <v>8.0</v>
      </c>
      <c r="V1105" s="99">
        <v>264.0</v>
      </c>
      <c r="W1105" s="99">
        <v>24731.0</v>
      </c>
    </row>
    <row r="1106" ht="15.75" customHeight="1">
      <c r="A1106" s="95" t="s">
        <v>6601</v>
      </c>
      <c r="B1106" s="95" t="s">
        <v>22</v>
      </c>
      <c r="C1106" s="96" t="s">
        <v>6602</v>
      </c>
      <c r="D1106" s="95" t="s">
        <v>59</v>
      </c>
      <c r="E1106" s="95" t="s">
        <v>738</v>
      </c>
      <c r="F1106" s="95" t="s">
        <v>19</v>
      </c>
      <c r="G1106" s="95" t="s">
        <v>19</v>
      </c>
      <c r="H1106" s="95" t="s">
        <v>21</v>
      </c>
      <c r="I1106" s="95" t="s">
        <v>589</v>
      </c>
      <c r="J1106" s="97">
        <v>46021.55368296296</v>
      </c>
      <c r="K1106" s="95" t="s">
        <v>6603</v>
      </c>
      <c r="L1106" s="96" t="s">
        <v>6604</v>
      </c>
      <c r="M1106" s="95" t="s">
        <v>54</v>
      </c>
      <c r="N1106" s="95" t="s">
        <v>6605</v>
      </c>
      <c r="O1106" s="95" t="s">
        <v>6605</v>
      </c>
      <c r="P1106" s="95" t="s">
        <v>6606</v>
      </c>
      <c r="Q1106" s="98">
        <v>3.0</v>
      </c>
      <c r="R1106" s="97">
        <v>45672.09765046297</v>
      </c>
      <c r="S1106" s="99">
        <v>417.0</v>
      </c>
      <c r="T1106" s="99">
        <v>508.0</v>
      </c>
      <c r="U1106" s="99">
        <v>13.0</v>
      </c>
      <c r="V1106" s="99">
        <v>435.0</v>
      </c>
      <c r="W1106" s="99">
        <v>751280.0</v>
      </c>
    </row>
    <row r="1107" ht="15.75" customHeight="1">
      <c r="A1107" s="95" t="s">
        <v>6607</v>
      </c>
      <c r="B1107" s="95" t="s">
        <v>22</v>
      </c>
      <c r="C1107" s="96" t="s">
        <v>6608</v>
      </c>
      <c r="D1107" s="95" t="s">
        <v>39</v>
      </c>
      <c r="E1107" s="95" t="s">
        <v>39</v>
      </c>
      <c r="F1107" s="95" t="s">
        <v>19</v>
      </c>
      <c r="G1107" s="95" t="s">
        <v>19</v>
      </c>
      <c r="H1107" s="95" t="s">
        <v>21</v>
      </c>
      <c r="I1107" s="95" t="s">
        <v>567</v>
      </c>
      <c r="J1107" s="97">
        <v>46021.5165390162</v>
      </c>
      <c r="K1107" s="95" t="s">
        <v>6609</v>
      </c>
      <c r="L1107" s="96" t="s">
        <v>6610</v>
      </c>
      <c r="M1107" s="95" t="s">
        <v>28</v>
      </c>
      <c r="N1107" s="95" t="s">
        <v>6611</v>
      </c>
      <c r="O1107" s="95" t="s">
        <v>6611</v>
      </c>
      <c r="P1107" s="95" t="s">
        <v>6612</v>
      </c>
      <c r="Q1107" s="98">
        <v>3.0</v>
      </c>
      <c r="R1107" s="97">
        <v>45854.26958333333</v>
      </c>
      <c r="S1107" s="99">
        <v>957.0</v>
      </c>
      <c r="T1107" s="99">
        <v>749.0</v>
      </c>
      <c r="U1107" s="99">
        <v>2.0</v>
      </c>
      <c r="V1107" s="99">
        <v>81.0</v>
      </c>
      <c r="W1107" s="99">
        <v>745184.0</v>
      </c>
    </row>
    <row r="1108" ht="15.75" customHeight="1">
      <c r="A1108" s="95" t="s">
        <v>6613</v>
      </c>
      <c r="B1108" s="95" t="s">
        <v>22</v>
      </c>
      <c r="C1108" s="96" t="s">
        <v>6614</v>
      </c>
      <c r="D1108" s="95" t="s">
        <v>39</v>
      </c>
      <c r="E1108" s="95" t="s">
        <v>39</v>
      </c>
      <c r="F1108" s="95" t="s">
        <v>19</v>
      </c>
      <c r="G1108" s="95" t="s">
        <v>574</v>
      </c>
      <c r="H1108" s="95" t="s">
        <v>21</v>
      </c>
      <c r="I1108" s="95" t="s">
        <v>567</v>
      </c>
      <c r="J1108" s="97">
        <v>46021.51291517361</v>
      </c>
      <c r="K1108" s="95" t="s">
        <v>6615</v>
      </c>
      <c r="L1108" s="96" t="s">
        <v>6616</v>
      </c>
      <c r="M1108" s="95" t="s">
        <v>28</v>
      </c>
      <c r="N1108" s="95" t="s">
        <v>6611</v>
      </c>
      <c r="O1108" s="95" t="s">
        <v>6611</v>
      </c>
      <c r="P1108" s="95" t="s">
        <v>6612</v>
      </c>
      <c r="Q1108" s="98">
        <v>3.0</v>
      </c>
      <c r="R1108" s="97">
        <v>45894.53055555555</v>
      </c>
      <c r="S1108" s="99">
        <v>957.0</v>
      </c>
      <c r="T1108" s="99">
        <v>883.0</v>
      </c>
      <c r="U1108" s="99">
        <v>4.0</v>
      </c>
      <c r="V1108" s="99">
        <v>106.0</v>
      </c>
      <c r="W1108" s="99">
        <v>745184.0</v>
      </c>
    </row>
    <row r="1109" ht="15.75" customHeight="1">
      <c r="A1109" s="95" t="s">
        <v>6617</v>
      </c>
      <c r="B1109" s="95" t="s">
        <v>101</v>
      </c>
      <c r="C1109" s="96" t="s">
        <v>6618</v>
      </c>
      <c r="D1109" s="95" t="s">
        <v>39</v>
      </c>
      <c r="E1109" s="95" t="s">
        <v>39</v>
      </c>
      <c r="F1109" s="95" t="s">
        <v>19</v>
      </c>
      <c r="G1109" s="95" t="s">
        <v>19</v>
      </c>
      <c r="H1109" s="95" t="s">
        <v>21</v>
      </c>
      <c r="I1109" s="95" t="s">
        <v>6619</v>
      </c>
      <c r="J1109" s="97">
        <v>46021.51291517361</v>
      </c>
      <c r="K1109" s="95" t="s">
        <v>6620</v>
      </c>
      <c r="L1109" s="96" t="s">
        <v>6621</v>
      </c>
      <c r="M1109" s="95" t="s">
        <v>74</v>
      </c>
      <c r="N1109" s="95" t="s">
        <v>6622</v>
      </c>
      <c r="O1109" s="95" t="s">
        <v>6622</v>
      </c>
      <c r="P1109" s="95" t="s">
        <v>6623</v>
      </c>
      <c r="Q1109" s="98">
        <v>3.0</v>
      </c>
      <c r="R1109" s="97">
        <v>45628.65895833333</v>
      </c>
      <c r="S1109" s="99">
        <v>1645.0</v>
      </c>
      <c r="T1109" s="99">
        <v>181.0</v>
      </c>
      <c r="U1109" s="99">
        <v>1.0</v>
      </c>
      <c r="V1109" s="99">
        <v>80.0</v>
      </c>
      <c r="W1109" s="99">
        <v>148241.0</v>
      </c>
    </row>
    <row r="1110" ht="15.75" customHeight="1">
      <c r="A1110" s="95" t="s">
        <v>6624</v>
      </c>
      <c r="B1110" s="95" t="s">
        <v>22</v>
      </c>
      <c r="C1110" s="96" t="s">
        <v>6625</v>
      </c>
      <c r="D1110" s="95" t="s">
        <v>20</v>
      </c>
      <c r="E1110" s="95" t="s">
        <v>638</v>
      </c>
      <c r="F1110" s="95" t="s">
        <v>19</v>
      </c>
      <c r="G1110" s="95" t="s">
        <v>19</v>
      </c>
      <c r="H1110" s="95" t="s">
        <v>21</v>
      </c>
      <c r="I1110" s="95" t="s">
        <v>567</v>
      </c>
      <c r="J1110" s="97">
        <v>46021.50597040509</v>
      </c>
      <c r="K1110" s="95" t="s">
        <v>6626</v>
      </c>
      <c r="L1110" s="96" t="s">
        <v>6627</v>
      </c>
      <c r="M1110" s="95" t="s">
        <v>74</v>
      </c>
      <c r="N1110" s="95" t="s">
        <v>6628</v>
      </c>
      <c r="O1110" s="95" t="s">
        <v>6628</v>
      </c>
      <c r="P1110" s="95" t="s">
        <v>6629</v>
      </c>
      <c r="Q1110" s="98">
        <v>3.0</v>
      </c>
      <c r="R1110" s="97">
        <v>45672.71082175926</v>
      </c>
      <c r="S1110" s="99">
        <v>264.0</v>
      </c>
      <c r="T1110" s="99">
        <v>61.0</v>
      </c>
      <c r="U1110" s="99">
        <v>4.0</v>
      </c>
      <c r="V1110" s="99">
        <v>381.0</v>
      </c>
      <c r="W1110" s="99">
        <v>13585.0</v>
      </c>
    </row>
    <row r="1111" ht="15.75" customHeight="1">
      <c r="A1111" s="95" t="s">
        <v>6630</v>
      </c>
      <c r="B1111" s="95" t="s">
        <v>22</v>
      </c>
      <c r="C1111" s="96" t="s">
        <v>6631</v>
      </c>
      <c r="D1111" s="95" t="s">
        <v>124</v>
      </c>
      <c r="E1111" s="95" t="s">
        <v>983</v>
      </c>
      <c r="F1111" s="95" t="s">
        <v>19</v>
      </c>
      <c r="G1111" s="95" t="s">
        <v>19</v>
      </c>
      <c r="H1111" s="95" t="s">
        <v>21</v>
      </c>
      <c r="I1111" s="95" t="s">
        <v>677</v>
      </c>
      <c r="J1111" s="97">
        <v>45977.67517876157</v>
      </c>
      <c r="K1111" s="95" t="s">
        <v>6632</v>
      </c>
      <c r="L1111" s="96" t="s">
        <v>6633</v>
      </c>
      <c r="M1111" s="95" t="s">
        <v>38</v>
      </c>
      <c r="N1111" s="95" t="s">
        <v>6634</v>
      </c>
      <c r="O1111" s="95" t="s">
        <v>6634</v>
      </c>
      <c r="P1111" s="95" t="s">
        <v>6635</v>
      </c>
      <c r="Q1111" s="98">
        <v>3.0</v>
      </c>
      <c r="R1111" s="97">
        <v>45676.06538194444</v>
      </c>
      <c r="S1111" s="99">
        <v>1769.0</v>
      </c>
      <c r="T1111" s="99">
        <v>390.0</v>
      </c>
      <c r="U1111" s="99">
        <v>3.0</v>
      </c>
      <c r="V1111" s="99">
        <v>577.0</v>
      </c>
      <c r="W1111" s="99">
        <v>47160.0</v>
      </c>
    </row>
    <row r="1112" ht="15.75" customHeight="1">
      <c r="A1112" s="95" t="s">
        <v>6636</v>
      </c>
      <c r="B1112" s="95" t="s">
        <v>101</v>
      </c>
      <c r="C1112" s="96" t="s">
        <v>6637</v>
      </c>
      <c r="D1112" s="95" t="s">
        <v>39</v>
      </c>
      <c r="E1112" s="95" t="s">
        <v>1208</v>
      </c>
      <c r="F1112" s="95" t="s">
        <v>19</v>
      </c>
      <c r="G1112" s="95" t="s">
        <v>19</v>
      </c>
      <c r="H1112" s="95" t="s">
        <v>21</v>
      </c>
      <c r="I1112" s="95" t="s">
        <v>955</v>
      </c>
      <c r="J1112" s="97">
        <v>46021.49584533564</v>
      </c>
      <c r="K1112" s="95" t="s">
        <v>6638</v>
      </c>
      <c r="L1112" s="96" t="s">
        <v>6639</v>
      </c>
      <c r="M1112" s="95" t="s">
        <v>28</v>
      </c>
      <c r="N1112" s="95" t="s">
        <v>6640</v>
      </c>
      <c r="O1112" s="95" t="s">
        <v>6640</v>
      </c>
      <c r="P1112" s="95" t="s">
        <v>6641</v>
      </c>
      <c r="Q1112" s="98">
        <v>3.0</v>
      </c>
      <c r="R1112" s="97">
        <v>45613.82377314815</v>
      </c>
      <c r="S1112" s="99">
        <v>131.0</v>
      </c>
      <c r="T1112" s="99">
        <v>8.0</v>
      </c>
      <c r="U1112" s="99">
        <v>5.0</v>
      </c>
      <c r="V1112" s="99">
        <v>220.0</v>
      </c>
      <c r="W1112" s="99">
        <v>23821.0</v>
      </c>
    </row>
    <row r="1113" ht="15.75" customHeight="1">
      <c r="A1113" s="95" t="s">
        <v>6642</v>
      </c>
      <c r="B1113" s="95" t="s">
        <v>22</v>
      </c>
      <c r="C1113" s="96" t="s">
        <v>6643</v>
      </c>
      <c r="D1113" s="95" t="s">
        <v>39</v>
      </c>
      <c r="E1113" s="95" t="s">
        <v>39</v>
      </c>
      <c r="F1113" s="95" t="s">
        <v>19</v>
      </c>
      <c r="G1113" s="95" t="s">
        <v>574</v>
      </c>
      <c r="H1113" s="95" t="s">
        <v>21</v>
      </c>
      <c r="I1113" s="95" t="s">
        <v>589</v>
      </c>
      <c r="J1113" s="97">
        <v>46021.49584533564</v>
      </c>
      <c r="K1113" s="95" t="s">
        <v>6644</v>
      </c>
      <c r="L1113" s="96" t="s">
        <v>6645</v>
      </c>
      <c r="M1113" s="95" t="s">
        <v>28</v>
      </c>
      <c r="N1113" s="95" t="s">
        <v>6640</v>
      </c>
      <c r="O1113" s="95" t="s">
        <v>6640</v>
      </c>
      <c r="P1113" s="95" t="s">
        <v>6641</v>
      </c>
      <c r="Q1113" s="98">
        <v>3.0</v>
      </c>
      <c r="R1113" s="97">
        <v>45760.79949074074</v>
      </c>
      <c r="S1113" s="99">
        <v>131.0</v>
      </c>
      <c r="T1113" s="99">
        <v>50.0</v>
      </c>
      <c r="U1113" s="99">
        <v>19.0</v>
      </c>
      <c r="V1113" s="99">
        <v>282.0</v>
      </c>
      <c r="W1113" s="99">
        <v>23821.0</v>
      </c>
    </row>
    <row r="1114" ht="15.75" customHeight="1">
      <c r="A1114" s="95" t="s">
        <v>6646</v>
      </c>
      <c r="B1114" s="95" t="s">
        <v>22</v>
      </c>
      <c r="C1114" s="96" t="s">
        <v>6647</v>
      </c>
      <c r="D1114" s="95" t="s">
        <v>130</v>
      </c>
      <c r="E1114" s="95" t="s">
        <v>2109</v>
      </c>
      <c r="F1114" s="95" t="s">
        <v>19</v>
      </c>
      <c r="G1114" s="95" t="s">
        <v>19</v>
      </c>
      <c r="H1114" s="95" t="s">
        <v>21</v>
      </c>
      <c r="I1114" s="95" t="s">
        <v>943</v>
      </c>
      <c r="J1114" s="97">
        <v>46021.51291517361</v>
      </c>
      <c r="K1114" s="95" t="s">
        <v>6648</v>
      </c>
      <c r="L1114" s="96" t="s">
        <v>6649</v>
      </c>
      <c r="M1114" s="95" t="s">
        <v>28</v>
      </c>
      <c r="N1114" s="95" t="s">
        <v>6650</v>
      </c>
      <c r="O1114" s="95" t="s">
        <v>6650</v>
      </c>
      <c r="P1114" s="95" t="s">
        <v>6651</v>
      </c>
      <c r="Q1114" s="98">
        <v>3.0</v>
      </c>
      <c r="R1114" s="97">
        <v>45618.5971412037</v>
      </c>
      <c r="S1114" s="99">
        <v>3268.0</v>
      </c>
      <c r="T1114" s="99">
        <v>299.0</v>
      </c>
      <c r="U1114" s="99">
        <v>8.0</v>
      </c>
      <c r="V1114" s="99">
        <v>285.0</v>
      </c>
      <c r="W1114" s="99">
        <v>1055427.0</v>
      </c>
    </row>
    <row r="1115" ht="15.75" customHeight="1">
      <c r="A1115" s="95" t="s">
        <v>6652</v>
      </c>
      <c r="B1115" s="95" t="s">
        <v>22</v>
      </c>
      <c r="C1115" s="96" t="s">
        <v>6653</v>
      </c>
      <c r="D1115" s="95" t="s">
        <v>130</v>
      </c>
      <c r="E1115" s="95" t="s">
        <v>1318</v>
      </c>
      <c r="F1115" s="95" t="s">
        <v>19</v>
      </c>
      <c r="G1115" s="95" t="s">
        <v>19</v>
      </c>
      <c r="H1115" s="95" t="s">
        <v>21</v>
      </c>
      <c r="I1115" s="95" t="s">
        <v>633</v>
      </c>
      <c r="J1115" s="97">
        <v>45977.14561378472</v>
      </c>
      <c r="K1115" s="96" t="s">
        <v>6654</v>
      </c>
      <c r="L1115" s="96" t="s">
        <v>6655</v>
      </c>
      <c r="M1115" s="95" t="s">
        <v>17</v>
      </c>
      <c r="N1115" s="95" t="s">
        <v>6656</v>
      </c>
      <c r="O1115" s="95" t="s">
        <v>6656</v>
      </c>
      <c r="P1115" s="95" t="s">
        <v>6657</v>
      </c>
      <c r="Q1115" s="98">
        <v>3.0</v>
      </c>
      <c r="R1115" s="97">
        <v>45834.83084490741</v>
      </c>
      <c r="S1115" s="99">
        <v>200.0</v>
      </c>
      <c r="T1115" s="99">
        <v>1559.0</v>
      </c>
      <c r="U1115" s="99">
        <v>76.0</v>
      </c>
      <c r="V1115" s="99">
        <v>1099.0</v>
      </c>
      <c r="W1115" s="99">
        <v>131625.0</v>
      </c>
    </row>
    <row r="1116" ht="15.75" customHeight="1">
      <c r="A1116" s="95" t="s">
        <v>6658</v>
      </c>
      <c r="B1116" s="95" t="s">
        <v>22</v>
      </c>
      <c r="C1116" s="96" t="s">
        <v>6659</v>
      </c>
      <c r="D1116" s="95" t="s">
        <v>20</v>
      </c>
      <c r="E1116" s="95" t="s">
        <v>20</v>
      </c>
      <c r="F1116" s="95" t="s">
        <v>19</v>
      </c>
      <c r="G1116" s="95" t="s">
        <v>19</v>
      </c>
      <c r="H1116" s="95" t="s">
        <v>21</v>
      </c>
      <c r="I1116" s="95" t="s">
        <v>567</v>
      </c>
      <c r="J1116" s="97">
        <v>45975.67934811342</v>
      </c>
      <c r="K1116" s="96" t="s">
        <v>6660</v>
      </c>
      <c r="L1116" s="96" t="s">
        <v>6661</v>
      </c>
      <c r="M1116" s="95" t="s">
        <v>17</v>
      </c>
      <c r="N1116" s="95" t="s">
        <v>6662</v>
      </c>
      <c r="O1116" s="95" t="s">
        <v>6662</v>
      </c>
      <c r="P1116" s="95" t="s">
        <v>6663</v>
      </c>
      <c r="Q1116" s="98">
        <v>3.0</v>
      </c>
      <c r="R1116" s="97">
        <v>45640.03505787037</v>
      </c>
      <c r="S1116" s="99">
        <v>1286.0</v>
      </c>
      <c r="T1116" s="99">
        <v>1.0</v>
      </c>
      <c r="U1116" s="99">
        <v>12.0</v>
      </c>
      <c r="V1116" s="99">
        <v>100.0</v>
      </c>
      <c r="W1116" s="99">
        <v>56582.0</v>
      </c>
    </row>
    <row r="1117" ht="15.75" customHeight="1">
      <c r="A1117" s="95" t="s">
        <v>6664</v>
      </c>
      <c r="B1117" s="95" t="s">
        <v>22</v>
      </c>
      <c r="C1117" s="96" t="s">
        <v>6665</v>
      </c>
      <c r="D1117" s="95" t="s">
        <v>29</v>
      </c>
      <c r="E1117" s="95" t="s">
        <v>598</v>
      </c>
      <c r="F1117" s="95" t="s">
        <v>19</v>
      </c>
      <c r="G1117" s="95" t="s">
        <v>19</v>
      </c>
      <c r="H1117" s="95" t="s">
        <v>21</v>
      </c>
      <c r="I1117" s="95" t="s">
        <v>567</v>
      </c>
      <c r="J1117" s="97">
        <v>45975.67937189815</v>
      </c>
      <c r="K1117" s="96" t="s">
        <v>6666</v>
      </c>
      <c r="L1117" s="96" t="s">
        <v>6667</v>
      </c>
      <c r="M1117" s="95" t="s">
        <v>38</v>
      </c>
      <c r="N1117" s="95" t="s">
        <v>6668</v>
      </c>
      <c r="O1117" s="95" t="s">
        <v>6668</v>
      </c>
      <c r="P1117" s="95" t="s">
        <v>6669</v>
      </c>
      <c r="Q1117" s="98">
        <v>3.0</v>
      </c>
      <c r="R1117" s="97">
        <v>45686.73112268518</v>
      </c>
      <c r="S1117" s="99">
        <v>2347.0</v>
      </c>
      <c r="T1117" s="99">
        <v>209.0</v>
      </c>
      <c r="U1117" s="99">
        <v>1.0</v>
      </c>
      <c r="V1117" s="99">
        <v>120.0</v>
      </c>
      <c r="W1117" s="99">
        <v>50574.0</v>
      </c>
    </row>
    <row r="1118" ht="15.75" customHeight="1">
      <c r="A1118" s="95" t="s">
        <v>6670</v>
      </c>
      <c r="B1118" s="95" t="s">
        <v>157</v>
      </c>
      <c r="C1118" s="96" t="s">
        <v>6671</v>
      </c>
      <c r="D1118" s="95" t="s">
        <v>39</v>
      </c>
      <c r="E1118" s="95" t="s">
        <v>614</v>
      </c>
      <c r="F1118" s="95" t="s">
        <v>88</v>
      </c>
      <c r="G1118" s="95" t="s">
        <v>88</v>
      </c>
      <c r="H1118" s="95" t="s">
        <v>89</v>
      </c>
      <c r="I1118" s="95" t="s">
        <v>859</v>
      </c>
      <c r="J1118" s="97">
        <v>45975.67939547454</v>
      </c>
      <c r="K1118" s="96" t="s">
        <v>6672</v>
      </c>
      <c r="L1118" s="96" t="s">
        <v>6673</v>
      </c>
      <c r="M1118" s="95" t="s">
        <v>74</v>
      </c>
      <c r="N1118" s="95" t="s">
        <v>6674</v>
      </c>
      <c r="O1118" s="95" t="s">
        <v>6674</v>
      </c>
      <c r="P1118" s="95" t="s">
        <v>6675</v>
      </c>
      <c r="Q1118" s="98">
        <v>3.0</v>
      </c>
      <c r="R1118" s="97">
        <v>45827.70543981482</v>
      </c>
      <c r="S1118" s="99">
        <v>132.0</v>
      </c>
      <c r="T1118" s="99">
        <v>16.0</v>
      </c>
      <c r="U1118" s="99">
        <v>1.0</v>
      </c>
      <c r="V1118" s="99">
        <v>38.0</v>
      </c>
      <c r="W1118" s="99">
        <v>13509.0</v>
      </c>
    </row>
    <row r="1119" ht="15.75" customHeight="1">
      <c r="A1119" s="95" t="s">
        <v>6676</v>
      </c>
      <c r="B1119" s="95" t="s">
        <v>22</v>
      </c>
      <c r="C1119" s="96" t="s">
        <v>6677</v>
      </c>
      <c r="D1119" s="95" t="s">
        <v>39</v>
      </c>
      <c r="E1119" s="95" t="s">
        <v>39</v>
      </c>
      <c r="F1119" s="95" t="s">
        <v>19</v>
      </c>
      <c r="G1119" s="95" t="s">
        <v>19</v>
      </c>
      <c r="H1119" s="95" t="s">
        <v>21</v>
      </c>
      <c r="I1119" s="95" t="s">
        <v>567</v>
      </c>
      <c r="J1119" s="97">
        <v>46021.50597040509</v>
      </c>
      <c r="K1119" s="95" t="s">
        <v>6678</v>
      </c>
      <c r="L1119" s="96" t="s">
        <v>6679</v>
      </c>
      <c r="M1119" s="95" t="s">
        <v>38</v>
      </c>
      <c r="N1119" s="95" t="s">
        <v>6680</v>
      </c>
      <c r="O1119" s="95" t="s">
        <v>6680</v>
      </c>
      <c r="P1119" s="95" t="s">
        <v>6681</v>
      </c>
      <c r="Q1119" s="98">
        <v>3.0</v>
      </c>
      <c r="R1119" s="97">
        <v>45662.02811342593</v>
      </c>
      <c r="S1119" s="99">
        <v>952.0</v>
      </c>
      <c r="T1119" s="99">
        <v>38.0</v>
      </c>
      <c r="U1119" s="99">
        <v>1.0</v>
      </c>
      <c r="V1119" s="99">
        <v>311.0</v>
      </c>
      <c r="W1119" s="99">
        <v>10451.0</v>
      </c>
    </row>
    <row r="1120" ht="15.75" customHeight="1">
      <c r="A1120" s="95" t="s">
        <v>6682</v>
      </c>
      <c r="B1120" s="95" t="s">
        <v>157</v>
      </c>
      <c r="C1120" s="96" t="s">
        <v>6683</v>
      </c>
      <c r="D1120" s="95" t="s">
        <v>168</v>
      </c>
      <c r="E1120" s="95" t="s">
        <v>606</v>
      </c>
      <c r="F1120" s="95" t="s">
        <v>88</v>
      </c>
      <c r="G1120" s="95" t="s">
        <v>88</v>
      </c>
      <c r="H1120" s="95" t="s">
        <v>89</v>
      </c>
      <c r="I1120" s="95" t="s">
        <v>859</v>
      </c>
      <c r="J1120" s="97">
        <v>45978.46329891204</v>
      </c>
      <c r="K1120" s="95" t="s">
        <v>6684</v>
      </c>
      <c r="L1120" s="95"/>
      <c r="M1120" s="95" t="s">
        <v>17</v>
      </c>
      <c r="N1120" s="95" t="s">
        <v>6685</v>
      </c>
      <c r="O1120" s="95" t="s">
        <v>6685</v>
      </c>
      <c r="P1120" s="95" t="s">
        <v>6686</v>
      </c>
      <c r="Q1120" s="98">
        <v>3.0</v>
      </c>
      <c r="R1120" s="97">
        <v>45610.84199074074</v>
      </c>
      <c r="S1120" s="99">
        <v>3230.0</v>
      </c>
      <c r="T1120" s="99">
        <v>25.0</v>
      </c>
      <c r="U1120" s="99">
        <v>35.0</v>
      </c>
      <c r="V1120" s="99">
        <v>32.0</v>
      </c>
      <c r="W1120" s="99">
        <v>308261.0</v>
      </c>
    </row>
    <row r="1121" ht="15.75" customHeight="1">
      <c r="A1121" s="95" t="s">
        <v>6687</v>
      </c>
      <c r="B1121" s="95" t="s">
        <v>22</v>
      </c>
      <c r="C1121" s="96" t="s">
        <v>6688</v>
      </c>
      <c r="D1121" s="95" t="s">
        <v>168</v>
      </c>
      <c r="E1121" s="95" t="s">
        <v>606</v>
      </c>
      <c r="F1121" s="95" t="s">
        <v>19</v>
      </c>
      <c r="G1121" s="95" t="s">
        <v>19</v>
      </c>
      <c r="H1121" s="95" t="s">
        <v>21</v>
      </c>
      <c r="I1121" s="95" t="s">
        <v>567</v>
      </c>
      <c r="J1121" s="97">
        <v>45978.46329891204</v>
      </c>
      <c r="K1121" s="95" t="s">
        <v>6689</v>
      </c>
      <c r="L1121" s="95"/>
      <c r="M1121" s="95" t="s">
        <v>17</v>
      </c>
      <c r="N1121" s="95" t="s">
        <v>6685</v>
      </c>
      <c r="O1121" s="95" t="s">
        <v>6685</v>
      </c>
      <c r="P1121" s="95" t="s">
        <v>6686</v>
      </c>
      <c r="Q1121" s="98">
        <v>3.0</v>
      </c>
      <c r="R1121" s="97">
        <v>45845.87591435185</v>
      </c>
      <c r="S1121" s="99">
        <v>3230.0</v>
      </c>
      <c r="T1121" s="99">
        <v>278.0</v>
      </c>
      <c r="U1121" s="99">
        <v>1.0</v>
      </c>
      <c r="V1121" s="99">
        <v>206.0</v>
      </c>
      <c r="W1121" s="99">
        <v>308261.0</v>
      </c>
    </row>
    <row r="1122" ht="15.75" customHeight="1">
      <c r="A1122" s="95" t="s">
        <v>6690</v>
      </c>
      <c r="B1122" s="95" t="s">
        <v>22</v>
      </c>
      <c r="C1122" s="96" t="s">
        <v>6691</v>
      </c>
      <c r="D1122" s="95" t="s">
        <v>168</v>
      </c>
      <c r="E1122" s="95" t="s">
        <v>606</v>
      </c>
      <c r="F1122" s="95" t="s">
        <v>19</v>
      </c>
      <c r="G1122" s="95" t="s">
        <v>588</v>
      </c>
      <c r="H1122" s="95" t="s">
        <v>21</v>
      </c>
      <c r="I1122" s="95" t="s">
        <v>589</v>
      </c>
      <c r="J1122" s="97">
        <v>45975.67934811342</v>
      </c>
      <c r="K1122" s="96" t="s">
        <v>6692</v>
      </c>
      <c r="L1122" s="95"/>
      <c r="M1122" s="95" t="s">
        <v>17</v>
      </c>
      <c r="N1122" s="95" t="s">
        <v>6685</v>
      </c>
      <c r="O1122" s="95" t="s">
        <v>6685</v>
      </c>
      <c r="P1122" s="95" t="s">
        <v>6686</v>
      </c>
      <c r="Q1122" s="98">
        <v>3.0</v>
      </c>
      <c r="R1122" s="97">
        <v>45698.7931712963</v>
      </c>
      <c r="S1122" s="99">
        <v>3230.0</v>
      </c>
      <c r="T1122" s="99">
        <v>16.0</v>
      </c>
      <c r="U1122" s="99">
        <v>12.0</v>
      </c>
      <c r="V1122" s="99">
        <v>156.0</v>
      </c>
      <c r="W1122" s="99">
        <v>308261.0</v>
      </c>
    </row>
    <row r="1123" ht="15.75" customHeight="1">
      <c r="A1123" s="95" t="s">
        <v>6693</v>
      </c>
      <c r="B1123" s="95" t="s">
        <v>22</v>
      </c>
      <c r="C1123" s="96" t="s">
        <v>6694</v>
      </c>
      <c r="D1123" s="95" t="s">
        <v>124</v>
      </c>
      <c r="E1123" s="95" t="s">
        <v>1138</v>
      </c>
      <c r="F1123" s="95" t="s">
        <v>19</v>
      </c>
      <c r="G1123" s="95" t="s">
        <v>19</v>
      </c>
      <c r="H1123" s="95" t="s">
        <v>21</v>
      </c>
      <c r="I1123" s="95" t="s">
        <v>567</v>
      </c>
      <c r="J1123" s="97">
        <v>45986.5355421412</v>
      </c>
      <c r="K1123" s="95" t="s">
        <v>6695</v>
      </c>
      <c r="L1123" s="95"/>
      <c r="M1123" s="95" t="s">
        <v>28</v>
      </c>
      <c r="N1123" s="95" t="s">
        <v>6696</v>
      </c>
      <c r="O1123" s="95" t="s">
        <v>6696</v>
      </c>
      <c r="P1123" s="95" t="s">
        <v>6697</v>
      </c>
      <c r="Q1123" s="98">
        <v>3.0</v>
      </c>
      <c r="R1123" s="97">
        <v>45944.0191087963</v>
      </c>
      <c r="S1123" s="99">
        <v>298.0</v>
      </c>
      <c r="T1123" s="99">
        <v>38.0</v>
      </c>
      <c r="U1123" s="99">
        <v>5.0</v>
      </c>
      <c r="V1123" s="99">
        <v>17.0</v>
      </c>
      <c r="W1123" s="99">
        <v>676756.0</v>
      </c>
    </row>
    <row r="1124" ht="15.75" customHeight="1">
      <c r="A1124" s="95" t="s">
        <v>6698</v>
      </c>
      <c r="B1124" s="95" t="s">
        <v>22</v>
      </c>
      <c r="C1124" s="96" t="s">
        <v>6699</v>
      </c>
      <c r="D1124" s="95" t="s">
        <v>39</v>
      </c>
      <c r="E1124" s="95" t="s">
        <v>1201</v>
      </c>
      <c r="F1124" s="95" t="s">
        <v>19</v>
      </c>
      <c r="G1124" s="95" t="s">
        <v>19</v>
      </c>
      <c r="H1124" s="95" t="s">
        <v>21</v>
      </c>
      <c r="I1124" s="95" t="s">
        <v>567</v>
      </c>
      <c r="J1124" s="97">
        <v>46008.62896546297</v>
      </c>
      <c r="K1124" s="96" t="s">
        <v>6700</v>
      </c>
      <c r="L1124" s="96" t="s">
        <v>6701</v>
      </c>
      <c r="M1124" s="95" t="s">
        <v>54</v>
      </c>
      <c r="N1124" s="95" t="s">
        <v>6702</v>
      </c>
      <c r="O1124" s="95" t="s">
        <v>6702</v>
      </c>
      <c r="P1124" s="95" t="s">
        <v>6703</v>
      </c>
      <c r="Q1124" s="98">
        <v>3.0</v>
      </c>
      <c r="R1124" s="97">
        <v>45889.61824074074</v>
      </c>
      <c r="S1124" s="99">
        <v>2680.0</v>
      </c>
      <c r="T1124" s="99">
        <v>249.0</v>
      </c>
      <c r="U1124" s="99">
        <v>1.0</v>
      </c>
      <c r="V1124" s="99">
        <v>51.0</v>
      </c>
      <c r="W1124" s="99">
        <v>27225.0</v>
      </c>
    </row>
    <row r="1125" ht="15.75" customHeight="1">
      <c r="A1125" s="95" t="s">
        <v>6704</v>
      </c>
      <c r="B1125" s="95" t="s">
        <v>69</v>
      </c>
      <c r="C1125" s="96" t="s">
        <v>6705</v>
      </c>
      <c r="D1125" s="95" t="s">
        <v>39</v>
      </c>
      <c r="E1125" s="95" t="s">
        <v>1201</v>
      </c>
      <c r="F1125" s="95" t="s">
        <v>19</v>
      </c>
      <c r="G1125" s="95" t="s">
        <v>574</v>
      </c>
      <c r="H1125" s="95" t="s">
        <v>60</v>
      </c>
      <c r="I1125" s="95" t="s">
        <v>2126</v>
      </c>
      <c r="J1125" s="97">
        <v>45982.02396422454</v>
      </c>
      <c r="K1125" s="95" t="s">
        <v>6706</v>
      </c>
      <c r="L1125" s="96" t="s">
        <v>6707</v>
      </c>
      <c r="M1125" s="95" t="s">
        <v>54</v>
      </c>
      <c r="N1125" s="95" t="s">
        <v>6702</v>
      </c>
      <c r="O1125" s="95" t="s">
        <v>6702</v>
      </c>
      <c r="P1125" s="95" t="s">
        <v>6703</v>
      </c>
      <c r="Q1125" s="98">
        <v>3.0</v>
      </c>
      <c r="R1125" s="97">
        <v>45926.66383101852</v>
      </c>
      <c r="S1125" s="99">
        <v>2680.0</v>
      </c>
      <c r="T1125" s="99">
        <v>407.0</v>
      </c>
      <c r="U1125" s="99">
        <v>1.0</v>
      </c>
      <c r="V1125" s="99">
        <v>93.0</v>
      </c>
      <c r="W1125" s="99">
        <v>27225.0</v>
      </c>
    </row>
    <row r="1126" ht="15.75" customHeight="1">
      <c r="A1126" s="95" t="s">
        <v>6708</v>
      </c>
      <c r="B1126" s="95" t="s">
        <v>22</v>
      </c>
      <c r="C1126" s="96" t="s">
        <v>6709</v>
      </c>
      <c r="D1126" s="95" t="s">
        <v>124</v>
      </c>
      <c r="E1126" s="95" t="s">
        <v>6710</v>
      </c>
      <c r="F1126" s="95" t="s">
        <v>19</v>
      </c>
      <c r="G1126" s="95" t="s">
        <v>19</v>
      </c>
      <c r="H1126" s="95" t="s">
        <v>21</v>
      </c>
      <c r="I1126" s="95" t="s">
        <v>567</v>
      </c>
      <c r="J1126" s="97">
        <v>45975.67930844907</v>
      </c>
      <c r="K1126" s="96" t="s">
        <v>6711</v>
      </c>
      <c r="L1126" s="96" t="s">
        <v>6712</v>
      </c>
      <c r="M1126" s="95" t="s">
        <v>54</v>
      </c>
      <c r="N1126" s="95" t="s">
        <v>6713</v>
      </c>
      <c r="O1126" s="95" t="s">
        <v>6713</v>
      </c>
      <c r="P1126" s="95" t="s">
        <v>6714</v>
      </c>
      <c r="Q1126" s="98">
        <v>3.0</v>
      </c>
      <c r="R1126" s="97">
        <v>45890.92581018519</v>
      </c>
      <c r="S1126" s="99">
        <v>5806.0</v>
      </c>
      <c r="T1126" s="99">
        <v>105.0</v>
      </c>
      <c r="U1126" s="99">
        <v>14.0</v>
      </c>
      <c r="V1126" s="99">
        <v>376.0</v>
      </c>
      <c r="W1126" s="99">
        <v>34953.0</v>
      </c>
    </row>
    <row r="1127" ht="15.75" customHeight="1">
      <c r="A1127" s="95" t="s">
        <v>6715</v>
      </c>
      <c r="B1127" s="95" t="s">
        <v>22</v>
      </c>
      <c r="C1127" s="96" t="s">
        <v>6716</v>
      </c>
      <c r="D1127" s="95" t="s">
        <v>20</v>
      </c>
      <c r="E1127" s="95" t="s">
        <v>638</v>
      </c>
      <c r="F1127" s="95" t="s">
        <v>19</v>
      </c>
      <c r="G1127" s="95" t="s">
        <v>19</v>
      </c>
      <c r="H1127" s="95" t="s">
        <v>21</v>
      </c>
      <c r="I1127" s="95" t="s">
        <v>567</v>
      </c>
      <c r="J1127" s="97">
        <v>46011.60168425926</v>
      </c>
      <c r="K1127" s="95" t="s">
        <v>6717</v>
      </c>
      <c r="L1127" s="96" t="s">
        <v>6718</v>
      </c>
      <c r="M1127" s="95" t="s">
        <v>38</v>
      </c>
      <c r="N1127" s="95" t="s">
        <v>6719</v>
      </c>
      <c r="O1127" s="95" t="s">
        <v>6719</v>
      </c>
      <c r="P1127" s="95" t="s">
        <v>6720</v>
      </c>
      <c r="Q1127" s="98">
        <v>3.0</v>
      </c>
      <c r="R1127" s="97">
        <v>45995.06859953704</v>
      </c>
      <c r="S1127" s="99">
        <v>3202.0</v>
      </c>
      <c r="T1127" s="99">
        <v>139.0</v>
      </c>
      <c r="U1127" s="99">
        <v>2.0</v>
      </c>
      <c r="V1127" s="99">
        <v>52.0</v>
      </c>
      <c r="W1127" s="99">
        <v>40717.0</v>
      </c>
    </row>
    <row r="1128" ht="15.75" customHeight="1">
      <c r="A1128" s="95" t="s">
        <v>6721</v>
      </c>
      <c r="B1128" s="95" t="s">
        <v>22</v>
      </c>
      <c r="C1128" s="96" t="s">
        <v>6722</v>
      </c>
      <c r="D1128" s="95" t="s">
        <v>39</v>
      </c>
      <c r="E1128" s="95" t="s">
        <v>39</v>
      </c>
      <c r="F1128" s="95" t="s">
        <v>19</v>
      </c>
      <c r="G1128" s="95" t="s">
        <v>19</v>
      </c>
      <c r="H1128" s="95" t="s">
        <v>21</v>
      </c>
      <c r="I1128" s="95" t="s">
        <v>589</v>
      </c>
      <c r="J1128" s="97">
        <v>46002.69347975694</v>
      </c>
      <c r="K1128" s="95" t="s">
        <v>6723</v>
      </c>
      <c r="L1128" s="96" t="s">
        <v>6724</v>
      </c>
      <c r="M1128" s="95" t="s">
        <v>17</v>
      </c>
      <c r="N1128" s="95" t="s">
        <v>6725</v>
      </c>
      <c r="O1128" s="95" t="s">
        <v>6725</v>
      </c>
      <c r="P1128" s="95" t="s">
        <v>6726</v>
      </c>
      <c r="Q1128" s="98">
        <v>3.0</v>
      </c>
      <c r="R1128" s="97">
        <v>45779.41034722222</v>
      </c>
      <c r="S1128" s="99">
        <v>232.0</v>
      </c>
      <c r="T1128" s="99">
        <v>37.0</v>
      </c>
      <c r="U1128" s="99">
        <v>15.0</v>
      </c>
      <c r="V1128" s="99">
        <v>93.0</v>
      </c>
      <c r="W1128" s="99">
        <v>8291.0</v>
      </c>
    </row>
    <row r="1129" ht="15.75" customHeight="1">
      <c r="A1129" s="95" t="s">
        <v>6727</v>
      </c>
      <c r="B1129" s="95" t="s">
        <v>22</v>
      </c>
      <c r="C1129" s="96" t="s">
        <v>6728</v>
      </c>
      <c r="D1129" s="95" t="s">
        <v>29</v>
      </c>
      <c r="E1129" s="95" t="s">
        <v>598</v>
      </c>
      <c r="F1129" s="95" t="s">
        <v>19</v>
      </c>
      <c r="G1129" s="95" t="s">
        <v>19</v>
      </c>
      <c r="H1129" s="95" t="s">
        <v>21</v>
      </c>
      <c r="I1129" s="95" t="s">
        <v>567</v>
      </c>
      <c r="J1129" s="97">
        <v>46021.50597040509</v>
      </c>
      <c r="K1129" s="95" t="s">
        <v>6729</v>
      </c>
      <c r="L1129" s="96" t="s">
        <v>6730</v>
      </c>
      <c r="M1129" s="95" t="s">
        <v>74</v>
      </c>
      <c r="N1129" s="95" t="s">
        <v>6731</v>
      </c>
      <c r="O1129" s="95" t="s">
        <v>6731</v>
      </c>
      <c r="P1129" s="95" t="s">
        <v>6732</v>
      </c>
      <c r="Q1129" s="98">
        <v>3.0</v>
      </c>
      <c r="R1129" s="97">
        <v>45690.2314699074</v>
      </c>
      <c r="S1129" s="99">
        <v>75.0</v>
      </c>
      <c r="T1129" s="99">
        <v>3.0</v>
      </c>
      <c r="U1129" s="99">
        <v>4.0</v>
      </c>
      <c r="V1129" s="99">
        <v>337.0</v>
      </c>
      <c r="W1129" s="99">
        <v>64233.0</v>
      </c>
    </row>
    <row r="1130" ht="15.75" customHeight="1">
      <c r="A1130" s="95" t="s">
        <v>6733</v>
      </c>
      <c r="B1130" s="95" t="s">
        <v>22</v>
      </c>
      <c r="C1130" s="96" t="s">
        <v>6734</v>
      </c>
      <c r="D1130" s="95" t="s">
        <v>168</v>
      </c>
      <c r="E1130" s="95" t="s">
        <v>1228</v>
      </c>
      <c r="F1130" s="95" t="s">
        <v>19</v>
      </c>
      <c r="G1130" s="95" t="s">
        <v>19</v>
      </c>
      <c r="H1130" s="95" t="s">
        <v>21</v>
      </c>
      <c r="I1130" s="95" t="s">
        <v>567</v>
      </c>
      <c r="J1130" s="97">
        <v>45986.53211375</v>
      </c>
      <c r="K1130" s="95" t="s">
        <v>6735</v>
      </c>
      <c r="L1130" s="96" t="s">
        <v>6736</v>
      </c>
      <c r="M1130" s="95" t="s">
        <v>17</v>
      </c>
      <c r="N1130" s="95" t="s">
        <v>6737</v>
      </c>
      <c r="O1130" s="95" t="s">
        <v>6737</v>
      </c>
      <c r="P1130" s="95" t="s">
        <v>6738</v>
      </c>
      <c r="Q1130" s="98">
        <v>3.0</v>
      </c>
      <c r="R1130" s="97">
        <v>45688.82149305556</v>
      </c>
      <c r="S1130" s="99">
        <v>10358.0</v>
      </c>
      <c r="T1130" s="99">
        <v>234.0</v>
      </c>
      <c r="U1130" s="99">
        <v>132.0</v>
      </c>
      <c r="V1130" s="99">
        <v>77.0</v>
      </c>
      <c r="W1130" s="99">
        <v>130817.0</v>
      </c>
    </row>
    <row r="1131" ht="15.75" customHeight="1">
      <c r="A1131" s="95" t="s">
        <v>6739</v>
      </c>
      <c r="B1131" s="95" t="s">
        <v>22</v>
      </c>
      <c r="C1131" s="96" t="s">
        <v>6740</v>
      </c>
      <c r="D1131" s="95" t="s">
        <v>39</v>
      </c>
      <c r="E1131" s="95" t="s">
        <v>39</v>
      </c>
      <c r="F1131" s="95" t="s">
        <v>19</v>
      </c>
      <c r="G1131" s="95" t="s">
        <v>19</v>
      </c>
      <c r="H1131" s="95" t="s">
        <v>21</v>
      </c>
      <c r="I1131" s="95" t="s">
        <v>567</v>
      </c>
      <c r="J1131" s="97">
        <v>46021.50597040509</v>
      </c>
      <c r="K1131" s="95" t="s">
        <v>6741</v>
      </c>
      <c r="L1131" s="96" t="s">
        <v>6742</v>
      </c>
      <c r="M1131" s="95" t="s">
        <v>38</v>
      </c>
      <c r="N1131" s="95" t="s">
        <v>6743</v>
      </c>
      <c r="O1131" s="95" t="s">
        <v>6743</v>
      </c>
      <c r="P1131" s="95" t="s">
        <v>6744</v>
      </c>
      <c r="Q1131" s="98">
        <v>3.0</v>
      </c>
      <c r="R1131" s="97">
        <v>45776.63293981482</v>
      </c>
      <c r="S1131" s="99">
        <v>87.0</v>
      </c>
      <c r="T1131" s="99">
        <v>169.0</v>
      </c>
      <c r="U1131" s="99">
        <v>5.0</v>
      </c>
      <c r="V1131" s="99">
        <v>58.0</v>
      </c>
      <c r="W1131" s="99">
        <v>13540.0</v>
      </c>
    </row>
    <row r="1132" ht="15.75" customHeight="1">
      <c r="A1132" s="95" t="s">
        <v>6745</v>
      </c>
      <c r="B1132" s="95" t="s">
        <v>22</v>
      </c>
      <c r="C1132" s="96" t="s">
        <v>6746</v>
      </c>
      <c r="D1132" s="95" t="s">
        <v>20</v>
      </c>
      <c r="E1132" s="95" t="s">
        <v>638</v>
      </c>
      <c r="F1132" s="95" t="s">
        <v>19</v>
      </c>
      <c r="G1132" s="95" t="s">
        <v>19</v>
      </c>
      <c r="H1132" s="95" t="s">
        <v>21</v>
      </c>
      <c r="I1132" s="95" t="s">
        <v>567</v>
      </c>
      <c r="J1132" s="97">
        <v>46021.49322636574</v>
      </c>
      <c r="K1132" s="95" t="s">
        <v>6747</v>
      </c>
      <c r="L1132" s="96" t="s">
        <v>6748</v>
      </c>
      <c r="M1132" s="95" t="s">
        <v>74</v>
      </c>
      <c r="N1132" s="95" t="s">
        <v>6749</v>
      </c>
      <c r="O1132" s="95" t="s">
        <v>6749</v>
      </c>
      <c r="P1132" s="95" t="s">
        <v>6750</v>
      </c>
      <c r="Q1132" s="98">
        <v>3.0</v>
      </c>
      <c r="R1132" s="97">
        <v>45740.59701388889</v>
      </c>
      <c r="S1132" s="99">
        <v>568.0</v>
      </c>
      <c r="T1132" s="99">
        <v>1.0</v>
      </c>
      <c r="U1132" s="99">
        <v>1.0</v>
      </c>
      <c r="V1132" s="99">
        <v>38.0</v>
      </c>
      <c r="W1132" s="99">
        <v>9229.0</v>
      </c>
    </row>
    <row r="1133" ht="15.75" customHeight="1">
      <c r="A1133" s="95" t="s">
        <v>6751</v>
      </c>
      <c r="B1133" s="95" t="s">
        <v>22</v>
      </c>
      <c r="C1133" s="96" t="s">
        <v>6752</v>
      </c>
      <c r="D1133" s="95" t="s">
        <v>130</v>
      </c>
      <c r="E1133" s="95" t="s">
        <v>130</v>
      </c>
      <c r="F1133" s="95" t="s">
        <v>19</v>
      </c>
      <c r="G1133" s="95" t="s">
        <v>19</v>
      </c>
      <c r="H1133" s="95" t="s">
        <v>21</v>
      </c>
      <c r="I1133" s="95" t="s">
        <v>567</v>
      </c>
      <c r="J1133" s="97">
        <v>45977.67517876157</v>
      </c>
      <c r="K1133" s="95" t="s">
        <v>6753</v>
      </c>
      <c r="L1133" s="96" t="s">
        <v>6754</v>
      </c>
      <c r="M1133" s="95" t="s">
        <v>38</v>
      </c>
      <c r="N1133" s="95" t="s">
        <v>6755</v>
      </c>
      <c r="O1133" s="95" t="s">
        <v>6755</v>
      </c>
      <c r="P1133" s="95" t="s">
        <v>6756</v>
      </c>
      <c r="Q1133" s="98">
        <v>3.0</v>
      </c>
      <c r="R1133" s="97">
        <v>45810.80091435185</v>
      </c>
      <c r="S1133" s="99">
        <v>312.0</v>
      </c>
      <c r="T1133" s="99">
        <v>137.0</v>
      </c>
      <c r="U1133" s="99">
        <v>1.0</v>
      </c>
      <c r="V1133" s="99">
        <v>84.0</v>
      </c>
      <c r="W1133" s="99">
        <v>81742.0</v>
      </c>
    </row>
    <row r="1134" ht="15.75" customHeight="1">
      <c r="A1134" s="95" t="s">
        <v>6757</v>
      </c>
      <c r="B1134" s="95" t="s">
        <v>101</v>
      </c>
      <c r="C1134" s="96" t="s">
        <v>6758</v>
      </c>
      <c r="D1134" s="95" t="s">
        <v>59</v>
      </c>
      <c r="E1134" s="95" t="s">
        <v>59</v>
      </c>
      <c r="F1134" s="95" t="s">
        <v>19</v>
      </c>
      <c r="G1134" s="95" t="s">
        <v>19</v>
      </c>
      <c r="H1134" s="95" t="s">
        <v>21</v>
      </c>
      <c r="I1134" s="95" t="s">
        <v>6759</v>
      </c>
      <c r="J1134" s="97">
        <v>46003.09379704861</v>
      </c>
      <c r="K1134" s="95" t="s">
        <v>6760</v>
      </c>
      <c r="L1134" s="96" t="s">
        <v>6761</v>
      </c>
      <c r="M1134" s="95" t="s">
        <v>38</v>
      </c>
      <c r="N1134" s="95" t="s">
        <v>6755</v>
      </c>
      <c r="O1134" s="95" t="s">
        <v>6755</v>
      </c>
      <c r="P1134" s="95" t="s">
        <v>6756</v>
      </c>
      <c r="Q1134" s="98">
        <v>3.0</v>
      </c>
      <c r="R1134" s="97">
        <v>45856.38443287037</v>
      </c>
      <c r="S1134" s="99">
        <v>312.0</v>
      </c>
      <c r="T1134" s="99">
        <v>295.0</v>
      </c>
      <c r="U1134" s="99">
        <v>2.0</v>
      </c>
      <c r="V1134" s="99">
        <v>68.0</v>
      </c>
      <c r="W1134" s="99">
        <v>81742.0</v>
      </c>
    </row>
    <row r="1135" ht="15.75" customHeight="1">
      <c r="A1135" s="95" t="s">
        <v>6762</v>
      </c>
      <c r="B1135" s="95" t="s">
        <v>22</v>
      </c>
      <c r="C1135" s="96" t="s">
        <v>6763</v>
      </c>
      <c r="D1135" s="95" t="s">
        <v>39</v>
      </c>
      <c r="E1135" s="95" t="s">
        <v>614</v>
      </c>
      <c r="F1135" s="95" t="s">
        <v>19</v>
      </c>
      <c r="G1135" s="95" t="s">
        <v>19</v>
      </c>
      <c r="H1135" s="95" t="s">
        <v>21</v>
      </c>
      <c r="I1135" s="95" t="s">
        <v>567</v>
      </c>
      <c r="J1135" s="97">
        <v>46008.62899342593</v>
      </c>
      <c r="K1135" s="96" t="s">
        <v>6764</v>
      </c>
      <c r="L1135" s="96" t="s">
        <v>6765</v>
      </c>
      <c r="M1135" s="95" t="s">
        <v>93</v>
      </c>
      <c r="N1135" s="95" t="s">
        <v>6766</v>
      </c>
      <c r="O1135" s="95" t="s">
        <v>6766</v>
      </c>
      <c r="P1135" s="95" t="s">
        <v>6767</v>
      </c>
      <c r="Q1135" s="98">
        <v>3.0</v>
      </c>
      <c r="R1135" s="97">
        <v>44875.49149305555</v>
      </c>
      <c r="S1135" s="99">
        <v>2720.0</v>
      </c>
      <c r="T1135" s="99">
        <v>33.0</v>
      </c>
      <c r="U1135" s="99">
        <v>3.0</v>
      </c>
      <c r="V1135" s="99">
        <v>109.0</v>
      </c>
      <c r="W1135" s="99">
        <v>6482.0</v>
      </c>
    </row>
    <row r="1136" ht="15.75" customHeight="1">
      <c r="A1136" s="95" t="s">
        <v>6768</v>
      </c>
      <c r="B1136" s="95" t="s">
        <v>22</v>
      </c>
      <c r="C1136" s="96" t="s">
        <v>6769</v>
      </c>
      <c r="D1136" s="95" t="s">
        <v>59</v>
      </c>
      <c r="E1136" s="95" t="s">
        <v>6770</v>
      </c>
      <c r="F1136" s="95" t="s">
        <v>19</v>
      </c>
      <c r="G1136" s="95" t="s">
        <v>19</v>
      </c>
      <c r="H1136" s="95" t="s">
        <v>21</v>
      </c>
      <c r="I1136" s="95" t="s">
        <v>567</v>
      </c>
      <c r="J1136" s="97">
        <v>46021.51291517361</v>
      </c>
      <c r="K1136" s="95" t="s">
        <v>6771</v>
      </c>
      <c r="L1136" s="96" t="s">
        <v>6772</v>
      </c>
      <c r="M1136" s="95" t="s">
        <v>54</v>
      </c>
      <c r="N1136" s="95" t="s">
        <v>6773</v>
      </c>
      <c r="O1136" s="95" t="s">
        <v>6773</v>
      </c>
      <c r="P1136" s="95" t="s">
        <v>6774</v>
      </c>
      <c r="Q1136" s="98">
        <v>3.0</v>
      </c>
      <c r="R1136" s="97">
        <v>45854.71938657408</v>
      </c>
      <c r="S1136" s="99">
        <v>79.0</v>
      </c>
      <c r="T1136" s="99">
        <v>436.0</v>
      </c>
      <c r="U1136" s="99">
        <v>83.0</v>
      </c>
      <c r="V1136" s="99">
        <v>320.0</v>
      </c>
      <c r="W1136" s="99">
        <v>140130.0</v>
      </c>
    </row>
    <row r="1137" ht="15.75" customHeight="1">
      <c r="A1137" s="95" t="s">
        <v>6775</v>
      </c>
      <c r="B1137" s="95" t="s">
        <v>22</v>
      </c>
      <c r="C1137" s="96" t="s">
        <v>6776</v>
      </c>
      <c r="D1137" s="95" t="s">
        <v>59</v>
      </c>
      <c r="E1137" s="95" t="s">
        <v>6770</v>
      </c>
      <c r="F1137" s="95" t="s">
        <v>19</v>
      </c>
      <c r="G1137" s="95" t="s">
        <v>19</v>
      </c>
      <c r="H1137" s="95" t="s">
        <v>21</v>
      </c>
      <c r="I1137" s="95" t="s">
        <v>677</v>
      </c>
      <c r="J1137" s="97">
        <v>46021.51291517361</v>
      </c>
      <c r="K1137" s="95" t="s">
        <v>6777</v>
      </c>
      <c r="L1137" s="96" t="s">
        <v>6778</v>
      </c>
      <c r="M1137" s="95" t="s">
        <v>54</v>
      </c>
      <c r="N1137" s="95" t="s">
        <v>6773</v>
      </c>
      <c r="O1137" s="95" t="s">
        <v>6773</v>
      </c>
      <c r="P1137" s="95" t="s">
        <v>6774</v>
      </c>
      <c r="Q1137" s="98">
        <v>3.0</v>
      </c>
      <c r="R1137" s="97">
        <v>45909.59318287037</v>
      </c>
      <c r="S1137" s="99">
        <v>79.0</v>
      </c>
      <c r="T1137" s="99">
        <v>1428.0</v>
      </c>
      <c r="U1137" s="99">
        <v>63.0</v>
      </c>
      <c r="V1137" s="99">
        <v>409.0</v>
      </c>
      <c r="W1137" s="99">
        <v>140130.0</v>
      </c>
    </row>
    <row r="1138" ht="15.75" customHeight="1">
      <c r="A1138" s="95" t="s">
        <v>6779</v>
      </c>
      <c r="B1138" s="95" t="s">
        <v>22</v>
      </c>
      <c r="C1138" s="96" t="s">
        <v>6780</v>
      </c>
      <c r="D1138" s="95" t="s">
        <v>59</v>
      </c>
      <c r="E1138" s="95" t="s">
        <v>6770</v>
      </c>
      <c r="F1138" s="95" t="s">
        <v>19</v>
      </c>
      <c r="G1138" s="95" t="s">
        <v>574</v>
      </c>
      <c r="H1138" s="95" t="s">
        <v>21</v>
      </c>
      <c r="I1138" s="95" t="s">
        <v>567</v>
      </c>
      <c r="J1138" s="97">
        <v>46021.51291517361</v>
      </c>
      <c r="K1138" s="95" t="s">
        <v>6781</v>
      </c>
      <c r="L1138" s="96" t="s">
        <v>6782</v>
      </c>
      <c r="M1138" s="95" t="s">
        <v>54</v>
      </c>
      <c r="N1138" s="95" t="s">
        <v>6773</v>
      </c>
      <c r="O1138" s="95" t="s">
        <v>6773</v>
      </c>
      <c r="P1138" s="95" t="s">
        <v>6774</v>
      </c>
      <c r="Q1138" s="98">
        <v>3.0</v>
      </c>
      <c r="R1138" s="97">
        <v>45839.53261574074</v>
      </c>
      <c r="S1138" s="99">
        <v>79.0</v>
      </c>
      <c r="T1138" s="99">
        <v>192.0</v>
      </c>
      <c r="U1138" s="99">
        <v>71.0</v>
      </c>
      <c r="V1138" s="99">
        <v>986.0</v>
      </c>
      <c r="W1138" s="99">
        <v>140130.0</v>
      </c>
    </row>
    <row r="1139" ht="15.75" customHeight="1">
      <c r="A1139" s="95" t="s">
        <v>6783</v>
      </c>
      <c r="B1139" s="95" t="s">
        <v>22</v>
      </c>
      <c r="C1139" s="96" t="s">
        <v>6784</v>
      </c>
      <c r="D1139" s="95" t="s">
        <v>20</v>
      </c>
      <c r="E1139" s="95" t="s">
        <v>879</v>
      </c>
      <c r="F1139" s="95" t="s">
        <v>19</v>
      </c>
      <c r="G1139" s="95" t="s">
        <v>574</v>
      </c>
      <c r="H1139" s="95" t="s">
        <v>21</v>
      </c>
      <c r="I1139" s="95" t="s">
        <v>567</v>
      </c>
      <c r="J1139" s="97">
        <v>46021.51291517361</v>
      </c>
      <c r="K1139" s="95" t="s">
        <v>6785</v>
      </c>
      <c r="L1139" s="96" t="s">
        <v>6786</v>
      </c>
      <c r="M1139" s="95" t="s">
        <v>54</v>
      </c>
      <c r="N1139" s="95" t="s">
        <v>6773</v>
      </c>
      <c r="O1139" s="95" t="s">
        <v>6773</v>
      </c>
      <c r="P1139" s="95" t="s">
        <v>6774</v>
      </c>
      <c r="Q1139" s="98">
        <v>3.0</v>
      </c>
      <c r="R1139" s="97">
        <v>45887.6559375</v>
      </c>
      <c r="S1139" s="99">
        <v>79.0</v>
      </c>
      <c r="T1139" s="99">
        <v>819.0</v>
      </c>
      <c r="U1139" s="99">
        <v>462.0</v>
      </c>
      <c r="V1139" s="99">
        <v>2631.0</v>
      </c>
      <c r="W1139" s="99">
        <v>140130.0</v>
      </c>
    </row>
    <row r="1140" ht="15.75" customHeight="1">
      <c r="A1140" s="95" t="s">
        <v>6787</v>
      </c>
      <c r="B1140" s="95" t="s">
        <v>22</v>
      </c>
      <c r="C1140" s="96" t="s">
        <v>6788</v>
      </c>
      <c r="D1140" s="95" t="s">
        <v>59</v>
      </c>
      <c r="E1140" s="95" t="s">
        <v>6770</v>
      </c>
      <c r="F1140" s="95" t="s">
        <v>19</v>
      </c>
      <c r="G1140" s="95" t="s">
        <v>19</v>
      </c>
      <c r="H1140" s="95" t="s">
        <v>21</v>
      </c>
      <c r="I1140" s="95" t="s">
        <v>567</v>
      </c>
      <c r="J1140" s="97">
        <v>46021.51291517361</v>
      </c>
      <c r="K1140" s="95" t="s">
        <v>6789</v>
      </c>
      <c r="L1140" s="96" t="s">
        <v>6790</v>
      </c>
      <c r="M1140" s="95" t="s">
        <v>54</v>
      </c>
      <c r="N1140" s="95" t="s">
        <v>6773</v>
      </c>
      <c r="O1140" s="95" t="s">
        <v>6773</v>
      </c>
      <c r="P1140" s="95" t="s">
        <v>6774</v>
      </c>
      <c r="Q1140" s="98">
        <v>3.0</v>
      </c>
      <c r="R1140" s="97">
        <v>45847.72658564815</v>
      </c>
      <c r="S1140" s="99">
        <v>79.0</v>
      </c>
      <c r="T1140" s="99">
        <v>339.0</v>
      </c>
      <c r="U1140" s="99">
        <v>39.0</v>
      </c>
      <c r="V1140" s="99">
        <v>206.0</v>
      </c>
      <c r="W1140" s="99">
        <v>140130.0</v>
      </c>
    </row>
    <row r="1141" ht="15.75" customHeight="1">
      <c r="A1141" s="95" t="s">
        <v>6791</v>
      </c>
      <c r="B1141" s="95" t="s">
        <v>22</v>
      </c>
      <c r="C1141" s="96" t="s">
        <v>6792</v>
      </c>
      <c r="D1141" s="95" t="s">
        <v>59</v>
      </c>
      <c r="E1141" s="95" t="s">
        <v>6770</v>
      </c>
      <c r="F1141" s="95" t="s">
        <v>19</v>
      </c>
      <c r="G1141" s="95" t="s">
        <v>19</v>
      </c>
      <c r="H1141" s="95" t="s">
        <v>21</v>
      </c>
      <c r="I1141" s="95" t="s">
        <v>567</v>
      </c>
      <c r="J1141" s="97">
        <v>46021.51291517361</v>
      </c>
      <c r="K1141" s="95" t="s">
        <v>6793</v>
      </c>
      <c r="L1141" s="96" t="s">
        <v>6794</v>
      </c>
      <c r="M1141" s="95" t="s">
        <v>54</v>
      </c>
      <c r="N1141" s="95" t="s">
        <v>6773</v>
      </c>
      <c r="O1141" s="95" t="s">
        <v>6773</v>
      </c>
      <c r="P1141" s="95" t="s">
        <v>6774</v>
      </c>
      <c r="Q1141" s="98">
        <v>3.0</v>
      </c>
      <c r="R1141" s="97">
        <v>45870.41644675926</v>
      </c>
      <c r="S1141" s="99">
        <v>79.0</v>
      </c>
      <c r="T1141" s="99">
        <v>577.0</v>
      </c>
      <c r="U1141" s="99">
        <v>117.0</v>
      </c>
      <c r="V1141" s="99">
        <v>390.0</v>
      </c>
      <c r="W1141" s="99">
        <v>140130.0</v>
      </c>
    </row>
    <row r="1142" ht="15.75" customHeight="1">
      <c r="A1142" s="95" t="s">
        <v>6795</v>
      </c>
      <c r="B1142" s="95" t="s">
        <v>22</v>
      </c>
      <c r="C1142" s="96" t="s">
        <v>6796</v>
      </c>
      <c r="D1142" s="95" t="s">
        <v>59</v>
      </c>
      <c r="E1142" s="95" t="s">
        <v>6770</v>
      </c>
      <c r="F1142" s="95" t="s">
        <v>19</v>
      </c>
      <c r="G1142" s="95" t="s">
        <v>19</v>
      </c>
      <c r="H1142" s="95" t="s">
        <v>21</v>
      </c>
      <c r="I1142" s="95" t="s">
        <v>567</v>
      </c>
      <c r="J1142" s="97">
        <v>46021.51291517361</v>
      </c>
      <c r="K1142" s="95" t="s">
        <v>6797</v>
      </c>
      <c r="L1142" s="96" t="s">
        <v>6798</v>
      </c>
      <c r="M1142" s="95" t="s">
        <v>54</v>
      </c>
      <c r="N1142" s="95" t="s">
        <v>6773</v>
      </c>
      <c r="O1142" s="95" t="s">
        <v>6773</v>
      </c>
      <c r="P1142" s="95" t="s">
        <v>6774</v>
      </c>
      <c r="Q1142" s="98">
        <v>3.0</v>
      </c>
      <c r="R1142" s="97">
        <v>45856.40783564815</v>
      </c>
      <c r="S1142" s="99">
        <v>79.0</v>
      </c>
      <c r="T1142" s="99">
        <v>519.0</v>
      </c>
      <c r="U1142" s="99">
        <v>16.0</v>
      </c>
      <c r="V1142" s="99">
        <v>76.0</v>
      </c>
      <c r="W1142" s="99">
        <v>140130.0</v>
      </c>
    </row>
    <row r="1143" ht="15.75" customHeight="1">
      <c r="A1143" s="95" t="s">
        <v>6799</v>
      </c>
      <c r="B1143" s="95" t="s">
        <v>22</v>
      </c>
      <c r="C1143" s="96" t="s">
        <v>6800</v>
      </c>
      <c r="D1143" s="95" t="s">
        <v>59</v>
      </c>
      <c r="E1143" s="95" t="s">
        <v>1873</v>
      </c>
      <c r="F1143" s="95" t="s">
        <v>19</v>
      </c>
      <c r="G1143" s="95" t="s">
        <v>19</v>
      </c>
      <c r="H1143" s="95" t="s">
        <v>21</v>
      </c>
      <c r="I1143" s="95" t="s">
        <v>633</v>
      </c>
      <c r="J1143" s="97">
        <v>46021.51291517361</v>
      </c>
      <c r="K1143" s="95" t="s">
        <v>6801</v>
      </c>
      <c r="L1143" s="96" t="s">
        <v>6802</v>
      </c>
      <c r="M1143" s="95" t="s">
        <v>54</v>
      </c>
      <c r="N1143" s="95" t="s">
        <v>6773</v>
      </c>
      <c r="O1143" s="95" t="s">
        <v>6773</v>
      </c>
      <c r="P1143" s="95" t="s">
        <v>6774</v>
      </c>
      <c r="Q1143" s="98">
        <v>3.0</v>
      </c>
      <c r="R1143" s="97">
        <v>45889.77400462963</v>
      </c>
      <c r="S1143" s="99">
        <v>79.0</v>
      </c>
      <c r="T1143" s="99">
        <v>1291.0</v>
      </c>
      <c r="U1143" s="99">
        <v>39.0</v>
      </c>
      <c r="V1143" s="99">
        <v>474.0</v>
      </c>
      <c r="W1143" s="99">
        <v>140130.0</v>
      </c>
    </row>
    <row r="1144" ht="15.75" customHeight="1">
      <c r="A1144" s="95" t="s">
        <v>6803</v>
      </c>
      <c r="B1144" s="95" t="s">
        <v>22</v>
      </c>
      <c r="C1144" s="96" t="s">
        <v>6804</v>
      </c>
      <c r="D1144" s="95" t="s">
        <v>124</v>
      </c>
      <c r="E1144" s="95" t="s">
        <v>794</v>
      </c>
      <c r="F1144" s="95" t="s">
        <v>19</v>
      </c>
      <c r="G1144" s="95" t="s">
        <v>574</v>
      </c>
      <c r="H1144" s="95" t="s">
        <v>21</v>
      </c>
      <c r="I1144" s="95" t="s">
        <v>567</v>
      </c>
      <c r="J1144" s="97">
        <v>46056.93918255787</v>
      </c>
      <c r="K1144" s="95" t="s">
        <v>6805</v>
      </c>
      <c r="L1144" s="96" t="s">
        <v>6806</v>
      </c>
      <c r="M1144" s="95" t="s">
        <v>503</v>
      </c>
      <c r="N1144" s="95" t="s">
        <v>6807</v>
      </c>
      <c r="O1144" s="95" t="s">
        <v>6807</v>
      </c>
      <c r="P1144" s="95" t="s">
        <v>6808</v>
      </c>
      <c r="Q1144" s="98">
        <v>3.0</v>
      </c>
      <c r="R1144" s="97">
        <v>45762.59332175926</v>
      </c>
      <c r="S1144" s="99">
        <v>543.0</v>
      </c>
      <c r="T1144" s="99">
        <v>82.0</v>
      </c>
      <c r="U1144" s="99">
        <v>2.0</v>
      </c>
      <c r="V1144" s="99">
        <v>48.0</v>
      </c>
      <c r="W1144" s="95"/>
    </row>
    <row r="1145" ht="15.75" customHeight="1">
      <c r="A1145" s="95" t="s">
        <v>6809</v>
      </c>
      <c r="B1145" s="95" t="s">
        <v>22</v>
      </c>
      <c r="C1145" s="96" t="s">
        <v>6810</v>
      </c>
      <c r="D1145" s="95" t="s">
        <v>39</v>
      </c>
      <c r="E1145" s="95" t="s">
        <v>39</v>
      </c>
      <c r="F1145" s="95" t="s">
        <v>19</v>
      </c>
      <c r="G1145" s="95" t="s">
        <v>19</v>
      </c>
      <c r="H1145" s="95" t="s">
        <v>21</v>
      </c>
      <c r="I1145" s="95" t="s">
        <v>589</v>
      </c>
      <c r="J1145" s="97">
        <v>46061.01691743056</v>
      </c>
      <c r="K1145" s="95" t="s">
        <v>6811</v>
      </c>
      <c r="L1145" s="96" t="s">
        <v>6812</v>
      </c>
      <c r="M1145" s="95" t="s">
        <v>503</v>
      </c>
      <c r="N1145" s="95" t="s">
        <v>6813</v>
      </c>
      <c r="O1145" s="95" t="s">
        <v>6813</v>
      </c>
      <c r="P1145" s="95" t="s">
        <v>6814</v>
      </c>
      <c r="Q1145" s="98">
        <v>3.0</v>
      </c>
      <c r="R1145" s="97">
        <v>45953.6427662037</v>
      </c>
      <c r="S1145" s="99">
        <v>352.0</v>
      </c>
      <c r="T1145" s="99">
        <v>125.0</v>
      </c>
      <c r="U1145" s="99">
        <v>1.0</v>
      </c>
      <c r="V1145" s="99">
        <v>20.0</v>
      </c>
      <c r="W1145" s="99">
        <v>55332.0</v>
      </c>
    </row>
    <row r="1146" ht="15.75" customHeight="1">
      <c r="A1146" s="95" t="s">
        <v>6815</v>
      </c>
      <c r="B1146" s="95" t="s">
        <v>101</v>
      </c>
      <c r="C1146" s="96" t="s">
        <v>6816</v>
      </c>
      <c r="D1146" s="95" t="s">
        <v>124</v>
      </c>
      <c r="E1146" s="95" t="s">
        <v>6817</v>
      </c>
      <c r="F1146" s="95" t="s">
        <v>19</v>
      </c>
      <c r="G1146" s="95" t="s">
        <v>574</v>
      </c>
      <c r="H1146" s="95" t="s">
        <v>21</v>
      </c>
      <c r="I1146" s="95" t="s">
        <v>955</v>
      </c>
      <c r="J1146" s="97">
        <v>45975.67935613426</v>
      </c>
      <c r="K1146" s="96" t="s">
        <v>6818</v>
      </c>
      <c r="L1146" s="96" t="s">
        <v>6819</v>
      </c>
      <c r="M1146" s="95" t="s">
        <v>17</v>
      </c>
      <c r="N1146" s="95" t="s">
        <v>6820</v>
      </c>
      <c r="O1146" s="95" t="s">
        <v>6820</v>
      </c>
      <c r="P1146" s="95" t="s">
        <v>6821</v>
      </c>
      <c r="Q1146" s="98">
        <v>3.0</v>
      </c>
      <c r="R1146" s="97">
        <v>45890.84690972222</v>
      </c>
      <c r="S1146" s="99">
        <v>139.0</v>
      </c>
      <c r="T1146" s="99">
        <v>4.0</v>
      </c>
      <c r="U1146" s="99">
        <v>1.0</v>
      </c>
      <c r="V1146" s="99">
        <v>102.0</v>
      </c>
      <c r="W1146" s="99">
        <v>2233543.0</v>
      </c>
    </row>
    <row r="1147" ht="15.75" customHeight="1">
      <c r="A1147" s="95" t="s">
        <v>6822</v>
      </c>
      <c r="B1147" s="95" t="s">
        <v>69</v>
      </c>
      <c r="C1147" s="96" t="s">
        <v>6823</v>
      </c>
      <c r="D1147" s="95" t="s">
        <v>39</v>
      </c>
      <c r="E1147" s="95" t="s">
        <v>614</v>
      </c>
      <c r="F1147" s="95" t="s">
        <v>88</v>
      </c>
      <c r="G1147" s="95" t="s">
        <v>639</v>
      </c>
      <c r="H1147" s="95" t="s">
        <v>89</v>
      </c>
      <c r="I1147" s="95" t="s">
        <v>1922</v>
      </c>
      <c r="J1147" s="97">
        <v>45975.6793321412</v>
      </c>
      <c r="K1147" s="96" t="s">
        <v>6824</v>
      </c>
      <c r="L1147" s="96" t="s">
        <v>6825</v>
      </c>
      <c r="M1147" s="95" t="s">
        <v>503</v>
      </c>
      <c r="N1147" s="95" t="s">
        <v>6826</v>
      </c>
      <c r="O1147" s="95" t="s">
        <v>6826</v>
      </c>
      <c r="P1147" s="95" t="s">
        <v>6827</v>
      </c>
      <c r="Q1147" s="98">
        <v>3.0</v>
      </c>
      <c r="R1147" s="97">
        <v>45924.39491898148</v>
      </c>
      <c r="S1147" s="99">
        <v>3033.0</v>
      </c>
      <c r="T1147" s="99">
        <v>568.0</v>
      </c>
      <c r="U1147" s="99">
        <v>1.0</v>
      </c>
      <c r="V1147" s="99">
        <v>45.0</v>
      </c>
      <c r="W1147" s="99">
        <v>18448.0</v>
      </c>
    </row>
    <row r="1148" ht="15.75" customHeight="1">
      <c r="A1148" s="95" t="s">
        <v>6828</v>
      </c>
      <c r="B1148" s="95" t="s">
        <v>69</v>
      </c>
      <c r="C1148" s="96" t="s">
        <v>6829</v>
      </c>
      <c r="D1148" s="95" t="s">
        <v>39</v>
      </c>
      <c r="E1148" s="95" t="s">
        <v>614</v>
      </c>
      <c r="F1148" s="95" t="s">
        <v>58</v>
      </c>
      <c r="G1148" s="95" t="s">
        <v>2409</v>
      </c>
      <c r="H1148" s="95" t="s">
        <v>89</v>
      </c>
      <c r="I1148" s="95" t="s">
        <v>1477</v>
      </c>
      <c r="J1148" s="97">
        <v>46035.76896512732</v>
      </c>
      <c r="K1148" s="95" t="s">
        <v>6830</v>
      </c>
      <c r="L1148" s="96" t="s">
        <v>6831</v>
      </c>
      <c r="M1148" s="95" t="s">
        <v>503</v>
      </c>
      <c r="N1148" s="95" t="s">
        <v>6826</v>
      </c>
      <c r="O1148" s="95" t="s">
        <v>6826</v>
      </c>
      <c r="P1148" s="95" t="s">
        <v>6827</v>
      </c>
      <c r="Q1148" s="98">
        <v>3.0</v>
      </c>
      <c r="R1148" s="97">
        <v>45827.55537037037</v>
      </c>
      <c r="S1148" s="99">
        <v>3033.0</v>
      </c>
      <c r="T1148" s="99">
        <v>561.0</v>
      </c>
      <c r="U1148" s="99">
        <v>10.0</v>
      </c>
      <c r="V1148" s="99">
        <v>353.0</v>
      </c>
      <c r="W1148" s="99">
        <v>18448.0</v>
      </c>
    </row>
    <row r="1149" ht="15.75" customHeight="1">
      <c r="A1149" s="95" t="s">
        <v>6832</v>
      </c>
      <c r="B1149" s="95" t="s">
        <v>22</v>
      </c>
      <c r="C1149" s="96" t="s">
        <v>6833</v>
      </c>
      <c r="D1149" s="95" t="s">
        <v>29</v>
      </c>
      <c r="E1149" s="95" t="s">
        <v>598</v>
      </c>
      <c r="F1149" s="95" t="s">
        <v>19</v>
      </c>
      <c r="G1149" s="95" t="s">
        <v>19</v>
      </c>
      <c r="H1149" s="95" t="s">
        <v>21</v>
      </c>
      <c r="I1149" s="95" t="s">
        <v>677</v>
      </c>
      <c r="J1149" s="97">
        <v>46021.50597040509</v>
      </c>
      <c r="K1149" s="95" t="s">
        <v>6834</v>
      </c>
      <c r="L1149" s="96" t="s">
        <v>6835</v>
      </c>
      <c r="M1149" s="95" t="s">
        <v>93</v>
      </c>
      <c r="N1149" s="95" t="s">
        <v>6836</v>
      </c>
      <c r="O1149" s="95" t="s">
        <v>6836</v>
      </c>
      <c r="P1149" s="95" t="s">
        <v>6837</v>
      </c>
      <c r="Q1149" s="98">
        <v>3.0</v>
      </c>
      <c r="R1149" s="97">
        <v>45880.63909722222</v>
      </c>
      <c r="S1149" s="99">
        <v>1153.0</v>
      </c>
      <c r="T1149" s="99">
        <v>1490.0</v>
      </c>
      <c r="U1149" s="99">
        <v>8.0</v>
      </c>
      <c r="V1149" s="99">
        <v>168.0</v>
      </c>
      <c r="W1149" s="99">
        <v>59291.0</v>
      </c>
    </row>
    <row r="1150" ht="15.75" customHeight="1">
      <c r="A1150" s="95" t="s">
        <v>6838</v>
      </c>
      <c r="B1150" s="95" t="s">
        <v>69</v>
      </c>
      <c r="C1150" s="96" t="s">
        <v>6839</v>
      </c>
      <c r="D1150" s="95" t="s">
        <v>39</v>
      </c>
      <c r="E1150" s="95" t="s">
        <v>1269</v>
      </c>
      <c r="F1150" s="95" t="s">
        <v>19</v>
      </c>
      <c r="G1150" s="95" t="s">
        <v>574</v>
      </c>
      <c r="H1150" s="95" t="s">
        <v>89</v>
      </c>
      <c r="I1150" s="95" t="s">
        <v>5496</v>
      </c>
      <c r="J1150" s="97">
        <v>46021.50597040509</v>
      </c>
      <c r="K1150" s="95" t="s">
        <v>6840</v>
      </c>
      <c r="L1150" s="96" t="s">
        <v>6841</v>
      </c>
      <c r="M1150" s="95" t="s">
        <v>74</v>
      </c>
      <c r="N1150" s="95" t="s">
        <v>6842</v>
      </c>
      <c r="O1150" s="95" t="s">
        <v>6842</v>
      </c>
      <c r="P1150" s="95" t="s">
        <v>6843</v>
      </c>
      <c r="Q1150" s="98">
        <v>3.0</v>
      </c>
      <c r="R1150" s="97">
        <v>45777.95958333334</v>
      </c>
      <c r="S1150" s="99">
        <v>93.0</v>
      </c>
      <c r="T1150" s="99">
        <v>33.0</v>
      </c>
      <c r="U1150" s="99">
        <v>2.0</v>
      </c>
      <c r="V1150" s="99">
        <v>88.0</v>
      </c>
      <c r="W1150" s="99">
        <v>1763.0</v>
      </c>
    </row>
    <row r="1151" ht="15.75" customHeight="1">
      <c r="A1151" s="95" t="s">
        <v>6844</v>
      </c>
      <c r="B1151" s="95" t="s">
        <v>22</v>
      </c>
      <c r="C1151" s="96" t="s">
        <v>6845</v>
      </c>
      <c r="D1151" s="95" t="s">
        <v>68</v>
      </c>
      <c r="E1151" s="95" t="s">
        <v>68</v>
      </c>
      <c r="F1151" s="95" t="s">
        <v>19</v>
      </c>
      <c r="G1151" s="95" t="s">
        <v>574</v>
      </c>
      <c r="H1151" s="95" t="s">
        <v>21</v>
      </c>
      <c r="I1151" s="95" t="s">
        <v>567</v>
      </c>
      <c r="J1151" s="97">
        <v>45993.7854622338</v>
      </c>
      <c r="K1151" s="96" t="s">
        <v>6846</v>
      </c>
      <c r="L1151" s="96" t="s">
        <v>6847</v>
      </c>
      <c r="M1151" s="95" t="s">
        <v>38</v>
      </c>
      <c r="N1151" s="95" t="s">
        <v>6848</v>
      </c>
      <c r="O1151" s="95" t="s">
        <v>6848</v>
      </c>
      <c r="P1151" s="95" t="s">
        <v>6849</v>
      </c>
      <c r="Q1151" s="98">
        <v>3.0</v>
      </c>
      <c r="R1151" s="97">
        <v>45730.63064814815</v>
      </c>
      <c r="S1151" s="99">
        <v>7506.0</v>
      </c>
      <c r="T1151" s="99">
        <v>134.0</v>
      </c>
      <c r="U1151" s="99">
        <v>2.0</v>
      </c>
      <c r="V1151" s="99">
        <v>960.0</v>
      </c>
      <c r="W1151" s="99">
        <v>36260.0</v>
      </c>
    </row>
    <row r="1152" ht="15.75" customHeight="1">
      <c r="A1152" s="95" t="s">
        <v>6850</v>
      </c>
      <c r="B1152" s="95" t="s">
        <v>22</v>
      </c>
      <c r="C1152" s="96" t="s">
        <v>6851</v>
      </c>
      <c r="D1152" s="95" t="s">
        <v>547</v>
      </c>
      <c r="E1152" s="95" t="s">
        <v>6852</v>
      </c>
      <c r="F1152" s="95" t="s">
        <v>19</v>
      </c>
      <c r="G1152" s="95" t="s">
        <v>19</v>
      </c>
      <c r="H1152" s="95" t="s">
        <v>21</v>
      </c>
      <c r="I1152" s="95" t="s">
        <v>567</v>
      </c>
      <c r="J1152" s="97">
        <v>45975.67935613426</v>
      </c>
      <c r="K1152" s="96" t="s">
        <v>6853</v>
      </c>
      <c r="L1152" s="96" t="s">
        <v>6854</v>
      </c>
      <c r="M1152" s="95" t="s">
        <v>17</v>
      </c>
      <c r="N1152" s="95" t="s">
        <v>6855</v>
      </c>
      <c r="O1152" s="95" t="s">
        <v>6855</v>
      </c>
      <c r="P1152" s="95" t="s">
        <v>6856</v>
      </c>
      <c r="Q1152" s="98">
        <v>3.0</v>
      </c>
      <c r="R1152" s="97">
        <v>45730.98518518519</v>
      </c>
      <c r="S1152" s="99">
        <v>2592.0</v>
      </c>
      <c r="T1152" s="99">
        <v>115.0</v>
      </c>
      <c r="U1152" s="99">
        <v>2.0</v>
      </c>
      <c r="V1152" s="99">
        <v>162.0</v>
      </c>
      <c r="W1152" s="99">
        <v>146358.0</v>
      </c>
    </row>
    <row r="1153" ht="15.75" customHeight="1">
      <c r="A1153" s="95" t="s">
        <v>6857</v>
      </c>
      <c r="B1153" s="95" t="s">
        <v>22</v>
      </c>
      <c r="C1153" s="96" t="s">
        <v>6858</v>
      </c>
      <c r="D1153" s="95" t="s">
        <v>168</v>
      </c>
      <c r="E1153" s="95" t="s">
        <v>780</v>
      </c>
      <c r="F1153" s="95" t="s">
        <v>19</v>
      </c>
      <c r="G1153" s="95" t="s">
        <v>19</v>
      </c>
      <c r="H1153" s="95" t="s">
        <v>21</v>
      </c>
      <c r="I1153" s="95" t="s">
        <v>589</v>
      </c>
      <c r="J1153" s="97">
        <v>45978.46363230324</v>
      </c>
      <c r="K1153" s="95" t="s">
        <v>6859</v>
      </c>
      <c r="L1153" s="96" t="s">
        <v>6860</v>
      </c>
      <c r="M1153" s="95" t="s">
        <v>17</v>
      </c>
      <c r="N1153" s="95" t="s">
        <v>6861</v>
      </c>
      <c r="O1153" s="95" t="s">
        <v>6861</v>
      </c>
      <c r="P1153" s="95" t="s">
        <v>6862</v>
      </c>
      <c r="Q1153" s="98">
        <v>3.0</v>
      </c>
      <c r="R1153" s="97">
        <v>45660.83101851852</v>
      </c>
      <c r="S1153" s="99">
        <v>1519.0</v>
      </c>
      <c r="T1153" s="99">
        <v>4828.0</v>
      </c>
      <c r="U1153" s="99">
        <v>22.0</v>
      </c>
      <c r="V1153" s="99">
        <v>142.0</v>
      </c>
      <c r="W1153" s="99">
        <v>75974.0</v>
      </c>
    </row>
    <row r="1154" ht="15.75" customHeight="1">
      <c r="A1154" s="95" t="s">
        <v>6863</v>
      </c>
      <c r="B1154" s="95" t="s">
        <v>22</v>
      </c>
      <c r="C1154" s="96" t="s">
        <v>6864</v>
      </c>
      <c r="D1154" s="95" t="s">
        <v>168</v>
      </c>
      <c r="E1154" s="95" t="s">
        <v>1228</v>
      </c>
      <c r="F1154" s="95" t="s">
        <v>19</v>
      </c>
      <c r="G1154" s="95" t="s">
        <v>19</v>
      </c>
      <c r="H1154" s="95" t="s">
        <v>21</v>
      </c>
      <c r="I1154" s="95" t="s">
        <v>567</v>
      </c>
      <c r="J1154" s="97">
        <v>45975.67935613426</v>
      </c>
      <c r="K1154" s="96" t="s">
        <v>6865</v>
      </c>
      <c r="L1154" s="96" t="s">
        <v>6866</v>
      </c>
      <c r="M1154" s="95" t="s">
        <v>17</v>
      </c>
      <c r="N1154" s="95" t="s">
        <v>6861</v>
      </c>
      <c r="O1154" s="95" t="s">
        <v>6861</v>
      </c>
      <c r="P1154" s="95" t="s">
        <v>6862</v>
      </c>
      <c r="Q1154" s="98">
        <v>3.0</v>
      </c>
      <c r="R1154" s="97">
        <v>45639.40975694444</v>
      </c>
      <c r="S1154" s="99">
        <v>1519.0</v>
      </c>
      <c r="T1154" s="99">
        <v>24.0</v>
      </c>
      <c r="U1154" s="99">
        <v>1.0</v>
      </c>
      <c r="V1154" s="99">
        <v>30.0</v>
      </c>
      <c r="W1154" s="99">
        <v>75974.0</v>
      </c>
    </row>
    <row r="1155" ht="15.75" customHeight="1">
      <c r="A1155" s="95" t="s">
        <v>6867</v>
      </c>
      <c r="B1155" s="95" t="s">
        <v>22</v>
      </c>
      <c r="C1155" s="96" t="s">
        <v>6868</v>
      </c>
      <c r="D1155" s="95" t="s">
        <v>168</v>
      </c>
      <c r="E1155" s="95" t="s">
        <v>1228</v>
      </c>
      <c r="F1155" s="95" t="s">
        <v>19</v>
      </c>
      <c r="G1155" s="95" t="s">
        <v>19</v>
      </c>
      <c r="H1155" s="95" t="s">
        <v>21</v>
      </c>
      <c r="I1155" s="95" t="s">
        <v>567</v>
      </c>
      <c r="J1155" s="97">
        <v>45978.46363230324</v>
      </c>
      <c r="K1155" s="95" t="s">
        <v>6869</v>
      </c>
      <c r="L1155" s="96" t="s">
        <v>6870</v>
      </c>
      <c r="M1155" s="95" t="s">
        <v>17</v>
      </c>
      <c r="N1155" s="95" t="s">
        <v>6861</v>
      </c>
      <c r="O1155" s="95" t="s">
        <v>6861</v>
      </c>
      <c r="P1155" s="95" t="s">
        <v>6862</v>
      </c>
      <c r="Q1155" s="98">
        <v>3.0</v>
      </c>
      <c r="R1155" s="97">
        <v>45696.72456018518</v>
      </c>
      <c r="S1155" s="99">
        <v>1519.0</v>
      </c>
      <c r="T1155" s="99">
        <v>34.0</v>
      </c>
      <c r="U1155" s="99">
        <v>6.0</v>
      </c>
      <c r="V1155" s="99">
        <v>302.0</v>
      </c>
      <c r="W1155" s="99">
        <v>75974.0</v>
      </c>
    </row>
    <row r="1156" ht="15.75" customHeight="1">
      <c r="A1156" s="95" t="s">
        <v>6871</v>
      </c>
      <c r="B1156" s="95" t="s">
        <v>22</v>
      </c>
      <c r="C1156" s="96" t="s">
        <v>6872</v>
      </c>
      <c r="D1156" s="95" t="s">
        <v>168</v>
      </c>
      <c r="E1156" s="95" t="s">
        <v>780</v>
      </c>
      <c r="F1156" s="95" t="s">
        <v>19</v>
      </c>
      <c r="G1156" s="95" t="s">
        <v>19</v>
      </c>
      <c r="H1156" s="95" t="s">
        <v>21</v>
      </c>
      <c r="I1156" s="95" t="s">
        <v>567</v>
      </c>
      <c r="J1156" s="97">
        <v>45975.67935613426</v>
      </c>
      <c r="K1156" s="96" t="s">
        <v>6873</v>
      </c>
      <c r="L1156" s="96" t="s">
        <v>6874</v>
      </c>
      <c r="M1156" s="95" t="s">
        <v>17</v>
      </c>
      <c r="N1156" s="95" t="s">
        <v>6861</v>
      </c>
      <c r="O1156" s="95" t="s">
        <v>6861</v>
      </c>
      <c r="P1156" s="95" t="s">
        <v>6862</v>
      </c>
      <c r="Q1156" s="98">
        <v>3.0</v>
      </c>
      <c r="R1156" s="97">
        <v>45715.93559027778</v>
      </c>
      <c r="S1156" s="99">
        <v>1519.0</v>
      </c>
      <c r="T1156" s="99">
        <v>6.0</v>
      </c>
      <c r="U1156" s="99">
        <v>5.0</v>
      </c>
      <c r="V1156" s="99">
        <v>52.0</v>
      </c>
      <c r="W1156" s="99">
        <v>75974.0</v>
      </c>
    </row>
    <row r="1157" ht="15.75" customHeight="1">
      <c r="A1157" s="95" t="s">
        <v>6875</v>
      </c>
      <c r="B1157" s="95" t="s">
        <v>131</v>
      </c>
      <c r="C1157" s="96" t="s">
        <v>6876</v>
      </c>
      <c r="D1157" s="95" t="s">
        <v>168</v>
      </c>
      <c r="E1157" s="95" t="s">
        <v>1228</v>
      </c>
      <c r="F1157" s="95" t="s">
        <v>58</v>
      </c>
      <c r="G1157" s="95" t="s">
        <v>58</v>
      </c>
      <c r="H1157" s="95" t="s">
        <v>60</v>
      </c>
      <c r="I1157" s="95" t="s">
        <v>795</v>
      </c>
      <c r="J1157" s="97">
        <v>45978.46363230324</v>
      </c>
      <c r="K1157" s="95" t="s">
        <v>6877</v>
      </c>
      <c r="L1157" s="96" t="s">
        <v>6878</v>
      </c>
      <c r="M1157" s="95" t="s">
        <v>17</v>
      </c>
      <c r="N1157" s="95" t="s">
        <v>6861</v>
      </c>
      <c r="O1157" s="95" t="s">
        <v>6861</v>
      </c>
      <c r="P1157" s="95" t="s">
        <v>6862</v>
      </c>
      <c r="Q1157" s="98">
        <v>3.0</v>
      </c>
      <c r="R1157" s="97">
        <v>45812.41581018519</v>
      </c>
      <c r="S1157" s="99">
        <v>1519.0</v>
      </c>
      <c r="T1157" s="99">
        <v>126.0</v>
      </c>
      <c r="U1157" s="99">
        <v>31.0</v>
      </c>
      <c r="V1157" s="99">
        <v>86.0</v>
      </c>
      <c r="W1157" s="99">
        <v>75974.0</v>
      </c>
    </row>
    <row r="1158" ht="15.75" customHeight="1">
      <c r="A1158" s="95" t="s">
        <v>6879</v>
      </c>
      <c r="B1158" s="95" t="s">
        <v>131</v>
      </c>
      <c r="C1158" s="96" t="s">
        <v>6880</v>
      </c>
      <c r="D1158" s="95" t="s">
        <v>168</v>
      </c>
      <c r="E1158" s="95" t="s">
        <v>1228</v>
      </c>
      <c r="F1158" s="95" t="s">
        <v>58</v>
      </c>
      <c r="G1158" s="95" t="s">
        <v>58</v>
      </c>
      <c r="H1158" s="95" t="s">
        <v>21</v>
      </c>
      <c r="I1158" s="95" t="s">
        <v>2428</v>
      </c>
      <c r="J1158" s="97">
        <v>45978.46363230324</v>
      </c>
      <c r="K1158" s="95" t="s">
        <v>6881</v>
      </c>
      <c r="L1158" s="96" t="s">
        <v>6882</v>
      </c>
      <c r="M1158" s="95" t="s">
        <v>17</v>
      </c>
      <c r="N1158" s="95" t="s">
        <v>6861</v>
      </c>
      <c r="O1158" s="95" t="s">
        <v>6861</v>
      </c>
      <c r="P1158" s="95" t="s">
        <v>6862</v>
      </c>
      <c r="Q1158" s="98">
        <v>3.0</v>
      </c>
      <c r="R1158" s="97">
        <v>45813.29665509259</v>
      </c>
      <c r="S1158" s="99">
        <v>1519.0</v>
      </c>
      <c r="T1158" s="99">
        <v>88.0</v>
      </c>
      <c r="U1158" s="99">
        <v>3.0</v>
      </c>
      <c r="V1158" s="99">
        <v>57.0</v>
      </c>
      <c r="W1158" s="99">
        <v>75974.0</v>
      </c>
    </row>
    <row r="1159" ht="15.75" customHeight="1">
      <c r="A1159" s="95" t="s">
        <v>6883</v>
      </c>
      <c r="B1159" s="95" t="s">
        <v>22</v>
      </c>
      <c r="C1159" s="96" t="s">
        <v>6884</v>
      </c>
      <c r="D1159" s="95" t="s">
        <v>168</v>
      </c>
      <c r="E1159" s="95" t="s">
        <v>1228</v>
      </c>
      <c r="F1159" s="95" t="s">
        <v>19</v>
      </c>
      <c r="G1159" s="95" t="s">
        <v>19</v>
      </c>
      <c r="H1159" s="95" t="s">
        <v>21</v>
      </c>
      <c r="I1159" s="95" t="s">
        <v>567</v>
      </c>
      <c r="J1159" s="97">
        <v>46008.629049375</v>
      </c>
      <c r="K1159" s="96" t="s">
        <v>6885</v>
      </c>
      <c r="L1159" s="95"/>
      <c r="M1159" s="95" t="s">
        <v>17</v>
      </c>
      <c r="N1159" s="95" t="s">
        <v>6861</v>
      </c>
      <c r="O1159" s="95" t="s">
        <v>6861</v>
      </c>
      <c r="P1159" s="95" t="s">
        <v>6862</v>
      </c>
      <c r="Q1159" s="98">
        <v>3.0</v>
      </c>
      <c r="R1159" s="97">
        <v>45833.60991898148</v>
      </c>
      <c r="S1159" s="99">
        <v>1519.0</v>
      </c>
      <c r="T1159" s="99">
        <v>68.0</v>
      </c>
      <c r="U1159" s="99">
        <v>49.0</v>
      </c>
      <c r="V1159" s="99">
        <v>268.0</v>
      </c>
      <c r="W1159" s="99">
        <v>75974.0</v>
      </c>
    </row>
    <row r="1160" ht="15.75" customHeight="1">
      <c r="A1160" s="95" t="s">
        <v>6886</v>
      </c>
      <c r="B1160" s="95" t="s">
        <v>22</v>
      </c>
      <c r="C1160" s="96" t="s">
        <v>6887</v>
      </c>
      <c r="D1160" s="95" t="s">
        <v>168</v>
      </c>
      <c r="E1160" s="95" t="s">
        <v>1228</v>
      </c>
      <c r="F1160" s="95" t="s">
        <v>19</v>
      </c>
      <c r="G1160" s="95" t="s">
        <v>19</v>
      </c>
      <c r="H1160" s="95" t="s">
        <v>21</v>
      </c>
      <c r="I1160" s="95" t="s">
        <v>567</v>
      </c>
      <c r="J1160" s="97">
        <v>46008.62904712963</v>
      </c>
      <c r="K1160" s="96" t="s">
        <v>6888</v>
      </c>
      <c r="L1160" s="95"/>
      <c r="M1160" s="95" t="s">
        <v>17</v>
      </c>
      <c r="N1160" s="95" t="s">
        <v>6861</v>
      </c>
      <c r="O1160" s="95" t="s">
        <v>6861</v>
      </c>
      <c r="P1160" s="95" t="s">
        <v>6862</v>
      </c>
      <c r="Q1160" s="98">
        <v>3.0</v>
      </c>
      <c r="R1160" s="97">
        <v>45897.45630787037</v>
      </c>
      <c r="S1160" s="99">
        <v>1519.0</v>
      </c>
      <c r="T1160" s="99">
        <v>64.0</v>
      </c>
      <c r="U1160" s="99">
        <v>23.0</v>
      </c>
      <c r="V1160" s="99">
        <v>155.0</v>
      </c>
      <c r="W1160" s="99">
        <v>75974.0</v>
      </c>
    </row>
    <row r="1161" ht="15.75" customHeight="1">
      <c r="A1161" s="95" t="s">
        <v>6889</v>
      </c>
      <c r="B1161" s="95" t="s">
        <v>22</v>
      </c>
      <c r="C1161" s="96" t="s">
        <v>6890</v>
      </c>
      <c r="D1161" s="95" t="s">
        <v>168</v>
      </c>
      <c r="E1161" s="95" t="s">
        <v>1228</v>
      </c>
      <c r="F1161" s="95" t="s">
        <v>19</v>
      </c>
      <c r="G1161" s="95" t="s">
        <v>19</v>
      </c>
      <c r="H1161" s="95" t="s">
        <v>21</v>
      </c>
      <c r="I1161" s="95" t="s">
        <v>567</v>
      </c>
      <c r="J1161" s="97">
        <v>46008.62904704861</v>
      </c>
      <c r="K1161" s="96" t="s">
        <v>6891</v>
      </c>
      <c r="L1161" s="95"/>
      <c r="M1161" s="95" t="s">
        <v>17</v>
      </c>
      <c r="N1161" s="95" t="s">
        <v>6861</v>
      </c>
      <c r="O1161" s="95" t="s">
        <v>6861</v>
      </c>
      <c r="P1161" s="95" t="s">
        <v>6862</v>
      </c>
      <c r="Q1161" s="98">
        <v>3.0</v>
      </c>
      <c r="R1161" s="97">
        <v>45740.34038194444</v>
      </c>
      <c r="S1161" s="99">
        <v>1519.0</v>
      </c>
      <c r="T1161" s="99">
        <v>190.0</v>
      </c>
      <c r="U1161" s="99">
        <v>26.0</v>
      </c>
      <c r="V1161" s="99">
        <v>174.0</v>
      </c>
      <c r="W1161" s="99">
        <v>75974.0</v>
      </c>
    </row>
    <row r="1162" ht="15.75" customHeight="1">
      <c r="A1162" s="95" t="s">
        <v>6892</v>
      </c>
      <c r="B1162" s="95" t="s">
        <v>131</v>
      </c>
      <c r="C1162" s="96" t="s">
        <v>6893</v>
      </c>
      <c r="D1162" s="95" t="s">
        <v>168</v>
      </c>
      <c r="E1162" s="95" t="s">
        <v>6894</v>
      </c>
      <c r="F1162" s="95" t="s">
        <v>19</v>
      </c>
      <c r="G1162" s="95" t="s">
        <v>574</v>
      </c>
      <c r="H1162" s="95" t="s">
        <v>21</v>
      </c>
      <c r="I1162" s="95" t="s">
        <v>6895</v>
      </c>
      <c r="J1162" s="97">
        <v>46021.50597040509</v>
      </c>
      <c r="K1162" s="95" t="s">
        <v>6896</v>
      </c>
      <c r="L1162" s="96" t="s">
        <v>6897</v>
      </c>
      <c r="M1162" s="95" t="s">
        <v>93</v>
      </c>
      <c r="N1162" s="95" t="s">
        <v>6898</v>
      </c>
      <c r="O1162" s="95" t="s">
        <v>6898</v>
      </c>
      <c r="P1162" s="95" t="s">
        <v>6899</v>
      </c>
      <c r="Q1162" s="98">
        <v>3.0</v>
      </c>
      <c r="R1162" s="97">
        <v>45744.80391203704</v>
      </c>
      <c r="S1162" s="99">
        <v>106.0</v>
      </c>
      <c r="T1162" s="99">
        <v>701.0</v>
      </c>
      <c r="U1162" s="99">
        <v>65.0</v>
      </c>
      <c r="V1162" s="99">
        <v>444.0</v>
      </c>
      <c r="W1162" s="99">
        <v>172954.0</v>
      </c>
    </row>
    <row r="1163" ht="15.75" customHeight="1">
      <c r="A1163" s="95" t="s">
        <v>6900</v>
      </c>
      <c r="B1163" s="95" t="s">
        <v>22</v>
      </c>
      <c r="C1163" s="96" t="s">
        <v>6901</v>
      </c>
      <c r="D1163" s="95" t="s">
        <v>548</v>
      </c>
      <c r="E1163" s="95" t="s">
        <v>2757</v>
      </c>
      <c r="F1163" s="95" t="s">
        <v>19</v>
      </c>
      <c r="G1163" s="95" t="s">
        <v>19</v>
      </c>
      <c r="H1163" s="95" t="s">
        <v>21</v>
      </c>
      <c r="I1163" s="95" t="s">
        <v>567</v>
      </c>
      <c r="J1163" s="97">
        <v>45975.67928111111</v>
      </c>
      <c r="K1163" s="96" t="s">
        <v>6902</v>
      </c>
      <c r="L1163" s="96" t="s">
        <v>6903</v>
      </c>
      <c r="M1163" s="95" t="s">
        <v>105</v>
      </c>
      <c r="N1163" s="95" t="s">
        <v>6904</v>
      </c>
      <c r="O1163" s="95" t="s">
        <v>6904</v>
      </c>
      <c r="P1163" s="95" t="s">
        <v>6905</v>
      </c>
      <c r="Q1163" s="98">
        <v>3.0</v>
      </c>
      <c r="R1163" s="97">
        <v>45890.88101851852</v>
      </c>
      <c r="S1163" s="99">
        <v>10569.0</v>
      </c>
      <c r="T1163" s="99">
        <v>76.0</v>
      </c>
      <c r="U1163" s="99">
        <v>21.0</v>
      </c>
      <c r="V1163" s="99">
        <v>741.0</v>
      </c>
      <c r="W1163" s="99">
        <v>130611.0</v>
      </c>
    </row>
    <row r="1164" ht="15.75" customHeight="1">
      <c r="A1164" s="95" t="s">
        <v>6906</v>
      </c>
      <c r="B1164" s="95" t="s">
        <v>22</v>
      </c>
      <c r="C1164" s="96" t="s">
        <v>6907</v>
      </c>
      <c r="D1164" s="95" t="s">
        <v>548</v>
      </c>
      <c r="E1164" s="95" t="s">
        <v>6908</v>
      </c>
      <c r="F1164" s="95" t="s">
        <v>19</v>
      </c>
      <c r="G1164" s="95" t="s">
        <v>19</v>
      </c>
      <c r="H1164" s="95" t="s">
        <v>21</v>
      </c>
      <c r="I1164" s="95" t="s">
        <v>567</v>
      </c>
      <c r="J1164" s="97">
        <v>45975.67928111111</v>
      </c>
      <c r="K1164" s="96" t="s">
        <v>6909</v>
      </c>
      <c r="L1164" s="96" t="s">
        <v>6910</v>
      </c>
      <c r="M1164" s="95" t="s">
        <v>105</v>
      </c>
      <c r="N1164" s="95" t="s">
        <v>6904</v>
      </c>
      <c r="O1164" s="95" t="s">
        <v>6904</v>
      </c>
      <c r="P1164" s="95" t="s">
        <v>6905</v>
      </c>
      <c r="Q1164" s="98">
        <v>3.0</v>
      </c>
      <c r="R1164" s="97">
        <v>45841.97435185185</v>
      </c>
      <c r="S1164" s="99">
        <v>10569.0</v>
      </c>
      <c r="T1164" s="99">
        <v>65.0</v>
      </c>
      <c r="U1164" s="99">
        <v>12.0</v>
      </c>
      <c r="V1164" s="99">
        <v>247.0</v>
      </c>
      <c r="W1164" s="99">
        <v>130611.0</v>
      </c>
    </row>
    <row r="1165" ht="15.75" customHeight="1">
      <c r="A1165" s="95" t="s">
        <v>6911</v>
      </c>
      <c r="B1165" s="95" t="s">
        <v>131</v>
      </c>
      <c r="C1165" s="96" t="s">
        <v>6912</v>
      </c>
      <c r="D1165" s="95" t="s">
        <v>548</v>
      </c>
      <c r="E1165" s="95" t="s">
        <v>6908</v>
      </c>
      <c r="F1165" s="95" t="s">
        <v>19</v>
      </c>
      <c r="G1165" s="95" t="s">
        <v>574</v>
      </c>
      <c r="H1165" s="95" t="s">
        <v>21</v>
      </c>
      <c r="I1165" s="95" t="s">
        <v>2428</v>
      </c>
      <c r="J1165" s="97">
        <v>45975.67928111111</v>
      </c>
      <c r="K1165" s="96" t="s">
        <v>6913</v>
      </c>
      <c r="L1165" s="96" t="s">
        <v>6914</v>
      </c>
      <c r="M1165" s="95" t="s">
        <v>105</v>
      </c>
      <c r="N1165" s="95" t="s">
        <v>6904</v>
      </c>
      <c r="O1165" s="95" t="s">
        <v>6904</v>
      </c>
      <c r="P1165" s="95" t="s">
        <v>6905</v>
      </c>
      <c r="Q1165" s="98">
        <v>3.0</v>
      </c>
      <c r="R1165" s="97">
        <v>45851.76565972222</v>
      </c>
      <c r="S1165" s="99">
        <v>10569.0</v>
      </c>
      <c r="T1165" s="99">
        <v>77.0</v>
      </c>
      <c r="U1165" s="99">
        <v>5.0</v>
      </c>
      <c r="V1165" s="99">
        <v>169.0</v>
      </c>
      <c r="W1165" s="99">
        <v>130611.0</v>
      </c>
    </row>
    <row r="1166" ht="15.75" customHeight="1">
      <c r="A1166" s="95" t="s">
        <v>6915</v>
      </c>
      <c r="B1166" s="95" t="s">
        <v>22</v>
      </c>
      <c r="C1166" s="96" t="s">
        <v>6916</v>
      </c>
      <c r="D1166" s="95" t="s">
        <v>548</v>
      </c>
      <c r="E1166" s="95" t="s">
        <v>6917</v>
      </c>
      <c r="F1166" s="95" t="s">
        <v>19</v>
      </c>
      <c r="G1166" s="95" t="s">
        <v>19</v>
      </c>
      <c r="H1166" s="95" t="s">
        <v>21</v>
      </c>
      <c r="I1166" s="95" t="s">
        <v>567</v>
      </c>
      <c r="J1166" s="97">
        <v>45975.67928111111</v>
      </c>
      <c r="K1166" s="96" t="s">
        <v>6918</v>
      </c>
      <c r="L1166" s="96" t="s">
        <v>6919</v>
      </c>
      <c r="M1166" s="95" t="s">
        <v>105</v>
      </c>
      <c r="N1166" s="95" t="s">
        <v>6904</v>
      </c>
      <c r="O1166" s="95" t="s">
        <v>6904</v>
      </c>
      <c r="P1166" s="95" t="s">
        <v>6905</v>
      </c>
      <c r="Q1166" s="98">
        <v>3.0</v>
      </c>
      <c r="R1166" s="97">
        <v>45841.88636574074</v>
      </c>
      <c r="S1166" s="99">
        <v>10569.0</v>
      </c>
      <c r="T1166" s="99">
        <v>91.0</v>
      </c>
      <c r="U1166" s="99">
        <v>12.0</v>
      </c>
      <c r="V1166" s="99">
        <v>246.0</v>
      </c>
      <c r="W1166" s="99">
        <v>130611.0</v>
      </c>
    </row>
    <row r="1167" ht="15.75" customHeight="1">
      <c r="A1167" s="95" t="s">
        <v>6920</v>
      </c>
      <c r="B1167" s="95" t="s">
        <v>101</v>
      </c>
      <c r="C1167" s="96" t="s">
        <v>6921</v>
      </c>
      <c r="D1167" s="95" t="s">
        <v>548</v>
      </c>
      <c r="E1167" s="95" t="s">
        <v>6917</v>
      </c>
      <c r="F1167" s="95" t="s">
        <v>19</v>
      </c>
      <c r="G1167" s="95" t="s">
        <v>574</v>
      </c>
      <c r="H1167" s="95" t="s">
        <v>21</v>
      </c>
      <c r="I1167" s="95" t="s">
        <v>1504</v>
      </c>
      <c r="J1167" s="97">
        <v>45975.67928111111</v>
      </c>
      <c r="K1167" s="96" t="s">
        <v>6922</v>
      </c>
      <c r="L1167" s="96" t="s">
        <v>6923</v>
      </c>
      <c r="M1167" s="95" t="s">
        <v>105</v>
      </c>
      <c r="N1167" s="95" t="s">
        <v>6904</v>
      </c>
      <c r="O1167" s="95" t="s">
        <v>6904</v>
      </c>
      <c r="P1167" s="95" t="s">
        <v>6905</v>
      </c>
      <c r="Q1167" s="98">
        <v>3.0</v>
      </c>
      <c r="R1167" s="97">
        <v>45621.90025462963</v>
      </c>
      <c r="S1167" s="99">
        <v>10569.0</v>
      </c>
      <c r="T1167" s="99">
        <v>531.0</v>
      </c>
      <c r="U1167" s="99">
        <v>1.0</v>
      </c>
      <c r="V1167" s="99">
        <v>23.0</v>
      </c>
      <c r="W1167" s="99">
        <v>130611.0</v>
      </c>
    </row>
    <row r="1168" ht="15.75" customHeight="1">
      <c r="A1168" s="95" t="s">
        <v>6924</v>
      </c>
      <c r="B1168" s="95" t="s">
        <v>22</v>
      </c>
      <c r="C1168" s="96" t="s">
        <v>6925</v>
      </c>
      <c r="D1168" s="95" t="s">
        <v>548</v>
      </c>
      <c r="E1168" s="95" t="s">
        <v>6908</v>
      </c>
      <c r="F1168" s="95" t="s">
        <v>19</v>
      </c>
      <c r="G1168" s="95" t="s">
        <v>19</v>
      </c>
      <c r="H1168" s="95" t="s">
        <v>21</v>
      </c>
      <c r="I1168" s="95" t="s">
        <v>567</v>
      </c>
      <c r="J1168" s="97">
        <v>45975.67928111111</v>
      </c>
      <c r="K1168" s="96" t="s">
        <v>6926</v>
      </c>
      <c r="L1168" s="96" t="s">
        <v>6927</v>
      </c>
      <c r="M1168" s="95" t="s">
        <v>105</v>
      </c>
      <c r="N1168" s="95" t="s">
        <v>6904</v>
      </c>
      <c r="O1168" s="95" t="s">
        <v>6904</v>
      </c>
      <c r="P1168" s="95" t="s">
        <v>6905</v>
      </c>
      <c r="Q1168" s="98">
        <v>3.0</v>
      </c>
      <c r="R1168" s="97">
        <v>45763.72456018518</v>
      </c>
      <c r="S1168" s="99">
        <v>10569.0</v>
      </c>
      <c r="T1168" s="99">
        <v>15.0</v>
      </c>
      <c r="U1168" s="99">
        <v>14.0</v>
      </c>
      <c r="V1168" s="99">
        <v>762.0</v>
      </c>
      <c r="W1168" s="99">
        <v>130611.0</v>
      </c>
    </row>
    <row r="1169" ht="15.75" customHeight="1">
      <c r="A1169" s="95" t="s">
        <v>6928</v>
      </c>
      <c r="B1169" s="95" t="s">
        <v>131</v>
      </c>
      <c r="C1169" s="96" t="s">
        <v>6929</v>
      </c>
      <c r="D1169" s="95" t="s">
        <v>548</v>
      </c>
      <c r="E1169" s="95" t="s">
        <v>2757</v>
      </c>
      <c r="F1169" s="95" t="s">
        <v>19</v>
      </c>
      <c r="G1169" s="95" t="s">
        <v>574</v>
      </c>
      <c r="H1169" s="95" t="s">
        <v>60</v>
      </c>
      <c r="I1169" s="95" t="s">
        <v>6930</v>
      </c>
      <c r="J1169" s="97">
        <v>45975.67928111111</v>
      </c>
      <c r="K1169" s="96" t="s">
        <v>6931</v>
      </c>
      <c r="L1169" s="96" t="s">
        <v>6932</v>
      </c>
      <c r="M1169" s="95" t="s">
        <v>105</v>
      </c>
      <c r="N1169" s="95" t="s">
        <v>6904</v>
      </c>
      <c r="O1169" s="95" t="s">
        <v>6904</v>
      </c>
      <c r="P1169" s="95" t="s">
        <v>6905</v>
      </c>
      <c r="Q1169" s="98">
        <v>3.0</v>
      </c>
      <c r="R1169" s="97">
        <v>45506.82534722222</v>
      </c>
      <c r="S1169" s="99">
        <v>10569.0</v>
      </c>
      <c r="T1169" s="99">
        <v>410.0</v>
      </c>
      <c r="U1169" s="99">
        <v>10.0</v>
      </c>
      <c r="V1169" s="99">
        <v>226.0</v>
      </c>
      <c r="W1169" s="99">
        <v>130611.0</v>
      </c>
    </row>
    <row r="1170" ht="15.75" customHeight="1">
      <c r="A1170" s="95" t="s">
        <v>6933</v>
      </c>
      <c r="B1170" s="95" t="s">
        <v>22</v>
      </c>
      <c r="C1170" s="96" t="s">
        <v>6934</v>
      </c>
      <c r="D1170" s="95" t="s">
        <v>20</v>
      </c>
      <c r="E1170" s="95" t="s">
        <v>4513</v>
      </c>
      <c r="F1170" s="95" t="s">
        <v>19</v>
      </c>
      <c r="G1170" s="95" t="s">
        <v>19</v>
      </c>
      <c r="H1170" s="95" t="s">
        <v>21</v>
      </c>
      <c r="I1170" s="95" t="s">
        <v>567</v>
      </c>
      <c r="J1170" s="97">
        <v>45978.46363230324</v>
      </c>
      <c r="K1170" s="95" t="s">
        <v>6935</v>
      </c>
      <c r="L1170" s="96" t="s">
        <v>6936</v>
      </c>
      <c r="M1170" s="95" t="s">
        <v>17</v>
      </c>
      <c r="N1170" s="95" t="s">
        <v>6937</v>
      </c>
      <c r="O1170" s="95" t="s">
        <v>6937</v>
      </c>
      <c r="P1170" s="95" t="s">
        <v>6938</v>
      </c>
      <c r="Q1170" s="98">
        <v>3.0</v>
      </c>
      <c r="R1170" s="97">
        <v>45895.32796296296</v>
      </c>
      <c r="S1170" s="99">
        <v>241.0</v>
      </c>
      <c r="T1170" s="99">
        <v>127.0</v>
      </c>
      <c r="U1170" s="99">
        <v>17.0</v>
      </c>
      <c r="V1170" s="99">
        <v>281.0</v>
      </c>
      <c r="W1170" s="99">
        <v>27923.0</v>
      </c>
    </row>
    <row r="1171" ht="15.75" customHeight="1">
      <c r="A1171" s="95" t="s">
        <v>6939</v>
      </c>
      <c r="B1171" s="95" t="s">
        <v>22</v>
      </c>
      <c r="C1171" s="96" t="s">
        <v>6940</v>
      </c>
      <c r="D1171" s="95" t="s">
        <v>547</v>
      </c>
      <c r="E1171" s="95" t="s">
        <v>547</v>
      </c>
      <c r="F1171" s="95" t="s">
        <v>19</v>
      </c>
      <c r="G1171" s="95" t="s">
        <v>574</v>
      </c>
      <c r="H1171" s="95" t="s">
        <v>21</v>
      </c>
      <c r="I1171" s="95" t="s">
        <v>567</v>
      </c>
      <c r="J1171" s="97">
        <v>46021.55368296296</v>
      </c>
      <c r="K1171" s="95" t="s">
        <v>6941</v>
      </c>
      <c r="L1171" s="96" t="s">
        <v>6942</v>
      </c>
      <c r="M1171" s="95" t="s">
        <v>105</v>
      </c>
      <c r="N1171" s="95" t="s">
        <v>6943</v>
      </c>
      <c r="O1171" s="95" t="s">
        <v>6943</v>
      </c>
      <c r="P1171" s="95" t="s">
        <v>6944</v>
      </c>
      <c r="Q1171" s="98">
        <v>3.0</v>
      </c>
      <c r="R1171" s="97">
        <v>45609.92305555556</v>
      </c>
      <c r="S1171" s="99">
        <v>207.0</v>
      </c>
      <c r="T1171" s="99">
        <v>791.0</v>
      </c>
      <c r="U1171" s="99">
        <v>11.0</v>
      </c>
      <c r="V1171" s="99">
        <v>696.0</v>
      </c>
      <c r="W1171" s="99">
        <v>131781.0</v>
      </c>
    </row>
    <row r="1172" ht="15.75" customHeight="1">
      <c r="A1172" s="95" t="s">
        <v>6945</v>
      </c>
      <c r="B1172" s="95" t="s">
        <v>22</v>
      </c>
      <c r="C1172" s="96" t="s">
        <v>6946</v>
      </c>
      <c r="D1172" s="95" t="s">
        <v>547</v>
      </c>
      <c r="E1172" s="95" t="s">
        <v>547</v>
      </c>
      <c r="F1172" s="95" t="s">
        <v>19</v>
      </c>
      <c r="G1172" s="95" t="s">
        <v>19</v>
      </c>
      <c r="H1172" s="95" t="s">
        <v>21</v>
      </c>
      <c r="I1172" s="95" t="s">
        <v>567</v>
      </c>
      <c r="J1172" s="97">
        <v>46021.49584533564</v>
      </c>
      <c r="K1172" s="95" t="s">
        <v>6947</v>
      </c>
      <c r="L1172" s="96" t="s">
        <v>6948</v>
      </c>
      <c r="M1172" s="95" t="s">
        <v>105</v>
      </c>
      <c r="N1172" s="95" t="s">
        <v>6943</v>
      </c>
      <c r="O1172" s="95" t="s">
        <v>6943</v>
      </c>
      <c r="P1172" s="95" t="s">
        <v>6944</v>
      </c>
      <c r="Q1172" s="98">
        <v>3.0</v>
      </c>
      <c r="R1172" s="97">
        <v>45608.37752314815</v>
      </c>
      <c r="S1172" s="99">
        <v>207.0</v>
      </c>
      <c r="T1172" s="99">
        <v>790.0</v>
      </c>
      <c r="U1172" s="99">
        <v>1.0</v>
      </c>
      <c r="V1172" s="99">
        <v>1331.0</v>
      </c>
      <c r="W1172" s="99">
        <v>131781.0</v>
      </c>
    </row>
    <row r="1173" ht="15.75" customHeight="1">
      <c r="A1173" s="95" t="s">
        <v>6949</v>
      </c>
      <c r="B1173" s="95" t="s">
        <v>157</v>
      </c>
      <c r="C1173" s="96" t="s">
        <v>6950</v>
      </c>
      <c r="D1173" s="95" t="s">
        <v>130</v>
      </c>
      <c r="E1173" s="95" t="s">
        <v>6951</v>
      </c>
      <c r="F1173" s="95" t="s">
        <v>19</v>
      </c>
      <c r="G1173" s="95" t="s">
        <v>19</v>
      </c>
      <c r="H1173" s="95" t="s">
        <v>89</v>
      </c>
      <c r="I1173" s="95" t="s">
        <v>859</v>
      </c>
      <c r="J1173" s="97">
        <v>46021.51291517361</v>
      </c>
      <c r="K1173" s="95" t="s">
        <v>6952</v>
      </c>
      <c r="L1173" s="96" t="s">
        <v>6953</v>
      </c>
      <c r="M1173" s="95" t="s">
        <v>28</v>
      </c>
      <c r="N1173" s="95" t="s">
        <v>6954</v>
      </c>
      <c r="O1173" s="95" t="s">
        <v>6954</v>
      </c>
      <c r="P1173" s="95" t="s">
        <v>6955</v>
      </c>
      <c r="Q1173" s="98">
        <v>3.0</v>
      </c>
      <c r="R1173" s="97">
        <v>45778.87211805556</v>
      </c>
      <c r="S1173" s="99">
        <v>111.0</v>
      </c>
      <c r="T1173" s="99">
        <v>98.0</v>
      </c>
      <c r="U1173" s="99">
        <v>2.0</v>
      </c>
      <c r="V1173" s="99">
        <v>97.0</v>
      </c>
      <c r="W1173" s="99">
        <v>105449.0</v>
      </c>
    </row>
    <row r="1174" ht="15.75" customHeight="1">
      <c r="A1174" s="95" t="s">
        <v>6956</v>
      </c>
      <c r="B1174" s="95" t="s">
        <v>22</v>
      </c>
      <c r="C1174" s="96" t="s">
        <v>6957</v>
      </c>
      <c r="D1174" s="95" t="s">
        <v>49</v>
      </c>
      <c r="E1174" s="95" t="s">
        <v>581</v>
      </c>
      <c r="F1174" s="95" t="s">
        <v>19</v>
      </c>
      <c r="G1174" s="95" t="s">
        <v>19</v>
      </c>
      <c r="H1174" s="95" t="s">
        <v>21</v>
      </c>
      <c r="I1174" s="95" t="s">
        <v>567</v>
      </c>
      <c r="J1174" s="97">
        <v>46008.62896621528</v>
      </c>
      <c r="K1174" s="96" t="s">
        <v>6958</v>
      </c>
      <c r="L1174" s="96" t="s">
        <v>6959</v>
      </c>
      <c r="M1174" s="95" t="s">
        <v>28</v>
      </c>
      <c r="N1174" s="95" t="s">
        <v>6960</v>
      </c>
      <c r="O1174" s="95" t="s">
        <v>6960</v>
      </c>
      <c r="P1174" s="95" t="s">
        <v>6961</v>
      </c>
      <c r="Q1174" s="98">
        <v>3.0</v>
      </c>
      <c r="R1174" s="97">
        <v>45705.10061342592</v>
      </c>
      <c r="S1174" s="99">
        <v>3530.0</v>
      </c>
      <c r="T1174" s="99">
        <v>704.0</v>
      </c>
      <c r="U1174" s="99">
        <v>2.0</v>
      </c>
      <c r="V1174" s="99">
        <v>138.0</v>
      </c>
      <c r="W1174" s="99">
        <v>74308.0</v>
      </c>
    </row>
    <row r="1175" ht="15.75" customHeight="1">
      <c r="A1175" s="95" t="s">
        <v>6962</v>
      </c>
      <c r="B1175" s="95" t="s">
        <v>131</v>
      </c>
      <c r="C1175" s="96" t="s">
        <v>6963</v>
      </c>
      <c r="D1175" s="95" t="s">
        <v>130</v>
      </c>
      <c r="E1175" s="95" t="s">
        <v>2109</v>
      </c>
      <c r="F1175" s="95" t="s">
        <v>19</v>
      </c>
      <c r="G1175" s="95" t="s">
        <v>574</v>
      </c>
      <c r="H1175" s="95" t="s">
        <v>60</v>
      </c>
      <c r="I1175" s="95" t="s">
        <v>4481</v>
      </c>
      <c r="J1175" s="97">
        <v>46021.50597040509</v>
      </c>
      <c r="K1175" s="95" t="s">
        <v>6964</v>
      </c>
      <c r="L1175" s="96" t="s">
        <v>6965</v>
      </c>
      <c r="M1175" s="95" t="s">
        <v>74</v>
      </c>
      <c r="N1175" s="95" t="s">
        <v>6966</v>
      </c>
      <c r="O1175" s="95" t="s">
        <v>6966</v>
      </c>
      <c r="P1175" s="95" t="s">
        <v>6967</v>
      </c>
      <c r="Q1175" s="98">
        <v>3.0</v>
      </c>
      <c r="R1175" s="97">
        <v>45601.66751157407</v>
      </c>
      <c r="S1175" s="99">
        <v>72.0</v>
      </c>
      <c r="T1175" s="99">
        <v>898.0</v>
      </c>
      <c r="U1175" s="99">
        <v>3.0</v>
      </c>
      <c r="V1175" s="99">
        <v>112.0</v>
      </c>
      <c r="W1175" s="99">
        <v>20340.0</v>
      </c>
    </row>
    <row r="1176" ht="15.75" customHeight="1">
      <c r="A1176" s="95" t="s">
        <v>6968</v>
      </c>
      <c r="B1176" s="95" t="s">
        <v>22</v>
      </c>
      <c r="C1176" s="96" t="s">
        <v>6969</v>
      </c>
      <c r="D1176" s="95" t="s">
        <v>29</v>
      </c>
      <c r="E1176" s="95" t="s">
        <v>29</v>
      </c>
      <c r="F1176" s="95" t="s">
        <v>19</v>
      </c>
      <c r="G1176" s="95" t="s">
        <v>19</v>
      </c>
      <c r="H1176" s="95" t="s">
        <v>21</v>
      </c>
      <c r="I1176" s="95" t="s">
        <v>567</v>
      </c>
      <c r="J1176" s="97">
        <v>46056.9370691088</v>
      </c>
      <c r="K1176" s="95" t="s">
        <v>6970</v>
      </c>
      <c r="L1176" s="96" t="s">
        <v>6971</v>
      </c>
      <c r="M1176" s="95" t="s">
        <v>74</v>
      </c>
      <c r="N1176" s="95" t="s">
        <v>6972</v>
      </c>
      <c r="O1176" s="95" t="s">
        <v>6972</v>
      </c>
      <c r="P1176" s="95" t="s">
        <v>6973</v>
      </c>
      <c r="Q1176" s="98">
        <v>3.0</v>
      </c>
      <c r="R1176" s="97">
        <v>45674.42949074074</v>
      </c>
      <c r="S1176" s="99">
        <v>238.0</v>
      </c>
      <c r="T1176" s="99">
        <v>22.0</v>
      </c>
      <c r="U1176" s="99">
        <v>1.0</v>
      </c>
      <c r="V1176" s="99">
        <v>26.0</v>
      </c>
      <c r="W1176" s="99">
        <v>1470.0</v>
      </c>
    </row>
    <row r="1177" ht="15.75" customHeight="1">
      <c r="A1177" s="95" t="s">
        <v>6974</v>
      </c>
      <c r="B1177" s="95" t="s">
        <v>157</v>
      </c>
      <c r="C1177" s="96" t="s">
        <v>6975</v>
      </c>
      <c r="D1177" s="95" t="s">
        <v>59</v>
      </c>
      <c r="E1177" s="95" t="s">
        <v>1347</v>
      </c>
      <c r="F1177" s="95" t="s">
        <v>58</v>
      </c>
      <c r="G1177" s="95" t="s">
        <v>1450</v>
      </c>
      <c r="H1177" s="95" t="s">
        <v>89</v>
      </c>
      <c r="I1177" s="95" t="s">
        <v>6976</v>
      </c>
      <c r="J1177" s="97">
        <v>45975.67930844907</v>
      </c>
      <c r="K1177" s="96" t="s">
        <v>6977</v>
      </c>
      <c r="L1177" s="96" t="s">
        <v>6978</v>
      </c>
      <c r="M1177" s="95" t="s">
        <v>54</v>
      </c>
      <c r="N1177" s="95" t="s">
        <v>6979</v>
      </c>
      <c r="O1177" s="95" t="s">
        <v>6979</v>
      </c>
      <c r="P1177" s="95" t="s">
        <v>6980</v>
      </c>
      <c r="Q1177" s="98">
        <v>3.0</v>
      </c>
      <c r="R1177" s="97">
        <v>45685.60523148148</v>
      </c>
      <c r="S1177" s="99">
        <v>174.0</v>
      </c>
      <c r="T1177" s="99">
        <v>520.0</v>
      </c>
      <c r="U1177" s="99">
        <v>1.0</v>
      </c>
      <c r="V1177" s="99">
        <v>19.0</v>
      </c>
      <c r="W1177" s="99">
        <v>703378.0</v>
      </c>
    </row>
    <row r="1178" ht="15.75" customHeight="1">
      <c r="A1178" s="95" t="s">
        <v>6981</v>
      </c>
      <c r="B1178" s="95" t="s">
        <v>22</v>
      </c>
      <c r="C1178" s="96" t="s">
        <v>6982</v>
      </c>
      <c r="D1178" s="95" t="s">
        <v>59</v>
      </c>
      <c r="E1178" s="95" t="s">
        <v>738</v>
      </c>
      <c r="F1178" s="95" t="s">
        <v>19</v>
      </c>
      <c r="G1178" s="95" t="s">
        <v>19</v>
      </c>
      <c r="H1178" s="95" t="s">
        <v>21</v>
      </c>
      <c r="I1178" s="95" t="s">
        <v>589</v>
      </c>
      <c r="J1178" s="97">
        <v>45986.53211375</v>
      </c>
      <c r="K1178" s="95" t="s">
        <v>6983</v>
      </c>
      <c r="L1178" s="96" t="s">
        <v>6984</v>
      </c>
      <c r="M1178" s="95" t="s">
        <v>17</v>
      </c>
      <c r="N1178" s="95" t="s">
        <v>6985</v>
      </c>
      <c r="O1178" s="95" t="s">
        <v>6985</v>
      </c>
      <c r="P1178" s="95" t="s">
        <v>6986</v>
      </c>
      <c r="Q1178" s="98">
        <v>3.0</v>
      </c>
      <c r="R1178" s="97">
        <v>45635.8572337963</v>
      </c>
      <c r="S1178" s="99">
        <v>140.0</v>
      </c>
      <c r="T1178" s="99">
        <v>4.0</v>
      </c>
      <c r="U1178" s="99">
        <v>15.0</v>
      </c>
      <c r="V1178" s="99">
        <v>221.0</v>
      </c>
      <c r="W1178" s="99">
        <v>12197.0</v>
      </c>
    </row>
    <row r="1179" ht="15.75" customHeight="1">
      <c r="A1179" s="95" t="s">
        <v>6987</v>
      </c>
      <c r="B1179" s="95" t="s">
        <v>22</v>
      </c>
      <c r="C1179" s="96" t="s">
        <v>6988</v>
      </c>
      <c r="D1179" s="95" t="s">
        <v>39</v>
      </c>
      <c r="E1179" s="95" t="s">
        <v>39</v>
      </c>
      <c r="F1179" s="95" t="s">
        <v>19</v>
      </c>
      <c r="G1179" s="95" t="s">
        <v>19</v>
      </c>
      <c r="H1179" s="95" t="s">
        <v>21</v>
      </c>
      <c r="I1179" s="95" t="s">
        <v>567</v>
      </c>
      <c r="J1179" s="97">
        <v>45993.7854622338</v>
      </c>
      <c r="K1179" s="96" t="s">
        <v>6989</v>
      </c>
      <c r="L1179" s="96" t="s">
        <v>6990</v>
      </c>
      <c r="M1179" s="95" t="s">
        <v>17</v>
      </c>
      <c r="N1179" s="95" t="s">
        <v>6991</v>
      </c>
      <c r="O1179" s="95" t="s">
        <v>6991</v>
      </c>
      <c r="P1179" s="95" t="s">
        <v>6992</v>
      </c>
      <c r="Q1179" s="98">
        <v>3.0</v>
      </c>
      <c r="R1179" s="97">
        <v>44826.81466435185</v>
      </c>
      <c r="S1179" s="99">
        <v>504.0</v>
      </c>
      <c r="T1179" s="99">
        <v>1.0</v>
      </c>
      <c r="U1179" s="99">
        <v>4.0</v>
      </c>
      <c r="V1179" s="99">
        <v>217.0</v>
      </c>
      <c r="W1179" s="99">
        <v>26347.0</v>
      </c>
    </row>
    <row r="1180" ht="15.75" customHeight="1">
      <c r="A1180" s="95" t="s">
        <v>6993</v>
      </c>
      <c r="B1180" s="95" t="s">
        <v>22</v>
      </c>
      <c r="C1180" s="96" t="s">
        <v>6994</v>
      </c>
      <c r="D1180" s="95" t="s">
        <v>29</v>
      </c>
      <c r="E1180" s="95" t="s">
        <v>658</v>
      </c>
      <c r="F1180" s="95" t="s">
        <v>19</v>
      </c>
      <c r="G1180" s="95" t="s">
        <v>1427</v>
      </c>
      <c r="H1180" s="95" t="s">
        <v>21</v>
      </c>
      <c r="I1180" s="95" t="s">
        <v>943</v>
      </c>
      <c r="J1180" s="97">
        <v>45993.78544196759</v>
      </c>
      <c r="K1180" s="96" t="s">
        <v>6995</v>
      </c>
      <c r="L1180" s="96" t="s">
        <v>6996</v>
      </c>
      <c r="M1180" s="95" t="s">
        <v>93</v>
      </c>
      <c r="N1180" s="95" t="s">
        <v>6997</v>
      </c>
      <c r="O1180" s="95" t="s">
        <v>6997</v>
      </c>
      <c r="P1180" s="95" t="s">
        <v>6998</v>
      </c>
      <c r="Q1180" s="98">
        <v>3.0</v>
      </c>
      <c r="R1180" s="97">
        <v>45483.78173611111</v>
      </c>
      <c r="S1180" s="99">
        <v>34803.0</v>
      </c>
      <c r="T1180" s="99">
        <v>974.0</v>
      </c>
      <c r="U1180" s="99">
        <v>4.0</v>
      </c>
      <c r="V1180" s="99">
        <v>416.0</v>
      </c>
      <c r="W1180" s="99">
        <v>440972.0</v>
      </c>
    </row>
    <row r="1181" ht="15.75" customHeight="1">
      <c r="A1181" s="95" t="s">
        <v>6999</v>
      </c>
      <c r="B1181" s="95" t="s">
        <v>22</v>
      </c>
      <c r="C1181" s="96" t="s">
        <v>7000</v>
      </c>
      <c r="D1181" s="95" t="s">
        <v>59</v>
      </c>
      <c r="E1181" s="95" t="s">
        <v>738</v>
      </c>
      <c r="F1181" s="95" t="s">
        <v>19</v>
      </c>
      <c r="G1181" s="95" t="s">
        <v>19</v>
      </c>
      <c r="H1181" s="95" t="s">
        <v>21</v>
      </c>
      <c r="I1181" s="95" t="s">
        <v>567</v>
      </c>
      <c r="J1181" s="97">
        <v>46021.49584533564</v>
      </c>
      <c r="K1181" s="95" t="s">
        <v>7001</v>
      </c>
      <c r="L1181" s="96" t="s">
        <v>7002</v>
      </c>
      <c r="M1181" s="95" t="s">
        <v>54</v>
      </c>
      <c r="N1181" s="95" t="s">
        <v>7003</v>
      </c>
      <c r="O1181" s="95" t="s">
        <v>7003</v>
      </c>
      <c r="P1181" s="95" t="s">
        <v>7004</v>
      </c>
      <c r="Q1181" s="98">
        <v>3.0</v>
      </c>
      <c r="R1181" s="97">
        <v>45895.53844907408</v>
      </c>
      <c r="S1181" s="99">
        <v>80.0</v>
      </c>
      <c r="T1181" s="99">
        <v>83.0</v>
      </c>
      <c r="U1181" s="99">
        <v>42.0</v>
      </c>
      <c r="V1181" s="99">
        <v>108.0</v>
      </c>
      <c r="W1181" s="99">
        <v>867503.0</v>
      </c>
    </row>
    <row r="1182" ht="15.75" customHeight="1">
      <c r="A1182" s="95" t="s">
        <v>7005</v>
      </c>
      <c r="B1182" s="95" t="s">
        <v>22</v>
      </c>
      <c r="C1182" s="96" t="s">
        <v>7006</v>
      </c>
      <c r="D1182" s="95" t="s">
        <v>59</v>
      </c>
      <c r="E1182" s="95" t="s">
        <v>738</v>
      </c>
      <c r="F1182" s="95" t="s">
        <v>19</v>
      </c>
      <c r="G1182" s="95" t="s">
        <v>19</v>
      </c>
      <c r="H1182" s="95" t="s">
        <v>21</v>
      </c>
      <c r="I1182" s="95" t="s">
        <v>567</v>
      </c>
      <c r="J1182" s="97">
        <v>46021.50597040509</v>
      </c>
      <c r="K1182" s="95" t="s">
        <v>7007</v>
      </c>
      <c r="L1182" s="96" t="s">
        <v>7008</v>
      </c>
      <c r="M1182" s="95" t="s">
        <v>503</v>
      </c>
      <c r="N1182" s="95" t="s">
        <v>7009</v>
      </c>
      <c r="O1182" s="95" t="s">
        <v>7009</v>
      </c>
      <c r="P1182" s="95" t="s">
        <v>7010</v>
      </c>
      <c r="Q1182" s="98">
        <v>3.0</v>
      </c>
      <c r="R1182" s="97">
        <v>45841.67194444445</v>
      </c>
      <c r="S1182" s="99">
        <v>997.0</v>
      </c>
      <c r="T1182" s="99">
        <v>62.0</v>
      </c>
      <c r="U1182" s="99">
        <v>21.0</v>
      </c>
      <c r="V1182" s="99">
        <v>43.0</v>
      </c>
      <c r="W1182" s="99">
        <v>186890.0</v>
      </c>
    </row>
    <row r="1183" ht="15.75" customHeight="1">
      <c r="A1183" s="95" t="s">
        <v>7011</v>
      </c>
      <c r="B1183" s="95" t="s">
        <v>22</v>
      </c>
      <c r="C1183" s="96" t="s">
        <v>7012</v>
      </c>
      <c r="D1183" s="95" t="s">
        <v>59</v>
      </c>
      <c r="E1183" s="95" t="s">
        <v>59</v>
      </c>
      <c r="F1183" s="95" t="s">
        <v>19</v>
      </c>
      <c r="G1183" s="95" t="s">
        <v>19</v>
      </c>
      <c r="H1183" s="95" t="s">
        <v>21</v>
      </c>
      <c r="I1183" s="95" t="s">
        <v>567</v>
      </c>
      <c r="J1183" s="97">
        <v>46021.50597040509</v>
      </c>
      <c r="K1183" s="95" t="s">
        <v>7013</v>
      </c>
      <c r="L1183" s="96" t="s">
        <v>7014</v>
      </c>
      <c r="M1183" s="95" t="s">
        <v>503</v>
      </c>
      <c r="N1183" s="95" t="s">
        <v>7009</v>
      </c>
      <c r="O1183" s="95" t="s">
        <v>7009</v>
      </c>
      <c r="P1183" s="95" t="s">
        <v>7010</v>
      </c>
      <c r="Q1183" s="98">
        <v>3.0</v>
      </c>
      <c r="R1183" s="97">
        <v>45810.48384259259</v>
      </c>
      <c r="S1183" s="99">
        <v>997.0</v>
      </c>
      <c r="T1183" s="99">
        <v>132.0</v>
      </c>
      <c r="U1183" s="99">
        <v>57.0</v>
      </c>
      <c r="V1183" s="99">
        <v>80.0</v>
      </c>
      <c r="W1183" s="99">
        <v>186890.0</v>
      </c>
    </row>
    <row r="1184" ht="15.75" customHeight="1">
      <c r="A1184" s="95" t="s">
        <v>7015</v>
      </c>
      <c r="B1184" s="95" t="s">
        <v>22</v>
      </c>
      <c r="C1184" s="96" t="s">
        <v>7016</v>
      </c>
      <c r="D1184" s="95" t="s">
        <v>124</v>
      </c>
      <c r="E1184" s="95" t="s">
        <v>124</v>
      </c>
      <c r="F1184" s="95" t="s">
        <v>19</v>
      </c>
      <c r="G1184" s="95" t="s">
        <v>19</v>
      </c>
      <c r="H1184" s="95" t="s">
        <v>21</v>
      </c>
      <c r="I1184" s="95" t="s">
        <v>567</v>
      </c>
      <c r="J1184" s="97">
        <v>46021.51291517361</v>
      </c>
      <c r="K1184" s="95" t="s">
        <v>7017</v>
      </c>
      <c r="L1184" s="96" t="s">
        <v>7018</v>
      </c>
      <c r="M1184" s="95" t="s">
        <v>28</v>
      </c>
      <c r="N1184" s="95" t="s">
        <v>7019</v>
      </c>
      <c r="O1184" s="95" t="s">
        <v>7019</v>
      </c>
      <c r="P1184" s="95" t="s">
        <v>7020</v>
      </c>
      <c r="Q1184" s="98">
        <v>3.0</v>
      </c>
      <c r="R1184" s="97">
        <v>45904.60228009259</v>
      </c>
      <c r="S1184" s="99">
        <v>1928.0</v>
      </c>
      <c r="T1184" s="99">
        <v>147.0</v>
      </c>
      <c r="U1184" s="99">
        <v>10.0</v>
      </c>
      <c r="V1184" s="99">
        <v>321.0</v>
      </c>
      <c r="W1184" s="99">
        <v>142132.0</v>
      </c>
    </row>
    <row r="1185" ht="15.75" customHeight="1">
      <c r="A1185" s="95" t="s">
        <v>7021</v>
      </c>
      <c r="B1185" s="95" t="s">
        <v>22</v>
      </c>
      <c r="C1185" s="96" t="s">
        <v>7022</v>
      </c>
      <c r="D1185" s="95" t="s">
        <v>59</v>
      </c>
      <c r="E1185" s="95" t="s">
        <v>1873</v>
      </c>
      <c r="F1185" s="95" t="s">
        <v>19</v>
      </c>
      <c r="G1185" s="95" t="s">
        <v>19</v>
      </c>
      <c r="H1185" s="95" t="s">
        <v>21</v>
      </c>
      <c r="I1185" s="95" t="s">
        <v>567</v>
      </c>
      <c r="J1185" s="97">
        <v>45975.67930844907</v>
      </c>
      <c r="K1185" s="96" t="s">
        <v>7023</v>
      </c>
      <c r="L1185" s="96" t="s">
        <v>7024</v>
      </c>
      <c r="M1185" s="95" t="s">
        <v>54</v>
      </c>
      <c r="N1185" s="95" t="s">
        <v>7025</v>
      </c>
      <c r="O1185" s="95" t="s">
        <v>7025</v>
      </c>
      <c r="P1185" s="95" t="s">
        <v>7026</v>
      </c>
      <c r="Q1185" s="98">
        <v>3.0</v>
      </c>
      <c r="R1185" s="97">
        <v>45924.58866898148</v>
      </c>
      <c r="S1185" s="99">
        <v>709.0</v>
      </c>
      <c r="T1185" s="99">
        <v>1291.0</v>
      </c>
      <c r="U1185" s="99">
        <v>7.0</v>
      </c>
      <c r="V1185" s="99">
        <v>515.0</v>
      </c>
      <c r="W1185" s="99">
        <v>197628.0</v>
      </c>
    </row>
    <row r="1186" ht="15.75" customHeight="1">
      <c r="A1186" s="95" t="s">
        <v>7027</v>
      </c>
      <c r="B1186" s="95" t="s">
        <v>22</v>
      </c>
      <c r="C1186" s="96" t="s">
        <v>7028</v>
      </c>
      <c r="D1186" s="95" t="s">
        <v>29</v>
      </c>
      <c r="E1186" s="95" t="s">
        <v>3793</v>
      </c>
      <c r="F1186" s="95" t="s">
        <v>19</v>
      </c>
      <c r="G1186" s="95" t="s">
        <v>19</v>
      </c>
      <c r="H1186" s="95" t="s">
        <v>21</v>
      </c>
      <c r="I1186" s="95" t="s">
        <v>567</v>
      </c>
      <c r="J1186" s="97">
        <v>46069.66275371527</v>
      </c>
      <c r="K1186" s="95" t="s">
        <v>7029</v>
      </c>
      <c r="L1186" s="96" t="s">
        <v>7030</v>
      </c>
      <c r="M1186" s="95" t="s">
        <v>74</v>
      </c>
      <c r="N1186" s="95" t="s">
        <v>7031</v>
      </c>
      <c r="O1186" s="95" t="s">
        <v>7031</v>
      </c>
      <c r="P1186" s="95" t="s">
        <v>7032</v>
      </c>
      <c r="Q1186" s="98">
        <v>3.0</v>
      </c>
      <c r="R1186" s="97">
        <v>46053.45822916667</v>
      </c>
      <c r="S1186" s="99">
        <v>2948.0</v>
      </c>
      <c r="T1186" s="99">
        <v>44.0</v>
      </c>
      <c r="U1186" s="99">
        <v>1.0</v>
      </c>
      <c r="V1186" s="99">
        <v>458.0</v>
      </c>
      <c r="W1186" s="99">
        <v>34261.0</v>
      </c>
    </row>
    <row r="1187" ht="15.75" customHeight="1">
      <c r="A1187" s="95" t="s">
        <v>7033</v>
      </c>
      <c r="B1187" s="95" t="s">
        <v>101</v>
      </c>
      <c r="C1187" s="96" t="s">
        <v>7034</v>
      </c>
      <c r="D1187" s="95" t="s">
        <v>59</v>
      </c>
      <c r="E1187" s="95" t="s">
        <v>1826</v>
      </c>
      <c r="F1187" s="95" t="s">
        <v>19</v>
      </c>
      <c r="G1187" s="95" t="s">
        <v>19</v>
      </c>
      <c r="H1187" s="95" t="s">
        <v>21</v>
      </c>
      <c r="I1187" s="95" t="s">
        <v>607</v>
      </c>
      <c r="J1187" s="97">
        <v>46021.49610081018</v>
      </c>
      <c r="K1187" s="95" t="s">
        <v>7035</v>
      </c>
      <c r="L1187" s="96" t="s">
        <v>7036</v>
      </c>
      <c r="M1187" s="95" t="s">
        <v>105</v>
      </c>
      <c r="N1187" s="95" t="s">
        <v>7037</v>
      </c>
      <c r="O1187" s="95" t="s">
        <v>7037</v>
      </c>
      <c r="P1187" s="95" t="s">
        <v>7038</v>
      </c>
      <c r="Q1187" s="98">
        <v>3.0</v>
      </c>
      <c r="R1187" s="97">
        <v>45819.59628472223</v>
      </c>
      <c r="S1187" s="99">
        <v>67.0</v>
      </c>
      <c r="T1187" s="99">
        <v>17.0</v>
      </c>
      <c r="U1187" s="99">
        <v>3.0</v>
      </c>
      <c r="V1187" s="99">
        <v>46.0</v>
      </c>
      <c r="W1187" s="99">
        <v>6673.0</v>
      </c>
    </row>
    <row r="1188" ht="15.75" customHeight="1">
      <c r="A1188" s="95" t="s">
        <v>7039</v>
      </c>
      <c r="B1188" s="95" t="s">
        <v>22</v>
      </c>
      <c r="C1188" s="96" t="s">
        <v>7040</v>
      </c>
      <c r="D1188" s="95" t="s">
        <v>20</v>
      </c>
      <c r="E1188" s="95" t="s">
        <v>1991</v>
      </c>
      <c r="F1188" s="95" t="s">
        <v>19</v>
      </c>
      <c r="G1188" s="95" t="s">
        <v>19</v>
      </c>
      <c r="H1188" s="95" t="s">
        <v>21</v>
      </c>
      <c r="I1188" s="95" t="s">
        <v>567</v>
      </c>
      <c r="J1188" s="97">
        <v>45975.67935613426</v>
      </c>
      <c r="K1188" s="96" t="s">
        <v>7041</v>
      </c>
      <c r="L1188" s="96" t="s">
        <v>7042</v>
      </c>
      <c r="M1188" s="95" t="s">
        <v>17</v>
      </c>
      <c r="N1188" s="95" t="s">
        <v>7043</v>
      </c>
      <c r="O1188" s="95" t="s">
        <v>7043</v>
      </c>
      <c r="P1188" s="95" t="s">
        <v>7044</v>
      </c>
      <c r="Q1188" s="98">
        <v>3.0</v>
      </c>
      <c r="R1188" s="97">
        <v>45916.45511574074</v>
      </c>
      <c r="S1188" s="99">
        <v>1362.0</v>
      </c>
      <c r="T1188" s="99">
        <v>229.0</v>
      </c>
      <c r="U1188" s="99">
        <v>3.0</v>
      </c>
      <c r="V1188" s="99">
        <v>206.0</v>
      </c>
      <c r="W1188" s="99">
        <v>163833.0</v>
      </c>
    </row>
    <row r="1189" ht="15.75" customHeight="1">
      <c r="A1189" s="95" t="s">
        <v>7045</v>
      </c>
      <c r="B1189" s="95" t="s">
        <v>22</v>
      </c>
      <c r="C1189" s="96" t="s">
        <v>7046</v>
      </c>
      <c r="D1189" s="95" t="s">
        <v>168</v>
      </c>
      <c r="E1189" s="95" t="s">
        <v>818</v>
      </c>
      <c r="F1189" s="95" t="s">
        <v>19</v>
      </c>
      <c r="G1189" s="95" t="s">
        <v>19</v>
      </c>
      <c r="H1189" s="95" t="s">
        <v>21</v>
      </c>
      <c r="I1189" s="95" t="s">
        <v>567</v>
      </c>
      <c r="J1189" s="97">
        <v>45978.46363230324</v>
      </c>
      <c r="K1189" s="95" t="s">
        <v>7047</v>
      </c>
      <c r="L1189" s="96" t="s">
        <v>7048</v>
      </c>
      <c r="M1189" s="95" t="s">
        <v>17</v>
      </c>
      <c r="N1189" s="95" t="s">
        <v>7043</v>
      </c>
      <c r="O1189" s="95" t="s">
        <v>7043</v>
      </c>
      <c r="P1189" s="95" t="s">
        <v>7044</v>
      </c>
      <c r="Q1189" s="98">
        <v>3.0</v>
      </c>
      <c r="R1189" s="97">
        <v>45827.28729166667</v>
      </c>
      <c r="S1189" s="99">
        <v>1362.0</v>
      </c>
      <c r="T1189" s="99">
        <v>27.0</v>
      </c>
      <c r="U1189" s="99">
        <v>1.0</v>
      </c>
      <c r="V1189" s="99">
        <v>21.0</v>
      </c>
      <c r="W1189" s="99">
        <v>163833.0</v>
      </c>
    </row>
    <row r="1190" ht="15.75" customHeight="1">
      <c r="A1190" s="95" t="s">
        <v>7049</v>
      </c>
      <c r="B1190" s="95" t="s">
        <v>22</v>
      </c>
      <c r="C1190" s="96" t="s">
        <v>7050</v>
      </c>
      <c r="D1190" s="95" t="s">
        <v>168</v>
      </c>
      <c r="E1190" s="95" t="s">
        <v>818</v>
      </c>
      <c r="F1190" s="95" t="s">
        <v>19</v>
      </c>
      <c r="G1190" s="95" t="s">
        <v>19</v>
      </c>
      <c r="H1190" s="95" t="s">
        <v>21</v>
      </c>
      <c r="I1190" s="95" t="s">
        <v>567</v>
      </c>
      <c r="J1190" s="97">
        <v>46008.62904709491</v>
      </c>
      <c r="K1190" s="96" t="s">
        <v>7051</v>
      </c>
      <c r="L1190" s="96" t="s">
        <v>7052</v>
      </c>
      <c r="M1190" s="95" t="s">
        <v>17</v>
      </c>
      <c r="N1190" s="95" t="s">
        <v>7043</v>
      </c>
      <c r="O1190" s="95" t="s">
        <v>7043</v>
      </c>
      <c r="P1190" s="95" t="s">
        <v>7044</v>
      </c>
      <c r="Q1190" s="98">
        <v>3.0</v>
      </c>
      <c r="R1190" s="97">
        <v>45828.47296296297</v>
      </c>
      <c r="S1190" s="99">
        <v>1362.0</v>
      </c>
      <c r="T1190" s="99">
        <v>33.0</v>
      </c>
      <c r="U1190" s="99">
        <v>2.0</v>
      </c>
      <c r="V1190" s="99">
        <v>212.0</v>
      </c>
      <c r="W1190" s="99">
        <v>163833.0</v>
      </c>
    </row>
    <row r="1191" ht="15.75" customHeight="1">
      <c r="A1191" s="95" t="s">
        <v>7053</v>
      </c>
      <c r="B1191" s="95" t="s">
        <v>22</v>
      </c>
      <c r="C1191" s="96" t="s">
        <v>7054</v>
      </c>
      <c r="D1191" s="95" t="s">
        <v>124</v>
      </c>
      <c r="E1191" s="95" t="s">
        <v>983</v>
      </c>
      <c r="F1191" s="95" t="s">
        <v>19</v>
      </c>
      <c r="G1191" s="95" t="s">
        <v>19</v>
      </c>
      <c r="H1191" s="95" t="s">
        <v>21</v>
      </c>
      <c r="I1191" s="95" t="s">
        <v>633</v>
      </c>
      <c r="J1191" s="97">
        <v>46021.51291517361</v>
      </c>
      <c r="K1191" s="95" t="s">
        <v>7055</v>
      </c>
      <c r="L1191" s="96" t="s">
        <v>7056</v>
      </c>
      <c r="M1191" s="95" t="s">
        <v>93</v>
      </c>
      <c r="N1191" s="95" t="s">
        <v>7057</v>
      </c>
      <c r="O1191" s="95" t="s">
        <v>7057</v>
      </c>
      <c r="P1191" s="95" t="s">
        <v>7058</v>
      </c>
      <c r="Q1191" s="98">
        <v>3.0</v>
      </c>
      <c r="R1191" s="97">
        <v>45824.45622685185</v>
      </c>
      <c r="S1191" s="99">
        <v>55.0</v>
      </c>
      <c r="T1191" s="99">
        <v>53.0</v>
      </c>
      <c r="U1191" s="99">
        <v>15.0</v>
      </c>
      <c r="V1191" s="99">
        <v>947.0</v>
      </c>
      <c r="W1191" s="99">
        <v>378778.0</v>
      </c>
    </row>
    <row r="1192" ht="15.75" customHeight="1">
      <c r="A1192" s="95" t="s">
        <v>7059</v>
      </c>
      <c r="B1192" s="95" t="s">
        <v>22</v>
      </c>
      <c r="C1192" s="96" t="s">
        <v>7060</v>
      </c>
      <c r="D1192" s="95" t="s">
        <v>39</v>
      </c>
      <c r="E1192" s="95" t="s">
        <v>39</v>
      </c>
      <c r="F1192" s="95" t="s">
        <v>19</v>
      </c>
      <c r="G1192" s="95" t="s">
        <v>19</v>
      </c>
      <c r="H1192" s="95" t="s">
        <v>21</v>
      </c>
      <c r="I1192" s="95" t="s">
        <v>567</v>
      </c>
      <c r="J1192" s="97">
        <v>45975.67930055556</v>
      </c>
      <c r="K1192" s="96" t="s">
        <v>7061</v>
      </c>
      <c r="L1192" s="96" t="s">
        <v>7062</v>
      </c>
      <c r="M1192" s="95" t="s">
        <v>105</v>
      </c>
      <c r="N1192" s="95" t="s">
        <v>7063</v>
      </c>
      <c r="O1192" s="95" t="s">
        <v>7063</v>
      </c>
      <c r="P1192" s="95" t="s">
        <v>7064</v>
      </c>
      <c r="Q1192" s="98">
        <v>3.0</v>
      </c>
      <c r="R1192" s="97">
        <v>45608.68421296297</v>
      </c>
      <c r="S1192" s="99">
        <v>12508.0</v>
      </c>
      <c r="T1192" s="99">
        <v>400.0</v>
      </c>
      <c r="U1192" s="99">
        <v>1.0</v>
      </c>
      <c r="V1192" s="99">
        <v>152.0</v>
      </c>
      <c r="W1192" s="99">
        <v>26949.0</v>
      </c>
    </row>
    <row r="1193" ht="15.75" customHeight="1">
      <c r="A1193" s="95" t="s">
        <v>7065</v>
      </c>
      <c r="B1193" s="95" t="s">
        <v>69</v>
      </c>
      <c r="C1193" s="96" t="s">
        <v>7066</v>
      </c>
      <c r="D1193" s="95" t="s">
        <v>130</v>
      </c>
      <c r="E1193" s="95" t="s">
        <v>2879</v>
      </c>
      <c r="F1193" s="95" t="s">
        <v>19</v>
      </c>
      <c r="G1193" s="95" t="s">
        <v>1367</v>
      </c>
      <c r="H1193" s="95" t="s">
        <v>89</v>
      </c>
      <c r="I1193" s="95" t="s">
        <v>1984</v>
      </c>
      <c r="J1193" s="97">
        <v>46021.51291517361</v>
      </c>
      <c r="K1193" s="95" t="s">
        <v>7067</v>
      </c>
      <c r="L1193" s="96" t="s">
        <v>7068</v>
      </c>
      <c r="M1193" s="95" t="s">
        <v>93</v>
      </c>
      <c r="N1193" s="95" t="s">
        <v>7069</v>
      </c>
      <c r="O1193" s="95" t="s">
        <v>7069</v>
      </c>
      <c r="P1193" s="95" t="s">
        <v>7070</v>
      </c>
      <c r="Q1193" s="98">
        <v>3.0</v>
      </c>
      <c r="R1193" s="97">
        <v>45957.30446759259</v>
      </c>
      <c r="S1193" s="99">
        <v>895.0</v>
      </c>
      <c r="T1193" s="99">
        <v>1606.0</v>
      </c>
      <c r="U1193" s="99">
        <v>8.0</v>
      </c>
      <c r="V1193" s="99">
        <v>437.0</v>
      </c>
      <c r="W1193" s="99">
        <v>109195.0</v>
      </c>
    </row>
    <row r="1194" ht="15.75" customHeight="1">
      <c r="A1194" s="95" t="s">
        <v>7071</v>
      </c>
      <c r="B1194" s="95" t="s">
        <v>22</v>
      </c>
      <c r="C1194" s="96" t="s">
        <v>7072</v>
      </c>
      <c r="D1194" s="95" t="s">
        <v>59</v>
      </c>
      <c r="E1194" s="95" t="s">
        <v>665</v>
      </c>
      <c r="F1194" s="95" t="s">
        <v>19</v>
      </c>
      <c r="G1194" s="95" t="s">
        <v>19</v>
      </c>
      <c r="H1194" s="95" t="s">
        <v>21</v>
      </c>
      <c r="I1194" s="95" t="s">
        <v>684</v>
      </c>
      <c r="J1194" s="97">
        <v>46021.49610081018</v>
      </c>
      <c r="K1194" s="95" t="s">
        <v>7073</v>
      </c>
      <c r="L1194" s="96" t="s">
        <v>7074</v>
      </c>
      <c r="M1194" s="95" t="s">
        <v>54</v>
      </c>
      <c r="N1194" s="95" t="s">
        <v>7075</v>
      </c>
      <c r="O1194" s="95" t="s">
        <v>7075</v>
      </c>
      <c r="P1194" s="95" t="s">
        <v>7076</v>
      </c>
      <c r="Q1194" s="98">
        <v>3.0</v>
      </c>
      <c r="R1194" s="97">
        <v>45693.91601851852</v>
      </c>
      <c r="S1194" s="99">
        <v>731.0</v>
      </c>
      <c r="T1194" s="99">
        <v>36.0</v>
      </c>
      <c r="U1194" s="99">
        <v>3.0</v>
      </c>
      <c r="V1194" s="99">
        <v>122.0</v>
      </c>
      <c r="W1194" s="99">
        <v>9589.0</v>
      </c>
    </row>
    <row r="1195" ht="15.75" customHeight="1">
      <c r="A1195" s="95" t="s">
        <v>7077</v>
      </c>
      <c r="B1195" s="95" t="s">
        <v>69</v>
      </c>
      <c r="C1195" s="96" t="s">
        <v>7078</v>
      </c>
      <c r="D1195" s="95" t="s">
        <v>29</v>
      </c>
      <c r="E1195" s="95" t="s">
        <v>3793</v>
      </c>
      <c r="F1195" s="95" t="s">
        <v>88</v>
      </c>
      <c r="G1195" s="95" t="s">
        <v>88</v>
      </c>
      <c r="H1195" s="95" t="s">
        <v>89</v>
      </c>
      <c r="I1195" s="95" t="s">
        <v>1477</v>
      </c>
      <c r="J1195" s="97">
        <v>46056.93918255787</v>
      </c>
      <c r="K1195" s="95" t="s">
        <v>7079</v>
      </c>
      <c r="L1195" s="96" t="s">
        <v>7080</v>
      </c>
      <c r="M1195" s="95" t="s">
        <v>503</v>
      </c>
      <c r="N1195" s="95" t="s">
        <v>7081</v>
      </c>
      <c r="O1195" s="95" t="s">
        <v>7081</v>
      </c>
      <c r="P1195" s="95" t="s">
        <v>7082</v>
      </c>
      <c r="Q1195" s="98">
        <v>3.0</v>
      </c>
      <c r="R1195" s="97">
        <v>45619.40967592593</v>
      </c>
      <c r="S1195" s="99">
        <v>1791.0</v>
      </c>
      <c r="T1195" s="99">
        <v>6.0</v>
      </c>
      <c r="U1195" s="99">
        <v>9.0</v>
      </c>
      <c r="V1195" s="99">
        <v>78.0</v>
      </c>
      <c r="W1195" s="99">
        <v>30056.0</v>
      </c>
    </row>
    <row r="1196" ht="15.75" customHeight="1">
      <c r="A1196" s="95" t="s">
        <v>7083</v>
      </c>
      <c r="B1196" s="95" t="s">
        <v>22</v>
      </c>
      <c r="C1196" s="96" t="s">
        <v>7084</v>
      </c>
      <c r="D1196" s="95" t="s">
        <v>49</v>
      </c>
      <c r="E1196" s="95" t="s">
        <v>1082</v>
      </c>
      <c r="F1196" s="95" t="s">
        <v>19</v>
      </c>
      <c r="G1196" s="95" t="s">
        <v>19</v>
      </c>
      <c r="H1196" s="95" t="s">
        <v>21</v>
      </c>
      <c r="I1196" s="95" t="s">
        <v>567</v>
      </c>
      <c r="J1196" s="97">
        <v>45975.67939547454</v>
      </c>
      <c r="K1196" s="96" t="s">
        <v>7085</v>
      </c>
      <c r="L1196" s="96" t="s">
        <v>7086</v>
      </c>
      <c r="M1196" s="95" t="s">
        <v>74</v>
      </c>
      <c r="N1196" s="95" t="s">
        <v>7087</v>
      </c>
      <c r="O1196" s="95" t="s">
        <v>7087</v>
      </c>
      <c r="P1196" s="95" t="s">
        <v>7088</v>
      </c>
      <c r="Q1196" s="98">
        <v>3.0</v>
      </c>
      <c r="R1196" s="97">
        <v>45680.58327546297</v>
      </c>
      <c r="S1196" s="99">
        <v>8420.0</v>
      </c>
      <c r="T1196" s="99">
        <v>14.0</v>
      </c>
      <c r="U1196" s="99">
        <v>2.0</v>
      </c>
      <c r="V1196" s="99">
        <v>733.0</v>
      </c>
      <c r="W1196" s="99">
        <v>247084.0</v>
      </c>
    </row>
    <row r="1197" ht="15.75" customHeight="1">
      <c r="A1197" s="95" t="s">
        <v>7089</v>
      </c>
      <c r="B1197" s="95" t="s">
        <v>22</v>
      </c>
      <c r="C1197" s="96" t="s">
        <v>7090</v>
      </c>
      <c r="D1197" s="95" t="s">
        <v>124</v>
      </c>
      <c r="E1197" s="95" t="s">
        <v>2158</v>
      </c>
      <c r="F1197" s="95" t="s">
        <v>19</v>
      </c>
      <c r="G1197" s="95" t="s">
        <v>1367</v>
      </c>
      <c r="H1197" s="95" t="s">
        <v>21</v>
      </c>
      <c r="I1197" s="95" t="s">
        <v>567</v>
      </c>
      <c r="J1197" s="97">
        <v>46021.50597040509</v>
      </c>
      <c r="K1197" s="95" t="s">
        <v>7091</v>
      </c>
      <c r="L1197" s="96" t="s">
        <v>7092</v>
      </c>
      <c r="M1197" s="95" t="s">
        <v>74</v>
      </c>
      <c r="N1197" s="95" t="s">
        <v>7093</v>
      </c>
      <c r="O1197" s="95" t="s">
        <v>7093</v>
      </c>
      <c r="P1197" s="95" t="s">
        <v>7094</v>
      </c>
      <c r="Q1197" s="98">
        <v>3.0</v>
      </c>
      <c r="R1197" s="97">
        <v>45882.48734953703</v>
      </c>
      <c r="S1197" s="99">
        <v>51.0</v>
      </c>
      <c r="T1197" s="99">
        <v>5.0</v>
      </c>
      <c r="U1197" s="99">
        <v>1.0</v>
      </c>
      <c r="V1197" s="99">
        <v>33.0</v>
      </c>
      <c r="W1197" s="99">
        <v>264929.0</v>
      </c>
    </row>
    <row r="1198" ht="15.75" customHeight="1">
      <c r="A1198" s="95" t="s">
        <v>7095</v>
      </c>
      <c r="B1198" s="95" t="s">
        <v>69</v>
      </c>
      <c r="C1198" s="96" t="s">
        <v>7096</v>
      </c>
      <c r="D1198" s="95" t="s">
        <v>124</v>
      </c>
      <c r="E1198" s="95" t="s">
        <v>2158</v>
      </c>
      <c r="F1198" s="95" t="s">
        <v>88</v>
      </c>
      <c r="G1198" s="95" t="s">
        <v>639</v>
      </c>
      <c r="H1198" s="95" t="s">
        <v>89</v>
      </c>
      <c r="I1198" s="95" t="s">
        <v>640</v>
      </c>
      <c r="J1198" s="97">
        <v>45975.67939547454</v>
      </c>
      <c r="K1198" s="96" t="s">
        <v>7097</v>
      </c>
      <c r="L1198" s="96" t="s">
        <v>7098</v>
      </c>
      <c r="M1198" s="95" t="s">
        <v>74</v>
      </c>
      <c r="N1198" s="95" t="s">
        <v>7093</v>
      </c>
      <c r="O1198" s="95" t="s">
        <v>7093</v>
      </c>
      <c r="P1198" s="95" t="s">
        <v>7094</v>
      </c>
      <c r="Q1198" s="98">
        <v>3.0</v>
      </c>
      <c r="R1198" s="97">
        <v>45623.54707175926</v>
      </c>
      <c r="S1198" s="99">
        <v>51.0</v>
      </c>
      <c r="T1198" s="99">
        <v>1.0</v>
      </c>
      <c r="U1198" s="99">
        <v>2.0</v>
      </c>
      <c r="V1198" s="99">
        <v>585.0</v>
      </c>
      <c r="W1198" s="99">
        <v>264929.0</v>
      </c>
    </row>
    <row r="1199" ht="15.75" customHeight="1">
      <c r="A1199" s="95" t="s">
        <v>7099</v>
      </c>
      <c r="B1199" s="95" t="s">
        <v>22</v>
      </c>
      <c r="C1199" s="96" t="s">
        <v>7100</v>
      </c>
      <c r="D1199" s="95" t="s">
        <v>39</v>
      </c>
      <c r="E1199" s="95" t="s">
        <v>39</v>
      </c>
      <c r="F1199" s="95" t="s">
        <v>19</v>
      </c>
      <c r="G1199" s="95" t="s">
        <v>19</v>
      </c>
      <c r="H1199" s="95" t="s">
        <v>21</v>
      </c>
      <c r="I1199" s="95" t="s">
        <v>943</v>
      </c>
      <c r="J1199" s="97">
        <v>46021.50597040509</v>
      </c>
      <c r="K1199" s="95" t="s">
        <v>7101</v>
      </c>
      <c r="L1199" s="96" t="s">
        <v>7102</v>
      </c>
      <c r="M1199" s="95" t="s">
        <v>74</v>
      </c>
      <c r="N1199" s="95" t="s">
        <v>7103</v>
      </c>
      <c r="O1199" s="95" t="s">
        <v>7103</v>
      </c>
      <c r="P1199" s="95" t="s">
        <v>7104</v>
      </c>
      <c r="Q1199" s="98">
        <v>3.0</v>
      </c>
      <c r="R1199" s="97">
        <v>45620.5105787037</v>
      </c>
      <c r="S1199" s="99">
        <v>50.0</v>
      </c>
      <c r="T1199" s="99">
        <v>72.0</v>
      </c>
      <c r="U1199" s="99">
        <v>7.0</v>
      </c>
      <c r="V1199" s="99">
        <v>442.0</v>
      </c>
      <c r="W1199" s="99">
        <v>21867.0</v>
      </c>
    </row>
    <row r="1200" ht="15.75" customHeight="1">
      <c r="A1200" s="95" t="s">
        <v>7105</v>
      </c>
      <c r="B1200" s="95" t="s">
        <v>22</v>
      </c>
      <c r="C1200" s="96" t="s">
        <v>7106</v>
      </c>
      <c r="D1200" s="95" t="s">
        <v>68</v>
      </c>
      <c r="E1200" s="95" t="s">
        <v>7107</v>
      </c>
      <c r="F1200" s="95" t="s">
        <v>19</v>
      </c>
      <c r="G1200" s="95" t="s">
        <v>19</v>
      </c>
      <c r="H1200" s="95" t="s">
        <v>21</v>
      </c>
      <c r="I1200" s="95" t="s">
        <v>567</v>
      </c>
      <c r="J1200" s="97">
        <v>46021.50597040509</v>
      </c>
      <c r="K1200" s="95" t="s">
        <v>7108</v>
      </c>
      <c r="L1200" s="96" t="s">
        <v>7109</v>
      </c>
      <c r="M1200" s="95" t="s">
        <v>74</v>
      </c>
      <c r="N1200" s="95" t="s">
        <v>7103</v>
      </c>
      <c r="O1200" s="95" t="s">
        <v>7103</v>
      </c>
      <c r="P1200" s="95" t="s">
        <v>7104</v>
      </c>
      <c r="Q1200" s="98">
        <v>3.0</v>
      </c>
      <c r="R1200" s="97">
        <v>45681.3533912037</v>
      </c>
      <c r="S1200" s="99">
        <v>50.0</v>
      </c>
      <c r="T1200" s="99">
        <v>70.0</v>
      </c>
      <c r="U1200" s="99">
        <v>7.0</v>
      </c>
      <c r="V1200" s="99">
        <v>506.0</v>
      </c>
      <c r="W1200" s="99">
        <v>21867.0</v>
      </c>
    </row>
    <row r="1201" ht="15.75" customHeight="1">
      <c r="A1201" s="95" t="s">
        <v>7110</v>
      </c>
      <c r="B1201" s="95" t="s">
        <v>22</v>
      </c>
      <c r="C1201" s="96" t="s">
        <v>7111</v>
      </c>
      <c r="D1201" s="95" t="s">
        <v>39</v>
      </c>
      <c r="E1201" s="95" t="s">
        <v>39</v>
      </c>
      <c r="F1201" s="95" t="s">
        <v>19</v>
      </c>
      <c r="G1201" s="95" t="s">
        <v>19</v>
      </c>
      <c r="H1201" s="95" t="s">
        <v>21</v>
      </c>
      <c r="I1201" s="95" t="s">
        <v>567</v>
      </c>
      <c r="J1201" s="97">
        <v>46021.50597040509</v>
      </c>
      <c r="K1201" s="95" t="s">
        <v>7112</v>
      </c>
      <c r="L1201" s="96" t="s">
        <v>7113</v>
      </c>
      <c r="M1201" s="95" t="s">
        <v>74</v>
      </c>
      <c r="N1201" s="95" t="s">
        <v>7103</v>
      </c>
      <c r="O1201" s="95" t="s">
        <v>7103</v>
      </c>
      <c r="P1201" s="95" t="s">
        <v>7104</v>
      </c>
      <c r="Q1201" s="98">
        <v>3.0</v>
      </c>
      <c r="R1201" s="97">
        <v>45706.10994212963</v>
      </c>
      <c r="S1201" s="99">
        <v>50.0</v>
      </c>
      <c r="T1201" s="99">
        <v>6.0</v>
      </c>
      <c r="U1201" s="99">
        <v>1.0</v>
      </c>
      <c r="V1201" s="99">
        <v>147.0</v>
      </c>
      <c r="W1201" s="99">
        <v>21867.0</v>
      </c>
    </row>
    <row r="1202" ht="15.75" customHeight="1">
      <c r="A1202" s="95" t="s">
        <v>7114</v>
      </c>
      <c r="B1202" s="95" t="s">
        <v>22</v>
      </c>
      <c r="C1202" s="96" t="s">
        <v>7115</v>
      </c>
      <c r="D1202" s="95" t="s">
        <v>168</v>
      </c>
      <c r="E1202" s="95" t="s">
        <v>168</v>
      </c>
      <c r="F1202" s="95" t="s">
        <v>19</v>
      </c>
      <c r="G1202" s="95" t="s">
        <v>19</v>
      </c>
      <c r="H1202" s="95" t="s">
        <v>21</v>
      </c>
      <c r="I1202" s="95" t="s">
        <v>567</v>
      </c>
      <c r="J1202" s="97">
        <v>46008.62904710648</v>
      </c>
      <c r="K1202" s="96" t="s">
        <v>7116</v>
      </c>
      <c r="L1202" s="96" t="s">
        <v>7117</v>
      </c>
      <c r="M1202" s="95" t="s">
        <v>17</v>
      </c>
      <c r="N1202" s="95" t="s">
        <v>7118</v>
      </c>
      <c r="O1202" s="95" t="s">
        <v>7118</v>
      </c>
      <c r="P1202" s="95" t="s">
        <v>7119</v>
      </c>
      <c r="Q1202" s="98">
        <v>3.0</v>
      </c>
      <c r="R1202" s="97">
        <v>45893.93833333333</v>
      </c>
      <c r="S1202" s="99">
        <v>263.0</v>
      </c>
      <c r="T1202" s="99">
        <v>36.0</v>
      </c>
      <c r="U1202" s="99">
        <v>2.0</v>
      </c>
      <c r="V1202" s="99">
        <v>186.0</v>
      </c>
      <c r="W1202" s="99">
        <v>50585.0</v>
      </c>
    </row>
    <row r="1203" ht="15.75" customHeight="1">
      <c r="A1203" s="95" t="s">
        <v>7120</v>
      </c>
      <c r="B1203" s="95" t="s">
        <v>22</v>
      </c>
      <c r="C1203" s="96" t="s">
        <v>7121</v>
      </c>
      <c r="D1203" s="95" t="s">
        <v>20</v>
      </c>
      <c r="E1203" s="95" t="s">
        <v>638</v>
      </c>
      <c r="F1203" s="95" t="s">
        <v>19</v>
      </c>
      <c r="G1203" s="95" t="s">
        <v>19</v>
      </c>
      <c r="H1203" s="95" t="s">
        <v>21</v>
      </c>
      <c r="I1203" s="95" t="s">
        <v>633</v>
      </c>
      <c r="J1203" s="97">
        <v>46021.50597040509</v>
      </c>
      <c r="K1203" s="95" t="s">
        <v>7122</v>
      </c>
      <c r="L1203" s="96" t="s">
        <v>7123</v>
      </c>
      <c r="M1203" s="95" t="s">
        <v>74</v>
      </c>
      <c r="N1203" s="95" t="s">
        <v>7124</v>
      </c>
      <c r="O1203" s="95" t="s">
        <v>7124</v>
      </c>
      <c r="P1203" s="95" t="s">
        <v>7125</v>
      </c>
      <c r="Q1203" s="98">
        <v>3.0</v>
      </c>
      <c r="R1203" s="97">
        <v>45807.90825231482</v>
      </c>
      <c r="S1203" s="99">
        <v>996.0</v>
      </c>
      <c r="T1203" s="99">
        <v>31.0</v>
      </c>
      <c r="U1203" s="99">
        <v>18.0</v>
      </c>
      <c r="V1203" s="99">
        <v>404.0</v>
      </c>
      <c r="W1203" s="99">
        <v>35019.0</v>
      </c>
    </row>
    <row r="1204" ht="15.75" customHeight="1">
      <c r="A1204" s="95" t="s">
        <v>7126</v>
      </c>
      <c r="B1204" s="95" t="s">
        <v>22</v>
      </c>
      <c r="C1204" s="96" t="s">
        <v>7127</v>
      </c>
      <c r="D1204" s="95" t="s">
        <v>49</v>
      </c>
      <c r="E1204" s="95" t="s">
        <v>49</v>
      </c>
      <c r="F1204" s="95" t="s">
        <v>19</v>
      </c>
      <c r="G1204" s="95" t="s">
        <v>19</v>
      </c>
      <c r="H1204" s="95" t="s">
        <v>21</v>
      </c>
      <c r="I1204" s="95" t="s">
        <v>567</v>
      </c>
      <c r="J1204" s="97">
        <v>46021.49322636574</v>
      </c>
      <c r="K1204" s="95" t="s">
        <v>7128</v>
      </c>
      <c r="L1204" s="96" t="s">
        <v>7129</v>
      </c>
      <c r="M1204" s="95" t="s">
        <v>54</v>
      </c>
      <c r="N1204" s="95" t="s">
        <v>7130</v>
      </c>
      <c r="O1204" s="95" t="s">
        <v>7130</v>
      </c>
      <c r="P1204" s="95" t="s">
        <v>7131</v>
      </c>
      <c r="Q1204" s="98">
        <v>3.0</v>
      </c>
      <c r="R1204" s="97">
        <v>45894.37917824074</v>
      </c>
      <c r="S1204" s="99">
        <v>130.0</v>
      </c>
      <c r="T1204" s="99">
        <v>21.0</v>
      </c>
      <c r="U1204" s="99">
        <v>2.0</v>
      </c>
      <c r="V1204" s="99">
        <v>74.0</v>
      </c>
      <c r="W1204" s="99">
        <v>171996.0</v>
      </c>
    </row>
    <row r="1205" ht="15.75" customHeight="1">
      <c r="A1205" s="95" t="s">
        <v>7132</v>
      </c>
      <c r="B1205" s="95" t="s">
        <v>22</v>
      </c>
      <c r="C1205" s="96" t="s">
        <v>7133</v>
      </c>
      <c r="D1205" s="95" t="s">
        <v>49</v>
      </c>
      <c r="E1205" s="95" t="s">
        <v>49</v>
      </c>
      <c r="F1205" s="95" t="s">
        <v>19</v>
      </c>
      <c r="G1205" s="95" t="s">
        <v>574</v>
      </c>
      <c r="H1205" s="95" t="s">
        <v>21</v>
      </c>
      <c r="I1205" s="95" t="s">
        <v>589</v>
      </c>
      <c r="J1205" s="97">
        <v>46008.62897545139</v>
      </c>
      <c r="K1205" s="96" t="s">
        <v>7134</v>
      </c>
      <c r="L1205" s="96" t="s">
        <v>7135</v>
      </c>
      <c r="M1205" s="95" t="s">
        <v>54</v>
      </c>
      <c r="N1205" s="95" t="s">
        <v>7130</v>
      </c>
      <c r="O1205" s="95" t="s">
        <v>7130</v>
      </c>
      <c r="P1205" s="95" t="s">
        <v>7131</v>
      </c>
      <c r="Q1205" s="98">
        <v>3.0</v>
      </c>
      <c r="R1205" s="97">
        <v>45632.42921296296</v>
      </c>
      <c r="S1205" s="99">
        <v>130.0</v>
      </c>
      <c r="T1205" s="99">
        <v>1326.0</v>
      </c>
      <c r="U1205" s="99">
        <v>4.0</v>
      </c>
      <c r="V1205" s="99">
        <v>22.0</v>
      </c>
      <c r="W1205" s="99">
        <v>171996.0</v>
      </c>
    </row>
    <row r="1206" ht="15.75" customHeight="1">
      <c r="A1206" s="95" t="s">
        <v>7136</v>
      </c>
      <c r="B1206" s="95" t="s">
        <v>69</v>
      </c>
      <c r="C1206" s="96" t="s">
        <v>7137</v>
      </c>
      <c r="D1206" s="95" t="s">
        <v>39</v>
      </c>
      <c r="E1206" s="95" t="s">
        <v>697</v>
      </c>
      <c r="F1206" s="95" t="s">
        <v>19</v>
      </c>
      <c r="G1206" s="95" t="s">
        <v>1427</v>
      </c>
      <c r="H1206" s="95" t="s">
        <v>60</v>
      </c>
      <c r="I1206" s="95" t="s">
        <v>7138</v>
      </c>
      <c r="J1206" s="97">
        <v>45975.67935613426</v>
      </c>
      <c r="K1206" s="96" t="s">
        <v>7139</v>
      </c>
      <c r="L1206" s="96" t="s">
        <v>7140</v>
      </c>
      <c r="M1206" s="95" t="s">
        <v>17</v>
      </c>
      <c r="N1206" s="95" t="s">
        <v>7141</v>
      </c>
      <c r="O1206" s="95" t="s">
        <v>7141</v>
      </c>
      <c r="P1206" s="95" t="s">
        <v>7142</v>
      </c>
      <c r="Q1206" s="98">
        <v>3.0</v>
      </c>
      <c r="R1206" s="97">
        <v>45727.64430555556</v>
      </c>
      <c r="S1206" s="99">
        <v>344.0</v>
      </c>
      <c r="T1206" s="99">
        <v>22.0</v>
      </c>
      <c r="U1206" s="99">
        <v>8.0</v>
      </c>
      <c r="V1206" s="99">
        <v>23.0</v>
      </c>
      <c r="W1206" s="99">
        <v>9298.0</v>
      </c>
    </row>
    <row r="1207" ht="15.75" customHeight="1">
      <c r="A1207" s="95" t="s">
        <v>7143</v>
      </c>
      <c r="B1207" s="95" t="s">
        <v>22</v>
      </c>
      <c r="C1207" s="96" t="s">
        <v>7144</v>
      </c>
      <c r="D1207" s="95" t="s">
        <v>20</v>
      </c>
      <c r="E1207" s="95" t="s">
        <v>20</v>
      </c>
      <c r="F1207" s="95" t="s">
        <v>19</v>
      </c>
      <c r="G1207" s="95" t="s">
        <v>588</v>
      </c>
      <c r="H1207" s="95" t="s">
        <v>21</v>
      </c>
      <c r="I1207" s="95" t="s">
        <v>1026</v>
      </c>
      <c r="J1207" s="97">
        <v>45980.93902726852</v>
      </c>
      <c r="K1207" s="96" t="s">
        <v>7145</v>
      </c>
      <c r="L1207" s="96" t="s">
        <v>7146</v>
      </c>
      <c r="M1207" s="95" t="s">
        <v>17</v>
      </c>
      <c r="N1207" s="95" t="s">
        <v>7147</v>
      </c>
      <c r="O1207" s="95" t="s">
        <v>7147</v>
      </c>
      <c r="P1207" s="95" t="s">
        <v>7148</v>
      </c>
      <c r="Q1207" s="98">
        <v>3.0</v>
      </c>
      <c r="R1207" s="97">
        <v>45859.87527777778</v>
      </c>
      <c r="S1207" s="99">
        <v>982.0</v>
      </c>
      <c r="T1207" s="99">
        <v>38.0</v>
      </c>
      <c r="U1207" s="99">
        <v>11.0</v>
      </c>
      <c r="V1207" s="99">
        <v>100.0</v>
      </c>
      <c r="W1207" s="99">
        <v>86077.0</v>
      </c>
    </row>
    <row r="1208" ht="15.75" customHeight="1">
      <c r="A1208" s="95" t="s">
        <v>7149</v>
      </c>
      <c r="B1208" s="95" t="s">
        <v>131</v>
      </c>
      <c r="C1208" s="96" t="s">
        <v>7150</v>
      </c>
      <c r="D1208" s="95" t="s">
        <v>59</v>
      </c>
      <c r="E1208" s="95" t="s">
        <v>1873</v>
      </c>
      <c r="F1208" s="95" t="s">
        <v>58</v>
      </c>
      <c r="G1208" s="95" t="s">
        <v>58</v>
      </c>
      <c r="H1208" s="95" t="s">
        <v>60</v>
      </c>
      <c r="I1208" s="95" t="s">
        <v>795</v>
      </c>
      <c r="J1208" s="97">
        <v>46021.51020638889</v>
      </c>
      <c r="K1208" s="95" t="s">
        <v>7151</v>
      </c>
      <c r="L1208" s="96" t="s">
        <v>7152</v>
      </c>
      <c r="M1208" s="95" t="s">
        <v>54</v>
      </c>
      <c r="N1208" s="95" t="s">
        <v>7153</v>
      </c>
      <c r="O1208" s="95" t="s">
        <v>7153</v>
      </c>
      <c r="P1208" s="95" t="s">
        <v>7154</v>
      </c>
      <c r="Q1208" s="98">
        <v>3.0</v>
      </c>
      <c r="R1208" s="97">
        <v>45888.43010416667</v>
      </c>
      <c r="S1208" s="99">
        <v>889.0</v>
      </c>
      <c r="T1208" s="99">
        <v>12.0</v>
      </c>
      <c r="U1208" s="99">
        <v>2.0</v>
      </c>
      <c r="V1208" s="99">
        <v>44.0</v>
      </c>
      <c r="W1208" s="99">
        <v>172881.0</v>
      </c>
    </row>
    <row r="1209" ht="15.75" customHeight="1">
      <c r="A1209" s="95" t="s">
        <v>7155</v>
      </c>
      <c r="B1209" s="95" t="s">
        <v>22</v>
      </c>
      <c r="C1209" s="96" t="s">
        <v>7156</v>
      </c>
      <c r="D1209" s="95" t="s">
        <v>20</v>
      </c>
      <c r="E1209" s="95" t="s">
        <v>2261</v>
      </c>
      <c r="F1209" s="95" t="s">
        <v>19</v>
      </c>
      <c r="G1209" s="95" t="s">
        <v>19</v>
      </c>
      <c r="H1209" s="95" t="s">
        <v>21</v>
      </c>
      <c r="I1209" s="95" t="s">
        <v>677</v>
      </c>
      <c r="J1209" s="97">
        <v>46008.62904709491</v>
      </c>
      <c r="K1209" s="96" t="s">
        <v>7157</v>
      </c>
      <c r="L1209" s="96" t="s">
        <v>7158</v>
      </c>
      <c r="M1209" s="95" t="s">
        <v>17</v>
      </c>
      <c r="N1209" s="95" t="s">
        <v>7159</v>
      </c>
      <c r="O1209" s="95" t="s">
        <v>7159</v>
      </c>
      <c r="P1209" s="95" t="s">
        <v>7160</v>
      </c>
      <c r="Q1209" s="98">
        <v>3.0</v>
      </c>
      <c r="R1209" s="97">
        <v>45672.54236111111</v>
      </c>
      <c r="S1209" s="99">
        <v>257.0</v>
      </c>
      <c r="T1209" s="99">
        <v>12.0</v>
      </c>
      <c r="U1209" s="99">
        <v>1.0</v>
      </c>
      <c r="V1209" s="99">
        <v>692.0</v>
      </c>
      <c r="W1209" s="99">
        <v>30907.0</v>
      </c>
    </row>
    <row r="1210" ht="15.75" customHeight="1">
      <c r="A1210" s="95" t="s">
        <v>7161</v>
      </c>
      <c r="B1210" s="95" t="s">
        <v>22</v>
      </c>
      <c r="C1210" s="96" t="s">
        <v>7162</v>
      </c>
      <c r="D1210" s="95" t="s">
        <v>39</v>
      </c>
      <c r="E1210" s="95" t="s">
        <v>39</v>
      </c>
      <c r="F1210" s="95" t="s">
        <v>19</v>
      </c>
      <c r="G1210" s="95" t="s">
        <v>19</v>
      </c>
      <c r="H1210" s="95" t="s">
        <v>21</v>
      </c>
      <c r="I1210" s="95" t="s">
        <v>567</v>
      </c>
      <c r="J1210" s="97">
        <v>46021.50597040509</v>
      </c>
      <c r="K1210" s="95" t="s">
        <v>7163</v>
      </c>
      <c r="L1210" s="96" t="s">
        <v>7164</v>
      </c>
      <c r="M1210" s="95" t="s">
        <v>93</v>
      </c>
      <c r="N1210" s="95" t="s">
        <v>7165</v>
      </c>
      <c r="O1210" s="95" t="s">
        <v>7165</v>
      </c>
      <c r="P1210" s="95" t="s">
        <v>7166</v>
      </c>
      <c r="Q1210" s="98">
        <v>3.0</v>
      </c>
      <c r="R1210" s="97">
        <v>45626.19729166666</v>
      </c>
      <c r="S1210" s="99">
        <v>1329.0</v>
      </c>
      <c r="T1210" s="99">
        <v>661.0</v>
      </c>
      <c r="U1210" s="99">
        <v>25.0</v>
      </c>
      <c r="V1210" s="99">
        <v>188.0</v>
      </c>
      <c r="W1210" s="99">
        <v>999999.0</v>
      </c>
    </row>
    <row r="1211" ht="15.75" customHeight="1">
      <c r="A1211" s="95" t="s">
        <v>7167</v>
      </c>
      <c r="B1211" s="95" t="s">
        <v>157</v>
      </c>
      <c r="C1211" s="96" t="s">
        <v>7168</v>
      </c>
      <c r="D1211" s="95" t="s">
        <v>39</v>
      </c>
      <c r="E1211" s="95" t="s">
        <v>39</v>
      </c>
      <c r="F1211" s="95" t="s">
        <v>88</v>
      </c>
      <c r="G1211" s="95" t="s">
        <v>88</v>
      </c>
      <c r="H1211" s="95" t="s">
        <v>89</v>
      </c>
      <c r="I1211" s="95" t="s">
        <v>859</v>
      </c>
      <c r="J1211" s="97">
        <v>46072.60602804398</v>
      </c>
      <c r="K1211" s="95" t="s">
        <v>7169</v>
      </c>
      <c r="L1211" s="96" t="s">
        <v>7170</v>
      </c>
      <c r="M1211" s="95" t="s">
        <v>93</v>
      </c>
      <c r="N1211" s="95" t="s">
        <v>7165</v>
      </c>
      <c r="O1211" s="95" t="s">
        <v>7165</v>
      </c>
      <c r="P1211" s="95" t="s">
        <v>7166</v>
      </c>
      <c r="Q1211" s="98">
        <v>3.0</v>
      </c>
      <c r="R1211" s="97">
        <v>45714.62266203704</v>
      </c>
      <c r="S1211" s="99">
        <v>1329.0</v>
      </c>
      <c r="T1211" s="99">
        <v>850.0</v>
      </c>
      <c r="U1211" s="99">
        <v>2.0</v>
      </c>
      <c r="V1211" s="99">
        <v>24.0</v>
      </c>
      <c r="W1211" s="99">
        <v>999999.0</v>
      </c>
    </row>
    <row r="1212" ht="15.75" customHeight="1">
      <c r="A1212" s="95" t="s">
        <v>7171</v>
      </c>
      <c r="B1212" s="95" t="s">
        <v>22</v>
      </c>
      <c r="C1212" s="96" t="s">
        <v>7172</v>
      </c>
      <c r="D1212" s="95" t="s">
        <v>39</v>
      </c>
      <c r="E1212" s="95" t="s">
        <v>39</v>
      </c>
      <c r="F1212" s="95" t="s">
        <v>19</v>
      </c>
      <c r="G1212" s="95" t="s">
        <v>19</v>
      </c>
      <c r="H1212" s="95" t="s">
        <v>21</v>
      </c>
      <c r="I1212" s="95" t="s">
        <v>567</v>
      </c>
      <c r="J1212" s="97">
        <v>46003.09379704861</v>
      </c>
      <c r="K1212" s="95" t="s">
        <v>7173</v>
      </c>
      <c r="L1212" s="96" t="s">
        <v>7174</v>
      </c>
      <c r="M1212" s="95" t="s">
        <v>38</v>
      </c>
      <c r="N1212" s="95" t="s">
        <v>7175</v>
      </c>
      <c r="O1212" s="95" t="s">
        <v>7175</v>
      </c>
      <c r="P1212" s="95" t="s">
        <v>7176</v>
      </c>
      <c r="Q1212" s="98">
        <v>3.0</v>
      </c>
      <c r="R1212" s="97">
        <v>45768.42059027778</v>
      </c>
      <c r="S1212" s="99">
        <v>441.0</v>
      </c>
      <c r="T1212" s="99">
        <v>423.0</v>
      </c>
      <c r="U1212" s="99">
        <v>1.0</v>
      </c>
      <c r="V1212" s="99">
        <v>81.0</v>
      </c>
      <c r="W1212" s="99">
        <v>108969.0</v>
      </c>
    </row>
    <row r="1213" ht="15.75" customHeight="1">
      <c r="A1213" s="95" t="s">
        <v>7177</v>
      </c>
      <c r="B1213" s="95" t="s">
        <v>22</v>
      </c>
      <c r="C1213" s="96" t="s">
        <v>7178</v>
      </c>
      <c r="D1213" s="95" t="s">
        <v>124</v>
      </c>
      <c r="E1213" s="95" t="s">
        <v>124</v>
      </c>
      <c r="F1213" s="95" t="s">
        <v>19</v>
      </c>
      <c r="G1213" s="95" t="s">
        <v>19</v>
      </c>
      <c r="H1213" s="95" t="s">
        <v>21</v>
      </c>
      <c r="I1213" s="95" t="s">
        <v>567</v>
      </c>
      <c r="J1213" s="97">
        <v>45975.67939547454</v>
      </c>
      <c r="K1213" s="96" t="s">
        <v>7179</v>
      </c>
      <c r="L1213" s="96" t="s">
        <v>7180</v>
      </c>
      <c r="M1213" s="95" t="s">
        <v>74</v>
      </c>
      <c r="N1213" s="95" t="s">
        <v>7181</v>
      </c>
      <c r="O1213" s="95" t="s">
        <v>7181</v>
      </c>
      <c r="P1213" s="95" t="s">
        <v>7182</v>
      </c>
      <c r="Q1213" s="98">
        <v>3.0</v>
      </c>
      <c r="R1213" s="97">
        <v>45718.44886574074</v>
      </c>
      <c r="S1213" s="99">
        <v>3444.0</v>
      </c>
      <c r="T1213" s="99">
        <v>9.0</v>
      </c>
      <c r="U1213" s="99">
        <v>1.0</v>
      </c>
      <c r="V1213" s="99">
        <v>34.0</v>
      </c>
      <c r="W1213" s="99">
        <v>222680.0</v>
      </c>
    </row>
    <row r="1214" ht="15.75" customHeight="1">
      <c r="A1214" s="95" t="s">
        <v>7183</v>
      </c>
      <c r="B1214" s="95" t="s">
        <v>101</v>
      </c>
      <c r="C1214" s="96" t="s">
        <v>7184</v>
      </c>
      <c r="D1214" s="95" t="s">
        <v>124</v>
      </c>
      <c r="E1214" s="95" t="s">
        <v>1731</v>
      </c>
      <c r="F1214" s="95" t="s">
        <v>19</v>
      </c>
      <c r="G1214" s="95" t="s">
        <v>997</v>
      </c>
      <c r="H1214" s="95" t="s">
        <v>21</v>
      </c>
      <c r="I1214" s="95" t="s">
        <v>7185</v>
      </c>
      <c r="J1214" s="97">
        <v>45993.79076225695</v>
      </c>
      <c r="K1214" s="96" t="s">
        <v>7186</v>
      </c>
      <c r="L1214" s="96" t="s">
        <v>7187</v>
      </c>
      <c r="M1214" s="95" t="s">
        <v>74</v>
      </c>
      <c r="N1214" s="95" t="s">
        <v>7181</v>
      </c>
      <c r="O1214" s="95" t="s">
        <v>7181</v>
      </c>
      <c r="P1214" s="95" t="s">
        <v>7182</v>
      </c>
      <c r="Q1214" s="98">
        <v>3.0</v>
      </c>
      <c r="R1214" s="97">
        <v>44884.95519675926</v>
      </c>
      <c r="S1214" s="99">
        <v>3444.0</v>
      </c>
      <c r="T1214" s="99">
        <v>604.0</v>
      </c>
      <c r="U1214" s="99">
        <v>2.0</v>
      </c>
      <c r="V1214" s="99">
        <v>0.0</v>
      </c>
      <c r="W1214" s="99">
        <v>222680.0</v>
      </c>
    </row>
    <row r="1215" ht="15.75" customHeight="1">
      <c r="A1215" s="95" t="s">
        <v>7188</v>
      </c>
      <c r="B1215" s="95" t="s">
        <v>101</v>
      </c>
      <c r="C1215" s="96" t="s">
        <v>7189</v>
      </c>
      <c r="D1215" s="95" t="s">
        <v>39</v>
      </c>
      <c r="E1215" s="95" t="s">
        <v>697</v>
      </c>
      <c r="F1215" s="95" t="s">
        <v>19</v>
      </c>
      <c r="G1215" s="95" t="s">
        <v>19</v>
      </c>
      <c r="H1215" s="95" t="s">
        <v>21</v>
      </c>
      <c r="I1215" s="95" t="s">
        <v>1504</v>
      </c>
      <c r="J1215" s="97">
        <v>45994.67262503472</v>
      </c>
      <c r="K1215" s="95" t="s">
        <v>7190</v>
      </c>
      <c r="L1215" s="96" t="s">
        <v>7191</v>
      </c>
      <c r="M1215" s="95" t="s">
        <v>105</v>
      </c>
      <c r="N1215" s="95" t="s">
        <v>7192</v>
      </c>
      <c r="O1215" s="95" t="s">
        <v>7192</v>
      </c>
      <c r="P1215" s="95" t="s">
        <v>7193</v>
      </c>
      <c r="Q1215" s="98">
        <v>3.0</v>
      </c>
      <c r="R1215" s="97">
        <v>45812.55542824074</v>
      </c>
      <c r="S1215" s="99">
        <v>2678.0</v>
      </c>
      <c r="T1215" s="99">
        <v>192.0</v>
      </c>
      <c r="U1215" s="99">
        <v>1.0</v>
      </c>
      <c r="V1215" s="99">
        <v>27.0</v>
      </c>
      <c r="W1215" s="99">
        <v>66019.0</v>
      </c>
    </row>
    <row r="1216" ht="15.75" customHeight="1">
      <c r="A1216" s="95" t="s">
        <v>7194</v>
      </c>
      <c r="B1216" s="95" t="s">
        <v>22</v>
      </c>
      <c r="C1216" s="96" t="s">
        <v>7195</v>
      </c>
      <c r="D1216" s="95" t="s">
        <v>39</v>
      </c>
      <c r="E1216" s="95" t="s">
        <v>697</v>
      </c>
      <c r="F1216" s="95" t="s">
        <v>19</v>
      </c>
      <c r="G1216" s="95" t="s">
        <v>19</v>
      </c>
      <c r="H1216" s="95" t="s">
        <v>21</v>
      </c>
      <c r="I1216" s="95" t="s">
        <v>567</v>
      </c>
      <c r="J1216" s="97">
        <v>46021.49322636574</v>
      </c>
      <c r="K1216" s="95" t="s">
        <v>7196</v>
      </c>
      <c r="L1216" s="96" t="s">
        <v>7197</v>
      </c>
      <c r="M1216" s="95" t="s">
        <v>105</v>
      </c>
      <c r="N1216" s="95" t="s">
        <v>7192</v>
      </c>
      <c r="O1216" s="95" t="s">
        <v>7192</v>
      </c>
      <c r="P1216" s="95" t="s">
        <v>7193</v>
      </c>
      <c r="Q1216" s="98">
        <v>3.0</v>
      </c>
      <c r="R1216" s="97">
        <v>45562.79681712963</v>
      </c>
      <c r="S1216" s="99">
        <v>2678.0</v>
      </c>
      <c r="T1216" s="99">
        <v>168.0</v>
      </c>
      <c r="U1216" s="99">
        <v>1.0</v>
      </c>
      <c r="V1216" s="99">
        <v>29.0</v>
      </c>
      <c r="W1216" s="99">
        <v>66019.0</v>
      </c>
    </row>
    <row r="1217" ht="15.75" customHeight="1">
      <c r="A1217" s="95" t="s">
        <v>7198</v>
      </c>
      <c r="B1217" s="95" t="s">
        <v>22</v>
      </c>
      <c r="C1217" s="96" t="s">
        <v>7199</v>
      </c>
      <c r="D1217" s="95" t="s">
        <v>39</v>
      </c>
      <c r="E1217" s="95" t="s">
        <v>697</v>
      </c>
      <c r="F1217" s="95" t="s">
        <v>19</v>
      </c>
      <c r="G1217" s="95" t="s">
        <v>19</v>
      </c>
      <c r="H1217" s="95" t="s">
        <v>21</v>
      </c>
      <c r="I1217" s="95" t="s">
        <v>567</v>
      </c>
      <c r="J1217" s="97">
        <v>46021.49610081018</v>
      </c>
      <c r="K1217" s="95" t="s">
        <v>7200</v>
      </c>
      <c r="L1217" s="96" t="s">
        <v>7201</v>
      </c>
      <c r="M1217" s="95" t="s">
        <v>105</v>
      </c>
      <c r="N1217" s="95" t="s">
        <v>7192</v>
      </c>
      <c r="O1217" s="95" t="s">
        <v>7192</v>
      </c>
      <c r="P1217" s="95" t="s">
        <v>7193</v>
      </c>
      <c r="Q1217" s="98">
        <v>3.0</v>
      </c>
      <c r="R1217" s="97">
        <v>45528.51881944444</v>
      </c>
      <c r="S1217" s="99">
        <v>2678.0</v>
      </c>
      <c r="T1217" s="99">
        <v>157.0</v>
      </c>
      <c r="U1217" s="99">
        <v>3.0</v>
      </c>
      <c r="V1217" s="99">
        <v>180.0</v>
      </c>
      <c r="W1217" s="99">
        <v>66019.0</v>
      </c>
    </row>
    <row r="1218" ht="15.75" customHeight="1">
      <c r="A1218" s="95" t="s">
        <v>7202</v>
      </c>
      <c r="B1218" s="95" t="s">
        <v>69</v>
      </c>
      <c r="C1218" s="96" t="s">
        <v>7203</v>
      </c>
      <c r="D1218" s="95" t="s">
        <v>39</v>
      </c>
      <c r="E1218" s="95" t="s">
        <v>697</v>
      </c>
      <c r="F1218" s="95" t="s">
        <v>19</v>
      </c>
      <c r="G1218" s="95" t="s">
        <v>19</v>
      </c>
      <c r="H1218" s="95" t="s">
        <v>21</v>
      </c>
      <c r="I1218" s="95" t="s">
        <v>998</v>
      </c>
      <c r="J1218" s="97">
        <v>45978.4583896412</v>
      </c>
      <c r="K1218" s="95" t="s">
        <v>7204</v>
      </c>
      <c r="L1218" s="96" t="s">
        <v>7205</v>
      </c>
      <c r="M1218" s="95" t="s">
        <v>105</v>
      </c>
      <c r="N1218" s="95" t="s">
        <v>7192</v>
      </c>
      <c r="O1218" s="95" t="s">
        <v>7192</v>
      </c>
      <c r="P1218" s="95" t="s">
        <v>7193</v>
      </c>
      <c r="Q1218" s="98">
        <v>3.0</v>
      </c>
      <c r="R1218" s="97">
        <v>45801.63175925926</v>
      </c>
      <c r="S1218" s="99">
        <v>2678.0</v>
      </c>
      <c r="T1218" s="99">
        <v>183.0</v>
      </c>
      <c r="U1218" s="99">
        <v>4.0</v>
      </c>
      <c r="V1218" s="99">
        <v>1674.0</v>
      </c>
      <c r="W1218" s="99">
        <v>66019.0</v>
      </c>
    </row>
    <row r="1219" ht="15.75" customHeight="1">
      <c r="A1219" s="95" t="s">
        <v>7206</v>
      </c>
      <c r="B1219" s="95" t="s">
        <v>22</v>
      </c>
      <c r="C1219" s="96" t="s">
        <v>7207</v>
      </c>
      <c r="D1219" s="95" t="s">
        <v>168</v>
      </c>
      <c r="E1219" s="95" t="s">
        <v>1228</v>
      </c>
      <c r="F1219" s="95" t="s">
        <v>19</v>
      </c>
      <c r="G1219" s="95" t="s">
        <v>19</v>
      </c>
      <c r="H1219" s="95" t="s">
        <v>21</v>
      </c>
      <c r="I1219" s="95" t="s">
        <v>567</v>
      </c>
      <c r="J1219" s="97">
        <v>45975.67935613426</v>
      </c>
      <c r="K1219" s="96" t="s">
        <v>7208</v>
      </c>
      <c r="L1219" s="96" t="s">
        <v>7209</v>
      </c>
      <c r="M1219" s="95" t="s">
        <v>17</v>
      </c>
      <c r="N1219" s="95" t="s">
        <v>7210</v>
      </c>
      <c r="O1219" s="95" t="s">
        <v>7210</v>
      </c>
      <c r="P1219" s="95" t="s">
        <v>7211</v>
      </c>
      <c r="Q1219" s="98">
        <v>3.0</v>
      </c>
      <c r="R1219" s="97">
        <v>45756.32144675926</v>
      </c>
      <c r="S1219" s="99">
        <v>69.0</v>
      </c>
      <c r="T1219" s="99">
        <v>8.0</v>
      </c>
      <c r="U1219" s="99">
        <v>1.0</v>
      </c>
      <c r="V1219" s="99">
        <v>350.0</v>
      </c>
      <c r="W1219" s="99">
        <v>33899.0</v>
      </c>
    </row>
    <row r="1220" ht="15.75" customHeight="1">
      <c r="A1220" s="95" t="s">
        <v>7212</v>
      </c>
      <c r="B1220" s="95" t="s">
        <v>22</v>
      </c>
      <c r="C1220" s="96" t="s">
        <v>7213</v>
      </c>
      <c r="D1220" s="95" t="s">
        <v>168</v>
      </c>
      <c r="E1220" s="95" t="s">
        <v>1228</v>
      </c>
      <c r="F1220" s="95" t="s">
        <v>19</v>
      </c>
      <c r="G1220" s="95" t="s">
        <v>19</v>
      </c>
      <c r="H1220" s="95" t="s">
        <v>21</v>
      </c>
      <c r="I1220" s="95" t="s">
        <v>567</v>
      </c>
      <c r="J1220" s="97">
        <v>46008.62904708333</v>
      </c>
      <c r="K1220" s="96" t="s">
        <v>7214</v>
      </c>
      <c r="L1220" s="96" t="s">
        <v>7215</v>
      </c>
      <c r="M1220" s="95" t="s">
        <v>17</v>
      </c>
      <c r="N1220" s="95" t="s">
        <v>7216</v>
      </c>
      <c r="O1220" s="95" t="s">
        <v>7216</v>
      </c>
      <c r="P1220" s="95" t="s">
        <v>7217</v>
      </c>
      <c r="Q1220" s="98">
        <v>3.0</v>
      </c>
      <c r="R1220" s="97">
        <v>45726.4765625</v>
      </c>
      <c r="S1220" s="99">
        <v>357.0</v>
      </c>
      <c r="T1220" s="99">
        <v>185.0</v>
      </c>
      <c r="U1220" s="99">
        <v>23.0</v>
      </c>
      <c r="V1220" s="99">
        <v>1383.0</v>
      </c>
      <c r="W1220" s="99">
        <v>2555322.0</v>
      </c>
    </row>
    <row r="1221" ht="15.75" customHeight="1">
      <c r="A1221" s="95" t="s">
        <v>7218</v>
      </c>
      <c r="B1221" s="95" t="s">
        <v>22</v>
      </c>
      <c r="C1221" s="96" t="s">
        <v>7219</v>
      </c>
      <c r="D1221" s="95" t="s">
        <v>49</v>
      </c>
      <c r="E1221" s="95" t="s">
        <v>948</v>
      </c>
      <c r="F1221" s="95" t="s">
        <v>19</v>
      </c>
      <c r="G1221" s="95" t="s">
        <v>19</v>
      </c>
      <c r="H1221" s="95" t="s">
        <v>21</v>
      </c>
      <c r="I1221" s="95" t="s">
        <v>567</v>
      </c>
      <c r="J1221" s="97">
        <v>45975.67930844907</v>
      </c>
      <c r="K1221" s="96" t="s">
        <v>7220</v>
      </c>
      <c r="L1221" s="96" t="s">
        <v>7221</v>
      </c>
      <c r="M1221" s="95" t="s">
        <v>54</v>
      </c>
      <c r="N1221" s="95" t="s">
        <v>7222</v>
      </c>
      <c r="O1221" s="95" t="s">
        <v>7222</v>
      </c>
      <c r="P1221" s="95" t="s">
        <v>7223</v>
      </c>
      <c r="Q1221" s="98">
        <v>3.0</v>
      </c>
      <c r="R1221" s="97">
        <v>45685.72450231481</v>
      </c>
      <c r="S1221" s="99">
        <v>3673.0</v>
      </c>
      <c r="T1221" s="99">
        <v>309.0</v>
      </c>
      <c r="U1221" s="99">
        <v>1.0</v>
      </c>
      <c r="V1221" s="99">
        <v>299.0</v>
      </c>
      <c r="W1221" s="99">
        <v>810072.0</v>
      </c>
    </row>
    <row r="1222" ht="15.75" customHeight="1">
      <c r="A1222" s="95" t="s">
        <v>7224</v>
      </c>
      <c r="B1222" s="95" t="s">
        <v>69</v>
      </c>
      <c r="C1222" s="96" t="s">
        <v>7225</v>
      </c>
      <c r="D1222" s="95" t="s">
        <v>124</v>
      </c>
      <c r="E1222" s="95" t="s">
        <v>794</v>
      </c>
      <c r="F1222" s="95" t="s">
        <v>19</v>
      </c>
      <c r="G1222" s="95" t="s">
        <v>574</v>
      </c>
      <c r="H1222" s="95" t="s">
        <v>21</v>
      </c>
      <c r="I1222" s="95" t="s">
        <v>998</v>
      </c>
      <c r="J1222" s="97">
        <v>46056.93918255787</v>
      </c>
      <c r="K1222" s="95" t="s">
        <v>7226</v>
      </c>
      <c r="L1222" s="96" t="s">
        <v>7227</v>
      </c>
      <c r="M1222" s="95" t="s">
        <v>503</v>
      </c>
      <c r="N1222" s="95" t="s">
        <v>7228</v>
      </c>
      <c r="O1222" s="95" t="s">
        <v>7228</v>
      </c>
      <c r="P1222" s="95" t="s">
        <v>7229</v>
      </c>
      <c r="Q1222" s="98">
        <v>3.0</v>
      </c>
      <c r="R1222" s="97">
        <v>45786.67559027778</v>
      </c>
      <c r="S1222" s="99">
        <v>348.0</v>
      </c>
      <c r="T1222" s="99">
        <v>125.0</v>
      </c>
      <c r="U1222" s="99">
        <v>6.0</v>
      </c>
      <c r="V1222" s="99">
        <v>343.0</v>
      </c>
      <c r="W1222" s="99">
        <v>135767.0</v>
      </c>
    </row>
    <row r="1223" ht="15.75" customHeight="1">
      <c r="A1223" s="95" t="s">
        <v>7230</v>
      </c>
      <c r="B1223" s="95" t="s">
        <v>22</v>
      </c>
      <c r="C1223" s="96" t="s">
        <v>7231</v>
      </c>
      <c r="D1223" s="95" t="s">
        <v>39</v>
      </c>
      <c r="E1223" s="95" t="s">
        <v>1404</v>
      </c>
      <c r="F1223" s="95" t="s">
        <v>19</v>
      </c>
      <c r="G1223" s="95" t="s">
        <v>19</v>
      </c>
      <c r="H1223" s="95" t="s">
        <v>21</v>
      </c>
      <c r="I1223" s="95" t="s">
        <v>589</v>
      </c>
      <c r="J1223" s="97">
        <v>46021.49610081018</v>
      </c>
      <c r="K1223" s="95" t="s">
        <v>7232</v>
      </c>
      <c r="L1223" s="96" t="s">
        <v>7233</v>
      </c>
      <c r="M1223" s="95" t="s">
        <v>105</v>
      </c>
      <c r="N1223" s="95" t="s">
        <v>7234</v>
      </c>
      <c r="O1223" s="95" t="s">
        <v>7234</v>
      </c>
      <c r="P1223" s="95" t="s">
        <v>7235</v>
      </c>
      <c r="Q1223" s="98">
        <v>3.0</v>
      </c>
      <c r="R1223" s="97">
        <v>45897.70324074074</v>
      </c>
      <c r="S1223" s="99">
        <v>55.0</v>
      </c>
      <c r="T1223" s="99">
        <v>807.0</v>
      </c>
      <c r="U1223" s="99">
        <v>2.0</v>
      </c>
      <c r="V1223" s="99">
        <v>40.0</v>
      </c>
      <c r="W1223" s="99">
        <v>40514.0</v>
      </c>
    </row>
    <row r="1224" ht="15.75" customHeight="1">
      <c r="A1224" s="95" t="s">
        <v>7236</v>
      </c>
      <c r="B1224" s="95" t="s">
        <v>22</v>
      </c>
      <c r="C1224" s="96" t="s">
        <v>7237</v>
      </c>
      <c r="D1224" s="95" t="s">
        <v>20</v>
      </c>
      <c r="E1224" s="95" t="s">
        <v>7238</v>
      </c>
      <c r="F1224" s="95" t="s">
        <v>19</v>
      </c>
      <c r="G1224" s="95" t="s">
        <v>19</v>
      </c>
      <c r="H1224" s="95" t="s">
        <v>21</v>
      </c>
      <c r="I1224" s="95" t="s">
        <v>567</v>
      </c>
      <c r="J1224" s="97">
        <v>45975.67930844907</v>
      </c>
      <c r="K1224" s="96" t="s">
        <v>7239</v>
      </c>
      <c r="L1224" s="96" t="s">
        <v>7240</v>
      </c>
      <c r="M1224" s="95" t="s">
        <v>54</v>
      </c>
      <c r="N1224" s="95" t="s">
        <v>7241</v>
      </c>
      <c r="O1224" s="95" t="s">
        <v>7241</v>
      </c>
      <c r="P1224" s="95" t="s">
        <v>7242</v>
      </c>
      <c r="Q1224" s="98">
        <v>3.0</v>
      </c>
      <c r="R1224" s="97">
        <v>45789.77986111111</v>
      </c>
      <c r="S1224" s="99">
        <v>155346.0</v>
      </c>
      <c r="T1224" s="99">
        <v>93.0</v>
      </c>
      <c r="U1224" s="99">
        <v>11.0</v>
      </c>
      <c r="V1224" s="99">
        <v>198.0</v>
      </c>
      <c r="W1224" s="99">
        <v>773395.0</v>
      </c>
    </row>
    <row r="1225" ht="15.75" customHeight="1">
      <c r="A1225" s="95" t="s">
        <v>7243</v>
      </c>
      <c r="B1225" s="95" t="s">
        <v>22</v>
      </c>
      <c r="C1225" s="96" t="s">
        <v>7244</v>
      </c>
      <c r="D1225" s="95" t="s">
        <v>20</v>
      </c>
      <c r="E1225" s="95" t="s">
        <v>20</v>
      </c>
      <c r="F1225" s="95" t="s">
        <v>19</v>
      </c>
      <c r="G1225" s="95" t="s">
        <v>588</v>
      </c>
      <c r="H1225" s="95" t="s">
        <v>21</v>
      </c>
      <c r="I1225" s="95" t="s">
        <v>567</v>
      </c>
      <c r="J1225" s="97">
        <v>46021.50388815972</v>
      </c>
      <c r="K1225" s="95" t="s">
        <v>7245</v>
      </c>
      <c r="L1225" s="96" t="s">
        <v>7246</v>
      </c>
      <c r="M1225" s="95" t="s">
        <v>67</v>
      </c>
      <c r="N1225" s="95" t="s">
        <v>7247</v>
      </c>
      <c r="O1225" s="95" t="s">
        <v>7247</v>
      </c>
      <c r="P1225" s="95" t="s">
        <v>7248</v>
      </c>
      <c r="Q1225" s="98">
        <v>3.0</v>
      </c>
      <c r="R1225" s="97">
        <v>45807.73056712963</v>
      </c>
      <c r="S1225" s="99">
        <v>270.0</v>
      </c>
      <c r="T1225" s="99">
        <v>4.0</v>
      </c>
      <c r="U1225" s="99">
        <v>1.0</v>
      </c>
      <c r="V1225" s="99">
        <v>86.0</v>
      </c>
      <c r="W1225" s="99">
        <v>6401.0</v>
      </c>
    </row>
    <row r="1226" ht="15.75" customHeight="1">
      <c r="A1226" s="95" t="s">
        <v>7249</v>
      </c>
      <c r="B1226" s="95" t="s">
        <v>101</v>
      </c>
      <c r="C1226" s="96" t="s">
        <v>7250</v>
      </c>
      <c r="D1226" s="95" t="s">
        <v>39</v>
      </c>
      <c r="E1226" s="95" t="s">
        <v>614</v>
      </c>
      <c r="F1226" s="95" t="s">
        <v>19</v>
      </c>
      <c r="G1226" s="95" t="s">
        <v>19</v>
      </c>
      <c r="H1226" s="95" t="s">
        <v>21</v>
      </c>
      <c r="I1226" s="95" t="s">
        <v>607</v>
      </c>
      <c r="J1226" s="97">
        <v>46021.51309140046</v>
      </c>
      <c r="K1226" s="95" t="s">
        <v>7251</v>
      </c>
      <c r="L1226" s="96" t="s">
        <v>7252</v>
      </c>
      <c r="M1226" s="95" t="s">
        <v>74</v>
      </c>
      <c r="N1226" s="95" t="s">
        <v>7253</v>
      </c>
      <c r="O1226" s="95" t="s">
        <v>7253</v>
      </c>
      <c r="P1226" s="95" t="s">
        <v>7254</v>
      </c>
      <c r="Q1226" s="98">
        <v>3.0</v>
      </c>
      <c r="R1226" s="97">
        <v>45949.20796296297</v>
      </c>
      <c r="S1226" s="99">
        <v>806.0</v>
      </c>
      <c r="T1226" s="99">
        <v>37.0</v>
      </c>
      <c r="U1226" s="99">
        <v>4.0</v>
      </c>
      <c r="V1226" s="99">
        <v>588.0</v>
      </c>
      <c r="W1226" s="99">
        <v>65483.0</v>
      </c>
    </row>
    <row r="1227" ht="15.75" customHeight="1">
      <c r="A1227" s="95" t="s">
        <v>7255</v>
      </c>
      <c r="B1227" s="95" t="s">
        <v>22</v>
      </c>
      <c r="C1227" s="96" t="s">
        <v>7256</v>
      </c>
      <c r="D1227" s="95" t="s">
        <v>39</v>
      </c>
      <c r="E1227" s="95" t="s">
        <v>39</v>
      </c>
      <c r="F1227" s="95" t="s">
        <v>19</v>
      </c>
      <c r="G1227" s="95" t="s">
        <v>19</v>
      </c>
      <c r="H1227" s="95" t="s">
        <v>21</v>
      </c>
      <c r="I1227" s="95" t="s">
        <v>677</v>
      </c>
      <c r="J1227" s="97">
        <v>45975.67935613426</v>
      </c>
      <c r="K1227" s="96" t="s">
        <v>7257</v>
      </c>
      <c r="L1227" s="96" t="s">
        <v>7258</v>
      </c>
      <c r="M1227" s="95" t="s">
        <v>17</v>
      </c>
      <c r="N1227" s="95" t="s">
        <v>7259</v>
      </c>
      <c r="O1227" s="95" t="s">
        <v>7259</v>
      </c>
      <c r="P1227" s="95" t="s">
        <v>7260</v>
      </c>
      <c r="Q1227" s="98">
        <v>3.0</v>
      </c>
      <c r="R1227" s="97">
        <v>45888.41813657407</v>
      </c>
      <c r="S1227" s="99">
        <v>402.0</v>
      </c>
      <c r="T1227" s="99">
        <v>209.0</v>
      </c>
      <c r="U1227" s="99">
        <v>2.0</v>
      </c>
      <c r="V1227" s="99">
        <v>121.0</v>
      </c>
      <c r="W1227" s="99">
        <v>28419.0</v>
      </c>
    </row>
    <row r="1228" ht="15.75" customHeight="1">
      <c r="A1228" s="95" t="s">
        <v>7261</v>
      </c>
      <c r="B1228" s="95" t="s">
        <v>131</v>
      </c>
      <c r="C1228" s="96" t="s">
        <v>7262</v>
      </c>
      <c r="D1228" s="95" t="s">
        <v>130</v>
      </c>
      <c r="E1228" s="95" t="s">
        <v>1025</v>
      </c>
      <c r="F1228" s="95" t="s">
        <v>19</v>
      </c>
      <c r="G1228" s="95" t="s">
        <v>574</v>
      </c>
      <c r="H1228" s="95" t="s">
        <v>60</v>
      </c>
      <c r="I1228" s="95" t="s">
        <v>2332</v>
      </c>
      <c r="J1228" s="97">
        <v>45975.67935613426</v>
      </c>
      <c r="K1228" s="96" t="s">
        <v>7263</v>
      </c>
      <c r="L1228" s="96" t="s">
        <v>7264</v>
      </c>
      <c r="M1228" s="95" t="s">
        <v>17</v>
      </c>
      <c r="N1228" s="95" t="s">
        <v>7265</v>
      </c>
      <c r="O1228" s="95" t="s">
        <v>7265</v>
      </c>
      <c r="P1228" s="95" t="s">
        <v>7266</v>
      </c>
      <c r="Q1228" s="98">
        <v>3.0</v>
      </c>
      <c r="R1228" s="97">
        <v>45724.1521875</v>
      </c>
      <c r="S1228" s="99">
        <v>55.0</v>
      </c>
      <c r="T1228" s="99">
        <v>14.0</v>
      </c>
      <c r="U1228" s="99">
        <v>1.0</v>
      </c>
      <c r="V1228" s="99">
        <v>608.0</v>
      </c>
      <c r="W1228" s="99">
        <v>107702.0</v>
      </c>
    </row>
    <row r="1229" ht="15.75" customHeight="1">
      <c r="A1229" s="95" t="s">
        <v>7267</v>
      </c>
      <c r="B1229" s="95" t="s">
        <v>131</v>
      </c>
      <c r="C1229" s="96" t="s">
        <v>7268</v>
      </c>
      <c r="D1229" s="95" t="s">
        <v>124</v>
      </c>
      <c r="E1229" s="95" t="s">
        <v>3127</v>
      </c>
      <c r="F1229" s="95" t="s">
        <v>58</v>
      </c>
      <c r="G1229" s="95" t="s">
        <v>1450</v>
      </c>
      <c r="H1229" s="95" t="s">
        <v>60</v>
      </c>
      <c r="I1229" s="95" t="s">
        <v>5747</v>
      </c>
      <c r="J1229" s="97">
        <v>46021.51309140046</v>
      </c>
      <c r="K1229" s="95" t="s">
        <v>7269</v>
      </c>
      <c r="L1229" s="96" t="s">
        <v>7270</v>
      </c>
      <c r="M1229" s="95" t="s">
        <v>67</v>
      </c>
      <c r="N1229" s="95" t="s">
        <v>7271</v>
      </c>
      <c r="O1229" s="95" t="s">
        <v>7271</v>
      </c>
      <c r="P1229" s="95" t="s">
        <v>7272</v>
      </c>
      <c r="Q1229" s="98">
        <v>3.0</v>
      </c>
      <c r="R1229" s="97">
        <v>45736.15848379629</v>
      </c>
      <c r="S1229" s="99">
        <v>2538.0</v>
      </c>
      <c r="T1229" s="99">
        <v>16.0</v>
      </c>
      <c r="U1229" s="99">
        <v>7.0</v>
      </c>
      <c r="V1229" s="99">
        <v>99.0</v>
      </c>
      <c r="W1229" s="99">
        <v>96670.0</v>
      </c>
    </row>
    <row r="1230" ht="15.75" customHeight="1">
      <c r="A1230" s="95" t="s">
        <v>7273</v>
      </c>
      <c r="B1230" s="95" t="s">
        <v>69</v>
      </c>
      <c r="C1230" s="96" t="s">
        <v>7274</v>
      </c>
      <c r="D1230" s="95" t="s">
        <v>124</v>
      </c>
      <c r="E1230" s="95" t="s">
        <v>3127</v>
      </c>
      <c r="F1230" s="95" t="s">
        <v>19</v>
      </c>
      <c r="G1230" s="95" t="s">
        <v>574</v>
      </c>
      <c r="H1230" s="95" t="s">
        <v>21</v>
      </c>
      <c r="I1230" s="95" t="s">
        <v>7275</v>
      </c>
      <c r="J1230" s="97">
        <v>46021.50617167824</v>
      </c>
      <c r="K1230" s="95" t="s">
        <v>7276</v>
      </c>
      <c r="L1230" s="96" t="s">
        <v>7277</v>
      </c>
      <c r="M1230" s="95" t="s">
        <v>67</v>
      </c>
      <c r="N1230" s="95" t="s">
        <v>7271</v>
      </c>
      <c r="O1230" s="95" t="s">
        <v>7271</v>
      </c>
      <c r="P1230" s="95" t="s">
        <v>7272</v>
      </c>
      <c r="Q1230" s="98">
        <v>3.0</v>
      </c>
      <c r="R1230" s="97">
        <v>45694.34321759259</v>
      </c>
      <c r="S1230" s="99">
        <v>2538.0</v>
      </c>
      <c r="T1230" s="99">
        <v>31.0</v>
      </c>
      <c r="U1230" s="99">
        <v>28.0</v>
      </c>
      <c r="V1230" s="99">
        <v>95.0</v>
      </c>
      <c r="W1230" s="99">
        <v>96670.0</v>
      </c>
    </row>
    <row r="1231" ht="15.75" customHeight="1">
      <c r="A1231" s="95" t="s">
        <v>7278</v>
      </c>
      <c r="B1231" s="95" t="s">
        <v>22</v>
      </c>
      <c r="C1231" s="96" t="s">
        <v>7279</v>
      </c>
      <c r="D1231" s="95" t="s">
        <v>39</v>
      </c>
      <c r="E1231" s="95" t="s">
        <v>39</v>
      </c>
      <c r="F1231" s="95" t="s">
        <v>19</v>
      </c>
      <c r="G1231" s="95" t="s">
        <v>19</v>
      </c>
      <c r="H1231" s="95" t="s">
        <v>21</v>
      </c>
      <c r="I1231" s="95" t="s">
        <v>567</v>
      </c>
      <c r="J1231" s="97">
        <v>45978.4583896412</v>
      </c>
      <c r="K1231" s="95" t="s">
        <v>7280</v>
      </c>
      <c r="L1231" s="96" t="s">
        <v>7281</v>
      </c>
      <c r="M1231" s="95" t="s">
        <v>105</v>
      </c>
      <c r="N1231" s="95" t="s">
        <v>7282</v>
      </c>
      <c r="O1231" s="95" t="s">
        <v>7282</v>
      </c>
      <c r="P1231" s="95" t="s">
        <v>7283</v>
      </c>
      <c r="Q1231" s="98">
        <v>3.0</v>
      </c>
      <c r="R1231" s="97">
        <v>45777.4725462963</v>
      </c>
      <c r="S1231" s="99">
        <v>83.0</v>
      </c>
      <c r="T1231" s="99">
        <v>385.0</v>
      </c>
      <c r="U1231" s="99">
        <v>2.0</v>
      </c>
      <c r="V1231" s="99">
        <v>241.0</v>
      </c>
      <c r="W1231" s="99">
        <v>140823.0</v>
      </c>
    </row>
    <row r="1232" ht="15.75" customHeight="1">
      <c r="A1232" s="95" t="s">
        <v>7284</v>
      </c>
      <c r="B1232" s="95" t="s">
        <v>22</v>
      </c>
      <c r="C1232" s="96" t="s">
        <v>7285</v>
      </c>
      <c r="D1232" s="95" t="s">
        <v>39</v>
      </c>
      <c r="E1232" s="95" t="s">
        <v>7286</v>
      </c>
      <c r="F1232" s="95" t="s">
        <v>19</v>
      </c>
      <c r="G1232" s="95" t="s">
        <v>588</v>
      </c>
      <c r="H1232" s="95" t="s">
        <v>21</v>
      </c>
      <c r="I1232" s="95" t="s">
        <v>567</v>
      </c>
      <c r="J1232" s="97">
        <v>45978.4583896412</v>
      </c>
      <c r="K1232" s="95" t="s">
        <v>7287</v>
      </c>
      <c r="L1232" s="96" t="s">
        <v>7288</v>
      </c>
      <c r="M1232" s="95" t="s">
        <v>105</v>
      </c>
      <c r="N1232" s="95" t="s">
        <v>7282</v>
      </c>
      <c r="O1232" s="95" t="s">
        <v>7282</v>
      </c>
      <c r="P1232" s="95" t="s">
        <v>7283</v>
      </c>
      <c r="Q1232" s="98">
        <v>3.0</v>
      </c>
      <c r="R1232" s="97">
        <v>45616.36188657407</v>
      </c>
      <c r="S1232" s="99">
        <v>83.0</v>
      </c>
      <c r="T1232" s="99">
        <v>369.0</v>
      </c>
      <c r="U1232" s="99">
        <v>2.0</v>
      </c>
      <c r="V1232" s="99">
        <v>15.0</v>
      </c>
      <c r="W1232" s="99">
        <v>140823.0</v>
      </c>
    </row>
    <row r="1233" ht="15.75" customHeight="1">
      <c r="A1233" s="95" t="s">
        <v>7289</v>
      </c>
      <c r="B1233" s="95" t="s">
        <v>131</v>
      </c>
      <c r="C1233" s="96" t="s">
        <v>7290</v>
      </c>
      <c r="D1233" s="95" t="s">
        <v>39</v>
      </c>
      <c r="E1233" s="95" t="s">
        <v>39</v>
      </c>
      <c r="F1233" s="95" t="s">
        <v>58</v>
      </c>
      <c r="G1233" s="95" t="s">
        <v>58</v>
      </c>
      <c r="H1233" s="95" t="s">
        <v>60</v>
      </c>
      <c r="I1233" s="95" t="s">
        <v>795</v>
      </c>
      <c r="J1233" s="97">
        <v>46021.49610081018</v>
      </c>
      <c r="K1233" s="95" t="s">
        <v>7291</v>
      </c>
      <c r="L1233" s="96" t="s">
        <v>7292</v>
      </c>
      <c r="M1233" s="95" t="s">
        <v>105</v>
      </c>
      <c r="N1233" s="95" t="s">
        <v>7282</v>
      </c>
      <c r="O1233" s="95" t="s">
        <v>7282</v>
      </c>
      <c r="P1233" s="95" t="s">
        <v>7283</v>
      </c>
      <c r="Q1233" s="98">
        <v>3.0</v>
      </c>
      <c r="R1233" s="97">
        <v>45462.56413194445</v>
      </c>
      <c r="S1233" s="99">
        <v>83.0</v>
      </c>
      <c r="T1233" s="99">
        <v>339.0</v>
      </c>
      <c r="U1233" s="99">
        <v>1.0</v>
      </c>
      <c r="V1233" s="99">
        <v>36.0</v>
      </c>
      <c r="W1233" s="99">
        <v>140823.0</v>
      </c>
    </row>
    <row r="1234" ht="15.75" customHeight="1">
      <c r="A1234" s="95" t="s">
        <v>7293</v>
      </c>
      <c r="B1234" s="95" t="s">
        <v>22</v>
      </c>
      <c r="C1234" s="96" t="s">
        <v>7294</v>
      </c>
      <c r="D1234" s="95" t="s">
        <v>39</v>
      </c>
      <c r="E1234" s="95" t="s">
        <v>39</v>
      </c>
      <c r="F1234" s="95" t="s">
        <v>19</v>
      </c>
      <c r="G1234" s="95" t="s">
        <v>1367</v>
      </c>
      <c r="H1234" s="95" t="s">
        <v>21</v>
      </c>
      <c r="I1234" s="95" t="s">
        <v>567</v>
      </c>
      <c r="J1234" s="97">
        <v>45975.67930055556</v>
      </c>
      <c r="K1234" s="96" t="s">
        <v>7295</v>
      </c>
      <c r="L1234" s="95"/>
      <c r="M1234" s="95" t="s">
        <v>105</v>
      </c>
      <c r="N1234" s="95" t="s">
        <v>7282</v>
      </c>
      <c r="O1234" s="95" t="s">
        <v>7282</v>
      </c>
      <c r="P1234" s="95" t="s">
        <v>7283</v>
      </c>
      <c r="Q1234" s="98">
        <v>3.0</v>
      </c>
      <c r="R1234" s="97">
        <v>45427.50751157408</v>
      </c>
      <c r="S1234" s="99">
        <v>83.0</v>
      </c>
      <c r="T1234" s="99">
        <v>636.0</v>
      </c>
      <c r="U1234" s="99">
        <v>29.0</v>
      </c>
      <c r="V1234" s="99">
        <v>38.0</v>
      </c>
      <c r="W1234" s="99">
        <v>140823.0</v>
      </c>
    </row>
    <row r="1235" ht="15.75" customHeight="1">
      <c r="A1235" s="95" t="s">
        <v>7296</v>
      </c>
      <c r="B1235" s="95" t="s">
        <v>22</v>
      </c>
      <c r="C1235" s="96" t="s">
        <v>7297</v>
      </c>
      <c r="D1235" s="95" t="s">
        <v>39</v>
      </c>
      <c r="E1235" s="95" t="s">
        <v>39</v>
      </c>
      <c r="F1235" s="95" t="s">
        <v>19</v>
      </c>
      <c r="G1235" s="95" t="s">
        <v>19</v>
      </c>
      <c r="H1235" s="95" t="s">
        <v>21</v>
      </c>
      <c r="I1235" s="95" t="s">
        <v>677</v>
      </c>
      <c r="J1235" s="97">
        <v>45975.67930055556</v>
      </c>
      <c r="K1235" s="96" t="s">
        <v>7298</v>
      </c>
      <c r="L1235" s="95"/>
      <c r="M1235" s="95" t="s">
        <v>105</v>
      </c>
      <c r="N1235" s="95" t="s">
        <v>7282</v>
      </c>
      <c r="O1235" s="95" t="s">
        <v>7282</v>
      </c>
      <c r="P1235" s="95" t="s">
        <v>7283</v>
      </c>
      <c r="Q1235" s="98">
        <v>3.0</v>
      </c>
      <c r="R1235" s="97">
        <v>45240.39398148148</v>
      </c>
      <c r="S1235" s="99">
        <v>83.0</v>
      </c>
      <c r="T1235" s="99">
        <v>602.0</v>
      </c>
      <c r="U1235" s="99">
        <v>6.0</v>
      </c>
      <c r="V1235" s="99">
        <v>39.0</v>
      </c>
      <c r="W1235" s="99">
        <v>140823.0</v>
      </c>
    </row>
    <row r="1236" ht="15.75" customHeight="1">
      <c r="A1236" s="95" t="s">
        <v>7299</v>
      </c>
      <c r="B1236" s="95" t="s">
        <v>22</v>
      </c>
      <c r="C1236" s="96" t="s">
        <v>7300</v>
      </c>
      <c r="D1236" s="95" t="s">
        <v>39</v>
      </c>
      <c r="E1236" s="95" t="s">
        <v>39</v>
      </c>
      <c r="F1236" s="95" t="s">
        <v>19</v>
      </c>
      <c r="G1236" s="95" t="s">
        <v>19</v>
      </c>
      <c r="H1236" s="95" t="s">
        <v>21</v>
      </c>
      <c r="I1236" s="95" t="s">
        <v>567</v>
      </c>
      <c r="J1236" s="97">
        <v>46021.49610081018</v>
      </c>
      <c r="K1236" s="95" t="s">
        <v>7301</v>
      </c>
      <c r="L1236" s="96" t="s">
        <v>7302</v>
      </c>
      <c r="M1236" s="95" t="s">
        <v>105</v>
      </c>
      <c r="N1236" s="95" t="s">
        <v>7282</v>
      </c>
      <c r="O1236" s="95" t="s">
        <v>7282</v>
      </c>
      <c r="P1236" s="95" t="s">
        <v>7283</v>
      </c>
      <c r="Q1236" s="98">
        <v>3.0</v>
      </c>
      <c r="R1236" s="97">
        <v>45379.57421296297</v>
      </c>
      <c r="S1236" s="99">
        <v>83.0</v>
      </c>
      <c r="T1236" s="99">
        <v>316.0</v>
      </c>
      <c r="U1236" s="99">
        <v>1.0</v>
      </c>
      <c r="V1236" s="99">
        <v>72.0</v>
      </c>
      <c r="W1236" s="99">
        <v>140823.0</v>
      </c>
    </row>
    <row r="1237" ht="15.75" customHeight="1">
      <c r="A1237" s="95" t="s">
        <v>7303</v>
      </c>
      <c r="B1237" s="95" t="s">
        <v>22</v>
      </c>
      <c r="C1237" s="96" t="s">
        <v>7304</v>
      </c>
      <c r="D1237" s="95" t="s">
        <v>39</v>
      </c>
      <c r="E1237" s="95" t="s">
        <v>39</v>
      </c>
      <c r="F1237" s="95" t="s">
        <v>19</v>
      </c>
      <c r="G1237" s="95" t="s">
        <v>588</v>
      </c>
      <c r="H1237" s="95" t="s">
        <v>21</v>
      </c>
      <c r="I1237" s="95" t="s">
        <v>589</v>
      </c>
      <c r="J1237" s="97">
        <v>46021.49610081018</v>
      </c>
      <c r="K1237" s="95" t="s">
        <v>7305</v>
      </c>
      <c r="L1237" s="96" t="s">
        <v>7306</v>
      </c>
      <c r="M1237" s="95" t="s">
        <v>28</v>
      </c>
      <c r="N1237" s="95" t="s">
        <v>7307</v>
      </c>
      <c r="O1237" s="95" t="s">
        <v>7307</v>
      </c>
      <c r="P1237" s="95" t="s">
        <v>7308</v>
      </c>
      <c r="Q1237" s="98">
        <v>3.0</v>
      </c>
      <c r="R1237" s="97">
        <v>45783.70990740741</v>
      </c>
      <c r="S1237" s="99">
        <v>118.0</v>
      </c>
      <c r="T1237" s="99">
        <v>263.0</v>
      </c>
      <c r="U1237" s="99">
        <v>5.0</v>
      </c>
      <c r="V1237" s="99">
        <v>38.0</v>
      </c>
      <c r="W1237" s="99">
        <v>19354.0</v>
      </c>
    </row>
    <row r="1238" ht="15.75" customHeight="1">
      <c r="A1238" s="95" t="s">
        <v>7309</v>
      </c>
      <c r="B1238" s="95" t="s">
        <v>22</v>
      </c>
      <c r="C1238" s="96" t="s">
        <v>7310</v>
      </c>
      <c r="D1238" s="95" t="s">
        <v>39</v>
      </c>
      <c r="E1238" s="95" t="s">
        <v>39</v>
      </c>
      <c r="F1238" s="95" t="s">
        <v>19</v>
      </c>
      <c r="G1238" s="95" t="s">
        <v>574</v>
      </c>
      <c r="H1238" s="95" t="s">
        <v>21</v>
      </c>
      <c r="I1238" s="95" t="s">
        <v>677</v>
      </c>
      <c r="J1238" s="97">
        <v>46021.51020638889</v>
      </c>
      <c r="K1238" s="95" t="s">
        <v>7311</v>
      </c>
      <c r="L1238" s="96" t="s">
        <v>7312</v>
      </c>
      <c r="M1238" s="95" t="s">
        <v>28</v>
      </c>
      <c r="N1238" s="95" t="s">
        <v>7307</v>
      </c>
      <c r="O1238" s="95" t="s">
        <v>7307</v>
      </c>
      <c r="P1238" s="95" t="s">
        <v>7308</v>
      </c>
      <c r="Q1238" s="98">
        <v>3.0</v>
      </c>
      <c r="R1238" s="97">
        <v>45663.86677083333</v>
      </c>
      <c r="S1238" s="99">
        <v>118.0</v>
      </c>
      <c r="T1238" s="99">
        <v>229.0</v>
      </c>
      <c r="U1238" s="99">
        <v>1.0</v>
      </c>
      <c r="V1238" s="99">
        <v>32.0</v>
      </c>
      <c r="W1238" s="99">
        <v>19354.0</v>
      </c>
    </row>
    <row r="1239" ht="15.75" customHeight="1">
      <c r="A1239" s="95" t="s">
        <v>7313</v>
      </c>
      <c r="B1239" s="95" t="s">
        <v>22</v>
      </c>
      <c r="C1239" s="96" t="s">
        <v>7314</v>
      </c>
      <c r="D1239" s="95" t="s">
        <v>59</v>
      </c>
      <c r="E1239" s="95" t="s">
        <v>1873</v>
      </c>
      <c r="F1239" s="95" t="s">
        <v>19</v>
      </c>
      <c r="G1239" s="95" t="s">
        <v>19</v>
      </c>
      <c r="H1239" s="95" t="s">
        <v>21</v>
      </c>
      <c r="I1239" s="95" t="s">
        <v>633</v>
      </c>
      <c r="J1239" s="97">
        <v>45982.02396422454</v>
      </c>
      <c r="K1239" s="95" t="s">
        <v>7315</v>
      </c>
      <c r="L1239" s="96" t="s">
        <v>7316</v>
      </c>
      <c r="M1239" s="95" t="s">
        <v>54</v>
      </c>
      <c r="N1239" s="95" t="s">
        <v>7317</v>
      </c>
      <c r="O1239" s="95" t="s">
        <v>7317</v>
      </c>
      <c r="P1239" s="95" t="s">
        <v>7318</v>
      </c>
      <c r="Q1239" s="98">
        <v>3.0</v>
      </c>
      <c r="R1239" s="97">
        <v>45944.78912037037</v>
      </c>
      <c r="S1239" s="99">
        <v>4123.0</v>
      </c>
      <c r="T1239" s="99">
        <v>146.0</v>
      </c>
      <c r="U1239" s="99">
        <v>34.0</v>
      </c>
      <c r="V1239" s="99">
        <v>417.0</v>
      </c>
      <c r="W1239" s="99">
        <v>999999.0</v>
      </c>
    </row>
    <row r="1240" ht="15.75" customHeight="1">
      <c r="A1240" s="95" t="s">
        <v>7319</v>
      </c>
      <c r="B1240" s="95" t="s">
        <v>101</v>
      </c>
      <c r="C1240" s="96" t="s">
        <v>7320</v>
      </c>
      <c r="D1240" s="95" t="s">
        <v>59</v>
      </c>
      <c r="E1240" s="95" t="s">
        <v>738</v>
      </c>
      <c r="F1240" s="95" t="s">
        <v>19</v>
      </c>
      <c r="G1240" s="95" t="s">
        <v>19</v>
      </c>
      <c r="H1240" s="95" t="s">
        <v>21</v>
      </c>
      <c r="I1240" s="95" t="s">
        <v>776</v>
      </c>
      <c r="J1240" s="97">
        <v>46021.49610081018</v>
      </c>
      <c r="K1240" s="95" t="s">
        <v>7321</v>
      </c>
      <c r="L1240" s="96" t="s">
        <v>7322</v>
      </c>
      <c r="M1240" s="95" t="s">
        <v>105</v>
      </c>
      <c r="N1240" s="95" t="s">
        <v>7323</v>
      </c>
      <c r="O1240" s="95" t="s">
        <v>7323</v>
      </c>
      <c r="P1240" s="95" t="s">
        <v>7324</v>
      </c>
      <c r="Q1240" s="98">
        <v>3.0</v>
      </c>
      <c r="R1240" s="97">
        <v>45545.60263888889</v>
      </c>
      <c r="S1240" s="99">
        <v>1172.0</v>
      </c>
      <c r="T1240" s="99">
        <v>440.0</v>
      </c>
      <c r="U1240" s="99">
        <v>6.0</v>
      </c>
      <c r="V1240" s="99">
        <v>176.0</v>
      </c>
      <c r="W1240" s="99">
        <v>141752.0</v>
      </c>
    </row>
    <row r="1241" ht="15.75" customHeight="1">
      <c r="A1241" s="95" t="s">
        <v>7325</v>
      </c>
      <c r="B1241" s="95" t="s">
        <v>101</v>
      </c>
      <c r="C1241" s="96" t="s">
        <v>7326</v>
      </c>
      <c r="D1241" s="95" t="s">
        <v>59</v>
      </c>
      <c r="E1241" s="95" t="s">
        <v>738</v>
      </c>
      <c r="F1241" s="95" t="s">
        <v>19</v>
      </c>
      <c r="G1241" s="95" t="s">
        <v>19</v>
      </c>
      <c r="H1241" s="95" t="s">
        <v>21</v>
      </c>
      <c r="I1241" s="95" t="s">
        <v>776</v>
      </c>
      <c r="J1241" s="97">
        <v>45994.67086467593</v>
      </c>
      <c r="K1241" s="95" t="s">
        <v>7327</v>
      </c>
      <c r="L1241" s="96" t="s">
        <v>7328</v>
      </c>
      <c r="M1241" s="95" t="s">
        <v>105</v>
      </c>
      <c r="N1241" s="95" t="s">
        <v>7323</v>
      </c>
      <c r="O1241" s="95" t="s">
        <v>7323</v>
      </c>
      <c r="P1241" s="95" t="s">
        <v>7324</v>
      </c>
      <c r="Q1241" s="98">
        <v>3.0</v>
      </c>
      <c r="R1241" s="97">
        <v>45805.82034722222</v>
      </c>
      <c r="S1241" s="99">
        <v>1172.0</v>
      </c>
      <c r="T1241" s="99">
        <v>681.0</v>
      </c>
      <c r="U1241" s="99">
        <v>1.0</v>
      </c>
      <c r="V1241" s="99">
        <v>27.0</v>
      </c>
      <c r="W1241" s="99">
        <v>141752.0</v>
      </c>
    </row>
    <row r="1242" ht="15.75" customHeight="1">
      <c r="A1242" s="95" t="s">
        <v>7329</v>
      </c>
      <c r="B1242" s="95" t="s">
        <v>22</v>
      </c>
      <c r="C1242" s="96" t="s">
        <v>7330</v>
      </c>
      <c r="D1242" s="95" t="s">
        <v>59</v>
      </c>
      <c r="E1242" s="95" t="s">
        <v>738</v>
      </c>
      <c r="F1242" s="95" t="s">
        <v>19</v>
      </c>
      <c r="G1242" s="95" t="s">
        <v>1367</v>
      </c>
      <c r="H1242" s="95" t="s">
        <v>21</v>
      </c>
      <c r="I1242" s="95" t="s">
        <v>567</v>
      </c>
      <c r="J1242" s="97">
        <v>45994.67086467593</v>
      </c>
      <c r="K1242" s="95" t="s">
        <v>7331</v>
      </c>
      <c r="L1242" s="96" t="s">
        <v>7332</v>
      </c>
      <c r="M1242" s="95" t="s">
        <v>105</v>
      </c>
      <c r="N1242" s="95" t="s">
        <v>7323</v>
      </c>
      <c r="O1242" s="95" t="s">
        <v>7323</v>
      </c>
      <c r="P1242" s="95" t="s">
        <v>7324</v>
      </c>
      <c r="Q1242" s="98">
        <v>3.0</v>
      </c>
      <c r="R1242" s="97">
        <v>45838.85068287037</v>
      </c>
      <c r="S1242" s="99">
        <v>1172.0</v>
      </c>
      <c r="T1242" s="99">
        <v>659.0</v>
      </c>
      <c r="U1242" s="99">
        <v>3.0</v>
      </c>
      <c r="V1242" s="99">
        <v>92.0</v>
      </c>
      <c r="W1242" s="99">
        <v>141752.0</v>
      </c>
    </row>
    <row r="1243" ht="15.75" customHeight="1">
      <c r="A1243" s="95" t="s">
        <v>7333</v>
      </c>
      <c r="B1243" s="95" t="s">
        <v>22</v>
      </c>
      <c r="C1243" s="96" t="s">
        <v>7334</v>
      </c>
      <c r="D1243" s="95" t="s">
        <v>39</v>
      </c>
      <c r="E1243" s="95" t="s">
        <v>960</v>
      </c>
      <c r="F1243" s="95" t="s">
        <v>19</v>
      </c>
      <c r="G1243" s="95" t="s">
        <v>19</v>
      </c>
      <c r="H1243" s="95" t="s">
        <v>21</v>
      </c>
      <c r="I1243" s="95" t="s">
        <v>567</v>
      </c>
      <c r="J1243" s="97">
        <v>46072.60571417824</v>
      </c>
      <c r="K1243" s="95" t="s">
        <v>7335</v>
      </c>
      <c r="L1243" s="95"/>
      <c r="M1243" s="95" t="s">
        <v>93</v>
      </c>
      <c r="N1243" s="95" t="s">
        <v>7336</v>
      </c>
      <c r="O1243" s="95" t="s">
        <v>7336</v>
      </c>
      <c r="P1243" s="95" t="s">
        <v>7337</v>
      </c>
      <c r="Q1243" s="98">
        <v>3.0</v>
      </c>
      <c r="R1243" s="97">
        <v>45813.68071759259</v>
      </c>
      <c r="S1243" s="99">
        <v>2356.0</v>
      </c>
      <c r="T1243" s="99">
        <v>434.0</v>
      </c>
      <c r="U1243" s="99">
        <v>2.0</v>
      </c>
      <c r="V1243" s="99">
        <v>260.0</v>
      </c>
      <c r="W1243" s="99">
        <v>159315.0</v>
      </c>
    </row>
    <row r="1244" ht="15.75" customHeight="1">
      <c r="A1244" s="95" t="s">
        <v>7338</v>
      </c>
      <c r="B1244" s="95" t="s">
        <v>22</v>
      </c>
      <c r="C1244" s="96" t="s">
        <v>7339</v>
      </c>
      <c r="D1244" s="95" t="s">
        <v>59</v>
      </c>
      <c r="E1244" s="95" t="s">
        <v>738</v>
      </c>
      <c r="F1244" s="95" t="s">
        <v>19</v>
      </c>
      <c r="G1244" s="95" t="s">
        <v>19</v>
      </c>
      <c r="H1244" s="95" t="s">
        <v>21</v>
      </c>
      <c r="I1244" s="95" t="s">
        <v>567</v>
      </c>
      <c r="J1244" s="97">
        <v>45993.78544196759</v>
      </c>
      <c r="K1244" s="96" t="s">
        <v>7340</v>
      </c>
      <c r="L1244" s="96" t="s">
        <v>7341</v>
      </c>
      <c r="M1244" s="95" t="s">
        <v>93</v>
      </c>
      <c r="N1244" s="95" t="s">
        <v>7342</v>
      </c>
      <c r="O1244" s="95" t="s">
        <v>7342</v>
      </c>
      <c r="P1244" s="95" t="s">
        <v>7343</v>
      </c>
      <c r="Q1244" s="98">
        <v>3.0</v>
      </c>
      <c r="R1244" s="97">
        <v>45791.32179398148</v>
      </c>
      <c r="S1244" s="99">
        <v>2466.0</v>
      </c>
      <c r="T1244" s="99">
        <v>43.0</v>
      </c>
      <c r="U1244" s="99">
        <v>324.0</v>
      </c>
      <c r="V1244" s="99">
        <v>288.0</v>
      </c>
      <c r="W1244" s="99">
        <v>431105.0</v>
      </c>
    </row>
    <row r="1245" ht="15.75" customHeight="1">
      <c r="A1245" s="95" t="s">
        <v>7344</v>
      </c>
      <c r="B1245" s="95" t="s">
        <v>131</v>
      </c>
      <c r="C1245" s="96" t="s">
        <v>7345</v>
      </c>
      <c r="D1245" s="95" t="s">
        <v>59</v>
      </c>
      <c r="E1245" s="95" t="s">
        <v>738</v>
      </c>
      <c r="F1245" s="95" t="s">
        <v>58</v>
      </c>
      <c r="G1245" s="95" t="s">
        <v>1450</v>
      </c>
      <c r="H1245" s="95" t="s">
        <v>60</v>
      </c>
      <c r="I1245" s="95" t="s">
        <v>795</v>
      </c>
      <c r="J1245" s="97">
        <v>45975.67939547454</v>
      </c>
      <c r="K1245" s="96" t="s">
        <v>7346</v>
      </c>
      <c r="L1245" s="96" t="s">
        <v>7347</v>
      </c>
      <c r="M1245" s="95" t="s">
        <v>74</v>
      </c>
      <c r="N1245" s="95" t="s">
        <v>7348</v>
      </c>
      <c r="O1245" s="95" t="s">
        <v>7348</v>
      </c>
      <c r="P1245" s="95" t="s">
        <v>7349</v>
      </c>
      <c r="Q1245" s="98">
        <v>3.0</v>
      </c>
      <c r="R1245" s="97">
        <v>45667.43605324074</v>
      </c>
      <c r="S1245" s="99">
        <v>3281.0</v>
      </c>
      <c r="T1245" s="99">
        <v>152.0</v>
      </c>
      <c r="U1245" s="99">
        <v>1.0</v>
      </c>
      <c r="V1245" s="99">
        <v>66.0</v>
      </c>
      <c r="W1245" s="99">
        <v>122024.0</v>
      </c>
    </row>
    <row r="1246" ht="15.75" customHeight="1">
      <c r="A1246" s="95" t="s">
        <v>7350</v>
      </c>
      <c r="B1246" s="95" t="s">
        <v>22</v>
      </c>
      <c r="C1246" s="96" t="s">
        <v>7351</v>
      </c>
      <c r="D1246" s="95" t="s">
        <v>59</v>
      </c>
      <c r="E1246" s="95" t="s">
        <v>738</v>
      </c>
      <c r="F1246" s="95" t="s">
        <v>19</v>
      </c>
      <c r="G1246" s="95" t="s">
        <v>19</v>
      </c>
      <c r="H1246" s="95" t="s">
        <v>21</v>
      </c>
      <c r="I1246" s="95" t="s">
        <v>567</v>
      </c>
      <c r="J1246" s="97">
        <v>45977.67176236111</v>
      </c>
      <c r="K1246" s="95" t="s">
        <v>7352</v>
      </c>
      <c r="L1246" s="96" t="s">
        <v>7353</v>
      </c>
      <c r="M1246" s="95" t="s">
        <v>74</v>
      </c>
      <c r="N1246" s="95" t="s">
        <v>7348</v>
      </c>
      <c r="O1246" s="95" t="s">
        <v>7348</v>
      </c>
      <c r="P1246" s="95" t="s">
        <v>7349</v>
      </c>
      <c r="Q1246" s="98">
        <v>3.0</v>
      </c>
      <c r="R1246" s="97">
        <v>45938.80024305556</v>
      </c>
      <c r="S1246" s="99">
        <v>3281.0</v>
      </c>
      <c r="T1246" s="99">
        <v>2.0</v>
      </c>
      <c r="U1246" s="99">
        <v>3.0</v>
      </c>
      <c r="V1246" s="99">
        <v>79.0</v>
      </c>
      <c r="W1246" s="99">
        <v>122024.0</v>
      </c>
    </row>
    <row r="1247" ht="15.75" customHeight="1">
      <c r="A1247" s="95" t="s">
        <v>7354</v>
      </c>
      <c r="B1247" s="95" t="s">
        <v>22</v>
      </c>
      <c r="C1247" s="96" t="s">
        <v>7355</v>
      </c>
      <c r="D1247" s="95" t="s">
        <v>59</v>
      </c>
      <c r="E1247" s="95" t="s">
        <v>738</v>
      </c>
      <c r="F1247" s="95" t="s">
        <v>19</v>
      </c>
      <c r="G1247" s="95" t="s">
        <v>574</v>
      </c>
      <c r="H1247" s="95" t="s">
        <v>21</v>
      </c>
      <c r="I1247" s="95" t="s">
        <v>567</v>
      </c>
      <c r="J1247" s="97">
        <v>45975.67935613426</v>
      </c>
      <c r="K1247" s="96" t="s">
        <v>7356</v>
      </c>
      <c r="L1247" s="96" t="s">
        <v>7357</v>
      </c>
      <c r="M1247" s="95" t="s">
        <v>17</v>
      </c>
      <c r="N1247" s="95" t="s">
        <v>7358</v>
      </c>
      <c r="O1247" s="95" t="s">
        <v>7358</v>
      </c>
      <c r="P1247" s="95" t="s">
        <v>7359</v>
      </c>
      <c r="Q1247" s="98">
        <v>3.0</v>
      </c>
      <c r="R1247" s="97">
        <v>45765.30612268519</v>
      </c>
      <c r="S1247" s="99">
        <v>2311.0</v>
      </c>
      <c r="T1247" s="99">
        <v>23.0</v>
      </c>
      <c r="U1247" s="99">
        <v>4.0</v>
      </c>
      <c r="V1247" s="99">
        <v>200.0</v>
      </c>
      <c r="W1247" s="99">
        <v>80911.0</v>
      </c>
    </row>
    <row r="1248" ht="15.75" customHeight="1">
      <c r="A1248" s="95" t="s">
        <v>7360</v>
      </c>
      <c r="B1248" s="95" t="s">
        <v>69</v>
      </c>
      <c r="C1248" s="96" t="s">
        <v>7361</v>
      </c>
      <c r="D1248" s="95" t="s">
        <v>59</v>
      </c>
      <c r="E1248" s="95" t="s">
        <v>2797</v>
      </c>
      <c r="F1248" s="95" t="s">
        <v>19</v>
      </c>
      <c r="G1248" s="95" t="s">
        <v>19</v>
      </c>
      <c r="H1248" s="95" t="s">
        <v>21</v>
      </c>
      <c r="I1248" s="95" t="s">
        <v>719</v>
      </c>
      <c r="J1248" s="97">
        <v>46021.51309140046</v>
      </c>
      <c r="K1248" s="95" t="s">
        <v>7362</v>
      </c>
      <c r="L1248" s="96" t="s">
        <v>7363</v>
      </c>
      <c r="M1248" s="95" t="s">
        <v>54</v>
      </c>
      <c r="N1248" s="95" t="s">
        <v>7364</v>
      </c>
      <c r="O1248" s="95" t="s">
        <v>7364</v>
      </c>
      <c r="P1248" s="95" t="s">
        <v>7365</v>
      </c>
      <c r="Q1248" s="98">
        <v>3.0</v>
      </c>
      <c r="R1248" s="97">
        <v>45908.83692129629</v>
      </c>
      <c r="S1248" s="99">
        <v>62.0</v>
      </c>
      <c r="T1248" s="99">
        <v>12.0</v>
      </c>
      <c r="U1248" s="99">
        <v>2.0</v>
      </c>
      <c r="V1248" s="99">
        <v>147.0</v>
      </c>
      <c r="W1248" s="99">
        <v>86876.0</v>
      </c>
    </row>
    <row r="1249" ht="15.75" customHeight="1">
      <c r="A1249" s="95" t="s">
        <v>7366</v>
      </c>
      <c r="B1249" s="95" t="s">
        <v>22</v>
      </c>
      <c r="C1249" s="96" t="s">
        <v>7367</v>
      </c>
      <c r="D1249" s="95" t="s">
        <v>124</v>
      </c>
      <c r="E1249" s="95" t="s">
        <v>794</v>
      </c>
      <c r="F1249" s="95" t="s">
        <v>19</v>
      </c>
      <c r="G1249" s="95" t="s">
        <v>19</v>
      </c>
      <c r="H1249" s="95" t="s">
        <v>21</v>
      </c>
      <c r="I1249" s="95" t="s">
        <v>567</v>
      </c>
      <c r="J1249" s="97">
        <v>46008.62904924768</v>
      </c>
      <c r="K1249" s="96" t="s">
        <v>7368</v>
      </c>
      <c r="L1249" s="96" t="s">
        <v>7369</v>
      </c>
      <c r="M1249" s="95" t="s">
        <v>17</v>
      </c>
      <c r="N1249" s="95" t="s">
        <v>7370</v>
      </c>
      <c r="O1249" s="95" t="s">
        <v>7370</v>
      </c>
      <c r="P1249" s="95" t="s">
        <v>7371</v>
      </c>
      <c r="Q1249" s="98">
        <v>3.0</v>
      </c>
      <c r="R1249" s="97">
        <v>45777.33349537037</v>
      </c>
      <c r="S1249" s="99">
        <v>177.0</v>
      </c>
      <c r="T1249" s="99">
        <v>47.0</v>
      </c>
      <c r="U1249" s="99">
        <v>6.0</v>
      </c>
      <c r="V1249" s="99">
        <v>38.0</v>
      </c>
      <c r="W1249" s="99">
        <v>1333479.0</v>
      </c>
    </row>
    <row r="1250" ht="15.75" customHeight="1">
      <c r="A1250" s="95" t="s">
        <v>7372</v>
      </c>
      <c r="B1250" s="95" t="s">
        <v>22</v>
      </c>
      <c r="C1250" s="96" t="s">
        <v>7373</v>
      </c>
      <c r="D1250" s="95" t="s">
        <v>29</v>
      </c>
      <c r="E1250" s="95" t="s">
        <v>910</v>
      </c>
      <c r="F1250" s="95" t="s">
        <v>19</v>
      </c>
      <c r="G1250" s="95" t="s">
        <v>19</v>
      </c>
      <c r="H1250" s="95" t="s">
        <v>21</v>
      </c>
      <c r="I1250" s="95" t="s">
        <v>567</v>
      </c>
      <c r="J1250" s="97">
        <v>45993.7854622338</v>
      </c>
      <c r="K1250" s="96" t="s">
        <v>7374</v>
      </c>
      <c r="L1250" s="96" t="s">
        <v>7375</v>
      </c>
      <c r="M1250" s="95" t="s">
        <v>17</v>
      </c>
      <c r="N1250" s="95" t="s">
        <v>7370</v>
      </c>
      <c r="O1250" s="95" t="s">
        <v>7370</v>
      </c>
      <c r="P1250" s="95" t="s">
        <v>7371</v>
      </c>
      <c r="Q1250" s="98">
        <v>3.0</v>
      </c>
      <c r="R1250" s="97">
        <v>45646.69474537037</v>
      </c>
      <c r="S1250" s="99">
        <v>177.0</v>
      </c>
      <c r="T1250" s="99">
        <v>48.0</v>
      </c>
      <c r="U1250" s="99">
        <v>1.0</v>
      </c>
      <c r="V1250" s="99">
        <v>157.0</v>
      </c>
      <c r="W1250" s="99">
        <v>1333479.0</v>
      </c>
    </row>
    <row r="1251" ht="15.75" customHeight="1">
      <c r="A1251" s="95" t="s">
        <v>7376</v>
      </c>
      <c r="B1251" s="95" t="s">
        <v>131</v>
      </c>
      <c r="C1251" s="96" t="s">
        <v>7377</v>
      </c>
      <c r="D1251" s="95" t="s">
        <v>49</v>
      </c>
      <c r="E1251" s="95" t="s">
        <v>7378</v>
      </c>
      <c r="F1251" s="95" t="s">
        <v>19</v>
      </c>
      <c r="G1251" s="95" t="s">
        <v>19</v>
      </c>
      <c r="H1251" s="95" t="s">
        <v>21</v>
      </c>
      <c r="I1251" s="95" t="s">
        <v>647</v>
      </c>
      <c r="J1251" s="97">
        <v>46006.66496347222</v>
      </c>
      <c r="K1251" s="95" t="s">
        <v>7379</v>
      </c>
      <c r="L1251" s="95"/>
      <c r="M1251" s="95" t="s">
        <v>74</v>
      </c>
      <c r="N1251" s="95" t="s">
        <v>7380</v>
      </c>
      <c r="O1251" s="95" t="s">
        <v>7380</v>
      </c>
      <c r="P1251" s="95" t="s">
        <v>7381</v>
      </c>
      <c r="Q1251" s="98">
        <v>3.0</v>
      </c>
      <c r="R1251" s="97">
        <v>45813.66280092593</v>
      </c>
      <c r="S1251" s="99">
        <v>362.0</v>
      </c>
      <c r="T1251" s="99">
        <v>9.0</v>
      </c>
      <c r="U1251" s="99">
        <v>2.0</v>
      </c>
      <c r="V1251" s="99">
        <v>2866.0</v>
      </c>
      <c r="W1251" s="99">
        <v>366995.0</v>
      </c>
    </row>
    <row r="1252" ht="15.75" customHeight="1">
      <c r="A1252" s="95" t="s">
        <v>7382</v>
      </c>
      <c r="B1252" s="95" t="s">
        <v>22</v>
      </c>
      <c r="C1252" s="96" t="s">
        <v>7383</v>
      </c>
      <c r="D1252" s="95" t="s">
        <v>20</v>
      </c>
      <c r="E1252" s="95" t="s">
        <v>638</v>
      </c>
      <c r="F1252" s="95" t="s">
        <v>19</v>
      </c>
      <c r="G1252" s="95" t="s">
        <v>1018</v>
      </c>
      <c r="H1252" s="95" t="s">
        <v>21</v>
      </c>
      <c r="I1252" s="95" t="s">
        <v>567</v>
      </c>
      <c r="J1252" s="97">
        <v>45977.14561378472</v>
      </c>
      <c r="K1252" s="95" t="s">
        <v>7384</v>
      </c>
      <c r="L1252" s="96" t="s">
        <v>7385</v>
      </c>
      <c r="M1252" s="95" t="s">
        <v>17</v>
      </c>
      <c r="N1252" s="95" t="s">
        <v>7386</v>
      </c>
      <c r="O1252" s="95" t="s">
        <v>7386</v>
      </c>
      <c r="P1252" s="95" t="s">
        <v>7387</v>
      </c>
      <c r="Q1252" s="98">
        <v>3.0</v>
      </c>
      <c r="R1252" s="97">
        <v>45832.62053240741</v>
      </c>
      <c r="S1252" s="99">
        <v>18870.0</v>
      </c>
      <c r="T1252" s="99">
        <v>21.0</v>
      </c>
      <c r="U1252" s="99">
        <v>24.0</v>
      </c>
      <c r="V1252" s="99">
        <v>42.0</v>
      </c>
      <c r="W1252" s="99">
        <v>85264.0</v>
      </c>
    </row>
    <row r="1253" ht="15.75" customHeight="1">
      <c r="A1253" s="95" t="s">
        <v>7388</v>
      </c>
      <c r="B1253" s="95" t="s">
        <v>131</v>
      </c>
      <c r="C1253" s="96" t="s">
        <v>7389</v>
      </c>
      <c r="D1253" s="95" t="s">
        <v>547</v>
      </c>
      <c r="E1253" s="95" t="s">
        <v>710</v>
      </c>
      <c r="F1253" s="95" t="s">
        <v>19</v>
      </c>
      <c r="G1253" s="95" t="s">
        <v>1367</v>
      </c>
      <c r="H1253" s="95" t="s">
        <v>21</v>
      </c>
      <c r="I1253" s="95" t="s">
        <v>647</v>
      </c>
      <c r="J1253" s="97">
        <v>45982.72266510416</v>
      </c>
      <c r="K1253" s="95" t="s">
        <v>7390</v>
      </c>
      <c r="L1253" s="96" t="s">
        <v>7391</v>
      </c>
      <c r="M1253" s="95" t="s">
        <v>105</v>
      </c>
      <c r="N1253" s="95" t="s">
        <v>7392</v>
      </c>
      <c r="O1253" s="95" t="s">
        <v>7392</v>
      </c>
      <c r="P1253" s="95" t="s">
        <v>7393</v>
      </c>
      <c r="Q1253" s="98">
        <v>3.0</v>
      </c>
      <c r="R1253" s="97">
        <v>45247.5575</v>
      </c>
      <c r="S1253" s="99">
        <v>330.0</v>
      </c>
      <c r="T1253" s="99">
        <v>3.0</v>
      </c>
      <c r="U1253" s="99">
        <v>1.0</v>
      </c>
      <c r="V1253" s="99">
        <v>693.0</v>
      </c>
      <c r="W1253" s="99">
        <v>141017.0</v>
      </c>
    </row>
    <row r="1254" ht="15.75" customHeight="1">
      <c r="A1254" s="95" t="s">
        <v>7394</v>
      </c>
      <c r="B1254" s="95" t="s">
        <v>22</v>
      </c>
      <c r="C1254" s="96" t="s">
        <v>7395</v>
      </c>
      <c r="D1254" s="95" t="s">
        <v>124</v>
      </c>
      <c r="E1254" s="95" t="s">
        <v>2195</v>
      </c>
      <c r="F1254" s="95" t="s">
        <v>19</v>
      </c>
      <c r="G1254" s="95" t="s">
        <v>19</v>
      </c>
      <c r="H1254" s="95" t="s">
        <v>21</v>
      </c>
      <c r="I1254" s="95" t="s">
        <v>567</v>
      </c>
      <c r="J1254" s="97">
        <v>46021.50617167824</v>
      </c>
      <c r="K1254" s="95" t="s">
        <v>7396</v>
      </c>
      <c r="L1254" s="96" t="s">
        <v>7397</v>
      </c>
      <c r="M1254" s="95" t="s">
        <v>93</v>
      </c>
      <c r="N1254" s="95" t="s">
        <v>7398</v>
      </c>
      <c r="O1254" s="95" t="s">
        <v>7398</v>
      </c>
      <c r="P1254" s="95" t="s">
        <v>7399</v>
      </c>
      <c r="Q1254" s="98">
        <v>3.0</v>
      </c>
      <c r="R1254" s="97">
        <v>45771.31296296296</v>
      </c>
      <c r="S1254" s="99">
        <v>1371.0</v>
      </c>
      <c r="T1254" s="99">
        <v>80.0</v>
      </c>
      <c r="U1254" s="99">
        <v>1.0</v>
      </c>
      <c r="V1254" s="99">
        <v>109.0</v>
      </c>
      <c r="W1254" s="99">
        <v>266003.0</v>
      </c>
    </row>
    <row r="1255" ht="15.75" customHeight="1">
      <c r="A1255" s="95" t="s">
        <v>7400</v>
      </c>
      <c r="B1255" s="95" t="s">
        <v>131</v>
      </c>
      <c r="C1255" s="96" t="s">
        <v>7401</v>
      </c>
      <c r="D1255" s="95" t="s">
        <v>124</v>
      </c>
      <c r="E1255" s="95" t="s">
        <v>983</v>
      </c>
      <c r="F1255" s="95" t="s">
        <v>517</v>
      </c>
      <c r="G1255" s="95" t="s">
        <v>1532</v>
      </c>
      <c r="H1255" s="95" t="s">
        <v>536</v>
      </c>
      <c r="I1255" s="95" t="s">
        <v>7402</v>
      </c>
      <c r="J1255" s="97">
        <v>46021.51309140046</v>
      </c>
      <c r="K1255" s="95" t="s">
        <v>7403</v>
      </c>
      <c r="L1255" s="96" t="s">
        <v>7404</v>
      </c>
      <c r="M1255" s="95" t="s">
        <v>93</v>
      </c>
      <c r="N1255" s="95" t="s">
        <v>7405</v>
      </c>
      <c r="O1255" s="95" t="s">
        <v>7405</v>
      </c>
      <c r="P1255" s="95" t="s">
        <v>7406</v>
      </c>
      <c r="Q1255" s="98">
        <v>3.0</v>
      </c>
      <c r="R1255" s="97">
        <v>45832.47027777778</v>
      </c>
      <c r="S1255" s="99">
        <v>481.0</v>
      </c>
      <c r="T1255" s="99">
        <v>957.0</v>
      </c>
      <c r="U1255" s="99">
        <v>1.0</v>
      </c>
      <c r="V1255" s="99">
        <v>2083.0</v>
      </c>
      <c r="W1255" s="99">
        <v>402473.0</v>
      </c>
    </row>
    <row r="1256" ht="15.75" customHeight="1">
      <c r="A1256" s="95" t="s">
        <v>7407</v>
      </c>
      <c r="B1256" s="95" t="s">
        <v>22</v>
      </c>
      <c r="C1256" s="96" t="s">
        <v>7408</v>
      </c>
      <c r="D1256" s="95" t="s">
        <v>130</v>
      </c>
      <c r="E1256" s="95" t="s">
        <v>7409</v>
      </c>
      <c r="F1256" s="95" t="s">
        <v>19</v>
      </c>
      <c r="G1256" s="95" t="s">
        <v>19</v>
      </c>
      <c r="H1256" s="95" t="s">
        <v>21</v>
      </c>
      <c r="I1256" s="95" t="s">
        <v>567</v>
      </c>
      <c r="J1256" s="97">
        <v>46056.94379803241</v>
      </c>
      <c r="K1256" s="95" t="s">
        <v>7410</v>
      </c>
      <c r="L1256" s="96" t="s">
        <v>7411</v>
      </c>
      <c r="M1256" s="95" t="s">
        <v>93</v>
      </c>
      <c r="N1256" s="95" t="s">
        <v>7412</v>
      </c>
      <c r="O1256" s="95" t="s">
        <v>7412</v>
      </c>
      <c r="P1256" s="95" t="s">
        <v>7413</v>
      </c>
      <c r="Q1256" s="98">
        <v>3.0</v>
      </c>
      <c r="R1256" s="97">
        <v>46024.17418981482</v>
      </c>
      <c r="S1256" s="99">
        <v>6894.0</v>
      </c>
      <c r="T1256" s="99">
        <v>168.0</v>
      </c>
      <c r="U1256" s="99">
        <v>35.0</v>
      </c>
      <c r="V1256" s="99">
        <v>242.0</v>
      </c>
      <c r="W1256" s="99">
        <v>107902.0</v>
      </c>
    </row>
    <row r="1257" ht="15.75" customHeight="1">
      <c r="A1257" s="95" t="s">
        <v>7414</v>
      </c>
      <c r="B1257" s="95" t="s">
        <v>69</v>
      </c>
      <c r="C1257" s="96" t="s">
        <v>7415</v>
      </c>
      <c r="D1257" s="95" t="s">
        <v>124</v>
      </c>
      <c r="E1257" s="95" t="s">
        <v>7416</v>
      </c>
      <c r="F1257" s="95" t="s">
        <v>88</v>
      </c>
      <c r="G1257" s="95" t="s">
        <v>639</v>
      </c>
      <c r="H1257" s="95" t="s">
        <v>77</v>
      </c>
      <c r="I1257" s="95" t="s">
        <v>7417</v>
      </c>
      <c r="J1257" s="97">
        <v>45993.7854622338</v>
      </c>
      <c r="K1257" s="96" t="s">
        <v>7418</v>
      </c>
      <c r="L1257" s="96" t="s">
        <v>7419</v>
      </c>
      <c r="M1257" s="95" t="s">
        <v>17</v>
      </c>
      <c r="N1257" s="95" t="s">
        <v>7420</v>
      </c>
      <c r="O1257" s="95" t="s">
        <v>7420</v>
      </c>
      <c r="P1257" s="95" t="s">
        <v>7421</v>
      </c>
      <c r="Q1257" s="98">
        <v>3.0</v>
      </c>
      <c r="R1257" s="97">
        <v>45912.38288194445</v>
      </c>
      <c r="S1257" s="99">
        <v>102.0</v>
      </c>
      <c r="T1257" s="99">
        <v>6.0</v>
      </c>
      <c r="U1257" s="99">
        <v>1.0</v>
      </c>
      <c r="V1257" s="99">
        <v>196.0</v>
      </c>
      <c r="W1257" s="99">
        <v>116741.0</v>
      </c>
    </row>
    <row r="1258" ht="15.75" customHeight="1">
      <c r="A1258" s="95" t="s">
        <v>7422</v>
      </c>
      <c r="B1258" s="95" t="s">
        <v>69</v>
      </c>
      <c r="C1258" s="96" t="s">
        <v>7423</v>
      </c>
      <c r="D1258" s="95" t="s">
        <v>124</v>
      </c>
      <c r="E1258" s="95" t="s">
        <v>794</v>
      </c>
      <c r="F1258" s="95" t="s">
        <v>58</v>
      </c>
      <c r="G1258" s="95" t="s">
        <v>58</v>
      </c>
      <c r="H1258" s="95" t="s">
        <v>77</v>
      </c>
      <c r="I1258" s="95" t="s">
        <v>599</v>
      </c>
      <c r="J1258" s="97">
        <v>46021.49610081018</v>
      </c>
      <c r="K1258" s="95" t="s">
        <v>7424</v>
      </c>
      <c r="L1258" s="96" t="s">
        <v>7425</v>
      </c>
      <c r="M1258" s="95" t="s">
        <v>67</v>
      </c>
      <c r="N1258" s="95" t="s">
        <v>7426</v>
      </c>
      <c r="O1258" s="95" t="s">
        <v>7426</v>
      </c>
      <c r="P1258" s="95" t="s">
        <v>7427</v>
      </c>
      <c r="Q1258" s="98">
        <v>3.0</v>
      </c>
      <c r="R1258" s="97">
        <v>45776.6340162037</v>
      </c>
      <c r="S1258" s="99">
        <v>1215.0</v>
      </c>
      <c r="T1258" s="99">
        <v>32.0</v>
      </c>
      <c r="U1258" s="99">
        <v>1.0</v>
      </c>
      <c r="V1258" s="99">
        <v>27.0</v>
      </c>
      <c r="W1258" s="99">
        <v>538156.0</v>
      </c>
    </row>
    <row r="1259" ht="15.75" customHeight="1">
      <c r="A1259" s="95" t="s">
        <v>7428</v>
      </c>
      <c r="B1259" s="95" t="s">
        <v>22</v>
      </c>
      <c r="C1259" s="96" t="s">
        <v>7429</v>
      </c>
      <c r="D1259" s="95" t="s">
        <v>59</v>
      </c>
      <c r="E1259" s="95" t="s">
        <v>59</v>
      </c>
      <c r="F1259" s="95" t="s">
        <v>19</v>
      </c>
      <c r="G1259" s="95" t="s">
        <v>19</v>
      </c>
      <c r="H1259" s="95" t="s">
        <v>21</v>
      </c>
      <c r="I1259" s="95" t="s">
        <v>567</v>
      </c>
      <c r="J1259" s="97">
        <v>45975.67930844907</v>
      </c>
      <c r="K1259" s="96" t="s">
        <v>7430</v>
      </c>
      <c r="L1259" s="96" t="s">
        <v>7431</v>
      </c>
      <c r="M1259" s="95" t="s">
        <v>54</v>
      </c>
      <c r="N1259" s="95" t="s">
        <v>7432</v>
      </c>
      <c r="O1259" s="95" t="s">
        <v>7432</v>
      </c>
      <c r="P1259" s="95" t="s">
        <v>7433</v>
      </c>
      <c r="Q1259" s="98">
        <v>3.0</v>
      </c>
      <c r="R1259" s="97">
        <v>45700.33846064815</v>
      </c>
      <c r="S1259" s="99">
        <v>5070.0</v>
      </c>
      <c r="T1259" s="99">
        <v>1309.0</v>
      </c>
      <c r="U1259" s="99">
        <v>20.0</v>
      </c>
      <c r="V1259" s="99">
        <v>110.0</v>
      </c>
      <c r="W1259" s="99">
        <v>214388.0</v>
      </c>
    </row>
    <row r="1260" ht="15.75" customHeight="1">
      <c r="A1260" s="95" t="s">
        <v>7434</v>
      </c>
      <c r="B1260" s="95" t="s">
        <v>101</v>
      </c>
      <c r="C1260" s="96" t="s">
        <v>7435</v>
      </c>
      <c r="D1260" s="95" t="s">
        <v>29</v>
      </c>
      <c r="E1260" s="95" t="s">
        <v>658</v>
      </c>
      <c r="F1260" s="95" t="s">
        <v>19</v>
      </c>
      <c r="G1260" s="95" t="s">
        <v>19</v>
      </c>
      <c r="H1260" s="95" t="s">
        <v>21</v>
      </c>
      <c r="I1260" s="95" t="s">
        <v>5078</v>
      </c>
      <c r="J1260" s="97">
        <v>46069.1361972338</v>
      </c>
      <c r="K1260" s="95" t="s">
        <v>7436</v>
      </c>
      <c r="L1260" s="96" t="s">
        <v>7437</v>
      </c>
      <c r="M1260" s="95" t="s">
        <v>93</v>
      </c>
      <c r="N1260" s="95" t="s">
        <v>7438</v>
      </c>
      <c r="O1260" s="95" t="s">
        <v>7438</v>
      </c>
      <c r="P1260" s="95" t="s">
        <v>7439</v>
      </c>
      <c r="Q1260" s="98">
        <v>3.0</v>
      </c>
      <c r="R1260" s="97">
        <v>45674.66208333334</v>
      </c>
      <c r="S1260" s="99">
        <v>1239.0</v>
      </c>
      <c r="T1260" s="99">
        <v>128.0</v>
      </c>
      <c r="U1260" s="99">
        <v>4.0</v>
      </c>
      <c r="V1260" s="99">
        <v>893.0</v>
      </c>
      <c r="W1260" s="95"/>
    </row>
    <row r="1261" ht="15.75" customHeight="1">
      <c r="A1261" s="95" t="s">
        <v>7440</v>
      </c>
      <c r="B1261" s="95" t="s">
        <v>101</v>
      </c>
      <c r="C1261" s="96" t="s">
        <v>7441</v>
      </c>
      <c r="D1261" s="95" t="s">
        <v>59</v>
      </c>
      <c r="E1261" s="95" t="s">
        <v>1826</v>
      </c>
      <c r="F1261" s="95" t="s">
        <v>19</v>
      </c>
      <c r="G1261" s="95" t="s">
        <v>19</v>
      </c>
      <c r="H1261" s="95" t="s">
        <v>21</v>
      </c>
      <c r="I1261" s="95" t="s">
        <v>1497</v>
      </c>
      <c r="J1261" s="97">
        <v>46056.94379803241</v>
      </c>
      <c r="K1261" s="95" t="s">
        <v>7442</v>
      </c>
      <c r="L1261" s="96" t="s">
        <v>7443</v>
      </c>
      <c r="M1261" s="95" t="s">
        <v>93</v>
      </c>
      <c r="N1261" s="95" t="s">
        <v>7438</v>
      </c>
      <c r="O1261" s="95" t="s">
        <v>7438</v>
      </c>
      <c r="P1261" s="95" t="s">
        <v>7439</v>
      </c>
      <c r="Q1261" s="98">
        <v>3.0</v>
      </c>
      <c r="R1261" s="97">
        <v>46009.57331018519</v>
      </c>
      <c r="S1261" s="99">
        <v>1239.0</v>
      </c>
      <c r="T1261" s="99">
        <v>105.0</v>
      </c>
      <c r="U1261" s="99">
        <v>7.0</v>
      </c>
      <c r="V1261" s="99">
        <v>2180.0</v>
      </c>
      <c r="W1261" s="95"/>
    </row>
    <row r="1262" ht="15.75" customHeight="1">
      <c r="A1262" s="95" t="s">
        <v>7444</v>
      </c>
      <c r="B1262" s="95" t="s">
        <v>22</v>
      </c>
      <c r="C1262" s="96" t="s">
        <v>7445</v>
      </c>
      <c r="D1262" s="95" t="s">
        <v>168</v>
      </c>
      <c r="E1262" s="95" t="s">
        <v>168</v>
      </c>
      <c r="F1262" s="95" t="s">
        <v>19</v>
      </c>
      <c r="G1262" s="95" t="s">
        <v>574</v>
      </c>
      <c r="H1262" s="95" t="s">
        <v>21</v>
      </c>
      <c r="I1262" s="95" t="s">
        <v>567</v>
      </c>
      <c r="J1262" s="97">
        <v>46008.6290024074</v>
      </c>
      <c r="K1262" s="96" t="s">
        <v>7446</v>
      </c>
      <c r="L1262" s="95"/>
      <c r="M1262" s="95" t="s">
        <v>17</v>
      </c>
      <c r="N1262" s="95" t="s">
        <v>7447</v>
      </c>
      <c r="O1262" s="95" t="s">
        <v>7447</v>
      </c>
      <c r="P1262" s="95" t="s">
        <v>7448</v>
      </c>
      <c r="Q1262" s="98">
        <v>3.0</v>
      </c>
      <c r="R1262" s="97">
        <v>45729.83295138889</v>
      </c>
      <c r="S1262" s="99">
        <v>265.0</v>
      </c>
      <c r="T1262" s="99">
        <v>42.0</v>
      </c>
      <c r="U1262" s="99">
        <v>8.0</v>
      </c>
      <c r="V1262" s="99">
        <v>728.0</v>
      </c>
      <c r="W1262" s="99">
        <v>88254.0</v>
      </c>
    </row>
    <row r="1263" ht="15.75" customHeight="1">
      <c r="A1263" s="95" t="s">
        <v>7449</v>
      </c>
      <c r="B1263" s="95" t="s">
        <v>22</v>
      </c>
      <c r="C1263" s="96" t="s">
        <v>7450</v>
      </c>
      <c r="D1263" s="95" t="s">
        <v>168</v>
      </c>
      <c r="E1263" s="95" t="s">
        <v>168</v>
      </c>
      <c r="F1263" s="95" t="s">
        <v>19</v>
      </c>
      <c r="G1263" s="95" t="s">
        <v>588</v>
      </c>
      <c r="H1263" s="95" t="s">
        <v>21</v>
      </c>
      <c r="I1263" s="95" t="s">
        <v>589</v>
      </c>
      <c r="J1263" s="97">
        <v>45993.7854622338</v>
      </c>
      <c r="K1263" s="96" t="s">
        <v>7451</v>
      </c>
      <c r="L1263" s="96" t="s">
        <v>7452</v>
      </c>
      <c r="M1263" s="95" t="s">
        <v>17</v>
      </c>
      <c r="N1263" s="95" t="s">
        <v>7453</v>
      </c>
      <c r="O1263" s="95" t="s">
        <v>7453</v>
      </c>
      <c r="P1263" s="95" t="s">
        <v>7454</v>
      </c>
      <c r="Q1263" s="98">
        <v>3.0</v>
      </c>
      <c r="R1263" s="97">
        <v>45910.92185185185</v>
      </c>
      <c r="S1263" s="99">
        <v>654.0</v>
      </c>
      <c r="T1263" s="99">
        <v>246.0</v>
      </c>
      <c r="U1263" s="99">
        <v>2.0</v>
      </c>
      <c r="V1263" s="99">
        <v>98.0</v>
      </c>
      <c r="W1263" s="99">
        <v>271374.0</v>
      </c>
    </row>
    <row r="1264" ht="15.75" customHeight="1">
      <c r="A1264" s="95" t="s">
        <v>7455</v>
      </c>
      <c r="B1264" s="95" t="s">
        <v>22</v>
      </c>
      <c r="C1264" s="96" t="s">
        <v>7456</v>
      </c>
      <c r="D1264" s="95" t="s">
        <v>168</v>
      </c>
      <c r="E1264" s="95" t="s">
        <v>606</v>
      </c>
      <c r="F1264" s="95" t="s">
        <v>19</v>
      </c>
      <c r="G1264" s="95" t="s">
        <v>19</v>
      </c>
      <c r="H1264" s="95" t="s">
        <v>21</v>
      </c>
      <c r="I1264" s="95" t="s">
        <v>567</v>
      </c>
      <c r="J1264" s="97">
        <v>45994.66651141204</v>
      </c>
      <c r="K1264" s="96" t="s">
        <v>7457</v>
      </c>
      <c r="L1264" s="96" t="s">
        <v>7458</v>
      </c>
      <c r="M1264" s="95" t="s">
        <v>105</v>
      </c>
      <c r="N1264" s="95" t="s">
        <v>7459</v>
      </c>
      <c r="O1264" s="95" t="s">
        <v>7459</v>
      </c>
      <c r="P1264" s="95" t="s">
        <v>7460</v>
      </c>
      <c r="Q1264" s="98">
        <v>3.0</v>
      </c>
      <c r="R1264" s="97">
        <v>45618.66640046296</v>
      </c>
      <c r="S1264" s="99">
        <v>1737.0</v>
      </c>
      <c r="T1264" s="99">
        <v>4.0</v>
      </c>
      <c r="U1264" s="99">
        <v>2.0</v>
      </c>
      <c r="V1264" s="99">
        <v>330.0</v>
      </c>
      <c r="W1264" s="99">
        <v>1049245.0</v>
      </c>
    </row>
    <row r="1265" ht="15.75" customHeight="1">
      <c r="A1265" s="95" t="s">
        <v>7461</v>
      </c>
      <c r="B1265" s="95" t="s">
        <v>22</v>
      </c>
      <c r="C1265" s="96" t="s">
        <v>7462</v>
      </c>
      <c r="D1265" s="95" t="s">
        <v>168</v>
      </c>
      <c r="E1265" s="95" t="s">
        <v>606</v>
      </c>
      <c r="F1265" s="95" t="s">
        <v>19</v>
      </c>
      <c r="G1265" s="95" t="s">
        <v>19</v>
      </c>
      <c r="H1265" s="95" t="s">
        <v>21</v>
      </c>
      <c r="I1265" s="95" t="s">
        <v>567</v>
      </c>
      <c r="J1265" s="97">
        <v>46021.50399828704</v>
      </c>
      <c r="K1265" s="95" t="s">
        <v>7463</v>
      </c>
      <c r="L1265" s="96" t="s">
        <v>7464</v>
      </c>
      <c r="M1265" s="95" t="s">
        <v>105</v>
      </c>
      <c r="N1265" s="95" t="s">
        <v>7459</v>
      </c>
      <c r="O1265" s="95" t="s">
        <v>7459</v>
      </c>
      <c r="P1265" s="95" t="s">
        <v>7460</v>
      </c>
      <c r="Q1265" s="98">
        <v>3.0</v>
      </c>
      <c r="R1265" s="97">
        <v>45324.80868055556</v>
      </c>
      <c r="S1265" s="99">
        <v>1737.0</v>
      </c>
      <c r="T1265" s="99">
        <v>105.0</v>
      </c>
      <c r="U1265" s="99">
        <v>2.0</v>
      </c>
      <c r="V1265" s="99">
        <v>456.0</v>
      </c>
      <c r="W1265" s="99">
        <v>1049245.0</v>
      </c>
    </row>
    <row r="1266" ht="15.75" customHeight="1">
      <c r="A1266" s="95" t="s">
        <v>7465</v>
      </c>
      <c r="B1266" s="95" t="s">
        <v>131</v>
      </c>
      <c r="C1266" s="96" t="s">
        <v>7466</v>
      </c>
      <c r="D1266" s="95" t="s">
        <v>168</v>
      </c>
      <c r="E1266" s="95" t="s">
        <v>1228</v>
      </c>
      <c r="F1266" s="95" t="s">
        <v>19</v>
      </c>
      <c r="G1266" s="95" t="s">
        <v>19</v>
      </c>
      <c r="H1266" s="95" t="s">
        <v>21</v>
      </c>
      <c r="I1266" s="95" t="s">
        <v>647</v>
      </c>
      <c r="J1266" s="97">
        <v>46021.49610081018</v>
      </c>
      <c r="K1266" s="95" t="s">
        <v>7467</v>
      </c>
      <c r="L1266" s="96" t="s">
        <v>7468</v>
      </c>
      <c r="M1266" s="95" t="s">
        <v>105</v>
      </c>
      <c r="N1266" s="95" t="s">
        <v>7469</v>
      </c>
      <c r="O1266" s="95" t="s">
        <v>7469</v>
      </c>
      <c r="P1266" s="95" t="s">
        <v>7470</v>
      </c>
      <c r="Q1266" s="98">
        <v>3.0</v>
      </c>
      <c r="R1266" s="97">
        <v>45750.53340277778</v>
      </c>
      <c r="S1266" s="99">
        <v>151.0</v>
      </c>
      <c r="T1266" s="99">
        <v>29.0</v>
      </c>
      <c r="U1266" s="99">
        <v>1.0</v>
      </c>
      <c r="V1266" s="99">
        <v>429.0</v>
      </c>
      <c r="W1266" s="99">
        <v>69275.0</v>
      </c>
    </row>
    <row r="1267" ht="15.75" customHeight="1">
      <c r="A1267" s="95" t="s">
        <v>7471</v>
      </c>
      <c r="B1267" s="95" t="s">
        <v>22</v>
      </c>
      <c r="C1267" s="96" t="s">
        <v>7472</v>
      </c>
      <c r="D1267" s="95" t="s">
        <v>68</v>
      </c>
      <c r="E1267" s="95" t="s">
        <v>1671</v>
      </c>
      <c r="F1267" s="95" t="s">
        <v>19</v>
      </c>
      <c r="G1267" s="95" t="s">
        <v>19</v>
      </c>
      <c r="H1267" s="95" t="s">
        <v>21</v>
      </c>
      <c r="I1267" s="95" t="s">
        <v>567</v>
      </c>
      <c r="J1267" s="97">
        <v>46021.49610081018</v>
      </c>
      <c r="K1267" s="95" t="s">
        <v>7473</v>
      </c>
      <c r="L1267" s="96" t="s">
        <v>7474</v>
      </c>
      <c r="M1267" s="95" t="s">
        <v>54</v>
      </c>
      <c r="N1267" s="95" t="s">
        <v>7475</v>
      </c>
      <c r="O1267" s="95" t="s">
        <v>7475</v>
      </c>
      <c r="P1267" s="95" t="s">
        <v>7476</v>
      </c>
      <c r="Q1267" s="98">
        <v>3.0</v>
      </c>
      <c r="R1267" s="97">
        <v>45690.8158912037</v>
      </c>
      <c r="S1267" s="99">
        <v>865.0</v>
      </c>
      <c r="T1267" s="99">
        <v>133.0</v>
      </c>
      <c r="U1267" s="99">
        <v>8.0</v>
      </c>
      <c r="V1267" s="99">
        <v>360.0</v>
      </c>
      <c r="W1267" s="99">
        <v>13622.0</v>
      </c>
    </row>
    <row r="1268" ht="15.75" customHeight="1">
      <c r="A1268" s="95" t="s">
        <v>7477</v>
      </c>
      <c r="B1268" s="95" t="s">
        <v>22</v>
      </c>
      <c r="C1268" s="96" t="s">
        <v>7478</v>
      </c>
      <c r="D1268" s="95" t="s">
        <v>68</v>
      </c>
      <c r="E1268" s="95" t="s">
        <v>1901</v>
      </c>
      <c r="F1268" s="95" t="s">
        <v>19</v>
      </c>
      <c r="G1268" s="95" t="s">
        <v>19</v>
      </c>
      <c r="H1268" s="95" t="s">
        <v>21</v>
      </c>
      <c r="I1268" s="95" t="s">
        <v>567</v>
      </c>
      <c r="J1268" s="97">
        <v>46021.51309140046</v>
      </c>
      <c r="K1268" s="95" t="s">
        <v>7479</v>
      </c>
      <c r="L1268" s="96" t="s">
        <v>7480</v>
      </c>
      <c r="M1268" s="95" t="s">
        <v>54</v>
      </c>
      <c r="N1268" s="95" t="s">
        <v>7481</v>
      </c>
      <c r="O1268" s="95" t="s">
        <v>7481</v>
      </c>
      <c r="P1268" s="95" t="s">
        <v>7482</v>
      </c>
      <c r="Q1268" s="98">
        <v>3.0</v>
      </c>
      <c r="R1268" s="97">
        <v>45747.59072916667</v>
      </c>
      <c r="S1268" s="99">
        <v>1733.0</v>
      </c>
      <c r="T1268" s="99">
        <v>91.0</v>
      </c>
      <c r="U1268" s="99">
        <v>3.0</v>
      </c>
      <c r="V1268" s="99">
        <v>58.0</v>
      </c>
      <c r="W1268" s="99">
        <v>13628.0</v>
      </c>
    </row>
    <row r="1269" ht="15.75" customHeight="1">
      <c r="A1269" s="95" t="s">
        <v>7483</v>
      </c>
      <c r="B1269" s="95" t="s">
        <v>22</v>
      </c>
      <c r="C1269" s="96" t="s">
        <v>7484</v>
      </c>
      <c r="D1269" s="95" t="s">
        <v>68</v>
      </c>
      <c r="E1269" s="95" t="s">
        <v>1901</v>
      </c>
      <c r="F1269" s="95" t="s">
        <v>19</v>
      </c>
      <c r="G1269" s="95" t="s">
        <v>19</v>
      </c>
      <c r="H1269" s="95" t="s">
        <v>21</v>
      </c>
      <c r="I1269" s="95" t="s">
        <v>677</v>
      </c>
      <c r="J1269" s="97">
        <v>46021.51309140046</v>
      </c>
      <c r="K1269" s="95" t="s">
        <v>7485</v>
      </c>
      <c r="L1269" s="96" t="s">
        <v>7486</v>
      </c>
      <c r="M1269" s="95" t="s">
        <v>54</v>
      </c>
      <c r="N1269" s="95" t="s">
        <v>7481</v>
      </c>
      <c r="O1269" s="95" t="s">
        <v>7481</v>
      </c>
      <c r="P1269" s="95" t="s">
        <v>7482</v>
      </c>
      <c r="Q1269" s="98">
        <v>3.0</v>
      </c>
      <c r="R1269" s="97">
        <v>45784.96427083333</v>
      </c>
      <c r="S1269" s="99">
        <v>1733.0</v>
      </c>
      <c r="T1269" s="99">
        <v>128.0</v>
      </c>
      <c r="U1269" s="99">
        <v>23.0</v>
      </c>
      <c r="V1269" s="99">
        <v>327.0</v>
      </c>
      <c r="W1269" s="99">
        <v>13628.0</v>
      </c>
    </row>
    <row r="1270" ht="15.75" customHeight="1">
      <c r="A1270" s="95" t="s">
        <v>7487</v>
      </c>
      <c r="B1270" s="95" t="s">
        <v>22</v>
      </c>
      <c r="C1270" s="96" t="s">
        <v>7488</v>
      </c>
      <c r="D1270" s="95" t="s">
        <v>124</v>
      </c>
      <c r="E1270" s="95" t="s">
        <v>3127</v>
      </c>
      <c r="F1270" s="95" t="s">
        <v>19</v>
      </c>
      <c r="G1270" s="95" t="s">
        <v>574</v>
      </c>
      <c r="H1270" s="95" t="s">
        <v>21</v>
      </c>
      <c r="I1270" s="95" t="s">
        <v>589</v>
      </c>
      <c r="J1270" s="97">
        <v>45975.67935613426</v>
      </c>
      <c r="K1270" s="96" t="s">
        <v>7489</v>
      </c>
      <c r="L1270" s="96" t="s">
        <v>7490</v>
      </c>
      <c r="M1270" s="95" t="s">
        <v>17</v>
      </c>
      <c r="N1270" s="95" t="s">
        <v>7491</v>
      </c>
      <c r="O1270" s="95" t="s">
        <v>7491</v>
      </c>
      <c r="P1270" s="95" t="s">
        <v>7492</v>
      </c>
      <c r="Q1270" s="98">
        <v>3.0</v>
      </c>
      <c r="R1270" s="97">
        <v>45800.64033564815</v>
      </c>
      <c r="S1270" s="99">
        <v>57.0</v>
      </c>
      <c r="T1270" s="99">
        <v>14.0</v>
      </c>
      <c r="U1270" s="99">
        <v>3.0</v>
      </c>
      <c r="V1270" s="99">
        <v>54.0</v>
      </c>
      <c r="W1270" s="99">
        <v>246292.0</v>
      </c>
    </row>
    <row r="1271" ht="15.75" customHeight="1">
      <c r="A1271" s="95" t="s">
        <v>7493</v>
      </c>
      <c r="B1271" s="95" t="s">
        <v>101</v>
      </c>
      <c r="C1271" s="96" t="s">
        <v>7494</v>
      </c>
      <c r="D1271" s="95" t="s">
        <v>130</v>
      </c>
      <c r="E1271" s="95" t="s">
        <v>917</v>
      </c>
      <c r="F1271" s="95" t="s">
        <v>19</v>
      </c>
      <c r="G1271" s="95" t="s">
        <v>19</v>
      </c>
      <c r="H1271" s="95" t="s">
        <v>21</v>
      </c>
      <c r="I1271" s="95" t="s">
        <v>1589</v>
      </c>
      <c r="J1271" s="97">
        <v>46021.50617167824</v>
      </c>
      <c r="K1271" s="95" t="s">
        <v>7495</v>
      </c>
      <c r="L1271" s="96" t="s">
        <v>7496</v>
      </c>
      <c r="M1271" s="95" t="s">
        <v>93</v>
      </c>
      <c r="N1271" s="95" t="s">
        <v>7497</v>
      </c>
      <c r="O1271" s="95" t="s">
        <v>7497</v>
      </c>
      <c r="P1271" s="95" t="s">
        <v>7498</v>
      </c>
      <c r="Q1271" s="98">
        <v>3.0</v>
      </c>
      <c r="R1271" s="97">
        <v>45938.80216435185</v>
      </c>
      <c r="S1271" s="99">
        <v>347.0</v>
      </c>
      <c r="T1271" s="99">
        <v>326.0</v>
      </c>
      <c r="U1271" s="99">
        <v>3.0</v>
      </c>
      <c r="V1271" s="99">
        <v>162.0</v>
      </c>
      <c r="W1271" s="99">
        <v>347520.0</v>
      </c>
    </row>
    <row r="1272" ht="15.75" customHeight="1">
      <c r="A1272" s="95" t="s">
        <v>7499</v>
      </c>
      <c r="B1272" s="95" t="s">
        <v>101</v>
      </c>
      <c r="C1272" s="96" t="s">
        <v>7500</v>
      </c>
      <c r="D1272" s="95" t="s">
        <v>130</v>
      </c>
      <c r="E1272" s="95" t="s">
        <v>917</v>
      </c>
      <c r="F1272" s="95" t="s">
        <v>19</v>
      </c>
      <c r="G1272" s="95" t="s">
        <v>1427</v>
      </c>
      <c r="H1272" s="95" t="s">
        <v>21</v>
      </c>
      <c r="I1272" s="95" t="s">
        <v>7501</v>
      </c>
      <c r="J1272" s="97">
        <v>46021.50617167824</v>
      </c>
      <c r="K1272" s="95" t="s">
        <v>7502</v>
      </c>
      <c r="L1272" s="96" t="s">
        <v>7503</v>
      </c>
      <c r="M1272" s="95" t="s">
        <v>93</v>
      </c>
      <c r="N1272" s="95" t="s">
        <v>7497</v>
      </c>
      <c r="O1272" s="95" t="s">
        <v>7497</v>
      </c>
      <c r="P1272" s="95" t="s">
        <v>7498</v>
      </c>
      <c r="Q1272" s="98">
        <v>3.0</v>
      </c>
      <c r="R1272" s="97">
        <v>45699.07318287037</v>
      </c>
      <c r="S1272" s="99">
        <v>347.0</v>
      </c>
      <c r="T1272" s="99">
        <v>61.0</v>
      </c>
      <c r="U1272" s="99">
        <v>42.0</v>
      </c>
      <c r="V1272" s="99">
        <v>437.0</v>
      </c>
      <c r="W1272" s="99">
        <v>347520.0</v>
      </c>
    </row>
    <row r="1273" ht="15.75" customHeight="1">
      <c r="A1273" s="95" t="s">
        <v>7504</v>
      </c>
      <c r="B1273" s="95" t="s">
        <v>131</v>
      </c>
      <c r="C1273" s="96" t="s">
        <v>7505</v>
      </c>
      <c r="D1273" s="95" t="s">
        <v>130</v>
      </c>
      <c r="E1273" s="95" t="s">
        <v>917</v>
      </c>
      <c r="F1273" s="95" t="s">
        <v>19</v>
      </c>
      <c r="G1273" s="95" t="s">
        <v>574</v>
      </c>
      <c r="H1273" s="95" t="s">
        <v>21</v>
      </c>
      <c r="I1273" s="95" t="s">
        <v>5525</v>
      </c>
      <c r="J1273" s="97">
        <v>46021.51309140046</v>
      </c>
      <c r="K1273" s="95" t="s">
        <v>7506</v>
      </c>
      <c r="L1273" s="96" t="s">
        <v>7507</v>
      </c>
      <c r="M1273" s="95" t="s">
        <v>93</v>
      </c>
      <c r="N1273" s="95" t="s">
        <v>7497</v>
      </c>
      <c r="O1273" s="95" t="s">
        <v>7497</v>
      </c>
      <c r="P1273" s="95" t="s">
        <v>7498</v>
      </c>
      <c r="Q1273" s="98">
        <v>3.0</v>
      </c>
      <c r="R1273" s="97">
        <v>45950.81385416666</v>
      </c>
      <c r="S1273" s="99">
        <v>347.0</v>
      </c>
      <c r="T1273" s="99">
        <v>2436.0</v>
      </c>
      <c r="U1273" s="99">
        <v>16.0</v>
      </c>
      <c r="V1273" s="99">
        <v>46.0</v>
      </c>
      <c r="W1273" s="99">
        <v>347520.0</v>
      </c>
    </row>
    <row r="1274" ht="15.75" customHeight="1">
      <c r="A1274" s="95" t="s">
        <v>7508</v>
      </c>
      <c r="B1274" s="95" t="s">
        <v>101</v>
      </c>
      <c r="C1274" s="96" t="s">
        <v>7509</v>
      </c>
      <c r="D1274" s="95" t="s">
        <v>130</v>
      </c>
      <c r="E1274" s="95" t="s">
        <v>917</v>
      </c>
      <c r="F1274" s="95" t="s">
        <v>19</v>
      </c>
      <c r="G1274" s="95" t="s">
        <v>19</v>
      </c>
      <c r="H1274" s="95" t="s">
        <v>21</v>
      </c>
      <c r="I1274" s="95" t="s">
        <v>1589</v>
      </c>
      <c r="J1274" s="97">
        <v>46021.51309140046</v>
      </c>
      <c r="K1274" s="95" t="s">
        <v>7510</v>
      </c>
      <c r="L1274" s="96" t="s">
        <v>7511</v>
      </c>
      <c r="M1274" s="95" t="s">
        <v>93</v>
      </c>
      <c r="N1274" s="95" t="s">
        <v>7497</v>
      </c>
      <c r="O1274" s="95" t="s">
        <v>7497</v>
      </c>
      <c r="P1274" s="95" t="s">
        <v>7498</v>
      </c>
      <c r="Q1274" s="98">
        <v>3.0</v>
      </c>
      <c r="R1274" s="97">
        <v>45933.15084490741</v>
      </c>
      <c r="S1274" s="99">
        <v>347.0</v>
      </c>
      <c r="T1274" s="99">
        <v>2725.0</v>
      </c>
      <c r="U1274" s="99">
        <v>8.0</v>
      </c>
      <c r="V1274" s="99">
        <v>404.0</v>
      </c>
      <c r="W1274" s="99">
        <v>347520.0</v>
      </c>
    </row>
    <row r="1275" ht="15.75" customHeight="1">
      <c r="A1275" s="95" t="s">
        <v>7512</v>
      </c>
      <c r="B1275" s="95" t="s">
        <v>22</v>
      </c>
      <c r="C1275" s="96" t="s">
        <v>7513</v>
      </c>
      <c r="D1275" s="95" t="s">
        <v>130</v>
      </c>
      <c r="E1275" s="95" t="s">
        <v>917</v>
      </c>
      <c r="F1275" s="95" t="s">
        <v>19</v>
      </c>
      <c r="G1275" s="95" t="s">
        <v>19</v>
      </c>
      <c r="H1275" s="95" t="s">
        <v>21</v>
      </c>
      <c r="I1275" s="95" t="s">
        <v>567</v>
      </c>
      <c r="J1275" s="97">
        <v>46061.01641740741</v>
      </c>
      <c r="K1275" s="95" t="s">
        <v>7514</v>
      </c>
      <c r="L1275" s="96" t="s">
        <v>7515</v>
      </c>
      <c r="M1275" s="95" t="s">
        <v>93</v>
      </c>
      <c r="N1275" s="95" t="s">
        <v>7497</v>
      </c>
      <c r="O1275" s="95" t="s">
        <v>7497</v>
      </c>
      <c r="P1275" s="95" t="s">
        <v>7498</v>
      </c>
      <c r="Q1275" s="98">
        <v>3.0</v>
      </c>
      <c r="R1275" s="97">
        <v>46042.84346064815</v>
      </c>
      <c r="S1275" s="99">
        <v>347.0</v>
      </c>
      <c r="T1275" s="99">
        <v>117.0</v>
      </c>
      <c r="U1275" s="99">
        <v>5.0</v>
      </c>
      <c r="V1275" s="99">
        <v>42.0</v>
      </c>
      <c r="W1275" s="99">
        <v>347520.0</v>
      </c>
    </row>
    <row r="1276" ht="15.75" customHeight="1">
      <c r="A1276" s="95" t="s">
        <v>7516</v>
      </c>
      <c r="B1276" s="95" t="s">
        <v>22</v>
      </c>
      <c r="C1276" s="96" t="s">
        <v>7517</v>
      </c>
      <c r="D1276" s="95" t="s">
        <v>130</v>
      </c>
      <c r="E1276" s="95" t="s">
        <v>917</v>
      </c>
      <c r="F1276" s="95" t="s">
        <v>19</v>
      </c>
      <c r="G1276" s="95" t="s">
        <v>19</v>
      </c>
      <c r="H1276" s="95" t="s">
        <v>21</v>
      </c>
      <c r="I1276" s="95" t="s">
        <v>567</v>
      </c>
      <c r="J1276" s="97">
        <v>46069.1361972338</v>
      </c>
      <c r="K1276" s="95" t="s">
        <v>7518</v>
      </c>
      <c r="L1276" s="96" t="s">
        <v>7519</v>
      </c>
      <c r="M1276" s="95" t="s">
        <v>93</v>
      </c>
      <c r="N1276" s="95" t="s">
        <v>7497</v>
      </c>
      <c r="O1276" s="95" t="s">
        <v>7497</v>
      </c>
      <c r="P1276" s="95" t="s">
        <v>7498</v>
      </c>
      <c r="Q1276" s="98">
        <v>3.0</v>
      </c>
      <c r="R1276" s="97">
        <v>46051.80873842593</v>
      </c>
      <c r="S1276" s="99">
        <v>347.0</v>
      </c>
      <c r="T1276" s="99">
        <v>125.0</v>
      </c>
      <c r="U1276" s="99">
        <v>11.0</v>
      </c>
      <c r="V1276" s="99">
        <v>627.0</v>
      </c>
      <c r="W1276" s="99">
        <v>347520.0</v>
      </c>
    </row>
    <row r="1277" ht="15.75" customHeight="1">
      <c r="A1277" s="95" t="s">
        <v>7520</v>
      </c>
      <c r="B1277" s="95" t="s">
        <v>22</v>
      </c>
      <c r="C1277" s="96" t="s">
        <v>7521</v>
      </c>
      <c r="D1277" s="95" t="s">
        <v>59</v>
      </c>
      <c r="E1277" s="95" t="s">
        <v>3394</v>
      </c>
      <c r="F1277" s="95" t="s">
        <v>19</v>
      </c>
      <c r="G1277" s="95" t="s">
        <v>1427</v>
      </c>
      <c r="H1277" s="95" t="s">
        <v>21</v>
      </c>
      <c r="I1277" s="95" t="s">
        <v>567</v>
      </c>
      <c r="J1277" s="97">
        <v>46072.60571417824</v>
      </c>
      <c r="K1277" s="95" t="s">
        <v>7522</v>
      </c>
      <c r="L1277" s="95"/>
      <c r="M1277" s="95" t="s">
        <v>93</v>
      </c>
      <c r="N1277" s="95" t="s">
        <v>7523</v>
      </c>
      <c r="O1277" s="95" t="s">
        <v>7523</v>
      </c>
      <c r="P1277" s="95" t="s">
        <v>7524</v>
      </c>
      <c r="Q1277" s="98">
        <v>3.0</v>
      </c>
      <c r="R1277" s="97">
        <v>45715.73761574074</v>
      </c>
      <c r="S1277" s="99">
        <v>12402.0</v>
      </c>
      <c r="T1277" s="99">
        <v>737.0</v>
      </c>
      <c r="U1277" s="99">
        <v>1.0</v>
      </c>
      <c r="V1277" s="99">
        <v>415.0</v>
      </c>
      <c r="W1277" s="99">
        <v>999999.0</v>
      </c>
    </row>
    <row r="1278" ht="15.75" customHeight="1">
      <c r="A1278" s="95" t="s">
        <v>7525</v>
      </c>
      <c r="B1278" s="95" t="s">
        <v>101</v>
      </c>
      <c r="C1278" s="96" t="s">
        <v>7526</v>
      </c>
      <c r="D1278" s="95" t="s">
        <v>124</v>
      </c>
      <c r="E1278" s="95" t="s">
        <v>7527</v>
      </c>
      <c r="F1278" s="95" t="s">
        <v>19</v>
      </c>
      <c r="G1278" s="95" t="s">
        <v>19</v>
      </c>
      <c r="H1278" s="95" t="s">
        <v>21</v>
      </c>
      <c r="I1278" s="95" t="s">
        <v>1589</v>
      </c>
      <c r="J1278" s="97">
        <v>46061.01635195602</v>
      </c>
      <c r="K1278" s="95" t="s">
        <v>7528</v>
      </c>
      <c r="L1278" s="95"/>
      <c r="M1278" s="95" t="s">
        <v>93</v>
      </c>
      <c r="N1278" s="95" t="s">
        <v>7523</v>
      </c>
      <c r="O1278" s="95" t="s">
        <v>7523</v>
      </c>
      <c r="P1278" s="95" t="s">
        <v>7524</v>
      </c>
      <c r="Q1278" s="98">
        <v>3.0</v>
      </c>
      <c r="R1278" s="97">
        <v>45750.15884259259</v>
      </c>
      <c r="S1278" s="99">
        <v>12402.0</v>
      </c>
      <c r="T1278" s="99">
        <v>744.0</v>
      </c>
      <c r="U1278" s="99">
        <v>1.0</v>
      </c>
      <c r="V1278" s="99">
        <v>293.0</v>
      </c>
      <c r="W1278" s="99">
        <v>999999.0</v>
      </c>
    </row>
    <row r="1279" ht="15.75" customHeight="1">
      <c r="A1279" s="95" t="s">
        <v>7529</v>
      </c>
      <c r="B1279" s="95" t="s">
        <v>22</v>
      </c>
      <c r="C1279" s="96" t="s">
        <v>7530</v>
      </c>
      <c r="D1279" s="95" t="s">
        <v>20</v>
      </c>
      <c r="E1279" s="95" t="s">
        <v>4506</v>
      </c>
      <c r="F1279" s="95" t="s">
        <v>19</v>
      </c>
      <c r="G1279" s="95" t="s">
        <v>19</v>
      </c>
      <c r="H1279" s="95" t="s">
        <v>21</v>
      </c>
      <c r="I1279" s="95" t="s">
        <v>677</v>
      </c>
      <c r="J1279" s="97">
        <v>45975.67935613426</v>
      </c>
      <c r="K1279" s="96" t="s">
        <v>7531</v>
      </c>
      <c r="L1279" s="96" t="s">
        <v>7532</v>
      </c>
      <c r="M1279" s="95" t="s">
        <v>17</v>
      </c>
      <c r="N1279" s="95" t="s">
        <v>7533</v>
      </c>
      <c r="O1279" s="95" t="s">
        <v>7533</v>
      </c>
      <c r="P1279" s="95" t="s">
        <v>7534</v>
      </c>
      <c r="Q1279" s="98">
        <v>3.0</v>
      </c>
      <c r="R1279" s="97">
        <v>45845.91046296297</v>
      </c>
      <c r="S1279" s="99">
        <v>54.0</v>
      </c>
      <c r="T1279" s="99">
        <v>9.0</v>
      </c>
      <c r="U1279" s="99">
        <v>2.0</v>
      </c>
      <c r="V1279" s="99">
        <v>24.0</v>
      </c>
      <c r="W1279" s="99">
        <v>8782.0</v>
      </c>
    </row>
    <row r="1280" ht="15.75" customHeight="1">
      <c r="A1280" s="95" t="s">
        <v>7535</v>
      </c>
      <c r="B1280" s="95" t="s">
        <v>22</v>
      </c>
      <c r="C1280" s="96" t="s">
        <v>7536</v>
      </c>
      <c r="D1280" s="95" t="s">
        <v>130</v>
      </c>
      <c r="E1280" s="95" t="s">
        <v>917</v>
      </c>
      <c r="F1280" s="95" t="s">
        <v>19</v>
      </c>
      <c r="G1280" s="95" t="s">
        <v>19</v>
      </c>
      <c r="H1280" s="95" t="s">
        <v>21</v>
      </c>
      <c r="I1280" s="95" t="s">
        <v>567</v>
      </c>
      <c r="J1280" s="97">
        <v>45975.67932418981</v>
      </c>
      <c r="K1280" s="96" t="s">
        <v>7537</v>
      </c>
      <c r="L1280" s="95"/>
      <c r="M1280" s="95" t="s">
        <v>93</v>
      </c>
      <c r="N1280" s="95" t="s">
        <v>7538</v>
      </c>
      <c r="O1280" s="95" t="s">
        <v>7538</v>
      </c>
      <c r="P1280" s="95" t="s">
        <v>7539</v>
      </c>
      <c r="Q1280" s="98">
        <v>3.0</v>
      </c>
      <c r="R1280" s="97">
        <v>45888.38471064815</v>
      </c>
      <c r="S1280" s="99">
        <v>155.0</v>
      </c>
      <c r="T1280" s="99">
        <v>1257.0</v>
      </c>
      <c r="U1280" s="99">
        <v>765.0</v>
      </c>
      <c r="V1280" s="99">
        <v>97.0</v>
      </c>
      <c r="W1280" s="99">
        <v>400771.0</v>
      </c>
    </row>
    <row r="1281" ht="15.75" customHeight="1">
      <c r="A1281" s="95" t="s">
        <v>7540</v>
      </c>
      <c r="B1281" s="95" t="s">
        <v>101</v>
      </c>
      <c r="C1281" s="96" t="s">
        <v>7541</v>
      </c>
      <c r="D1281" s="95" t="s">
        <v>59</v>
      </c>
      <c r="E1281" s="95" t="s">
        <v>738</v>
      </c>
      <c r="F1281" s="95" t="s">
        <v>19</v>
      </c>
      <c r="G1281" s="95" t="s">
        <v>19</v>
      </c>
      <c r="H1281" s="95" t="s">
        <v>21</v>
      </c>
      <c r="I1281" s="95" t="s">
        <v>1504</v>
      </c>
      <c r="J1281" s="97">
        <v>46021.50617167824</v>
      </c>
      <c r="K1281" s="95" t="s">
        <v>7542</v>
      </c>
      <c r="L1281" s="96" t="s">
        <v>7543</v>
      </c>
      <c r="M1281" s="95" t="s">
        <v>54</v>
      </c>
      <c r="N1281" s="95" t="s">
        <v>7544</v>
      </c>
      <c r="O1281" s="95" t="s">
        <v>7544</v>
      </c>
      <c r="P1281" s="95" t="s">
        <v>7545</v>
      </c>
      <c r="Q1281" s="98">
        <v>3.0</v>
      </c>
      <c r="R1281" s="97">
        <v>45803.26650462963</v>
      </c>
      <c r="S1281" s="99">
        <v>167.0</v>
      </c>
      <c r="T1281" s="99">
        <v>1542.0</v>
      </c>
      <c r="U1281" s="99">
        <v>16.0</v>
      </c>
      <c r="V1281" s="99">
        <v>58.0</v>
      </c>
      <c r="W1281" s="99">
        <v>1574287.0</v>
      </c>
    </row>
    <row r="1282" ht="15.75" customHeight="1">
      <c r="A1282" s="95" t="s">
        <v>7546</v>
      </c>
      <c r="B1282" s="95" t="s">
        <v>69</v>
      </c>
      <c r="C1282" s="96" t="s">
        <v>7547</v>
      </c>
      <c r="D1282" s="95" t="s">
        <v>59</v>
      </c>
      <c r="E1282" s="95" t="s">
        <v>59</v>
      </c>
      <c r="F1282" s="95" t="s">
        <v>19</v>
      </c>
      <c r="G1282" s="95" t="s">
        <v>19</v>
      </c>
      <c r="H1282" s="95" t="s">
        <v>21</v>
      </c>
      <c r="I1282" s="95" t="s">
        <v>719</v>
      </c>
      <c r="J1282" s="97">
        <v>46021.51309140046</v>
      </c>
      <c r="K1282" s="95" t="s">
        <v>7548</v>
      </c>
      <c r="L1282" s="96" t="s">
        <v>7549</v>
      </c>
      <c r="M1282" s="95" t="s">
        <v>54</v>
      </c>
      <c r="N1282" s="95" t="s">
        <v>7550</v>
      </c>
      <c r="O1282" s="95" t="s">
        <v>7550</v>
      </c>
      <c r="P1282" s="95" t="s">
        <v>7551</v>
      </c>
      <c r="Q1282" s="98">
        <v>3.0</v>
      </c>
      <c r="R1282" s="97">
        <v>45660.47185185185</v>
      </c>
      <c r="S1282" s="99">
        <v>238.0</v>
      </c>
      <c r="T1282" s="99">
        <v>14.0</v>
      </c>
      <c r="U1282" s="99">
        <v>2.0</v>
      </c>
      <c r="V1282" s="99">
        <v>278.0</v>
      </c>
      <c r="W1282" s="99">
        <v>11396.0</v>
      </c>
    </row>
    <row r="1283" ht="15.75" customHeight="1">
      <c r="A1283" s="95" t="s">
        <v>7552</v>
      </c>
      <c r="B1283" s="95" t="s">
        <v>22</v>
      </c>
      <c r="C1283" s="96" t="s">
        <v>7553</v>
      </c>
      <c r="D1283" s="95" t="s">
        <v>124</v>
      </c>
      <c r="E1283" s="95" t="s">
        <v>1731</v>
      </c>
      <c r="F1283" s="95" t="s">
        <v>19</v>
      </c>
      <c r="G1283" s="95" t="s">
        <v>19</v>
      </c>
      <c r="H1283" s="95" t="s">
        <v>21</v>
      </c>
      <c r="I1283" s="95" t="s">
        <v>567</v>
      </c>
      <c r="J1283" s="97">
        <v>45975.67935613426</v>
      </c>
      <c r="K1283" s="96" t="s">
        <v>7554</v>
      </c>
      <c r="L1283" s="96" t="s">
        <v>7555</v>
      </c>
      <c r="M1283" s="95" t="s">
        <v>17</v>
      </c>
      <c r="N1283" s="95" t="s">
        <v>7556</v>
      </c>
      <c r="O1283" s="95" t="s">
        <v>7556</v>
      </c>
      <c r="P1283" s="95" t="s">
        <v>7557</v>
      </c>
      <c r="Q1283" s="98">
        <v>3.0</v>
      </c>
      <c r="R1283" s="97">
        <v>45912.22177083333</v>
      </c>
      <c r="S1283" s="99">
        <v>2489.0</v>
      </c>
      <c r="T1283" s="99">
        <v>3.0</v>
      </c>
      <c r="U1283" s="99">
        <v>2.0</v>
      </c>
      <c r="V1283" s="99">
        <v>71.0</v>
      </c>
      <c r="W1283" s="99">
        <v>371892.0</v>
      </c>
    </row>
    <row r="1284" ht="15.75" customHeight="1">
      <c r="A1284" s="95" t="s">
        <v>7558</v>
      </c>
      <c r="B1284" s="95" t="s">
        <v>22</v>
      </c>
      <c r="C1284" s="96" t="s">
        <v>7559</v>
      </c>
      <c r="D1284" s="95" t="s">
        <v>59</v>
      </c>
      <c r="E1284" s="95" t="s">
        <v>738</v>
      </c>
      <c r="F1284" s="95" t="s">
        <v>19</v>
      </c>
      <c r="G1284" s="95" t="s">
        <v>19</v>
      </c>
      <c r="H1284" s="95" t="s">
        <v>21</v>
      </c>
      <c r="I1284" s="95" t="s">
        <v>567</v>
      </c>
      <c r="J1284" s="97">
        <v>45975.67932418981</v>
      </c>
      <c r="K1284" s="96" t="s">
        <v>7560</v>
      </c>
      <c r="L1284" s="96" t="s">
        <v>7561</v>
      </c>
      <c r="M1284" s="95" t="s">
        <v>54</v>
      </c>
      <c r="N1284" s="95" t="s">
        <v>7562</v>
      </c>
      <c r="O1284" s="95" t="s">
        <v>7562</v>
      </c>
      <c r="P1284" s="95" t="s">
        <v>7563</v>
      </c>
      <c r="Q1284" s="98">
        <v>3.0</v>
      </c>
      <c r="R1284" s="97">
        <v>45855.66048611111</v>
      </c>
      <c r="S1284" s="99">
        <v>26951.0</v>
      </c>
      <c r="T1284" s="99">
        <v>48.0</v>
      </c>
      <c r="U1284" s="99">
        <v>3.0</v>
      </c>
      <c r="V1284" s="99">
        <v>168.0</v>
      </c>
      <c r="W1284" s="99">
        <v>494642.0</v>
      </c>
    </row>
    <row r="1285" ht="15.75" customHeight="1">
      <c r="A1285" s="95" t="s">
        <v>7564</v>
      </c>
      <c r="B1285" s="95" t="s">
        <v>22</v>
      </c>
      <c r="C1285" s="96" t="s">
        <v>7565</v>
      </c>
      <c r="D1285" s="95" t="s">
        <v>59</v>
      </c>
      <c r="E1285" s="95" t="s">
        <v>738</v>
      </c>
      <c r="F1285" s="95" t="s">
        <v>19</v>
      </c>
      <c r="G1285" s="95" t="s">
        <v>588</v>
      </c>
      <c r="H1285" s="95" t="s">
        <v>21</v>
      </c>
      <c r="I1285" s="95" t="s">
        <v>589</v>
      </c>
      <c r="J1285" s="97">
        <v>45980.93978717593</v>
      </c>
      <c r="K1285" s="95" t="s">
        <v>7566</v>
      </c>
      <c r="L1285" s="96" t="s">
        <v>7567</v>
      </c>
      <c r="M1285" s="95" t="s">
        <v>54</v>
      </c>
      <c r="N1285" s="95" t="s">
        <v>7562</v>
      </c>
      <c r="O1285" s="95" t="s">
        <v>7562</v>
      </c>
      <c r="P1285" s="95" t="s">
        <v>7563</v>
      </c>
      <c r="Q1285" s="98">
        <v>3.0</v>
      </c>
      <c r="R1285" s="97">
        <v>45876.31896990741</v>
      </c>
      <c r="S1285" s="99">
        <v>26951.0</v>
      </c>
      <c r="T1285" s="99">
        <v>287.0</v>
      </c>
      <c r="U1285" s="99">
        <v>12.0</v>
      </c>
      <c r="V1285" s="99">
        <v>35.0</v>
      </c>
      <c r="W1285" s="99">
        <v>494642.0</v>
      </c>
    </row>
    <row r="1286" ht="15.75" customHeight="1">
      <c r="A1286" s="95" t="s">
        <v>7568</v>
      </c>
      <c r="B1286" s="95" t="s">
        <v>22</v>
      </c>
      <c r="C1286" s="96" t="s">
        <v>7569</v>
      </c>
      <c r="D1286" s="95" t="s">
        <v>124</v>
      </c>
      <c r="E1286" s="95" t="s">
        <v>124</v>
      </c>
      <c r="F1286" s="95" t="s">
        <v>19</v>
      </c>
      <c r="G1286" s="95" t="s">
        <v>19</v>
      </c>
      <c r="H1286" s="95" t="s">
        <v>21</v>
      </c>
      <c r="I1286" s="95" t="s">
        <v>567</v>
      </c>
      <c r="J1286" s="97">
        <v>46011.73367328704</v>
      </c>
      <c r="K1286" s="95" t="s">
        <v>7570</v>
      </c>
      <c r="L1286" s="96" t="s">
        <v>7571</v>
      </c>
      <c r="M1286" s="95" t="s">
        <v>93</v>
      </c>
      <c r="N1286" s="95" t="s">
        <v>7572</v>
      </c>
      <c r="O1286" s="95" t="s">
        <v>7572</v>
      </c>
      <c r="P1286" s="95" t="s">
        <v>7573</v>
      </c>
      <c r="Q1286" s="98">
        <v>3.0</v>
      </c>
      <c r="R1286" s="97">
        <v>45999.48618055556</v>
      </c>
      <c r="S1286" s="99">
        <v>2543.0</v>
      </c>
      <c r="T1286" s="99">
        <v>6568.0</v>
      </c>
      <c r="U1286" s="99">
        <v>10.0</v>
      </c>
      <c r="V1286" s="99">
        <v>259.0</v>
      </c>
      <c r="W1286" s="99">
        <v>380162.0</v>
      </c>
    </row>
    <row r="1287" ht="15.75" customHeight="1">
      <c r="A1287" s="95" t="s">
        <v>7574</v>
      </c>
      <c r="B1287" s="95" t="s">
        <v>22</v>
      </c>
      <c r="C1287" s="96" t="s">
        <v>7575</v>
      </c>
      <c r="D1287" s="95" t="s">
        <v>124</v>
      </c>
      <c r="E1287" s="95" t="s">
        <v>7576</v>
      </c>
      <c r="F1287" s="95" t="s">
        <v>19</v>
      </c>
      <c r="G1287" s="95" t="s">
        <v>19</v>
      </c>
      <c r="H1287" s="95" t="s">
        <v>21</v>
      </c>
      <c r="I1287" s="95" t="s">
        <v>567</v>
      </c>
      <c r="J1287" s="97">
        <v>46069.13607259259</v>
      </c>
      <c r="K1287" s="95" t="s">
        <v>7577</v>
      </c>
      <c r="L1287" s="96" t="s">
        <v>7578</v>
      </c>
      <c r="M1287" s="95" t="s">
        <v>93</v>
      </c>
      <c r="N1287" s="95" t="s">
        <v>7572</v>
      </c>
      <c r="O1287" s="95" t="s">
        <v>7572</v>
      </c>
      <c r="P1287" s="95" t="s">
        <v>7573</v>
      </c>
      <c r="Q1287" s="98">
        <v>3.0</v>
      </c>
      <c r="R1287" s="97">
        <v>46048.30820601852</v>
      </c>
      <c r="S1287" s="99">
        <v>2543.0</v>
      </c>
      <c r="T1287" s="99">
        <v>6802.0</v>
      </c>
      <c r="U1287" s="99">
        <v>2.0</v>
      </c>
      <c r="V1287" s="99">
        <v>431.0</v>
      </c>
      <c r="W1287" s="99">
        <v>380162.0</v>
      </c>
    </row>
    <row r="1288" ht="15.75" customHeight="1">
      <c r="A1288" s="95" t="s">
        <v>7579</v>
      </c>
      <c r="B1288" s="95" t="s">
        <v>22</v>
      </c>
      <c r="C1288" s="96" t="s">
        <v>7580</v>
      </c>
      <c r="D1288" s="95" t="s">
        <v>49</v>
      </c>
      <c r="E1288" s="95" t="s">
        <v>7581</v>
      </c>
      <c r="F1288" s="95" t="s">
        <v>517</v>
      </c>
      <c r="G1288" s="95" t="s">
        <v>690</v>
      </c>
      <c r="H1288" s="95" t="s">
        <v>21</v>
      </c>
      <c r="I1288" s="95" t="s">
        <v>943</v>
      </c>
      <c r="J1288" s="97">
        <v>45975.67935613426</v>
      </c>
      <c r="K1288" s="96" t="s">
        <v>7582</v>
      </c>
      <c r="L1288" s="96" t="s">
        <v>7583</v>
      </c>
      <c r="M1288" s="95" t="s">
        <v>17</v>
      </c>
      <c r="N1288" s="95" t="s">
        <v>7584</v>
      </c>
      <c r="O1288" s="95" t="s">
        <v>7584</v>
      </c>
      <c r="P1288" s="95" t="s">
        <v>7585</v>
      </c>
      <c r="Q1288" s="98">
        <v>3.0</v>
      </c>
      <c r="R1288" s="97">
        <v>45686.74974537037</v>
      </c>
      <c r="S1288" s="99">
        <v>478.0</v>
      </c>
      <c r="T1288" s="99">
        <v>66.0</v>
      </c>
      <c r="U1288" s="99">
        <v>7.0</v>
      </c>
      <c r="V1288" s="99">
        <v>138.0</v>
      </c>
      <c r="W1288" s="99">
        <v>302012.0</v>
      </c>
    </row>
    <row r="1289" ht="15.75" customHeight="1">
      <c r="A1289" s="95" t="s">
        <v>7586</v>
      </c>
      <c r="B1289" s="95" t="s">
        <v>101</v>
      </c>
      <c r="C1289" s="96" t="s">
        <v>7587</v>
      </c>
      <c r="D1289" s="95" t="s">
        <v>49</v>
      </c>
      <c r="E1289" s="95" t="s">
        <v>581</v>
      </c>
      <c r="F1289" s="95" t="s">
        <v>19</v>
      </c>
      <c r="G1289" s="95" t="s">
        <v>19</v>
      </c>
      <c r="H1289" s="95" t="s">
        <v>21</v>
      </c>
      <c r="I1289" s="95" t="s">
        <v>1504</v>
      </c>
      <c r="J1289" s="97">
        <v>45975.67935613426</v>
      </c>
      <c r="K1289" s="96" t="s">
        <v>7588</v>
      </c>
      <c r="L1289" s="96" t="s">
        <v>7589</v>
      </c>
      <c r="M1289" s="95" t="s">
        <v>17</v>
      </c>
      <c r="N1289" s="95" t="s">
        <v>7590</v>
      </c>
      <c r="O1289" s="95" t="s">
        <v>7590</v>
      </c>
      <c r="P1289" s="95" t="s">
        <v>7591</v>
      </c>
      <c r="Q1289" s="98">
        <v>3.0</v>
      </c>
      <c r="R1289" s="97">
        <v>45604.77835648148</v>
      </c>
      <c r="S1289" s="99">
        <v>154.0</v>
      </c>
      <c r="T1289" s="99">
        <v>8.0</v>
      </c>
      <c r="U1289" s="99">
        <v>2.0</v>
      </c>
      <c r="V1289" s="99">
        <v>83.0</v>
      </c>
      <c r="W1289" s="99">
        <v>23428.0</v>
      </c>
    </row>
    <row r="1290" ht="15.75" customHeight="1">
      <c r="A1290" s="95" t="s">
        <v>7592</v>
      </c>
      <c r="B1290" s="95" t="s">
        <v>22</v>
      </c>
      <c r="C1290" s="96" t="s">
        <v>7593</v>
      </c>
      <c r="D1290" s="95" t="s">
        <v>59</v>
      </c>
      <c r="E1290" s="95" t="s">
        <v>59</v>
      </c>
      <c r="F1290" s="95" t="s">
        <v>19</v>
      </c>
      <c r="G1290" s="95" t="s">
        <v>19</v>
      </c>
      <c r="H1290" s="95" t="s">
        <v>21</v>
      </c>
      <c r="I1290" s="95" t="s">
        <v>567</v>
      </c>
      <c r="J1290" s="97">
        <v>45977.67608336805</v>
      </c>
      <c r="K1290" s="95" t="s">
        <v>7594</v>
      </c>
      <c r="L1290" s="96" t="s">
        <v>7595</v>
      </c>
      <c r="M1290" s="95" t="s">
        <v>17</v>
      </c>
      <c r="N1290" s="95" t="s">
        <v>7596</v>
      </c>
      <c r="O1290" s="95" t="s">
        <v>7596</v>
      </c>
      <c r="P1290" s="95" t="s">
        <v>7597</v>
      </c>
      <c r="Q1290" s="98">
        <v>3.0</v>
      </c>
      <c r="R1290" s="97">
        <v>45600.93221064815</v>
      </c>
      <c r="S1290" s="99">
        <v>365.0</v>
      </c>
      <c r="T1290" s="99">
        <v>2.0</v>
      </c>
      <c r="U1290" s="99">
        <v>6.0</v>
      </c>
      <c r="V1290" s="99">
        <v>139.0</v>
      </c>
      <c r="W1290" s="99">
        <v>30820.0</v>
      </c>
    </row>
    <row r="1291" ht="15.75" customHeight="1">
      <c r="A1291" s="95" t="s">
        <v>7598</v>
      </c>
      <c r="B1291" s="95" t="s">
        <v>22</v>
      </c>
      <c r="C1291" s="96" t="s">
        <v>7599</v>
      </c>
      <c r="D1291" s="95" t="s">
        <v>59</v>
      </c>
      <c r="E1291" s="95" t="s">
        <v>7600</v>
      </c>
      <c r="F1291" s="95" t="s">
        <v>19</v>
      </c>
      <c r="G1291" s="95" t="s">
        <v>19</v>
      </c>
      <c r="H1291" s="95" t="s">
        <v>21</v>
      </c>
      <c r="I1291" s="95" t="s">
        <v>677</v>
      </c>
      <c r="J1291" s="97">
        <v>46008.62900465278</v>
      </c>
      <c r="K1291" s="96" t="s">
        <v>7601</v>
      </c>
      <c r="L1291" s="96" t="s">
        <v>7602</v>
      </c>
      <c r="M1291" s="95" t="s">
        <v>17</v>
      </c>
      <c r="N1291" s="95" t="s">
        <v>7596</v>
      </c>
      <c r="O1291" s="95" t="s">
        <v>7596</v>
      </c>
      <c r="P1291" s="95" t="s">
        <v>7597</v>
      </c>
      <c r="Q1291" s="98">
        <v>3.0</v>
      </c>
      <c r="R1291" s="97">
        <v>45600.92130787037</v>
      </c>
      <c r="S1291" s="99">
        <v>365.0</v>
      </c>
      <c r="T1291" s="99">
        <v>74.0</v>
      </c>
      <c r="U1291" s="99">
        <v>8.0</v>
      </c>
      <c r="V1291" s="99">
        <v>379.0</v>
      </c>
      <c r="W1291" s="99">
        <v>30820.0</v>
      </c>
    </row>
    <row r="1292" ht="15.75" customHeight="1">
      <c r="A1292" s="95" t="s">
        <v>140</v>
      </c>
      <c r="B1292" s="95" t="s">
        <v>131</v>
      </c>
      <c r="C1292" s="96" t="s">
        <v>144</v>
      </c>
      <c r="D1292" s="95" t="s">
        <v>59</v>
      </c>
      <c r="E1292" s="95" t="s">
        <v>59</v>
      </c>
      <c r="F1292" s="95" t="s">
        <v>19</v>
      </c>
      <c r="G1292" s="95" t="s">
        <v>839</v>
      </c>
      <c r="H1292" s="95" t="s">
        <v>60</v>
      </c>
      <c r="I1292" s="95" t="s">
        <v>795</v>
      </c>
      <c r="J1292" s="97">
        <v>46021.50617167824</v>
      </c>
      <c r="K1292" s="95" t="s">
        <v>143</v>
      </c>
      <c r="L1292" s="96" t="s">
        <v>142</v>
      </c>
      <c r="M1292" s="95" t="s">
        <v>54</v>
      </c>
      <c r="N1292" s="95" t="s">
        <v>141</v>
      </c>
      <c r="O1292" s="95" t="s">
        <v>141</v>
      </c>
      <c r="P1292" s="95" t="s">
        <v>7603</v>
      </c>
      <c r="Q1292" s="98">
        <v>3.0</v>
      </c>
      <c r="R1292" s="97">
        <v>45702.0324537037</v>
      </c>
      <c r="S1292" s="99">
        <v>1907.0</v>
      </c>
      <c r="T1292" s="99">
        <v>46.0</v>
      </c>
      <c r="U1292" s="99">
        <v>5.0</v>
      </c>
      <c r="V1292" s="99">
        <v>16.0</v>
      </c>
      <c r="W1292" s="99">
        <v>158574.0</v>
      </c>
    </row>
    <row r="1293" ht="15.75" customHeight="1">
      <c r="A1293" s="95" t="s">
        <v>7604</v>
      </c>
      <c r="B1293" s="95" t="s">
        <v>22</v>
      </c>
      <c r="C1293" s="96" t="s">
        <v>7605</v>
      </c>
      <c r="D1293" s="95" t="s">
        <v>59</v>
      </c>
      <c r="E1293" s="95" t="s">
        <v>59</v>
      </c>
      <c r="F1293" s="95" t="s">
        <v>19</v>
      </c>
      <c r="G1293" s="95" t="s">
        <v>19</v>
      </c>
      <c r="H1293" s="95" t="s">
        <v>21</v>
      </c>
      <c r="I1293" s="95" t="s">
        <v>567</v>
      </c>
      <c r="J1293" s="97">
        <v>46021.50617167824</v>
      </c>
      <c r="K1293" s="95" t="s">
        <v>7606</v>
      </c>
      <c r="L1293" s="96" t="s">
        <v>7607</v>
      </c>
      <c r="M1293" s="95" t="s">
        <v>54</v>
      </c>
      <c r="N1293" s="95" t="s">
        <v>141</v>
      </c>
      <c r="O1293" s="95" t="s">
        <v>141</v>
      </c>
      <c r="P1293" s="95" t="s">
        <v>7603</v>
      </c>
      <c r="Q1293" s="98">
        <v>3.0</v>
      </c>
      <c r="R1293" s="97">
        <v>45698.97716435185</v>
      </c>
      <c r="S1293" s="99">
        <v>1907.0</v>
      </c>
      <c r="T1293" s="99">
        <v>45.0</v>
      </c>
      <c r="U1293" s="99">
        <v>5.0</v>
      </c>
      <c r="V1293" s="99">
        <v>45.0</v>
      </c>
      <c r="W1293" s="99">
        <v>158574.0</v>
      </c>
    </row>
    <row r="1294" ht="15.75" customHeight="1">
      <c r="A1294" s="95" t="s">
        <v>7608</v>
      </c>
      <c r="B1294" s="95" t="s">
        <v>22</v>
      </c>
      <c r="C1294" s="96" t="s">
        <v>7609</v>
      </c>
      <c r="D1294" s="95" t="s">
        <v>49</v>
      </c>
      <c r="E1294" s="95" t="s">
        <v>49</v>
      </c>
      <c r="F1294" s="95" t="s">
        <v>19</v>
      </c>
      <c r="G1294" s="95" t="s">
        <v>574</v>
      </c>
      <c r="H1294" s="95" t="s">
        <v>21</v>
      </c>
      <c r="I1294" s="95" t="s">
        <v>567</v>
      </c>
      <c r="J1294" s="97">
        <v>46021.51309140046</v>
      </c>
      <c r="K1294" s="95" t="s">
        <v>7610</v>
      </c>
      <c r="L1294" s="96" t="s">
        <v>7611</v>
      </c>
      <c r="M1294" s="95" t="s">
        <v>38</v>
      </c>
      <c r="N1294" s="95" t="s">
        <v>7612</v>
      </c>
      <c r="O1294" s="95" t="s">
        <v>7612</v>
      </c>
      <c r="P1294" s="95" t="s">
        <v>7613</v>
      </c>
      <c r="Q1294" s="98">
        <v>3.0</v>
      </c>
      <c r="R1294" s="97">
        <v>45743.61930555556</v>
      </c>
      <c r="S1294" s="99">
        <v>69.0</v>
      </c>
      <c r="T1294" s="99">
        <v>64.0</v>
      </c>
      <c r="U1294" s="99">
        <v>8.0</v>
      </c>
      <c r="V1294" s="99">
        <v>258.0</v>
      </c>
      <c r="W1294" s="99">
        <v>31417.0</v>
      </c>
    </row>
    <row r="1295" ht="15.75" customHeight="1">
      <c r="A1295" s="95" t="s">
        <v>7614</v>
      </c>
      <c r="B1295" s="95" t="s">
        <v>101</v>
      </c>
      <c r="C1295" s="96" t="s">
        <v>7615</v>
      </c>
      <c r="D1295" s="95" t="s">
        <v>49</v>
      </c>
      <c r="E1295" s="95" t="s">
        <v>581</v>
      </c>
      <c r="F1295" s="95" t="s">
        <v>19</v>
      </c>
      <c r="G1295" s="95" t="s">
        <v>19</v>
      </c>
      <c r="H1295" s="95" t="s">
        <v>21</v>
      </c>
      <c r="I1295" s="95" t="s">
        <v>955</v>
      </c>
      <c r="J1295" s="97">
        <v>46021.50617167824</v>
      </c>
      <c r="K1295" s="95" t="s">
        <v>7616</v>
      </c>
      <c r="L1295" s="96" t="s">
        <v>7617</v>
      </c>
      <c r="M1295" s="95" t="s">
        <v>38</v>
      </c>
      <c r="N1295" s="95" t="s">
        <v>7612</v>
      </c>
      <c r="O1295" s="95" t="s">
        <v>7612</v>
      </c>
      <c r="P1295" s="95" t="s">
        <v>7613</v>
      </c>
      <c r="Q1295" s="98">
        <v>3.0</v>
      </c>
      <c r="R1295" s="97">
        <v>45793.33167824074</v>
      </c>
      <c r="S1295" s="99">
        <v>69.0</v>
      </c>
      <c r="T1295" s="99">
        <v>83.0</v>
      </c>
      <c r="U1295" s="99">
        <v>17.0</v>
      </c>
      <c r="V1295" s="99">
        <v>593.0</v>
      </c>
      <c r="W1295" s="99">
        <v>31417.0</v>
      </c>
    </row>
    <row r="1296" ht="15.75" customHeight="1">
      <c r="A1296" s="95" t="s">
        <v>7618</v>
      </c>
      <c r="B1296" s="95" t="s">
        <v>22</v>
      </c>
      <c r="C1296" s="96" t="s">
        <v>7619</v>
      </c>
      <c r="D1296" s="95" t="s">
        <v>49</v>
      </c>
      <c r="E1296" s="95" t="s">
        <v>581</v>
      </c>
      <c r="F1296" s="95" t="s">
        <v>19</v>
      </c>
      <c r="G1296" s="95" t="s">
        <v>574</v>
      </c>
      <c r="H1296" s="95" t="s">
        <v>21</v>
      </c>
      <c r="I1296" s="95" t="s">
        <v>567</v>
      </c>
      <c r="J1296" s="97">
        <v>46021.50617167824</v>
      </c>
      <c r="K1296" s="95" t="s">
        <v>7620</v>
      </c>
      <c r="L1296" s="96" t="s">
        <v>7621</v>
      </c>
      <c r="M1296" s="95" t="s">
        <v>38</v>
      </c>
      <c r="N1296" s="95" t="s">
        <v>7612</v>
      </c>
      <c r="O1296" s="95" t="s">
        <v>7612</v>
      </c>
      <c r="P1296" s="95" t="s">
        <v>7613</v>
      </c>
      <c r="Q1296" s="98">
        <v>3.0</v>
      </c>
      <c r="R1296" s="97">
        <v>45803.33461805555</v>
      </c>
      <c r="S1296" s="99">
        <v>69.0</v>
      </c>
      <c r="T1296" s="99">
        <v>130.0</v>
      </c>
      <c r="U1296" s="99">
        <v>1.0</v>
      </c>
      <c r="V1296" s="99">
        <v>61.0</v>
      </c>
      <c r="W1296" s="99">
        <v>31417.0</v>
      </c>
    </row>
    <row r="1297" ht="15.75" customHeight="1">
      <c r="A1297" s="95" t="s">
        <v>7622</v>
      </c>
      <c r="B1297" s="95" t="s">
        <v>22</v>
      </c>
      <c r="C1297" s="96" t="s">
        <v>7623</v>
      </c>
      <c r="D1297" s="95" t="s">
        <v>39</v>
      </c>
      <c r="E1297" s="95" t="s">
        <v>39</v>
      </c>
      <c r="F1297" s="95" t="s">
        <v>19</v>
      </c>
      <c r="G1297" s="95" t="s">
        <v>574</v>
      </c>
      <c r="H1297" s="95" t="s">
        <v>21</v>
      </c>
      <c r="I1297" s="95" t="s">
        <v>567</v>
      </c>
      <c r="J1297" s="97">
        <v>45994.67149599537</v>
      </c>
      <c r="K1297" s="95" t="s">
        <v>7624</v>
      </c>
      <c r="L1297" s="96" t="s">
        <v>7625</v>
      </c>
      <c r="M1297" s="95" t="s">
        <v>105</v>
      </c>
      <c r="N1297" s="95" t="s">
        <v>7626</v>
      </c>
      <c r="O1297" s="95" t="s">
        <v>7626</v>
      </c>
      <c r="P1297" s="95" t="s">
        <v>7627</v>
      </c>
      <c r="Q1297" s="98">
        <v>3.0</v>
      </c>
      <c r="R1297" s="97">
        <v>45922.62777777778</v>
      </c>
      <c r="S1297" s="99">
        <v>217.0</v>
      </c>
      <c r="T1297" s="99">
        <v>209.0</v>
      </c>
      <c r="U1297" s="99">
        <v>3.0</v>
      </c>
      <c r="V1297" s="99">
        <v>212.0</v>
      </c>
      <c r="W1297" s="99">
        <v>19170.0</v>
      </c>
    </row>
    <row r="1298" ht="15.75" customHeight="1">
      <c r="A1298" s="95" t="s">
        <v>7628</v>
      </c>
      <c r="B1298" s="95" t="s">
        <v>22</v>
      </c>
      <c r="C1298" s="96" t="s">
        <v>7629</v>
      </c>
      <c r="D1298" s="95" t="s">
        <v>59</v>
      </c>
      <c r="E1298" s="95" t="s">
        <v>59</v>
      </c>
      <c r="F1298" s="95" t="s">
        <v>19</v>
      </c>
      <c r="G1298" s="95" t="s">
        <v>574</v>
      </c>
      <c r="H1298" s="95" t="s">
        <v>21</v>
      </c>
      <c r="I1298" s="95" t="s">
        <v>567</v>
      </c>
      <c r="J1298" s="97">
        <v>46021.51309140046</v>
      </c>
      <c r="K1298" s="95" t="s">
        <v>7630</v>
      </c>
      <c r="L1298" s="96" t="s">
        <v>7631</v>
      </c>
      <c r="M1298" s="95" t="s">
        <v>54</v>
      </c>
      <c r="N1298" s="95" t="s">
        <v>7632</v>
      </c>
      <c r="O1298" s="95" t="s">
        <v>7632</v>
      </c>
      <c r="P1298" s="95" t="s">
        <v>7633</v>
      </c>
      <c r="Q1298" s="98">
        <v>3.0</v>
      </c>
      <c r="R1298" s="97">
        <v>45763.21805555555</v>
      </c>
      <c r="S1298" s="99">
        <v>236.0</v>
      </c>
      <c r="T1298" s="99">
        <v>279.0</v>
      </c>
      <c r="U1298" s="99">
        <v>39.0</v>
      </c>
      <c r="V1298" s="99">
        <v>125.0</v>
      </c>
      <c r="W1298" s="99">
        <v>49740.0</v>
      </c>
    </row>
    <row r="1299" ht="15.75" customHeight="1">
      <c r="A1299" s="95" t="s">
        <v>7634</v>
      </c>
      <c r="B1299" s="95" t="s">
        <v>101</v>
      </c>
      <c r="C1299" s="96" t="s">
        <v>7635</v>
      </c>
      <c r="D1299" s="95" t="s">
        <v>168</v>
      </c>
      <c r="E1299" s="95" t="s">
        <v>168</v>
      </c>
      <c r="F1299" s="95" t="s">
        <v>19</v>
      </c>
      <c r="G1299" s="95" t="s">
        <v>574</v>
      </c>
      <c r="H1299" s="95" t="s">
        <v>21</v>
      </c>
      <c r="I1299" s="95" t="s">
        <v>2990</v>
      </c>
      <c r="J1299" s="97">
        <v>45994.69852065972</v>
      </c>
      <c r="K1299" s="95" t="s">
        <v>7636</v>
      </c>
      <c r="L1299" s="96" t="s">
        <v>7637</v>
      </c>
      <c r="M1299" s="95" t="s">
        <v>105</v>
      </c>
      <c r="N1299" s="95" t="s">
        <v>7638</v>
      </c>
      <c r="O1299" s="95" t="s">
        <v>7638</v>
      </c>
      <c r="P1299" s="95" t="s">
        <v>7639</v>
      </c>
      <c r="Q1299" s="98">
        <v>3.0</v>
      </c>
      <c r="R1299" s="97">
        <v>45902.55331018518</v>
      </c>
      <c r="S1299" s="99">
        <v>73.0</v>
      </c>
      <c r="T1299" s="99">
        <v>40.0</v>
      </c>
      <c r="U1299" s="99">
        <v>1.0</v>
      </c>
      <c r="V1299" s="99">
        <v>650.0</v>
      </c>
      <c r="W1299" s="99">
        <v>39722.0</v>
      </c>
    </row>
    <row r="1300" ht="15.75" customHeight="1">
      <c r="A1300" s="95" t="s">
        <v>7640</v>
      </c>
      <c r="B1300" s="95" t="s">
        <v>22</v>
      </c>
      <c r="C1300" s="96" t="s">
        <v>7641</v>
      </c>
      <c r="D1300" s="95" t="s">
        <v>168</v>
      </c>
      <c r="E1300" s="95" t="s">
        <v>3707</v>
      </c>
      <c r="F1300" s="95" t="s">
        <v>19</v>
      </c>
      <c r="G1300" s="95" t="s">
        <v>588</v>
      </c>
      <c r="H1300" s="95" t="s">
        <v>21</v>
      </c>
      <c r="I1300" s="95" t="s">
        <v>677</v>
      </c>
      <c r="J1300" s="97">
        <v>45985.58262005787</v>
      </c>
      <c r="K1300" s="95" t="s">
        <v>7642</v>
      </c>
      <c r="L1300" s="96" t="s">
        <v>7643</v>
      </c>
      <c r="M1300" s="95" t="s">
        <v>105</v>
      </c>
      <c r="N1300" s="95" t="s">
        <v>7644</v>
      </c>
      <c r="O1300" s="95" t="s">
        <v>7644</v>
      </c>
      <c r="P1300" s="95" t="s">
        <v>7645</v>
      </c>
      <c r="Q1300" s="98">
        <v>3.0</v>
      </c>
      <c r="R1300" s="97">
        <v>45910.42895833333</v>
      </c>
      <c r="S1300" s="99">
        <v>5642.0</v>
      </c>
      <c r="T1300" s="99">
        <v>21.0</v>
      </c>
      <c r="U1300" s="99">
        <v>7.0</v>
      </c>
      <c r="V1300" s="99">
        <v>4382.0</v>
      </c>
      <c r="W1300" s="99">
        <v>2218801.0</v>
      </c>
    </row>
    <row r="1301" ht="15.75" customHeight="1">
      <c r="A1301" s="95" t="s">
        <v>7646</v>
      </c>
      <c r="B1301" s="95" t="s">
        <v>22</v>
      </c>
      <c r="C1301" s="96" t="s">
        <v>7647</v>
      </c>
      <c r="D1301" s="95" t="s">
        <v>168</v>
      </c>
      <c r="E1301" s="95" t="s">
        <v>2090</v>
      </c>
      <c r="F1301" s="95" t="s">
        <v>58</v>
      </c>
      <c r="G1301" s="95" t="s">
        <v>4690</v>
      </c>
      <c r="H1301" s="95" t="s">
        <v>21</v>
      </c>
      <c r="I1301" s="95" t="s">
        <v>711</v>
      </c>
      <c r="J1301" s="97">
        <v>45975.67930055556</v>
      </c>
      <c r="K1301" s="96" t="s">
        <v>7648</v>
      </c>
      <c r="L1301" s="96" t="s">
        <v>7649</v>
      </c>
      <c r="M1301" s="95" t="s">
        <v>105</v>
      </c>
      <c r="N1301" s="95" t="s">
        <v>7644</v>
      </c>
      <c r="O1301" s="95" t="s">
        <v>7644</v>
      </c>
      <c r="P1301" s="95" t="s">
        <v>7645</v>
      </c>
      <c r="Q1301" s="98">
        <v>3.0</v>
      </c>
      <c r="R1301" s="97">
        <v>45735.67747685185</v>
      </c>
      <c r="S1301" s="99">
        <v>5642.0</v>
      </c>
      <c r="T1301" s="99">
        <v>941.0</v>
      </c>
      <c r="U1301" s="99">
        <v>1.0</v>
      </c>
      <c r="V1301" s="99">
        <v>208.0</v>
      </c>
      <c r="W1301" s="99">
        <v>2218801.0</v>
      </c>
    </row>
    <row r="1302" ht="15.75" customHeight="1">
      <c r="A1302" s="95" t="s">
        <v>7650</v>
      </c>
      <c r="B1302" s="95" t="s">
        <v>22</v>
      </c>
      <c r="C1302" s="96" t="s">
        <v>7651</v>
      </c>
      <c r="D1302" s="95" t="s">
        <v>168</v>
      </c>
      <c r="E1302" s="95" t="s">
        <v>1228</v>
      </c>
      <c r="F1302" s="95" t="s">
        <v>19</v>
      </c>
      <c r="G1302" s="95" t="s">
        <v>588</v>
      </c>
      <c r="H1302" s="95" t="s">
        <v>21</v>
      </c>
      <c r="I1302" s="95" t="s">
        <v>567</v>
      </c>
      <c r="J1302" s="97">
        <v>46021.49322636574</v>
      </c>
      <c r="K1302" s="95" t="s">
        <v>7652</v>
      </c>
      <c r="L1302" s="96" t="s">
        <v>7653</v>
      </c>
      <c r="M1302" s="95" t="s">
        <v>105</v>
      </c>
      <c r="N1302" s="95" t="s">
        <v>7654</v>
      </c>
      <c r="O1302" s="95" t="s">
        <v>7654</v>
      </c>
      <c r="P1302" s="95" t="s">
        <v>7655</v>
      </c>
      <c r="Q1302" s="98">
        <v>3.0</v>
      </c>
      <c r="R1302" s="97">
        <v>45422.62284722222</v>
      </c>
      <c r="S1302" s="99">
        <v>1924.0</v>
      </c>
      <c r="T1302" s="99">
        <v>1377.0</v>
      </c>
      <c r="U1302" s="99">
        <v>1.0</v>
      </c>
      <c r="V1302" s="99">
        <v>48.0</v>
      </c>
      <c r="W1302" s="99">
        <v>326519.0</v>
      </c>
    </row>
    <row r="1303" ht="15.75" customHeight="1">
      <c r="A1303" s="95" t="s">
        <v>7656</v>
      </c>
      <c r="B1303" s="95" t="s">
        <v>22</v>
      </c>
      <c r="C1303" s="96" t="s">
        <v>7657</v>
      </c>
      <c r="D1303" s="95" t="s">
        <v>547</v>
      </c>
      <c r="E1303" s="95" t="s">
        <v>710</v>
      </c>
      <c r="F1303" s="95" t="s">
        <v>19</v>
      </c>
      <c r="G1303" s="95" t="s">
        <v>19</v>
      </c>
      <c r="H1303" s="95" t="s">
        <v>21</v>
      </c>
      <c r="I1303" s="95" t="s">
        <v>567</v>
      </c>
      <c r="J1303" s="97">
        <v>46056.93007912037</v>
      </c>
      <c r="K1303" s="95" t="s">
        <v>7658</v>
      </c>
      <c r="L1303" s="96" t="s">
        <v>7659</v>
      </c>
      <c r="M1303" s="95" t="s">
        <v>503</v>
      </c>
      <c r="N1303" s="95" t="s">
        <v>7660</v>
      </c>
      <c r="O1303" s="95" t="s">
        <v>7660</v>
      </c>
      <c r="P1303" s="95" t="s">
        <v>7661</v>
      </c>
      <c r="Q1303" s="98">
        <v>3.0</v>
      </c>
      <c r="R1303" s="97">
        <v>46013.52295138889</v>
      </c>
      <c r="S1303" s="99">
        <v>264.0</v>
      </c>
      <c r="T1303" s="99">
        <v>187.0</v>
      </c>
      <c r="U1303" s="99">
        <v>6.0</v>
      </c>
      <c r="V1303" s="99">
        <v>38.0</v>
      </c>
      <c r="W1303" s="99">
        <v>3859.0</v>
      </c>
    </row>
    <row r="1304" ht="15.75" customHeight="1">
      <c r="A1304" s="95" t="s">
        <v>7662</v>
      </c>
      <c r="B1304" s="95" t="s">
        <v>22</v>
      </c>
      <c r="C1304" s="96" t="s">
        <v>7663</v>
      </c>
      <c r="D1304" s="95" t="s">
        <v>68</v>
      </c>
      <c r="E1304" s="95" t="s">
        <v>769</v>
      </c>
      <c r="F1304" s="95" t="s">
        <v>19</v>
      </c>
      <c r="G1304" s="95" t="s">
        <v>19</v>
      </c>
      <c r="H1304" s="95" t="s">
        <v>21</v>
      </c>
      <c r="I1304" s="95" t="s">
        <v>567</v>
      </c>
      <c r="J1304" s="97">
        <v>45975.67931630787</v>
      </c>
      <c r="K1304" s="96" t="s">
        <v>7664</v>
      </c>
      <c r="L1304" s="96" t="s">
        <v>7665</v>
      </c>
      <c r="M1304" s="95" t="s">
        <v>54</v>
      </c>
      <c r="N1304" s="95" t="s">
        <v>7666</v>
      </c>
      <c r="O1304" s="95" t="s">
        <v>7666</v>
      </c>
      <c r="P1304" s="95" t="s">
        <v>7667</v>
      </c>
      <c r="Q1304" s="98">
        <v>3.0</v>
      </c>
      <c r="R1304" s="97">
        <v>45628.88393518519</v>
      </c>
      <c r="S1304" s="99">
        <v>5124.0</v>
      </c>
      <c r="T1304" s="99">
        <v>16.0</v>
      </c>
      <c r="U1304" s="99">
        <v>2.0</v>
      </c>
      <c r="V1304" s="99">
        <v>114.0</v>
      </c>
      <c r="W1304" s="99">
        <v>1424203.0</v>
      </c>
    </row>
    <row r="1305" ht="15.75" customHeight="1">
      <c r="A1305" s="95" t="s">
        <v>7668</v>
      </c>
      <c r="B1305" s="95" t="s">
        <v>22</v>
      </c>
      <c r="C1305" s="96" t="s">
        <v>7669</v>
      </c>
      <c r="D1305" s="95" t="s">
        <v>547</v>
      </c>
      <c r="E1305" s="95" t="s">
        <v>5233</v>
      </c>
      <c r="F1305" s="95" t="s">
        <v>19</v>
      </c>
      <c r="G1305" s="95" t="s">
        <v>19</v>
      </c>
      <c r="H1305" s="95" t="s">
        <v>21</v>
      </c>
      <c r="I1305" s="95" t="s">
        <v>589</v>
      </c>
      <c r="J1305" s="97">
        <v>46003.08234306713</v>
      </c>
      <c r="K1305" s="95" t="s">
        <v>7670</v>
      </c>
      <c r="L1305" s="96" t="s">
        <v>7671</v>
      </c>
      <c r="M1305" s="95" t="s">
        <v>105</v>
      </c>
      <c r="N1305" s="95" t="s">
        <v>7672</v>
      </c>
      <c r="O1305" s="95" t="s">
        <v>7672</v>
      </c>
      <c r="P1305" s="95" t="s">
        <v>7673</v>
      </c>
      <c r="Q1305" s="98">
        <v>3.0</v>
      </c>
      <c r="R1305" s="97">
        <v>45991.89310185185</v>
      </c>
      <c r="S1305" s="99">
        <v>28128.0</v>
      </c>
      <c r="T1305" s="99">
        <v>4.0</v>
      </c>
      <c r="U1305" s="99">
        <v>2.0</v>
      </c>
      <c r="V1305" s="99">
        <v>43.0</v>
      </c>
      <c r="W1305" s="99">
        <v>1482403.0</v>
      </c>
    </row>
    <row r="1306" ht="15.75" customHeight="1">
      <c r="A1306" s="95" t="s">
        <v>7674</v>
      </c>
      <c r="B1306" s="95" t="s">
        <v>22</v>
      </c>
      <c r="C1306" s="96" t="s">
        <v>7675</v>
      </c>
      <c r="D1306" s="95" t="s">
        <v>39</v>
      </c>
      <c r="E1306" s="95" t="s">
        <v>39</v>
      </c>
      <c r="F1306" s="95" t="s">
        <v>19</v>
      </c>
      <c r="G1306" s="95" t="s">
        <v>19</v>
      </c>
      <c r="H1306" s="95" t="s">
        <v>21</v>
      </c>
      <c r="I1306" s="95" t="s">
        <v>711</v>
      </c>
      <c r="J1306" s="97">
        <v>46021.50617167824</v>
      </c>
      <c r="K1306" s="95" t="s">
        <v>7676</v>
      </c>
      <c r="L1306" s="96" t="s">
        <v>7677</v>
      </c>
      <c r="M1306" s="95" t="s">
        <v>54</v>
      </c>
      <c r="N1306" s="95" t="s">
        <v>7678</v>
      </c>
      <c r="O1306" s="95" t="s">
        <v>7678</v>
      </c>
      <c r="P1306" s="95" t="s">
        <v>7679</v>
      </c>
      <c r="Q1306" s="98">
        <v>3.0</v>
      </c>
      <c r="R1306" s="97">
        <v>45851.61358796297</v>
      </c>
      <c r="S1306" s="99">
        <v>993.0</v>
      </c>
      <c r="T1306" s="99">
        <v>456.0</v>
      </c>
      <c r="U1306" s="99">
        <v>396.0</v>
      </c>
      <c r="V1306" s="99">
        <v>81.0</v>
      </c>
      <c r="W1306" s="99">
        <v>26616.0</v>
      </c>
    </row>
    <row r="1307" ht="15.75" customHeight="1">
      <c r="A1307" s="95" t="s">
        <v>7680</v>
      </c>
      <c r="B1307" s="95" t="s">
        <v>22</v>
      </c>
      <c r="C1307" s="96" t="s">
        <v>7681</v>
      </c>
      <c r="D1307" s="95" t="s">
        <v>20</v>
      </c>
      <c r="E1307" s="95" t="s">
        <v>638</v>
      </c>
      <c r="F1307" s="95" t="s">
        <v>19</v>
      </c>
      <c r="G1307" s="95" t="s">
        <v>19</v>
      </c>
      <c r="H1307" s="95" t="s">
        <v>21</v>
      </c>
      <c r="I1307" s="95" t="s">
        <v>567</v>
      </c>
      <c r="J1307" s="97">
        <v>46008.62900466436</v>
      </c>
      <c r="K1307" s="96" t="s">
        <v>7682</v>
      </c>
      <c r="L1307" s="96" t="s">
        <v>7683</v>
      </c>
      <c r="M1307" s="95" t="s">
        <v>17</v>
      </c>
      <c r="N1307" s="95" t="s">
        <v>7684</v>
      </c>
      <c r="O1307" s="95" t="s">
        <v>7684</v>
      </c>
      <c r="P1307" s="95" t="s">
        <v>7685</v>
      </c>
      <c r="Q1307" s="98">
        <v>3.0</v>
      </c>
      <c r="R1307" s="97">
        <v>45817.6775462963</v>
      </c>
      <c r="S1307" s="99">
        <v>8853.0</v>
      </c>
      <c r="T1307" s="99">
        <v>4.0</v>
      </c>
      <c r="U1307" s="99">
        <v>2.0</v>
      </c>
      <c r="V1307" s="99">
        <v>131.0</v>
      </c>
      <c r="W1307" s="99">
        <v>133454.0</v>
      </c>
    </row>
    <row r="1308" ht="15.75" customHeight="1">
      <c r="A1308" s="95" t="s">
        <v>7686</v>
      </c>
      <c r="B1308" s="95" t="s">
        <v>22</v>
      </c>
      <c r="C1308" s="96" t="s">
        <v>7687</v>
      </c>
      <c r="D1308" s="95" t="s">
        <v>168</v>
      </c>
      <c r="E1308" s="95" t="s">
        <v>168</v>
      </c>
      <c r="F1308" s="95" t="s">
        <v>19</v>
      </c>
      <c r="G1308" s="95" t="s">
        <v>19</v>
      </c>
      <c r="H1308" s="95" t="s">
        <v>21</v>
      </c>
      <c r="I1308" s="95" t="s">
        <v>567</v>
      </c>
      <c r="J1308" s="97">
        <v>46008.62900465278</v>
      </c>
      <c r="K1308" s="96" t="s">
        <v>7688</v>
      </c>
      <c r="L1308" s="95"/>
      <c r="M1308" s="95" t="s">
        <v>17</v>
      </c>
      <c r="N1308" s="95" t="s">
        <v>7689</v>
      </c>
      <c r="O1308" s="95" t="s">
        <v>7689</v>
      </c>
      <c r="P1308" s="95" t="s">
        <v>7690</v>
      </c>
      <c r="Q1308" s="98">
        <v>3.0</v>
      </c>
      <c r="R1308" s="97">
        <v>45814.67778935185</v>
      </c>
      <c r="S1308" s="99">
        <v>373.0</v>
      </c>
      <c r="T1308" s="99">
        <v>551.0</v>
      </c>
      <c r="U1308" s="99">
        <v>2.0</v>
      </c>
      <c r="V1308" s="99">
        <v>50.0</v>
      </c>
      <c r="W1308" s="99">
        <v>62072.0</v>
      </c>
    </row>
    <row r="1309" ht="15.75" customHeight="1">
      <c r="A1309" s="95" t="s">
        <v>81</v>
      </c>
      <c r="B1309" s="95" t="s">
        <v>69</v>
      </c>
      <c r="C1309" s="96" t="s">
        <v>85</v>
      </c>
      <c r="D1309" s="95" t="s">
        <v>39</v>
      </c>
      <c r="E1309" s="95" t="s">
        <v>39</v>
      </c>
      <c r="F1309" s="95" t="s">
        <v>19</v>
      </c>
      <c r="G1309" s="95" t="s">
        <v>574</v>
      </c>
      <c r="H1309" s="95" t="s">
        <v>60</v>
      </c>
      <c r="I1309" s="95" t="s">
        <v>7691</v>
      </c>
      <c r="J1309" s="97">
        <v>46021.49769592593</v>
      </c>
      <c r="K1309" s="95" t="s">
        <v>84</v>
      </c>
      <c r="L1309" s="96" t="s">
        <v>83</v>
      </c>
      <c r="M1309" s="95" t="s">
        <v>54</v>
      </c>
      <c r="N1309" s="95" t="s">
        <v>82</v>
      </c>
      <c r="O1309" s="95" t="s">
        <v>82</v>
      </c>
      <c r="P1309" s="95" t="s">
        <v>7692</v>
      </c>
      <c r="Q1309" s="98">
        <v>3.0</v>
      </c>
      <c r="R1309" s="97">
        <v>45759.49052083334</v>
      </c>
      <c r="S1309" s="99">
        <v>187.0</v>
      </c>
      <c r="T1309" s="99">
        <v>114.0</v>
      </c>
      <c r="U1309" s="99">
        <v>1.0</v>
      </c>
      <c r="V1309" s="99">
        <v>301.0</v>
      </c>
      <c r="W1309" s="99">
        <v>4776.0</v>
      </c>
    </row>
    <row r="1310" ht="15.75" customHeight="1">
      <c r="A1310" s="95" t="s">
        <v>7693</v>
      </c>
      <c r="B1310" s="95" t="s">
        <v>22</v>
      </c>
      <c r="C1310" s="96" t="s">
        <v>7694</v>
      </c>
      <c r="D1310" s="95" t="s">
        <v>59</v>
      </c>
      <c r="E1310" s="95" t="s">
        <v>738</v>
      </c>
      <c r="F1310" s="95" t="s">
        <v>19</v>
      </c>
      <c r="G1310" s="95" t="s">
        <v>1427</v>
      </c>
      <c r="H1310" s="95" t="s">
        <v>21</v>
      </c>
      <c r="I1310" s="95" t="s">
        <v>633</v>
      </c>
      <c r="J1310" s="97">
        <v>46021.49769592593</v>
      </c>
      <c r="K1310" s="95" t="s">
        <v>7695</v>
      </c>
      <c r="L1310" s="96" t="s">
        <v>7696</v>
      </c>
      <c r="M1310" s="95" t="s">
        <v>54</v>
      </c>
      <c r="N1310" s="95" t="s">
        <v>7697</v>
      </c>
      <c r="O1310" s="95" t="s">
        <v>7697</v>
      </c>
      <c r="P1310" s="95" t="s">
        <v>7698</v>
      </c>
      <c r="Q1310" s="98">
        <v>3.0</v>
      </c>
      <c r="R1310" s="97">
        <v>45922.34954861111</v>
      </c>
      <c r="S1310" s="99">
        <v>200.0</v>
      </c>
      <c r="T1310" s="99">
        <v>1135.0</v>
      </c>
      <c r="U1310" s="99">
        <v>35.0</v>
      </c>
      <c r="V1310" s="99">
        <v>210.0</v>
      </c>
      <c r="W1310" s="99">
        <v>38534.0</v>
      </c>
    </row>
    <row r="1311" ht="15.75" customHeight="1">
      <c r="A1311" s="95" t="s">
        <v>7699</v>
      </c>
      <c r="B1311" s="95" t="s">
        <v>22</v>
      </c>
      <c r="C1311" s="96" t="s">
        <v>7700</v>
      </c>
      <c r="D1311" s="95" t="s">
        <v>124</v>
      </c>
      <c r="E1311" s="95" t="s">
        <v>2195</v>
      </c>
      <c r="F1311" s="95" t="s">
        <v>19</v>
      </c>
      <c r="G1311" s="95" t="s">
        <v>19</v>
      </c>
      <c r="H1311" s="95" t="s">
        <v>21</v>
      </c>
      <c r="I1311" s="95" t="s">
        <v>567</v>
      </c>
      <c r="J1311" s="97">
        <v>46021.50617167824</v>
      </c>
      <c r="K1311" s="95" t="s">
        <v>7701</v>
      </c>
      <c r="L1311" s="96" t="s">
        <v>7702</v>
      </c>
      <c r="M1311" s="95" t="s">
        <v>503</v>
      </c>
      <c r="N1311" s="95" t="s">
        <v>7703</v>
      </c>
      <c r="O1311" s="95" t="s">
        <v>7703</v>
      </c>
      <c r="P1311" s="95" t="s">
        <v>7704</v>
      </c>
      <c r="Q1311" s="98">
        <v>3.0</v>
      </c>
      <c r="R1311" s="97">
        <v>45855.68645833333</v>
      </c>
      <c r="S1311" s="99">
        <v>1319.0</v>
      </c>
      <c r="T1311" s="99">
        <v>893.0</v>
      </c>
      <c r="U1311" s="99">
        <v>6.0</v>
      </c>
      <c r="V1311" s="99">
        <v>381.0</v>
      </c>
      <c r="W1311" s="99">
        <v>73482.0</v>
      </c>
    </row>
    <row r="1312" ht="15.75" customHeight="1">
      <c r="A1312" s="95" t="s">
        <v>7705</v>
      </c>
      <c r="B1312" s="95" t="s">
        <v>69</v>
      </c>
      <c r="C1312" s="96" t="s">
        <v>7706</v>
      </c>
      <c r="D1312" s="95" t="s">
        <v>124</v>
      </c>
      <c r="E1312" s="95" t="s">
        <v>794</v>
      </c>
      <c r="F1312" s="95" t="s">
        <v>58</v>
      </c>
      <c r="G1312" s="95" t="s">
        <v>58</v>
      </c>
      <c r="H1312" s="95" t="s">
        <v>77</v>
      </c>
      <c r="I1312" s="95" t="s">
        <v>599</v>
      </c>
      <c r="J1312" s="97">
        <v>46021.50617167824</v>
      </c>
      <c r="K1312" s="95" t="s">
        <v>7707</v>
      </c>
      <c r="L1312" s="96" t="s">
        <v>7708</v>
      </c>
      <c r="M1312" s="95" t="s">
        <v>74</v>
      </c>
      <c r="N1312" s="95" t="s">
        <v>7709</v>
      </c>
      <c r="O1312" s="95" t="s">
        <v>7709</v>
      </c>
      <c r="P1312" s="95" t="s">
        <v>7710</v>
      </c>
      <c r="Q1312" s="98">
        <v>3.0</v>
      </c>
      <c r="R1312" s="97">
        <v>45656.43579861111</v>
      </c>
      <c r="S1312" s="99">
        <v>0.0</v>
      </c>
      <c r="T1312" s="99">
        <v>56.0</v>
      </c>
      <c r="U1312" s="99">
        <v>1.0</v>
      </c>
      <c r="V1312" s="99">
        <v>239.0</v>
      </c>
      <c r="W1312" s="99">
        <v>170280.0</v>
      </c>
    </row>
    <row r="1313" ht="15.75" customHeight="1">
      <c r="A1313" s="95" t="s">
        <v>7711</v>
      </c>
      <c r="B1313" s="95" t="s">
        <v>131</v>
      </c>
      <c r="C1313" s="96" t="s">
        <v>7712</v>
      </c>
      <c r="D1313" s="95" t="s">
        <v>39</v>
      </c>
      <c r="E1313" s="95" t="s">
        <v>39</v>
      </c>
      <c r="F1313" s="95" t="s">
        <v>19</v>
      </c>
      <c r="G1313" s="95" t="s">
        <v>19</v>
      </c>
      <c r="H1313" s="95" t="s">
        <v>21</v>
      </c>
      <c r="I1313" s="95" t="s">
        <v>647</v>
      </c>
      <c r="J1313" s="97">
        <v>46002.69347975694</v>
      </c>
      <c r="K1313" s="95" t="s">
        <v>7713</v>
      </c>
      <c r="L1313" s="96" t="s">
        <v>7714</v>
      </c>
      <c r="M1313" s="95" t="s">
        <v>38</v>
      </c>
      <c r="N1313" s="95" t="s">
        <v>7715</v>
      </c>
      <c r="O1313" s="95" t="s">
        <v>7715</v>
      </c>
      <c r="P1313" s="95" t="s">
        <v>7716</v>
      </c>
      <c r="Q1313" s="98">
        <v>3.0</v>
      </c>
      <c r="R1313" s="97">
        <v>45801.80460648148</v>
      </c>
      <c r="S1313" s="99">
        <v>320.0</v>
      </c>
      <c r="T1313" s="99">
        <v>28.0</v>
      </c>
      <c r="U1313" s="99">
        <v>3.0</v>
      </c>
      <c r="V1313" s="99">
        <v>933.0</v>
      </c>
      <c r="W1313" s="99">
        <v>15165.0</v>
      </c>
    </row>
    <row r="1314" ht="15.75" customHeight="1">
      <c r="A1314" s="95" t="s">
        <v>7717</v>
      </c>
      <c r="B1314" s="95" t="s">
        <v>22</v>
      </c>
      <c r="C1314" s="96" t="s">
        <v>7718</v>
      </c>
      <c r="D1314" s="95" t="s">
        <v>130</v>
      </c>
      <c r="E1314" s="95" t="s">
        <v>2879</v>
      </c>
      <c r="F1314" s="95" t="s">
        <v>19</v>
      </c>
      <c r="G1314" s="95" t="s">
        <v>19</v>
      </c>
      <c r="H1314" s="95" t="s">
        <v>21</v>
      </c>
      <c r="I1314" s="95" t="s">
        <v>589</v>
      </c>
      <c r="J1314" s="97">
        <v>46021.50399828704</v>
      </c>
      <c r="K1314" s="95" t="s">
        <v>7719</v>
      </c>
      <c r="L1314" s="96" t="s">
        <v>7720</v>
      </c>
      <c r="M1314" s="95" t="s">
        <v>54</v>
      </c>
      <c r="N1314" s="95" t="s">
        <v>7721</v>
      </c>
      <c r="O1314" s="95" t="s">
        <v>7721</v>
      </c>
      <c r="P1314" s="95" t="s">
        <v>7722</v>
      </c>
      <c r="Q1314" s="98">
        <v>3.0</v>
      </c>
      <c r="R1314" s="97">
        <v>45708.36380787037</v>
      </c>
      <c r="S1314" s="99">
        <v>447.0</v>
      </c>
      <c r="T1314" s="99">
        <v>115.0</v>
      </c>
      <c r="U1314" s="99">
        <v>4.0</v>
      </c>
      <c r="V1314" s="99">
        <v>80.0</v>
      </c>
      <c r="W1314" s="99">
        <v>64970.0</v>
      </c>
    </row>
    <row r="1315" ht="15.75" customHeight="1">
      <c r="A1315" s="95" t="s">
        <v>7723</v>
      </c>
      <c r="B1315" s="95" t="s">
        <v>22</v>
      </c>
      <c r="C1315" s="96" t="s">
        <v>7724</v>
      </c>
      <c r="D1315" s="95" t="s">
        <v>130</v>
      </c>
      <c r="E1315" s="95" t="s">
        <v>917</v>
      </c>
      <c r="F1315" s="95" t="s">
        <v>19</v>
      </c>
      <c r="G1315" s="95" t="s">
        <v>1427</v>
      </c>
      <c r="H1315" s="95" t="s">
        <v>21</v>
      </c>
      <c r="I1315" s="95" t="s">
        <v>633</v>
      </c>
      <c r="J1315" s="97">
        <v>46021.51309140046</v>
      </c>
      <c r="K1315" s="95" t="s">
        <v>7725</v>
      </c>
      <c r="L1315" s="96" t="s">
        <v>7726</v>
      </c>
      <c r="M1315" s="95" t="s">
        <v>54</v>
      </c>
      <c r="N1315" s="95" t="s">
        <v>7721</v>
      </c>
      <c r="O1315" s="95" t="s">
        <v>7721</v>
      </c>
      <c r="P1315" s="95" t="s">
        <v>7722</v>
      </c>
      <c r="Q1315" s="98">
        <v>3.0</v>
      </c>
      <c r="R1315" s="97">
        <v>45636.42172453704</v>
      </c>
      <c r="S1315" s="99">
        <v>447.0</v>
      </c>
      <c r="T1315" s="99">
        <v>112.0</v>
      </c>
      <c r="U1315" s="99">
        <v>8.0</v>
      </c>
      <c r="V1315" s="99">
        <v>188.0</v>
      </c>
      <c r="W1315" s="99">
        <v>64970.0</v>
      </c>
    </row>
    <row r="1316" ht="15.75" customHeight="1">
      <c r="A1316" s="95" t="s">
        <v>7727</v>
      </c>
      <c r="B1316" s="95" t="s">
        <v>22</v>
      </c>
      <c r="C1316" s="96" t="s">
        <v>7728</v>
      </c>
      <c r="D1316" s="95" t="s">
        <v>168</v>
      </c>
      <c r="E1316" s="95" t="s">
        <v>168</v>
      </c>
      <c r="F1316" s="95" t="s">
        <v>19</v>
      </c>
      <c r="G1316" s="95" t="s">
        <v>19</v>
      </c>
      <c r="H1316" s="95" t="s">
        <v>21</v>
      </c>
      <c r="I1316" s="95" t="s">
        <v>7729</v>
      </c>
      <c r="J1316" s="97">
        <v>46008.6290046875</v>
      </c>
      <c r="K1316" s="96" t="s">
        <v>7730</v>
      </c>
      <c r="L1316" s="96" t="s">
        <v>7731</v>
      </c>
      <c r="M1316" s="95" t="s">
        <v>17</v>
      </c>
      <c r="N1316" s="95" t="s">
        <v>7732</v>
      </c>
      <c r="O1316" s="95" t="s">
        <v>7732</v>
      </c>
      <c r="P1316" s="95" t="s">
        <v>7733</v>
      </c>
      <c r="Q1316" s="98">
        <v>3.0</v>
      </c>
      <c r="R1316" s="97">
        <v>45886.99457175926</v>
      </c>
      <c r="S1316" s="99">
        <v>59.0</v>
      </c>
      <c r="T1316" s="99">
        <v>338.0</v>
      </c>
      <c r="U1316" s="99">
        <v>3.0</v>
      </c>
      <c r="V1316" s="99">
        <v>705.0</v>
      </c>
      <c r="W1316" s="99">
        <v>19063.0</v>
      </c>
    </row>
    <row r="1317" ht="15.75" customHeight="1">
      <c r="A1317" s="95" t="s">
        <v>7734</v>
      </c>
      <c r="B1317" s="95" t="s">
        <v>22</v>
      </c>
      <c r="C1317" s="96" t="s">
        <v>7735</v>
      </c>
      <c r="D1317" s="95" t="s">
        <v>39</v>
      </c>
      <c r="E1317" s="95" t="s">
        <v>960</v>
      </c>
      <c r="F1317" s="95" t="s">
        <v>19</v>
      </c>
      <c r="G1317" s="95" t="s">
        <v>19</v>
      </c>
      <c r="H1317" s="95" t="s">
        <v>21</v>
      </c>
      <c r="I1317" s="95" t="s">
        <v>567</v>
      </c>
      <c r="J1317" s="97">
        <v>45975.67935613426</v>
      </c>
      <c r="K1317" s="96" t="s">
        <v>7736</v>
      </c>
      <c r="L1317" s="96" t="s">
        <v>7737</v>
      </c>
      <c r="M1317" s="95" t="s">
        <v>17</v>
      </c>
      <c r="N1317" s="95" t="s">
        <v>7738</v>
      </c>
      <c r="O1317" s="95" t="s">
        <v>7738</v>
      </c>
      <c r="P1317" s="95" t="s">
        <v>7739</v>
      </c>
      <c r="Q1317" s="98">
        <v>3.0</v>
      </c>
      <c r="R1317" s="97">
        <v>45811.25440972222</v>
      </c>
      <c r="S1317" s="99">
        <v>150.0</v>
      </c>
      <c r="T1317" s="99">
        <v>108.0</v>
      </c>
      <c r="U1317" s="99">
        <v>28.0</v>
      </c>
      <c r="V1317" s="99">
        <v>27.0</v>
      </c>
      <c r="W1317" s="99">
        <v>114866.0</v>
      </c>
    </row>
    <row r="1318" ht="15.75" customHeight="1">
      <c r="A1318" s="95" t="s">
        <v>7740</v>
      </c>
      <c r="B1318" s="95" t="s">
        <v>22</v>
      </c>
      <c r="C1318" s="96" t="s">
        <v>7741</v>
      </c>
      <c r="D1318" s="95" t="s">
        <v>124</v>
      </c>
      <c r="E1318" s="95" t="s">
        <v>124</v>
      </c>
      <c r="F1318" s="95" t="s">
        <v>19</v>
      </c>
      <c r="G1318" s="95" t="s">
        <v>19</v>
      </c>
      <c r="H1318" s="95" t="s">
        <v>21</v>
      </c>
      <c r="I1318" s="95" t="s">
        <v>567</v>
      </c>
      <c r="J1318" s="97">
        <v>45992.53266021991</v>
      </c>
      <c r="K1318" s="95" t="s">
        <v>7742</v>
      </c>
      <c r="L1318" s="95"/>
      <c r="M1318" s="95" t="s">
        <v>93</v>
      </c>
      <c r="N1318" s="95" t="s">
        <v>7743</v>
      </c>
      <c r="O1318" s="95" t="s">
        <v>7743</v>
      </c>
      <c r="P1318" s="95" t="s">
        <v>7744</v>
      </c>
      <c r="Q1318" s="98">
        <v>3.0</v>
      </c>
      <c r="R1318" s="97">
        <v>45976.69322916667</v>
      </c>
      <c r="S1318" s="99">
        <v>56.0</v>
      </c>
      <c r="T1318" s="99">
        <v>358.0</v>
      </c>
      <c r="U1318" s="99">
        <v>1.0</v>
      </c>
      <c r="V1318" s="99">
        <v>51.0</v>
      </c>
      <c r="W1318" s="99">
        <v>21558.0</v>
      </c>
    </row>
    <row r="1319" ht="15.75" customHeight="1">
      <c r="A1319" s="95" t="s">
        <v>7745</v>
      </c>
      <c r="B1319" s="95" t="s">
        <v>22</v>
      </c>
      <c r="C1319" s="96" t="s">
        <v>7746</v>
      </c>
      <c r="D1319" s="95" t="s">
        <v>39</v>
      </c>
      <c r="E1319" s="95" t="s">
        <v>39</v>
      </c>
      <c r="F1319" s="95" t="s">
        <v>19</v>
      </c>
      <c r="G1319" s="95" t="s">
        <v>19</v>
      </c>
      <c r="H1319" s="95" t="s">
        <v>21</v>
      </c>
      <c r="I1319" s="95" t="s">
        <v>677</v>
      </c>
      <c r="J1319" s="97">
        <v>45975.67935613426</v>
      </c>
      <c r="K1319" s="96" t="s">
        <v>7747</v>
      </c>
      <c r="L1319" s="96" t="s">
        <v>7748</v>
      </c>
      <c r="M1319" s="95" t="s">
        <v>17</v>
      </c>
      <c r="N1319" s="95" t="s">
        <v>7749</v>
      </c>
      <c r="O1319" s="95" t="s">
        <v>7749</v>
      </c>
      <c r="P1319" s="95" t="s">
        <v>7750</v>
      </c>
      <c r="Q1319" s="98">
        <v>3.0</v>
      </c>
      <c r="R1319" s="97">
        <v>45669.62497685185</v>
      </c>
      <c r="S1319" s="99">
        <v>17192.0</v>
      </c>
      <c r="T1319" s="99">
        <v>135.0</v>
      </c>
      <c r="U1319" s="99">
        <v>6.0</v>
      </c>
      <c r="V1319" s="99">
        <v>139.0</v>
      </c>
      <c r="W1319" s="99">
        <v>22277.0</v>
      </c>
    </row>
    <row r="1320" ht="15.75" customHeight="1">
      <c r="A1320" s="95" t="s">
        <v>7751</v>
      </c>
      <c r="B1320" s="95" t="s">
        <v>69</v>
      </c>
      <c r="C1320" s="96" t="s">
        <v>7752</v>
      </c>
      <c r="D1320" s="95" t="s">
        <v>39</v>
      </c>
      <c r="E1320" s="95" t="s">
        <v>39</v>
      </c>
      <c r="F1320" s="95" t="s">
        <v>88</v>
      </c>
      <c r="G1320" s="95" t="s">
        <v>88</v>
      </c>
      <c r="H1320" s="95" t="s">
        <v>89</v>
      </c>
      <c r="I1320" s="95" t="s">
        <v>5444</v>
      </c>
      <c r="J1320" s="97">
        <v>45975.67937189815</v>
      </c>
      <c r="K1320" s="96" t="s">
        <v>7753</v>
      </c>
      <c r="L1320" s="96" t="s">
        <v>7754</v>
      </c>
      <c r="M1320" s="95" t="s">
        <v>67</v>
      </c>
      <c r="N1320" s="95" t="s">
        <v>7755</v>
      </c>
      <c r="O1320" s="95" t="s">
        <v>7755</v>
      </c>
      <c r="P1320" s="95" t="s">
        <v>7756</v>
      </c>
      <c r="Q1320" s="98">
        <v>3.0</v>
      </c>
      <c r="R1320" s="97">
        <v>45782.72142361111</v>
      </c>
      <c r="S1320" s="99">
        <v>622.0</v>
      </c>
      <c r="T1320" s="99">
        <v>222.0</v>
      </c>
      <c r="U1320" s="99">
        <v>7.0</v>
      </c>
      <c r="V1320" s="99">
        <v>15.0</v>
      </c>
      <c r="W1320" s="99">
        <v>3674.0</v>
      </c>
    </row>
    <row r="1321" ht="15.75" customHeight="1">
      <c r="A1321" s="95" t="s">
        <v>7757</v>
      </c>
      <c r="B1321" s="95" t="s">
        <v>22</v>
      </c>
      <c r="C1321" s="96" t="s">
        <v>7758</v>
      </c>
      <c r="D1321" s="95" t="s">
        <v>39</v>
      </c>
      <c r="E1321" s="95" t="s">
        <v>1404</v>
      </c>
      <c r="F1321" s="95" t="s">
        <v>19</v>
      </c>
      <c r="G1321" s="95" t="s">
        <v>19</v>
      </c>
      <c r="H1321" s="95" t="s">
        <v>21</v>
      </c>
      <c r="I1321" s="95" t="s">
        <v>567</v>
      </c>
      <c r="J1321" s="97">
        <v>46040.566019375</v>
      </c>
      <c r="K1321" s="95" t="s">
        <v>7759</v>
      </c>
      <c r="L1321" s="96" t="s">
        <v>7760</v>
      </c>
      <c r="M1321" s="95" t="s">
        <v>93</v>
      </c>
      <c r="N1321" s="95" t="s">
        <v>7761</v>
      </c>
      <c r="O1321" s="95" t="s">
        <v>7761</v>
      </c>
      <c r="P1321" s="95" t="s">
        <v>7762</v>
      </c>
      <c r="Q1321" s="98">
        <v>3.0</v>
      </c>
      <c r="R1321" s="97">
        <v>45644.21928240741</v>
      </c>
      <c r="S1321" s="99">
        <v>857.0</v>
      </c>
      <c r="T1321" s="99">
        <v>849.0</v>
      </c>
      <c r="U1321" s="99">
        <v>4.0</v>
      </c>
      <c r="V1321" s="99">
        <v>445.0</v>
      </c>
      <c r="W1321" s="99">
        <v>37905.0</v>
      </c>
    </row>
    <row r="1322" ht="15.75" customHeight="1">
      <c r="A1322" s="95" t="s">
        <v>7763</v>
      </c>
      <c r="B1322" s="95" t="s">
        <v>22</v>
      </c>
      <c r="C1322" s="96" t="s">
        <v>7764</v>
      </c>
      <c r="D1322" s="95" t="s">
        <v>124</v>
      </c>
      <c r="E1322" s="95" t="s">
        <v>124</v>
      </c>
      <c r="F1322" s="95" t="s">
        <v>19</v>
      </c>
      <c r="G1322" s="95" t="s">
        <v>19</v>
      </c>
      <c r="H1322" s="95" t="s">
        <v>21</v>
      </c>
      <c r="I1322" s="95" t="s">
        <v>589</v>
      </c>
      <c r="J1322" s="97">
        <v>46056.9370691088</v>
      </c>
      <c r="K1322" s="95" t="s">
        <v>7765</v>
      </c>
      <c r="L1322" s="96" t="s">
        <v>7766</v>
      </c>
      <c r="M1322" s="95" t="s">
        <v>74</v>
      </c>
      <c r="N1322" s="95" t="s">
        <v>7767</v>
      </c>
      <c r="O1322" s="95" t="s">
        <v>7767</v>
      </c>
      <c r="P1322" s="95" t="s">
        <v>7768</v>
      </c>
      <c r="Q1322" s="98">
        <v>3.0</v>
      </c>
      <c r="R1322" s="97">
        <v>45954.90569444445</v>
      </c>
      <c r="S1322" s="99">
        <v>3833.0</v>
      </c>
      <c r="T1322" s="99">
        <v>2.0</v>
      </c>
      <c r="U1322" s="99">
        <v>4.0</v>
      </c>
      <c r="V1322" s="99">
        <v>387.0</v>
      </c>
      <c r="W1322" s="99">
        <v>87483.0</v>
      </c>
    </row>
    <row r="1323" ht="15.75" customHeight="1">
      <c r="A1323" s="95" t="s">
        <v>7769</v>
      </c>
      <c r="B1323" s="95" t="s">
        <v>22</v>
      </c>
      <c r="C1323" s="96" t="s">
        <v>7770</v>
      </c>
      <c r="D1323" s="95" t="s">
        <v>124</v>
      </c>
      <c r="E1323" s="95" t="s">
        <v>124</v>
      </c>
      <c r="F1323" s="95" t="s">
        <v>19</v>
      </c>
      <c r="G1323" s="95" t="s">
        <v>19</v>
      </c>
      <c r="H1323" s="95" t="s">
        <v>21</v>
      </c>
      <c r="I1323" s="95" t="s">
        <v>567</v>
      </c>
      <c r="J1323" s="97">
        <v>46056.9370691088</v>
      </c>
      <c r="K1323" s="95" t="s">
        <v>7771</v>
      </c>
      <c r="L1323" s="96" t="s">
        <v>7772</v>
      </c>
      <c r="M1323" s="95" t="s">
        <v>74</v>
      </c>
      <c r="N1323" s="95" t="s">
        <v>7767</v>
      </c>
      <c r="O1323" s="95" t="s">
        <v>7767</v>
      </c>
      <c r="P1323" s="95" t="s">
        <v>7768</v>
      </c>
      <c r="Q1323" s="98">
        <v>3.0</v>
      </c>
      <c r="R1323" s="97">
        <v>45958.54671296296</v>
      </c>
      <c r="S1323" s="99">
        <v>3833.0</v>
      </c>
      <c r="T1323" s="99">
        <v>22.0</v>
      </c>
      <c r="U1323" s="99">
        <v>3.0</v>
      </c>
      <c r="V1323" s="99">
        <v>239.0</v>
      </c>
      <c r="W1323" s="99">
        <v>87483.0</v>
      </c>
    </row>
    <row r="1324" ht="15.75" customHeight="1">
      <c r="A1324" s="95" t="s">
        <v>7773</v>
      </c>
      <c r="B1324" s="95" t="s">
        <v>157</v>
      </c>
      <c r="C1324" s="96" t="s">
        <v>7774</v>
      </c>
      <c r="D1324" s="95" t="s">
        <v>49</v>
      </c>
      <c r="E1324" s="95" t="s">
        <v>948</v>
      </c>
      <c r="F1324" s="95" t="s">
        <v>88</v>
      </c>
      <c r="G1324" s="95" t="s">
        <v>88</v>
      </c>
      <c r="H1324" s="95" t="s">
        <v>89</v>
      </c>
      <c r="I1324" s="95" t="s">
        <v>859</v>
      </c>
      <c r="J1324" s="97">
        <v>45975.67937189815</v>
      </c>
      <c r="K1324" s="96" t="s">
        <v>7775</v>
      </c>
      <c r="L1324" s="96" t="s">
        <v>7776</v>
      </c>
      <c r="M1324" s="95" t="s">
        <v>38</v>
      </c>
      <c r="N1324" s="95" t="s">
        <v>7777</v>
      </c>
      <c r="O1324" s="95" t="s">
        <v>7777</v>
      </c>
      <c r="P1324" s="95" t="s">
        <v>7778</v>
      </c>
      <c r="Q1324" s="98">
        <v>3.0</v>
      </c>
      <c r="R1324" s="97">
        <v>45798.53643518518</v>
      </c>
      <c r="S1324" s="99">
        <v>2598.0</v>
      </c>
      <c r="T1324" s="99">
        <v>337.0</v>
      </c>
      <c r="U1324" s="99">
        <v>1.0</v>
      </c>
      <c r="V1324" s="99">
        <v>42.0</v>
      </c>
      <c r="W1324" s="99">
        <v>999999.0</v>
      </c>
    </row>
    <row r="1325" ht="15.75" customHeight="1">
      <c r="A1325" s="95" t="s">
        <v>7779</v>
      </c>
      <c r="B1325" s="95" t="s">
        <v>22</v>
      </c>
      <c r="C1325" s="96" t="s">
        <v>7780</v>
      </c>
      <c r="D1325" s="95" t="s">
        <v>49</v>
      </c>
      <c r="E1325" s="95" t="s">
        <v>948</v>
      </c>
      <c r="F1325" s="95" t="s">
        <v>19</v>
      </c>
      <c r="G1325" s="95" t="s">
        <v>19</v>
      </c>
      <c r="H1325" s="95" t="s">
        <v>21</v>
      </c>
      <c r="I1325" s="95" t="s">
        <v>567</v>
      </c>
      <c r="J1325" s="97">
        <v>46011.60168425926</v>
      </c>
      <c r="K1325" s="95" t="s">
        <v>7781</v>
      </c>
      <c r="L1325" s="96" t="s">
        <v>7782</v>
      </c>
      <c r="M1325" s="95" t="s">
        <v>38</v>
      </c>
      <c r="N1325" s="95" t="s">
        <v>7777</v>
      </c>
      <c r="O1325" s="95" t="s">
        <v>7777</v>
      </c>
      <c r="P1325" s="95" t="s">
        <v>7778</v>
      </c>
      <c r="Q1325" s="98">
        <v>3.0</v>
      </c>
      <c r="R1325" s="97">
        <v>45994.72796296296</v>
      </c>
      <c r="S1325" s="99">
        <v>2598.0</v>
      </c>
      <c r="T1325" s="99">
        <v>56.0</v>
      </c>
      <c r="U1325" s="99">
        <v>1.0</v>
      </c>
      <c r="V1325" s="99">
        <v>44.0</v>
      </c>
      <c r="W1325" s="99">
        <v>999999.0</v>
      </c>
    </row>
    <row r="1326" ht="15.75" customHeight="1">
      <c r="A1326" s="95" t="s">
        <v>7783</v>
      </c>
      <c r="B1326" s="95" t="s">
        <v>131</v>
      </c>
      <c r="C1326" s="96" t="s">
        <v>7784</v>
      </c>
      <c r="D1326" s="95" t="s">
        <v>20</v>
      </c>
      <c r="E1326" s="95" t="s">
        <v>638</v>
      </c>
      <c r="F1326" s="95" t="s">
        <v>19</v>
      </c>
      <c r="G1326" s="95" t="s">
        <v>574</v>
      </c>
      <c r="H1326" s="95" t="s">
        <v>21</v>
      </c>
      <c r="I1326" s="95" t="s">
        <v>647</v>
      </c>
      <c r="J1326" s="97">
        <v>46021.50617167824</v>
      </c>
      <c r="K1326" s="95" t="s">
        <v>7785</v>
      </c>
      <c r="L1326" s="96" t="s">
        <v>7786</v>
      </c>
      <c r="M1326" s="95" t="s">
        <v>67</v>
      </c>
      <c r="N1326" s="95" t="s">
        <v>7787</v>
      </c>
      <c r="O1326" s="95" t="s">
        <v>7787</v>
      </c>
      <c r="P1326" s="95" t="s">
        <v>7788</v>
      </c>
      <c r="Q1326" s="98">
        <v>3.0</v>
      </c>
      <c r="R1326" s="97">
        <v>45948.07633101852</v>
      </c>
      <c r="S1326" s="99">
        <v>1428.0</v>
      </c>
      <c r="T1326" s="99">
        <v>1471.0</v>
      </c>
      <c r="U1326" s="99">
        <v>26.0</v>
      </c>
      <c r="V1326" s="99">
        <v>309.0</v>
      </c>
      <c r="W1326" s="99">
        <v>115556.0</v>
      </c>
    </row>
    <row r="1327" ht="15.75" customHeight="1">
      <c r="A1327" s="95" t="s">
        <v>7789</v>
      </c>
      <c r="B1327" s="95" t="s">
        <v>22</v>
      </c>
      <c r="C1327" s="96" t="s">
        <v>7790</v>
      </c>
      <c r="D1327" s="95" t="s">
        <v>548</v>
      </c>
      <c r="E1327" s="95" t="s">
        <v>548</v>
      </c>
      <c r="F1327" s="95" t="s">
        <v>19</v>
      </c>
      <c r="G1327" s="95" t="s">
        <v>19</v>
      </c>
      <c r="H1327" s="95" t="s">
        <v>21</v>
      </c>
      <c r="I1327" s="95" t="s">
        <v>589</v>
      </c>
      <c r="J1327" s="97">
        <v>46008.62900474537</v>
      </c>
      <c r="K1327" s="96" t="s">
        <v>7791</v>
      </c>
      <c r="L1327" s="96" t="s">
        <v>7792</v>
      </c>
      <c r="M1327" s="95" t="s">
        <v>17</v>
      </c>
      <c r="N1327" s="95" t="s">
        <v>7793</v>
      </c>
      <c r="O1327" s="95" t="s">
        <v>7793</v>
      </c>
      <c r="P1327" s="95" t="s">
        <v>7794</v>
      </c>
      <c r="Q1327" s="98">
        <v>3.0</v>
      </c>
      <c r="R1327" s="97">
        <v>45607.30568287037</v>
      </c>
      <c r="S1327" s="99">
        <v>231.0</v>
      </c>
      <c r="T1327" s="99">
        <v>155.0</v>
      </c>
      <c r="U1327" s="99">
        <v>17.0</v>
      </c>
      <c r="V1327" s="99">
        <v>128.0</v>
      </c>
      <c r="W1327" s="99">
        <v>3941.0</v>
      </c>
    </row>
    <row r="1328" ht="15.75" customHeight="1">
      <c r="A1328" s="95" t="s">
        <v>7795</v>
      </c>
      <c r="B1328" s="95" t="s">
        <v>22</v>
      </c>
      <c r="C1328" s="96" t="s">
        <v>7796</v>
      </c>
      <c r="D1328" s="95" t="s">
        <v>29</v>
      </c>
      <c r="E1328" s="95" t="s">
        <v>29</v>
      </c>
      <c r="F1328" s="95" t="s">
        <v>19</v>
      </c>
      <c r="G1328" s="95" t="s">
        <v>19</v>
      </c>
      <c r="H1328" s="95" t="s">
        <v>21</v>
      </c>
      <c r="I1328" s="95" t="s">
        <v>567</v>
      </c>
      <c r="J1328" s="97">
        <v>46021.50617167824</v>
      </c>
      <c r="K1328" s="95" t="s">
        <v>7797</v>
      </c>
      <c r="L1328" s="96" t="s">
        <v>7798</v>
      </c>
      <c r="M1328" s="95" t="s">
        <v>74</v>
      </c>
      <c r="N1328" s="95" t="s">
        <v>7799</v>
      </c>
      <c r="O1328" s="95" t="s">
        <v>7799</v>
      </c>
      <c r="P1328" s="95" t="s">
        <v>7800</v>
      </c>
      <c r="Q1328" s="98">
        <v>3.0</v>
      </c>
      <c r="R1328" s="97">
        <v>45923.78983796296</v>
      </c>
      <c r="S1328" s="99">
        <v>856.0</v>
      </c>
      <c r="T1328" s="99">
        <v>46.0</v>
      </c>
      <c r="U1328" s="99">
        <v>12.0</v>
      </c>
      <c r="V1328" s="99">
        <v>310.0</v>
      </c>
      <c r="W1328" s="99">
        <v>220657.0</v>
      </c>
    </row>
    <row r="1329" ht="15.75" customHeight="1">
      <c r="A1329" s="95" t="s">
        <v>7801</v>
      </c>
      <c r="B1329" s="95" t="s">
        <v>69</v>
      </c>
      <c r="C1329" s="96" t="s">
        <v>7802</v>
      </c>
      <c r="D1329" s="95" t="s">
        <v>547</v>
      </c>
      <c r="E1329" s="95" t="s">
        <v>2952</v>
      </c>
      <c r="F1329" s="95" t="s">
        <v>88</v>
      </c>
      <c r="G1329" s="95"/>
      <c r="H1329" s="95" t="s">
        <v>89</v>
      </c>
      <c r="I1329" s="95" t="s">
        <v>640</v>
      </c>
      <c r="J1329" s="97">
        <v>45993.79076225695</v>
      </c>
      <c r="K1329" s="96" t="s">
        <v>7803</v>
      </c>
      <c r="L1329" s="96" t="s">
        <v>7804</v>
      </c>
      <c r="M1329" s="95" t="s">
        <v>74</v>
      </c>
      <c r="N1329" s="95" t="s">
        <v>7805</v>
      </c>
      <c r="O1329" s="95" t="s">
        <v>7805</v>
      </c>
      <c r="P1329" s="95" t="s">
        <v>7806</v>
      </c>
      <c r="Q1329" s="98">
        <v>3.0</v>
      </c>
      <c r="R1329" s="97">
        <v>45640.28104166667</v>
      </c>
      <c r="S1329" s="99">
        <v>4144.0</v>
      </c>
      <c r="T1329" s="99">
        <v>20.0</v>
      </c>
      <c r="U1329" s="99">
        <v>1.0</v>
      </c>
      <c r="V1329" s="99">
        <v>33.0</v>
      </c>
      <c r="W1329" s="99">
        <v>72845.0</v>
      </c>
    </row>
    <row r="1330" ht="15.75" customHeight="1">
      <c r="A1330" s="95" t="s">
        <v>7807</v>
      </c>
      <c r="B1330" s="95" t="s">
        <v>22</v>
      </c>
      <c r="C1330" s="96" t="s">
        <v>7808</v>
      </c>
      <c r="D1330" s="95" t="s">
        <v>39</v>
      </c>
      <c r="E1330" s="95" t="s">
        <v>39</v>
      </c>
      <c r="F1330" s="95" t="s">
        <v>19</v>
      </c>
      <c r="G1330" s="95" t="s">
        <v>19</v>
      </c>
      <c r="H1330" s="95" t="s">
        <v>21</v>
      </c>
      <c r="I1330" s="95" t="s">
        <v>567</v>
      </c>
      <c r="J1330" s="97">
        <v>45975.67937189815</v>
      </c>
      <c r="K1330" s="96" t="s">
        <v>7809</v>
      </c>
      <c r="L1330" s="95"/>
      <c r="M1330" s="95" t="s">
        <v>38</v>
      </c>
      <c r="N1330" s="95" t="s">
        <v>156</v>
      </c>
      <c r="O1330" s="95" t="s">
        <v>156</v>
      </c>
      <c r="P1330" s="95" t="s">
        <v>7810</v>
      </c>
      <c r="Q1330" s="98">
        <v>3.0</v>
      </c>
      <c r="R1330" s="97">
        <v>45704.83564814815</v>
      </c>
      <c r="S1330" s="99">
        <v>2216.0</v>
      </c>
      <c r="T1330" s="99">
        <v>110.0</v>
      </c>
      <c r="U1330" s="99">
        <v>5.0</v>
      </c>
      <c r="V1330" s="99">
        <v>227.0</v>
      </c>
      <c r="W1330" s="99">
        <v>5619.0</v>
      </c>
    </row>
    <row r="1331" ht="15.75" customHeight="1">
      <c r="A1331" s="95" t="s">
        <v>7811</v>
      </c>
      <c r="B1331" s="95" t="s">
        <v>22</v>
      </c>
      <c r="C1331" s="96" t="s">
        <v>7812</v>
      </c>
      <c r="D1331" s="95" t="s">
        <v>20</v>
      </c>
      <c r="E1331" s="95" t="s">
        <v>1991</v>
      </c>
      <c r="F1331" s="95" t="s">
        <v>19</v>
      </c>
      <c r="G1331" s="95" t="s">
        <v>19</v>
      </c>
      <c r="H1331" s="95" t="s">
        <v>21</v>
      </c>
      <c r="I1331" s="95" t="s">
        <v>567</v>
      </c>
      <c r="J1331" s="97">
        <v>45977.67848078704</v>
      </c>
      <c r="K1331" s="95" t="s">
        <v>7813</v>
      </c>
      <c r="L1331" s="95"/>
      <c r="M1331" s="95" t="s">
        <v>17</v>
      </c>
      <c r="N1331" s="95" t="s">
        <v>7814</v>
      </c>
      <c r="O1331" s="95" t="s">
        <v>7814</v>
      </c>
      <c r="P1331" s="95" t="s">
        <v>7815</v>
      </c>
      <c r="Q1331" s="98">
        <v>3.0</v>
      </c>
      <c r="R1331" s="97">
        <v>45618.42945601852</v>
      </c>
      <c r="S1331" s="99">
        <v>3150.0</v>
      </c>
      <c r="T1331" s="99">
        <v>5.0</v>
      </c>
      <c r="U1331" s="99">
        <v>2.0</v>
      </c>
      <c r="V1331" s="99">
        <v>137.0</v>
      </c>
      <c r="W1331" s="99">
        <v>126479.0</v>
      </c>
    </row>
    <row r="1332" ht="15.75" customHeight="1">
      <c r="A1332" s="95" t="s">
        <v>7816</v>
      </c>
      <c r="B1332" s="95" t="s">
        <v>22</v>
      </c>
      <c r="C1332" s="96" t="s">
        <v>7817</v>
      </c>
      <c r="D1332" s="95" t="s">
        <v>130</v>
      </c>
      <c r="E1332" s="95" t="s">
        <v>2109</v>
      </c>
      <c r="F1332" s="95" t="s">
        <v>19</v>
      </c>
      <c r="G1332" s="95" t="s">
        <v>588</v>
      </c>
      <c r="H1332" s="95" t="s">
        <v>21</v>
      </c>
      <c r="I1332" s="95" t="s">
        <v>677</v>
      </c>
      <c r="J1332" s="97">
        <v>46021.49769592593</v>
      </c>
      <c r="K1332" s="95" t="s">
        <v>7818</v>
      </c>
      <c r="L1332" s="96" t="s">
        <v>7819</v>
      </c>
      <c r="M1332" s="95" t="s">
        <v>54</v>
      </c>
      <c r="N1332" s="95" t="s">
        <v>7820</v>
      </c>
      <c r="O1332" s="95" t="s">
        <v>7820</v>
      </c>
      <c r="P1332" s="95" t="s">
        <v>7821</v>
      </c>
      <c r="Q1332" s="98">
        <v>3.0</v>
      </c>
      <c r="R1332" s="97">
        <v>45667.49273148148</v>
      </c>
      <c r="S1332" s="99">
        <v>1312.0</v>
      </c>
      <c r="T1332" s="99">
        <v>61.0</v>
      </c>
      <c r="U1332" s="99">
        <v>4.0</v>
      </c>
      <c r="V1332" s="99">
        <v>89.0</v>
      </c>
      <c r="W1332" s="99">
        <v>6675.0</v>
      </c>
    </row>
    <row r="1333" ht="15.75" customHeight="1">
      <c r="A1333" s="95" t="s">
        <v>7822</v>
      </c>
      <c r="B1333" s="95" t="s">
        <v>22</v>
      </c>
      <c r="C1333" s="96" t="s">
        <v>7823</v>
      </c>
      <c r="D1333" s="95" t="s">
        <v>68</v>
      </c>
      <c r="E1333" s="95" t="s">
        <v>7824</v>
      </c>
      <c r="F1333" s="95" t="s">
        <v>19</v>
      </c>
      <c r="G1333" s="95" t="s">
        <v>19</v>
      </c>
      <c r="H1333" s="95" t="s">
        <v>21</v>
      </c>
      <c r="I1333" s="95" t="s">
        <v>567</v>
      </c>
      <c r="J1333" s="97">
        <v>46008.62900246528</v>
      </c>
      <c r="K1333" s="96" t="s">
        <v>7825</v>
      </c>
      <c r="L1333" s="95"/>
      <c r="M1333" s="95" t="s">
        <v>93</v>
      </c>
      <c r="N1333" s="95" t="s">
        <v>7826</v>
      </c>
      <c r="O1333" s="95" t="s">
        <v>7826</v>
      </c>
      <c r="P1333" s="95" t="s">
        <v>7827</v>
      </c>
      <c r="Q1333" s="98">
        <v>3.0</v>
      </c>
      <c r="R1333" s="97">
        <v>45736.65106481482</v>
      </c>
      <c r="S1333" s="99">
        <v>73.0</v>
      </c>
      <c r="T1333" s="99">
        <v>1007.0</v>
      </c>
      <c r="U1333" s="99">
        <v>1.0</v>
      </c>
      <c r="V1333" s="99">
        <v>117.0</v>
      </c>
      <c r="W1333" s="99">
        <v>103101.0</v>
      </c>
    </row>
    <row r="1334" ht="15.75" customHeight="1">
      <c r="A1334" s="95" t="s">
        <v>7828</v>
      </c>
      <c r="B1334" s="95" t="s">
        <v>69</v>
      </c>
      <c r="C1334" s="96" t="s">
        <v>7829</v>
      </c>
      <c r="D1334" s="95" t="s">
        <v>59</v>
      </c>
      <c r="E1334" s="95" t="s">
        <v>1347</v>
      </c>
      <c r="F1334" s="95" t="s">
        <v>19</v>
      </c>
      <c r="G1334" s="95" t="s">
        <v>19</v>
      </c>
      <c r="H1334" s="95" t="s">
        <v>21</v>
      </c>
      <c r="I1334" s="95" t="s">
        <v>998</v>
      </c>
      <c r="J1334" s="97">
        <v>46021.51020638889</v>
      </c>
      <c r="K1334" s="95" t="s">
        <v>7830</v>
      </c>
      <c r="L1334" s="96" t="s">
        <v>7831</v>
      </c>
      <c r="M1334" s="95" t="s">
        <v>54</v>
      </c>
      <c r="N1334" s="95" t="s">
        <v>7832</v>
      </c>
      <c r="O1334" s="95" t="s">
        <v>7832</v>
      </c>
      <c r="P1334" s="95" t="s">
        <v>7833</v>
      </c>
      <c r="Q1334" s="98">
        <v>3.0</v>
      </c>
      <c r="R1334" s="97">
        <v>45919.32737268518</v>
      </c>
      <c r="S1334" s="99">
        <v>1308.0</v>
      </c>
      <c r="T1334" s="99">
        <v>883.0</v>
      </c>
      <c r="U1334" s="99">
        <v>1.0</v>
      </c>
      <c r="V1334" s="99">
        <v>149.0</v>
      </c>
      <c r="W1334" s="99">
        <v>368866.0</v>
      </c>
    </row>
    <row r="1335" ht="15.75" customHeight="1">
      <c r="A1335" s="95" t="s">
        <v>7834</v>
      </c>
      <c r="B1335" s="95" t="s">
        <v>22</v>
      </c>
      <c r="C1335" s="96" t="s">
        <v>7835</v>
      </c>
      <c r="D1335" s="95" t="s">
        <v>39</v>
      </c>
      <c r="E1335" s="95" t="s">
        <v>697</v>
      </c>
      <c r="F1335" s="95" t="s">
        <v>19</v>
      </c>
      <c r="G1335" s="95" t="s">
        <v>19</v>
      </c>
      <c r="H1335" s="95" t="s">
        <v>21</v>
      </c>
      <c r="I1335" s="95" t="s">
        <v>589</v>
      </c>
      <c r="J1335" s="97">
        <v>46021.50617167824</v>
      </c>
      <c r="K1335" s="95" t="s">
        <v>7836</v>
      </c>
      <c r="L1335" s="96" t="s">
        <v>7837</v>
      </c>
      <c r="M1335" s="95" t="s">
        <v>38</v>
      </c>
      <c r="N1335" s="95" t="s">
        <v>7838</v>
      </c>
      <c r="O1335" s="95" t="s">
        <v>7838</v>
      </c>
      <c r="P1335" s="95" t="s">
        <v>7839</v>
      </c>
      <c r="Q1335" s="98">
        <v>3.0</v>
      </c>
      <c r="R1335" s="97">
        <v>45743.58576388889</v>
      </c>
      <c r="S1335" s="99">
        <v>158.0</v>
      </c>
      <c r="T1335" s="99">
        <v>145.0</v>
      </c>
      <c r="U1335" s="99">
        <v>1.0</v>
      </c>
      <c r="V1335" s="99">
        <v>69.0</v>
      </c>
      <c r="W1335" s="99">
        <v>36418.0</v>
      </c>
    </row>
    <row r="1336" ht="15.75" customHeight="1">
      <c r="A1336" s="95" t="s">
        <v>7840</v>
      </c>
      <c r="B1336" s="95" t="s">
        <v>22</v>
      </c>
      <c r="C1336" s="96" t="s">
        <v>7841</v>
      </c>
      <c r="D1336" s="95" t="s">
        <v>29</v>
      </c>
      <c r="E1336" s="95" t="s">
        <v>658</v>
      </c>
      <c r="F1336" s="95" t="s">
        <v>19</v>
      </c>
      <c r="G1336" s="95" t="s">
        <v>19</v>
      </c>
      <c r="H1336" s="95" t="s">
        <v>21</v>
      </c>
      <c r="I1336" s="95" t="s">
        <v>589</v>
      </c>
      <c r="J1336" s="97">
        <v>46021.50399828704</v>
      </c>
      <c r="K1336" s="95" t="s">
        <v>7842</v>
      </c>
      <c r="L1336" s="96" t="s">
        <v>7843</v>
      </c>
      <c r="M1336" s="95" t="s">
        <v>503</v>
      </c>
      <c r="N1336" s="95" t="s">
        <v>7844</v>
      </c>
      <c r="O1336" s="95" t="s">
        <v>7844</v>
      </c>
      <c r="P1336" s="95" t="s">
        <v>7845</v>
      </c>
      <c r="Q1336" s="98">
        <v>3.0</v>
      </c>
      <c r="R1336" s="97">
        <v>45923.69899305556</v>
      </c>
      <c r="S1336" s="99">
        <v>1918.0</v>
      </c>
      <c r="T1336" s="99">
        <v>21.0</v>
      </c>
      <c r="U1336" s="99">
        <v>1.0</v>
      </c>
      <c r="V1336" s="99">
        <v>44.0</v>
      </c>
      <c r="W1336" s="99">
        <v>291661.0</v>
      </c>
    </row>
    <row r="1337" ht="15.75" customHeight="1">
      <c r="A1337" s="95" t="s">
        <v>7846</v>
      </c>
      <c r="B1337" s="95" t="s">
        <v>69</v>
      </c>
      <c r="C1337" s="96" t="s">
        <v>7847</v>
      </c>
      <c r="D1337" s="95" t="s">
        <v>547</v>
      </c>
      <c r="E1337" s="95" t="s">
        <v>2952</v>
      </c>
      <c r="F1337" s="95" t="s">
        <v>58</v>
      </c>
      <c r="G1337" s="95" t="s">
        <v>2409</v>
      </c>
      <c r="H1337" s="95" t="s">
        <v>89</v>
      </c>
      <c r="I1337" s="95" t="s">
        <v>1922</v>
      </c>
      <c r="J1337" s="97">
        <v>46021.50617167824</v>
      </c>
      <c r="K1337" s="95" t="s">
        <v>7848</v>
      </c>
      <c r="L1337" s="96" t="s">
        <v>7849</v>
      </c>
      <c r="M1337" s="95" t="s">
        <v>74</v>
      </c>
      <c r="N1337" s="95" t="s">
        <v>7850</v>
      </c>
      <c r="O1337" s="95" t="s">
        <v>7850</v>
      </c>
      <c r="P1337" s="95" t="s">
        <v>7851</v>
      </c>
      <c r="Q1337" s="98">
        <v>3.0</v>
      </c>
      <c r="R1337" s="97">
        <v>45684.34148148148</v>
      </c>
      <c r="S1337" s="99">
        <v>218.0</v>
      </c>
      <c r="T1337" s="99">
        <v>1.0</v>
      </c>
      <c r="U1337" s="99">
        <v>29.0</v>
      </c>
      <c r="V1337" s="99">
        <v>315.0</v>
      </c>
      <c r="W1337" s="99">
        <v>3796.0</v>
      </c>
    </row>
    <row r="1338" ht="15.75" customHeight="1">
      <c r="A1338" s="95" t="s">
        <v>7852</v>
      </c>
      <c r="B1338" s="95" t="s">
        <v>101</v>
      </c>
      <c r="C1338" s="96" t="s">
        <v>7853</v>
      </c>
      <c r="D1338" s="95" t="s">
        <v>39</v>
      </c>
      <c r="E1338" s="95" t="s">
        <v>718</v>
      </c>
      <c r="F1338" s="95" t="s">
        <v>19</v>
      </c>
      <c r="G1338" s="95" t="s">
        <v>19</v>
      </c>
      <c r="H1338" s="95" t="s">
        <v>21</v>
      </c>
      <c r="I1338" s="95" t="s">
        <v>1504</v>
      </c>
      <c r="J1338" s="97">
        <v>45975.67932418981</v>
      </c>
      <c r="K1338" s="96" t="s">
        <v>7854</v>
      </c>
      <c r="L1338" s="96" t="s">
        <v>7855</v>
      </c>
      <c r="M1338" s="95" t="s">
        <v>93</v>
      </c>
      <c r="N1338" s="95" t="s">
        <v>7856</v>
      </c>
      <c r="O1338" s="95" t="s">
        <v>7856</v>
      </c>
      <c r="P1338" s="95" t="s">
        <v>7857</v>
      </c>
      <c r="Q1338" s="98">
        <v>3.0</v>
      </c>
      <c r="R1338" s="97">
        <v>45930.37332175926</v>
      </c>
      <c r="S1338" s="99">
        <v>359.0</v>
      </c>
      <c r="T1338" s="99">
        <v>19.0</v>
      </c>
      <c r="U1338" s="99">
        <v>2.0</v>
      </c>
      <c r="V1338" s="99">
        <v>114.0</v>
      </c>
      <c r="W1338" s="99">
        <v>20348.0</v>
      </c>
    </row>
    <row r="1339" ht="15.75" customHeight="1">
      <c r="A1339" s="95" t="s">
        <v>7858</v>
      </c>
      <c r="B1339" s="95" t="s">
        <v>22</v>
      </c>
      <c r="C1339" s="96" t="s">
        <v>7859</v>
      </c>
      <c r="D1339" s="95" t="s">
        <v>168</v>
      </c>
      <c r="E1339" s="95" t="s">
        <v>7860</v>
      </c>
      <c r="F1339" s="95" t="s">
        <v>19</v>
      </c>
      <c r="G1339" s="95" t="s">
        <v>19</v>
      </c>
      <c r="H1339" s="95" t="s">
        <v>21</v>
      </c>
      <c r="I1339" s="95" t="s">
        <v>567</v>
      </c>
      <c r="J1339" s="97">
        <v>46021.50617167824</v>
      </c>
      <c r="K1339" s="95" t="s">
        <v>7861</v>
      </c>
      <c r="L1339" s="96" t="s">
        <v>7862</v>
      </c>
      <c r="M1339" s="95" t="s">
        <v>93</v>
      </c>
      <c r="N1339" s="95" t="s">
        <v>7863</v>
      </c>
      <c r="O1339" s="95" t="s">
        <v>7863</v>
      </c>
      <c r="P1339" s="95" t="s">
        <v>7864</v>
      </c>
      <c r="Q1339" s="98">
        <v>3.0</v>
      </c>
      <c r="R1339" s="97">
        <v>45839.44255787037</v>
      </c>
      <c r="S1339" s="99">
        <v>147.0</v>
      </c>
      <c r="T1339" s="99">
        <v>2666.0</v>
      </c>
      <c r="U1339" s="99">
        <v>1.0</v>
      </c>
      <c r="V1339" s="99">
        <v>107.0</v>
      </c>
      <c r="W1339" s="99">
        <v>2299677.0</v>
      </c>
    </row>
    <row r="1340" ht="15.75" customHeight="1">
      <c r="A1340" s="95" t="s">
        <v>7865</v>
      </c>
      <c r="B1340" s="95" t="s">
        <v>22</v>
      </c>
      <c r="C1340" s="96" t="s">
        <v>7866</v>
      </c>
      <c r="D1340" s="95" t="s">
        <v>168</v>
      </c>
      <c r="E1340" s="95" t="s">
        <v>7867</v>
      </c>
      <c r="F1340" s="95" t="s">
        <v>19</v>
      </c>
      <c r="G1340" s="95" t="s">
        <v>1367</v>
      </c>
      <c r="H1340" s="95" t="s">
        <v>21</v>
      </c>
      <c r="I1340" s="95" t="s">
        <v>567</v>
      </c>
      <c r="J1340" s="97">
        <v>46021.50399828704</v>
      </c>
      <c r="K1340" s="95" t="s">
        <v>7868</v>
      </c>
      <c r="L1340" s="96" t="s">
        <v>7869</v>
      </c>
      <c r="M1340" s="95" t="s">
        <v>93</v>
      </c>
      <c r="N1340" s="95" t="s">
        <v>7863</v>
      </c>
      <c r="O1340" s="95" t="s">
        <v>7863</v>
      </c>
      <c r="P1340" s="95" t="s">
        <v>7864</v>
      </c>
      <c r="Q1340" s="98">
        <v>3.0</v>
      </c>
      <c r="R1340" s="97">
        <v>45814.31182870371</v>
      </c>
      <c r="S1340" s="99">
        <v>147.0</v>
      </c>
      <c r="T1340" s="99">
        <v>1613.0</v>
      </c>
      <c r="U1340" s="99">
        <v>1.0</v>
      </c>
      <c r="V1340" s="99">
        <v>50.0</v>
      </c>
      <c r="W1340" s="99">
        <v>2299677.0</v>
      </c>
    </row>
    <row r="1341" ht="15.75" customHeight="1">
      <c r="A1341" s="95" t="s">
        <v>7870</v>
      </c>
      <c r="B1341" s="95" t="s">
        <v>22</v>
      </c>
      <c r="C1341" s="96" t="s">
        <v>7871</v>
      </c>
      <c r="D1341" s="95" t="s">
        <v>29</v>
      </c>
      <c r="E1341" s="95" t="s">
        <v>598</v>
      </c>
      <c r="F1341" s="95" t="s">
        <v>19</v>
      </c>
      <c r="G1341" s="95" t="s">
        <v>19</v>
      </c>
      <c r="H1341" s="95" t="s">
        <v>21</v>
      </c>
      <c r="I1341" s="95" t="s">
        <v>589</v>
      </c>
      <c r="J1341" s="97">
        <v>46069.70394782408</v>
      </c>
      <c r="K1341" s="95" t="s">
        <v>7872</v>
      </c>
      <c r="L1341" s="96" t="s">
        <v>7873</v>
      </c>
      <c r="M1341" s="95" t="s">
        <v>74</v>
      </c>
      <c r="N1341" s="95" t="s">
        <v>7874</v>
      </c>
      <c r="O1341" s="95" t="s">
        <v>7874</v>
      </c>
      <c r="P1341" s="95" t="s">
        <v>7875</v>
      </c>
      <c r="Q1341" s="98">
        <v>3.0</v>
      </c>
      <c r="R1341" s="97">
        <v>45895.47844907407</v>
      </c>
      <c r="S1341" s="99">
        <v>569.0</v>
      </c>
      <c r="T1341" s="99">
        <v>244.0</v>
      </c>
      <c r="U1341" s="99">
        <v>3.0</v>
      </c>
      <c r="V1341" s="99">
        <v>15.0</v>
      </c>
      <c r="W1341" s="99">
        <v>8413.0</v>
      </c>
    </row>
    <row r="1342" ht="15.75" customHeight="1">
      <c r="A1342" s="95" t="s">
        <v>7876</v>
      </c>
      <c r="B1342" s="95" t="s">
        <v>22</v>
      </c>
      <c r="C1342" s="96" t="s">
        <v>7877</v>
      </c>
      <c r="D1342" s="95" t="s">
        <v>29</v>
      </c>
      <c r="E1342" s="95" t="s">
        <v>29</v>
      </c>
      <c r="F1342" s="95" t="s">
        <v>19</v>
      </c>
      <c r="G1342" s="95" t="s">
        <v>19</v>
      </c>
      <c r="H1342" s="95" t="s">
        <v>21</v>
      </c>
      <c r="I1342" s="95" t="s">
        <v>567</v>
      </c>
      <c r="J1342" s="97">
        <v>46042.61527111111</v>
      </c>
      <c r="K1342" s="95" t="s">
        <v>7878</v>
      </c>
      <c r="L1342" s="96" t="s">
        <v>7879</v>
      </c>
      <c r="M1342" s="95" t="s">
        <v>503</v>
      </c>
      <c r="N1342" s="95" t="s">
        <v>7880</v>
      </c>
      <c r="O1342" s="95" t="s">
        <v>7880</v>
      </c>
      <c r="P1342" s="95" t="s">
        <v>7881</v>
      </c>
      <c r="Q1342" s="98">
        <v>3.0</v>
      </c>
      <c r="R1342" s="97">
        <v>45864.40929398148</v>
      </c>
      <c r="S1342" s="99">
        <v>38384.0</v>
      </c>
      <c r="T1342" s="99">
        <v>145.0</v>
      </c>
      <c r="U1342" s="99">
        <v>1.0</v>
      </c>
      <c r="V1342" s="99">
        <v>48.0</v>
      </c>
      <c r="W1342" s="99">
        <v>43085.0</v>
      </c>
    </row>
    <row r="1343" ht="15.75" customHeight="1">
      <c r="A1343" s="95" t="s">
        <v>7882</v>
      </c>
      <c r="B1343" s="95" t="s">
        <v>22</v>
      </c>
      <c r="C1343" s="96" t="s">
        <v>7883</v>
      </c>
      <c r="D1343" s="95" t="s">
        <v>130</v>
      </c>
      <c r="E1343" s="95" t="s">
        <v>2109</v>
      </c>
      <c r="F1343" s="95" t="s">
        <v>19</v>
      </c>
      <c r="G1343" s="95" t="s">
        <v>19</v>
      </c>
      <c r="H1343" s="95" t="s">
        <v>21</v>
      </c>
      <c r="I1343" s="95" t="s">
        <v>589</v>
      </c>
      <c r="J1343" s="97">
        <v>45977.67861283565</v>
      </c>
      <c r="K1343" s="95" t="s">
        <v>7884</v>
      </c>
      <c r="L1343" s="95"/>
      <c r="M1343" s="95" t="s">
        <v>17</v>
      </c>
      <c r="N1343" s="95" t="s">
        <v>7885</v>
      </c>
      <c r="O1343" s="95" t="s">
        <v>7885</v>
      </c>
      <c r="P1343" s="95" t="s">
        <v>7886</v>
      </c>
      <c r="Q1343" s="98">
        <v>3.0</v>
      </c>
      <c r="R1343" s="97">
        <v>45846.87407407408</v>
      </c>
      <c r="S1343" s="99">
        <v>21588.0</v>
      </c>
      <c r="T1343" s="99">
        <v>23.0</v>
      </c>
      <c r="U1343" s="99">
        <v>12.0</v>
      </c>
      <c r="V1343" s="99">
        <v>83.0</v>
      </c>
      <c r="W1343" s="99">
        <v>860605.0</v>
      </c>
    </row>
    <row r="1344" ht="15.75" customHeight="1">
      <c r="A1344" s="95" t="s">
        <v>7887</v>
      </c>
      <c r="B1344" s="95" t="s">
        <v>22</v>
      </c>
      <c r="C1344" s="96" t="s">
        <v>7888</v>
      </c>
      <c r="D1344" s="95" t="s">
        <v>130</v>
      </c>
      <c r="E1344" s="95" t="s">
        <v>917</v>
      </c>
      <c r="F1344" s="95" t="s">
        <v>19</v>
      </c>
      <c r="G1344" s="95" t="s">
        <v>19</v>
      </c>
      <c r="H1344" s="95" t="s">
        <v>21</v>
      </c>
      <c r="I1344" s="95" t="s">
        <v>567</v>
      </c>
      <c r="J1344" s="97">
        <v>46056.94379803241</v>
      </c>
      <c r="K1344" s="95" t="s">
        <v>7889</v>
      </c>
      <c r="L1344" s="96" t="s">
        <v>7890</v>
      </c>
      <c r="M1344" s="95" t="s">
        <v>93</v>
      </c>
      <c r="N1344" s="95" t="s">
        <v>7891</v>
      </c>
      <c r="O1344" s="95" t="s">
        <v>7891</v>
      </c>
      <c r="P1344" s="95" t="s">
        <v>7892</v>
      </c>
      <c r="Q1344" s="98">
        <v>3.0</v>
      </c>
      <c r="R1344" s="97">
        <v>46012.6208449074</v>
      </c>
      <c r="S1344" s="99">
        <v>16657.0</v>
      </c>
      <c r="T1344" s="99">
        <v>51.0</v>
      </c>
      <c r="U1344" s="99">
        <v>7.0</v>
      </c>
      <c r="V1344" s="99">
        <v>574.0</v>
      </c>
      <c r="W1344" s="99">
        <v>1604228.0</v>
      </c>
    </row>
    <row r="1345" ht="15.75" customHeight="1">
      <c r="A1345" s="95" t="s">
        <v>7893</v>
      </c>
      <c r="B1345" s="95" t="s">
        <v>22</v>
      </c>
      <c r="C1345" s="96" t="s">
        <v>7894</v>
      </c>
      <c r="D1345" s="95" t="s">
        <v>130</v>
      </c>
      <c r="E1345" s="95" t="s">
        <v>2965</v>
      </c>
      <c r="F1345" s="95" t="s">
        <v>19</v>
      </c>
      <c r="G1345" s="95" t="s">
        <v>19</v>
      </c>
      <c r="H1345" s="95" t="s">
        <v>21</v>
      </c>
      <c r="I1345" s="95" t="s">
        <v>567</v>
      </c>
      <c r="J1345" s="97">
        <v>46069.65894541667</v>
      </c>
      <c r="K1345" s="95" t="s">
        <v>7895</v>
      </c>
      <c r="L1345" s="95"/>
      <c r="M1345" s="95" t="s">
        <v>93</v>
      </c>
      <c r="N1345" s="95" t="s">
        <v>7891</v>
      </c>
      <c r="O1345" s="95" t="s">
        <v>7891</v>
      </c>
      <c r="P1345" s="95" t="s">
        <v>7892</v>
      </c>
      <c r="Q1345" s="98">
        <v>3.0</v>
      </c>
      <c r="R1345" s="97">
        <v>45999.98111111111</v>
      </c>
      <c r="S1345" s="99">
        <v>16657.0</v>
      </c>
      <c r="T1345" s="99">
        <v>178.0</v>
      </c>
      <c r="U1345" s="99">
        <v>15.0</v>
      </c>
      <c r="V1345" s="99">
        <v>479.0</v>
      </c>
      <c r="W1345" s="99">
        <v>1604228.0</v>
      </c>
    </row>
    <row r="1346" ht="15.75" customHeight="1">
      <c r="A1346" s="95" t="s">
        <v>7896</v>
      </c>
      <c r="B1346" s="95" t="s">
        <v>22</v>
      </c>
      <c r="C1346" s="96" t="s">
        <v>7897</v>
      </c>
      <c r="D1346" s="95" t="s">
        <v>29</v>
      </c>
      <c r="E1346" s="95" t="s">
        <v>7898</v>
      </c>
      <c r="F1346" s="95" t="s">
        <v>19</v>
      </c>
      <c r="G1346" s="95" t="s">
        <v>19</v>
      </c>
      <c r="H1346" s="95" t="s">
        <v>21</v>
      </c>
      <c r="I1346" s="95" t="s">
        <v>567</v>
      </c>
      <c r="J1346" s="97">
        <v>45975.67937972222</v>
      </c>
      <c r="K1346" s="96" t="s">
        <v>7899</v>
      </c>
      <c r="L1346" s="96" t="s">
        <v>7900</v>
      </c>
      <c r="M1346" s="95" t="s">
        <v>74</v>
      </c>
      <c r="N1346" s="95" t="s">
        <v>7901</v>
      </c>
      <c r="O1346" s="95" t="s">
        <v>7901</v>
      </c>
      <c r="P1346" s="95" t="s">
        <v>7902</v>
      </c>
      <c r="Q1346" s="98">
        <v>3.0</v>
      </c>
      <c r="R1346" s="97">
        <v>45709.4922337963</v>
      </c>
      <c r="S1346" s="99">
        <v>45337.0</v>
      </c>
      <c r="T1346" s="99">
        <v>38.0</v>
      </c>
      <c r="U1346" s="99">
        <v>6.0</v>
      </c>
      <c r="V1346" s="99">
        <v>118.0</v>
      </c>
      <c r="W1346" s="99">
        <v>196248.0</v>
      </c>
    </row>
    <row r="1347" ht="15.75" customHeight="1">
      <c r="A1347" s="95" t="s">
        <v>7903</v>
      </c>
      <c r="B1347" s="95" t="s">
        <v>22</v>
      </c>
      <c r="C1347" s="96" t="s">
        <v>7904</v>
      </c>
      <c r="D1347" s="95" t="s">
        <v>124</v>
      </c>
      <c r="E1347" s="95" t="s">
        <v>2195</v>
      </c>
      <c r="F1347" s="95" t="s">
        <v>19</v>
      </c>
      <c r="G1347" s="95" t="s">
        <v>574</v>
      </c>
      <c r="H1347" s="95" t="s">
        <v>21</v>
      </c>
      <c r="I1347" s="95" t="s">
        <v>677</v>
      </c>
      <c r="J1347" s="97">
        <v>46021.51309140046</v>
      </c>
      <c r="K1347" s="95" t="s">
        <v>7905</v>
      </c>
      <c r="L1347" s="96" t="s">
        <v>7906</v>
      </c>
      <c r="M1347" s="95" t="s">
        <v>503</v>
      </c>
      <c r="N1347" s="95" t="s">
        <v>7907</v>
      </c>
      <c r="O1347" s="95" t="s">
        <v>7907</v>
      </c>
      <c r="P1347" s="95" t="s">
        <v>7908</v>
      </c>
      <c r="Q1347" s="98">
        <v>3.0</v>
      </c>
      <c r="R1347" s="97">
        <v>45977.78094907408</v>
      </c>
      <c r="S1347" s="99">
        <v>213.0</v>
      </c>
      <c r="T1347" s="99">
        <v>1.0</v>
      </c>
      <c r="U1347" s="99">
        <v>14.0</v>
      </c>
      <c r="V1347" s="99">
        <v>967.0</v>
      </c>
      <c r="W1347" s="99">
        <v>5141.0</v>
      </c>
    </row>
    <row r="1348" ht="15.75" customHeight="1">
      <c r="A1348" s="95" t="s">
        <v>7909</v>
      </c>
      <c r="B1348" s="95" t="s">
        <v>22</v>
      </c>
      <c r="C1348" s="96" t="s">
        <v>7910</v>
      </c>
      <c r="D1348" s="95" t="s">
        <v>68</v>
      </c>
      <c r="E1348" s="95" t="s">
        <v>3150</v>
      </c>
      <c r="F1348" s="95" t="s">
        <v>19</v>
      </c>
      <c r="G1348" s="95" t="s">
        <v>19</v>
      </c>
      <c r="H1348" s="95" t="s">
        <v>21</v>
      </c>
      <c r="I1348" s="95" t="s">
        <v>567</v>
      </c>
      <c r="J1348" s="97">
        <v>45978.46415635417</v>
      </c>
      <c r="K1348" s="95" t="s">
        <v>7911</v>
      </c>
      <c r="L1348" s="96" t="s">
        <v>7912</v>
      </c>
      <c r="M1348" s="95" t="s">
        <v>17</v>
      </c>
      <c r="N1348" s="95" t="s">
        <v>7913</v>
      </c>
      <c r="O1348" s="95" t="s">
        <v>7913</v>
      </c>
      <c r="P1348" s="95" t="s">
        <v>7914</v>
      </c>
      <c r="Q1348" s="98">
        <v>3.0</v>
      </c>
      <c r="R1348" s="97">
        <v>45855.49136574074</v>
      </c>
      <c r="S1348" s="99">
        <v>1644.0</v>
      </c>
      <c r="T1348" s="99">
        <v>414.0</v>
      </c>
      <c r="U1348" s="99">
        <v>54.0</v>
      </c>
      <c r="V1348" s="99">
        <v>227.0</v>
      </c>
      <c r="W1348" s="99">
        <v>296323.0</v>
      </c>
    </row>
    <row r="1349" ht="15.75" customHeight="1">
      <c r="A1349" s="95" t="s">
        <v>7915</v>
      </c>
      <c r="B1349" s="95" t="s">
        <v>22</v>
      </c>
      <c r="C1349" s="96" t="s">
        <v>7916</v>
      </c>
      <c r="D1349" s="95" t="s">
        <v>68</v>
      </c>
      <c r="E1349" s="95" t="s">
        <v>3150</v>
      </c>
      <c r="F1349" s="95" t="s">
        <v>19</v>
      </c>
      <c r="G1349" s="95" t="s">
        <v>19</v>
      </c>
      <c r="H1349" s="95" t="s">
        <v>21</v>
      </c>
      <c r="I1349" s="95" t="s">
        <v>677</v>
      </c>
      <c r="J1349" s="97">
        <v>45978.46415635417</v>
      </c>
      <c r="K1349" s="95" t="s">
        <v>7917</v>
      </c>
      <c r="L1349" s="96" t="s">
        <v>7918</v>
      </c>
      <c r="M1349" s="95" t="s">
        <v>17</v>
      </c>
      <c r="N1349" s="95" t="s">
        <v>7913</v>
      </c>
      <c r="O1349" s="95" t="s">
        <v>7913</v>
      </c>
      <c r="P1349" s="95" t="s">
        <v>7914</v>
      </c>
      <c r="Q1349" s="98">
        <v>3.0</v>
      </c>
      <c r="R1349" s="97">
        <v>45869.34614583333</v>
      </c>
      <c r="S1349" s="99">
        <v>1644.0</v>
      </c>
      <c r="T1349" s="99">
        <v>152.0</v>
      </c>
      <c r="U1349" s="99">
        <v>1.0</v>
      </c>
      <c r="V1349" s="99">
        <v>67.0</v>
      </c>
      <c r="W1349" s="99">
        <v>296323.0</v>
      </c>
    </row>
    <row r="1350" ht="15.75" customHeight="1">
      <c r="A1350" s="95" t="s">
        <v>7919</v>
      </c>
      <c r="B1350" s="95" t="s">
        <v>22</v>
      </c>
      <c r="C1350" s="96" t="s">
        <v>7920</v>
      </c>
      <c r="D1350" s="95" t="s">
        <v>20</v>
      </c>
      <c r="E1350" s="95" t="s">
        <v>638</v>
      </c>
      <c r="F1350" s="95" t="s">
        <v>19</v>
      </c>
      <c r="G1350" s="95" t="s">
        <v>574</v>
      </c>
      <c r="H1350" s="95" t="s">
        <v>21</v>
      </c>
      <c r="I1350" s="95" t="s">
        <v>567</v>
      </c>
      <c r="J1350" s="97">
        <v>46008.62906491898</v>
      </c>
      <c r="K1350" s="96" t="s">
        <v>7921</v>
      </c>
      <c r="L1350" s="96" t="s">
        <v>7922</v>
      </c>
      <c r="M1350" s="95" t="s">
        <v>17</v>
      </c>
      <c r="N1350" s="95" t="s">
        <v>7923</v>
      </c>
      <c r="O1350" s="95" t="s">
        <v>7923</v>
      </c>
      <c r="P1350" s="95" t="s">
        <v>7924</v>
      </c>
      <c r="Q1350" s="98">
        <v>3.0</v>
      </c>
      <c r="R1350" s="97">
        <v>45614.4091087963</v>
      </c>
      <c r="S1350" s="99">
        <v>576.0</v>
      </c>
      <c r="T1350" s="99">
        <v>35.0</v>
      </c>
      <c r="U1350" s="99">
        <v>11.0</v>
      </c>
      <c r="V1350" s="99">
        <v>124.0</v>
      </c>
      <c r="W1350" s="99">
        <v>47425.0</v>
      </c>
    </row>
    <row r="1351" ht="15.75" customHeight="1">
      <c r="A1351" s="95" t="s">
        <v>7925</v>
      </c>
      <c r="B1351" s="95" t="s">
        <v>157</v>
      </c>
      <c r="C1351" s="96" t="s">
        <v>7926</v>
      </c>
      <c r="D1351" s="95" t="s">
        <v>20</v>
      </c>
      <c r="E1351" s="95" t="s">
        <v>1991</v>
      </c>
      <c r="F1351" s="95" t="s">
        <v>88</v>
      </c>
      <c r="G1351" s="95" t="s">
        <v>88</v>
      </c>
      <c r="H1351" s="95" t="s">
        <v>89</v>
      </c>
      <c r="I1351" s="95" t="s">
        <v>897</v>
      </c>
      <c r="J1351" s="97">
        <v>45975.67935613426</v>
      </c>
      <c r="K1351" s="96" t="s">
        <v>7927</v>
      </c>
      <c r="L1351" s="95"/>
      <c r="M1351" s="95" t="s">
        <v>17</v>
      </c>
      <c r="N1351" s="95" t="s">
        <v>7928</v>
      </c>
      <c r="O1351" s="95" t="s">
        <v>7928</v>
      </c>
      <c r="P1351" s="95" t="s">
        <v>7929</v>
      </c>
      <c r="Q1351" s="98">
        <v>3.0</v>
      </c>
      <c r="R1351" s="97">
        <v>45629.21745370371</v>
      </c>
      <c r="S1351" s="99">
        <v>7838.0</v>
      </c>
      <c r="T1351" s="99">
        <v>57.0</v>
      </c>
      <c r="U1351" s="99">
        <v>6.0</v>
      </c>
      <c r="V1351" s="99">
        <v>109.0</v>
      </c>
      <c r="W1351" s="99">
        <v>198978.0</v>
      </c>
    </row>
    <row r="1352" ht="15.75" customHeight="1">
      <c r="A1352" s="95" t="s">
        <v>7930</v>
      </c>
      <c r="B1352" s="95" t="s">
        <v>69</v>
      </c>
      <c r="C1352" s="96" t="s">
        <v>7931</v>
      </c>
      <c r="D1352" s="95" t="s">
        <v>29</v>
      </c>
      <c r="E1352" s="95" t="s">
        <v>598</v>
      </c>
      <c r="F1352" s="95" t="s">
        <v>58</v>
      </c>
      <c r="G1352" s="95"/>
      <c r="H1352" s="95" t="s">
        <v>77</v>
      </c>
      <c r="I1352" s="95" t="s">
        <v>599</v>
      </c>
      <c r="J1352" s="97">
        <v>45975.6793321412</v>
      </c>
      <c r="K1352" s="96" t="s">
        <v>7932</v>
      </c>
      <c r="L1352" s="96" t="s">
        <v>7933</v>
      </c>
      <c r="M1352" s="95" t="s">
        <v>503</v>
      </c>
      <c r="N1352" s="95" t="s">
        <v>7934</v>
      </c>
      <c r="O1352" s="95" t="s">
        <v>7934</v>
      </c>
      <c r="P1352" s="95" t="s">
        <v>7935</v>
      </c>
      <c r="Q1352" s="98">
        <v>3.0</v>
      </c>
      <c r="R1352" s="97">
        <v>45646.8031712963</v>
      </c>
      <c r="S1352" s="99">
        <v>115.0</v>
      </c>
      <c r="T1352" s="99">
        <v>66.0</v>
      </c>
      <c r="U1352" s="99">
        <v>4.0</v>
      </c>
      <c r="V1352" s="99">
        <v>15.0</v>
      </c>
      <c r="W1352" s="99">
        <v>5715.0</v>
      </c>
    </row>
    <row r="1353" ht="15.75" customHeight="1">
      <c r="A1353" s="95" t="s">
        <v>7936</v>
      </c>
      <c r="B1353" s="95" t="s">
        <v>22</v>
      </c>
      <c r="C1353" s="96" t="s">
        <v>7937</v>
      </c>
      <c r="D1353" s="95" t="s">
        <v>59</v>
      </c>
      <c r="E1353" s="95" t="s">
        <v>738</v>
      </c>
      <c r="F1353" s="95" t="s">
        <v>19</v>
      </c>
      <c r="G1353" s="95" t="s">
        <v>19</v>
      </c>
      <c r="H1353" s="95" t="s">
        <v>21</v>
      </c>
      <c r="I1353" s="95" t="s">
        <v>677</v>
      </c>
      <c r="J1353" s="97">
        <v>46021.51020638889</v>
      </c>
      <c r="K1353" s="95" t="s">
        <v>7938</v>
      </c>
      <c r="L1353" s="96" t="s">
        <v>7939</v>
      </c>
      <c r="M1353" s="95" t="s">
        <v>28</v>
      </c>
      <c r="N1353" s="95" t="s">
        <v>7940</v>
      </c>
      <c r="O1353" s="95" t="s">
        <v>7940</v>
      </c>
      <c r="P1353" s="95" t="s">
        <v>7941</v>
      </c>
      <c r="Q1353" s="98">
        <v>3.0</v>
      </c>
      <c r="R1353" s="97">
        <v>45703.63991898148</v>
      </c>
      <c r="S1353" s="99">
        <v>889.0</v>
      </c>
      <c r="T1353" s="99">
        <v>106.0</v>
      </c>
      <c r="U1353" s="99">
        <v>1.0</v>
      </c>
      <c r="V1353" s="99">
        <v>106.0</v>
      </c>
      <c r="W1353" s="99">
        <v>14452.0</v>
      </c>
    </row>
    <row r="1354" ht="15.75" customHeight="1">
      <c r="A1354" s="95" t="s">
        <v>7942</v>
      </c>
      <c r="B1354" s="95" t="s">
        <v>22</v>
      </c>
      <c r="C1354" s="96" t="s">
        <v>7943</v>
      </c>
      <c r="D1354" s="95" t="s">
        <v>59</v>
      </c>
      <c r="E1354" s="95" t="s">
        <v>738</v>
      </c>
      <c r="F1354" s="95" t="s">
        <v>19</v>
      </c>
      <c r="G1354" s="95" t="s">
        <v>19</v>
      </c>
      <c r="H1354" s="95" t="s">
        <v>21</v>
      </c>
      <c r="I1354" s="95" t="s">
        <v>567</v>
      </c>
      <c r="J1354" s="97">
        <v>46069.1369109838</v>
      </c>
      <c r="K1354" s="95" t="s">
        <v>7944</v>
      </c>
      <c r="L1354" s="96" t="s">
        <v>7945</v>
      </c>
      <c r="M1354" s="95" t="s">
        <v>93</v>
      </c>
      <c r="N1354" s="95" t="s">
        <v>7946</v>
      </c>
      <c r="O1354" s="95" t="s">
        <v>7946</v>
      </c>
      <c r="P1354" s="95" t="s">
        <v>7947</v>
      </c>
      <c r="Q1354" s="98">
        <v>3.0</v>
      </c>
      <c r="R1354" s="97">
        <v>46058.90790509259</v>
      </c>
      <c r="S1354" s="99">
        <v>2266.0</v>
      </c>
      <c r="T1354" s="99">
        <v>313.0</v>
      </c>
      <c r="U1354" s="99">
        <v>173.0</v>
      </c>
      <c r="V1354" s="99">
        <v>654.0</v>
      </c>
      <c r="W1354" s="99">
        <v>223277.0</v>
      </c>
    </row>
    <row r="1355" ht="15.75" customHeight="1">
      <c r="A1355" s="95" t="s">
        <v>7948</v>
      </c>
      <c r="B1355" s="95" t="s">
        <v>157</v>
      </c>
      <c r="C1355" s="96" t="s">
        <v>7949</v>
      </c>
      <c r="D1355" s="95" t="s">
        <v>59</v>
      </c>
      <c r="E1355" s="95" t="s">
        <v>738</v>
      </c>
      <c r="F1355" s="95" t="s">
        <v>88</v>
      </c>
      <c r="G1355" s="95" t="s">
        <v>88</v>
      </c>
      <c r="H1355" s="95" t="s">
        <v>89</v>
      </c>
      <c r="I1355" s="95" t="s">
        <v>859</v>
      </c>
      <c r="J1355" s="97">
        <v>45975.67932418981</v>
      </c>
      <c r="K1355" s="96" t="s">
        <v>7950</v>
      </c>
      <c r="L1355" s="96" t="s">
        <v>7951</v>
      </c>
      <c r="M1355" s="95" t="s">
        <v>93</v>
      </c>
      <c r="N1355" s="95" t="s">
        <v>7946</v>
      </c>
      <c r="O1355" s="95" t="s">
        <v>7946</v>
      </c>
      <c r="P1355" s="95" t="s">
        <v>7947</v>
      </c>
      <c r="Q1355" s="98">
        <v>3.0</v>
      </c>
      <c r="R1355" s="97">
        <v>45762.58967592593</v>
      </c>
      <c r="S1355" s="99">
        <v>2266.0</v>
      </c>
      <c r="T1355" s="99">
        <v>367.0</v>
      </c>
      <c r="U1355" s="99">
        <v>1.0</v>
      </c>
      <c r="V1355" s="99">
        <v>176.0</v>
      </c>
      <c r="W1355" s="99">
        <v>223277.0</v>
      </c>
    </row>
    <row r="1356" ht="15.75" customHeight="1">
      <c r="A1356" s="95" t="s">
        <v>7952</v>
      </c>
      <c r="B1356" s="95" t="s">
        <v>22</v>
      </c>
      <c r="C1356" s="96" t="s">
        <v>7953</v>
      </c>
      <c r="D1356" s="95" t="s">
        <v>59</v>
      </c>
      <c r="E1356" s="95" t="s">
        <v>738</v>
      </c>
      <c r="F1356" s="95" t="s">
        <v>19</v>
      </c>
      <c r="G1356" s="95" t="s">
        <v>19</v>
      </c>
      <c r="H1356" s="95" t="s">
        <v>21</v>
      </c>
      <c r="I1356" s="95" t="s">
        <v>677</v>
      </c>
      <c r="J1356" s="97">
        <v>45975.67932418981</v>
      </c>
      <c r="K1356" s="96" t="s">
        <v>7954</v>
      </c>
      <c r="L1356" s="96" t="s">
        <v>7955</v>
      </c>
      <c r="M1356" s="95" t="s">
        <v>93</v>
      </c>
      <c r="N1356" s="95" t="s">
        <v>7956</v>
      </c>
      <c r="O1356" s="95" t="s">
        <v>7956</v>
      </c>
      <c r="P1356" s="95" t="s">
        <v>7957</v>
      </c>
      <c r="Q1356" s="98">
        <v>3.0</v>
      </c>
      <c r="R1356" s="97">
        <v>45617.58951388889</v>
      </c>
      <c r="S1356" s="99">
        <v>3287.0</v>
      </c>
      <c r="T1356" s="99">
        <v>83.0</v>
      </c>
      <c r="U1356" s="99">
        <v>1.0</v>
      </c>
      <c r="V1356" s="99">
        <v>61.0</v>
      </c>
      <c r="W1356" s="99">
        <v>33677.0</v>
      </c>
    </row>
    <row r="1357" ht="15.75" customHeight="1">
      <c r="A1357" s="95" t="s">
        <v>7958</v>
      </c>
      <c r="B1357" s="95" t="s">
        <v>22</v>
      </c>
      <c r="C1357" s="96" t="s">
        <v>7959</v>
      </c>
      <c r="D1357" s="95" t="s">
        <v>59</v>
      </c>
      <c r="E1357" s="95" t="s">
        <v>1347</v>
      </c>
      <c r="F1357" s="95" t="s">
        <v>19</v>
      </c>
      <c r="G1357" s="95" t="s">
        <v>588</v>
      </c>
      <c r="H1357" s="95" t="s">
        <v>21</v>
      </c>
      <c r="I1357" s="95" t="s">
        <v>589</v>
      </c>
      <c r="J1357" s="97">
        <v>45975.67931630787</v>
      </c>
      <c r="K1357" s="96" t="s">
        <v>7960</v>
      </c>
      <c r="L1357" s="96" t="s">
        <v>7961</v>
      </c>
      <c r="M1357" s="95" t="s">
        <v>54</v>
      </c>
      <c r="N1357" s="95" t="s">
        <v>7962</v>
      </c>
      <c r="O1357" s="95" t="s">
        <v>7962</v>
      </c>
      <c r="P1357" s="95" t="s">
        <v>7963</v>
      </c>
      <c r="Q1357" s="98">
        <v>3.0</v>
      </c>
      <c r="R1357" s="97">
        <v>45869.67765046296</v>
      </c>
      <c r="S1357" s="99">
        <v>61091.0</v>
      </c>
      <c r="T1357" s="99">
        <v>677.0</v>
      </c>
      <c r="U1357" s="99">
        <v>1.0</v>
      </c>
      <c r="V1357" s="99">
        <v>34.0</v>
      </c>
      <c r="W1357" s="99">
        <v>345266.0</v>
      </c>
    </row>
    <row r="1358" ht="15.75" customHeight="1">
      <c r="A1358" s="95" t="s">
        <v>7964</v>
      </c>
      <c r="B1358" s="95" t="s">
        <v>22</v>
      </c>
      <c r="C1358" s="96" t="s">
        <v>7965</v>
      </c>
      <c r="D1358" s="95" t="s">
        <v>59</v>
      </c>
      <c r="E1358" s="95" t="s">
        <v>59</v>
      </c>
      <c r="F1358" s="95" t="s">
        <v>19</v>
      </c>
      <c r="G1358" s="95" t="s">
        <v>19</v>
      </c>
      <c r="H1358" s="95" t="s">
        <v>21</v>
      </c>
      <c r="I1358" s="95" t="s">
        <v>589</v>
      </c>
      <c r="J1358" s="97">
        <v>45975.67931630787</v>
      </c>
      <c r="K1358" s="96" t="s">
        <v>7966</v>
      </c>
      <c r="L1358" s="96" t="s">
        <v>7967</v>
      </c>
      <c r="M1358" s="95" t="s">
        <v>54</v>
      </c>
      <c r="N1358" s="95" t="s">
        <v>7962</v>
      </c>
      <c r="O1358" s="95" t="s">
        <v>7962</v>
      </c>
      <c r="P1358" s="95" t="s">
        <v>7963</v>
      </c>
      <c r="Q1358" s="98">
        <v>3.0</v>
      </c>
      <c r="R1358" s="97">
        <v>45902.53888888889</v>
      </c>
      <c r="S1358" s="99">
        <v>61091.0</v>
      </c>
      <c r="T1358" s="99">
        <v>2138.0</v>
      </c>
      <c r="U1358" s="99">
        <v>4.0</v>
      </c>
      <c r="V1358" s="99">
        <v>52.0</v>
      </c>
      <c r="W1358" s="99">
        <v>345266.0</v>
      </c>
    </row>
    <row r="1359" ht="15.75" customHeight="1">
      <c r="A1359" s="95" t="s">
        <v>7968</v>
      </c>
      <c r="B1359" s="95" t="s">
        <v>22</v>
      </c>
      <c r="C1359" s="96" t="s">
        <v>7969</v>
      </c>
      <c r="D1359" s="95" t="s">
        <v>59</v>
      </c>
      <c r="E1359" s="95" t="s">
        <v>1347</v>
      </c>
      <c r="F1359" s="95" t="s">
        <v>19</v>
      </c>
      <c r="G1359" s="95" t="s">
        <v>19</v>
      </c>
      <c r="H1359" s="95" t="s">
        <v>21</v>
      </c>
      <c r="I1359" s="95" t="s">
        <v>567</v>
      </c>
      <c r="J1359" s="97">
        <v>45975.67931630787</v>
      </c>
      <c r="K1359" s="96" t="s">
        <v>7970</v>
      </c>
      <c r="L1359" s="96" t="s">
        <v>7971</v>
      </c>
      <c r="M1359" s="95" t="s">
        <v>54</v>
      </c>
      <c r="N1359" s="95" t="s">
        <v>7962</v>
      </c>
      <c r="O1359" s="95" t="s">
        <v>7962</v>
      </c>
      <c r="P1359" s="95" t="s">
        <v>7963</v>
      </c>
      <c r="Q1359" s="98">
        <v>3.0</v>
      </c>
      <c r="R1359" s="97">
        <v>45783.31216435185</v>
      </c>
      <c r="S1359" s="99">
        <v>61091.0</v>
      </c>
      <c r="T1359" s="99">
        <v>299.0</v>
      </c>
      <c r="U1359" s="99">
        <v>4.0</v>
      </c>
      <c r="V1359" s="99">
        <v>31.0</v>
      </c>
      <c r="W1359" s="99">
        <v>345266.0</v>
      </c>
    </row>
    <row r="1360" ht="15.75" customHeight="1">
      <c r="A1360" s="95" t="s">
        <v>7972</v>
      </c>
      <c r="B1360" s="95" t="s">
        <v>22</v>
      </c>
      <c r="C1360" s="96" t="s">
        <v>7973</v>
      </c>
      <c r="D1360" s="95" t="s">
        <v>59</v>
      </c>
      <c r="E1360" s="95" t="s">
        <v>1347</v>
      </c>
      <c r="F1360" s="95" t="s">
        <v>19</v>
      </c>
      <c r="G1360" s="95" t="s">
        <v>19</v>
      </c>
      <c r="H1360" s="95" t="s">
        <v>21</v>
      </c>
      <c r="I1360" s="95" t="s">
        <v>567</v>
      </c>
      <c r="J1360" s="97">
        <v>45975.67931630787</v>
      </c>
      <c r="K1360" s="96" t="s">
        <v>7974</v>
      </c>
      <c r="L1360" s="96" t="s">
        <v>7975</v>
      </c>
      <c r="M1360" s="95" t="s">
        <v>54</v>
      </c>
      <c r="N1360" s="95" t="s">
        <v>7962</v>
      </c>
      <c r="O1360" s="95" t="s">
        <v>7962</v>
      </c>
      <c r="P1360" s="95" t="s">
        <v>7963</v>
      </c>
      <c r="Q1360" s="98">
        <v>3.0</v>
      </c>
      <c r="R1360" s="97">
        <v>45742.93574074074</v>
      </c>
      <c r="S1360" s="99">
        <v>61091.0</v>
      </c>
      <c r="T1360" s="99">
        <v>253.0</v>
      </c>
      <c r="U1360" s="99">
        <v>20.0</v>
      </c>
      <c r="V1360" s="99">
        <v>99.0</v>
      </c>
      <c r="W1360" s="99">
        <v>345266.0</v>
      </c>
    </row>
    <row r="1361" ht="15.75" customHeight="1">
      <c r="A1361" s="95" t="s">
        <v>7976</v>
      </c>
      <c r="B1361" s="95" t="s">
        <v>101</v>
      </c>
      <c r="C1361" s="96" t="s">
        <v>7977</v>
      </c>
      <c r="D1361" s="95" t="s">
        <v>59</v>
      </c>
      <c r="E1361" s="95" t="s">
        <v>3394</v>
      </c>
      <c r="F1361" s="95" t="s">
        <v>19</v>
      </c>
      <c r="G1361" s="95" t="s">
        <v>588</v>
      </c>
      <c r="H1361" s="95" t="s">
        <v>21</v>
      </c>
      <c r="I1361" s="95" t="s">
        <v>890</v>
      </c>
      <c r="J1361" s="97">
        <v>45975.67931630787</v>
      </c>
      <c r="K1361" s="96" t="s">
        <v>7978</v>
      </c>
      <c r="L1361" s="96" t="s">
        <v>7979</v>
      </c>
      <c r="M1361" s="95" t="s">
        <v>54</v>
      </c>
      <c r="N1361" s="95" t="s">
        <v>7962</v>
      </c>
      <c r="O1361" s="95" t="s">
        <v>7962</v>
      </c>
      <c r="P1361" s="95" t="s">
        <v>7963</v>
      </c>
      <c r="Q1361" s="98">
        <v>3.0</v>
      </c>
      <c r="R1361" s="97">
        <v>45748.35767361111</v>
      </c>
      <c r="S1361" s="99">
        <v>61091.0</v>
      </c>
      <c r="T1361" s="99">
        <v>273.0</v>
      </c>
      <c r="U1361" s="99">
        <v>9.0</v>
      </c>
      <c r="V1361" s="99">
        <v>22.0</v>
      </c>
      <c r="W1361" s="99">
        <v>345266.0</v>
      </c>
    </row>
    <row r="1362" ht="15.75" customHeight="1">
      <c r="A1362" s="95" t="s">
        <v>7980</v>
      </c>
      <c r="B1362" s="95" t="s">
        <v>157</v>
      </c>
      <c r="C1362" s="96" t="s">
        <v>7981</v>
      </c>
      <c r="D1362" s="95" t="s">
        <v>20</v>
      </c>
      <c r="E1362" s="95" t="s">
        <v>638</v>
      </c>
      <c r="F1362" s="95" t="s">
        <v>19</v>
      </c>
      <c r="G1362" s="95" t="s">
        <v>1018</v>
      </c>
      <c r="H1362" s="95" t="s">
        <v>89</v>
      </c>
      <c r="I1362" s="95" t="s">
        <v>859</v>
      </c>
      <c r="J1362" s="97">
        <v>46008.6290827662</v>
      </c>
      <c r="K1362" s="96" t="s">
        <v>7982</v>
      </c>
      <c r="L1362" s="95"/>
      <c r="M1362" s="95" t="s">
        <v>74</v>
      </c>
      <c r="N1362" s="95" t="s">
        <v>7983</v>
      </c>
      <c r="O1362" s="95" t="s">
        <v>7983</v>
      </c>
      <c r="P1362" s="95" t="s">
        <v>7984</v>
      </c>
      <c r="Q1362" s="98">
        <v>3.0</v>
      </c>
      <c r="R1362" s="97">
        <v>45863.02467592592</v>
      </c>
      <c r="S1362" s="99">
        <v>10496.0</v>
      </c>
      <c r="T1362" s="99">
        <v>47.0</v>
      </c>
      <c r="U1362" s="99">
        <v>4.0</v>
      </c>
      <c r="V1362" s="99">
        <v>204.0</v>
      </c>
      <c r="W1362" s="99">
        <v>726666.0</v>
      </c>
    </row>
    <row r="1363" ht="15.75" customHeight="1">
      <c r="A1363" s="95" t="s">
        <v>7985</v>
      </c>
      <c r="B1363" s="95" t="s">
        <v>22</v>
      </c>
      <c r="C1363" s="96" t="s">
        <v>7986</v>
      </c>
      <c r="D1363" s="95" t="s">
        <v>20</v>
      </c>
      <c r="E1363" s="95" t="s">
        <v>638</v>
      </c>
      <c r="F1363" s="95" t="s">
        <v>19</v>
      </c>
      <c r="G1363" s="95" t="s">
        <v>997</v>
      </c>
      <c r="H1363" s="95" t="s">
        <v>21</v>
      </c>
      <c r="I1363" s="95" t="s">
        <v>711</v>
      </c>
      <c r="J1363" s="97">
        <v>46069.70394782408</v>
      </c>
      <c r="K1363" s="95" t="s">
        <v>7987</v>
      </c>
      <c r="L1363" s="96" t="s">
        <v>7988</v>
      </c>
      <c r="M1363" s="95" t="s">
        <v>74</v>
      </c>
      <c r="N1363" s="95" t="s">
        <v>7983</v>
      </c>
      <c r="O1363" s="95" t="s">
        <v>7983</v>
      </c>
      <c r="P1363" s="95" t="s">
        <v>7984</v>
      </c>
      <c r="Q1363" s="98">
        <v>3.0</v>
      </c>
      <c r="R1363" s="97">
        <v>45955.25753472222</v>
      </c>
      <c r="S1363" s="99">
        <v>10496.0</v>
      </c>
      <c r="T1363" s="99">
        <v>28.0</v>
      </c>
      <c r="U1363" s="99">
        <v>3.0</v>
      </c>
      <c r="V1363" s="99">
        <v>51.0</v>
      </c>
      <c r="W1363" s="99">
        <v>726666.0</v>
      </c>
    </row>
    <row r="1364" ht="15.75" customHeight="1">
      <c r="A1364" s="95" t="s">
        <v>7989</v>
      </c>
      <c r="B1364" s="95" t="s">
        <v>22</v>
      </c>
      <c r="C1364" s="96" t="s">
        <v>7990</v>
      </c>
      <c r="D1364" s="95" t="s">
        <v>20</v>
      </c>
      <c r="E1364" s="95" t="s">
        <v>638</v>
      </c>
      <c r="F1364" s="95" t="s">
        <v>19</v>
      </c>
      <c r="G1364" s="95" t="s">
        <v>19</v>
      </c>
      <c r="H1364" s="95" t="s">
        <v>21</v>
      </c>
      <c r="I1364" s="95" t="s">
        <v>711</v>
      </c>
      <c r="J1364" s="97">
        <v>46069.70394782408</v>
      </c>
      <c r="K1364" s="95" t="s">
        <v>7991</v>
      </c>
      <c r="L1364" s="96" t="s">
        <v>7992</v>
      </c>
      <c r="M1364" s="95" t="s">
        <v>74</v>
      </c>
      <c r="N1364" s="95" t="s">
        <v>7983</v>
      </c>
      <c r="O1364" s="95" t="s">
        <v>7983</v>
      </c>
      <c r="P1364" s="95" t="s">
        <v>7984</v>
      </c>
      <c r="Q1364" s="98">
        <v>3.0</v>
      </c>
      <c r="R1364" s="97">
        <v>45956.24568287037</v>
      </c>
      <c r="S1364" s="99">
        <v>10496.0</v>
      </c>
      <c r="T1364" s="99">
        <v>5.0</v>
      </c>
      <c r="U1364" s="99">
        <v>6.0</v>
      </c>
      <c r="V1364" s="99">
        <v>364.0</v>
      </c>
      <c r="W1364" s="99">
        <v>726666.0</v>
      </c>
    </row>
    <row r="1365" ht="15.75" customHeight="1">
      <c r="A1365" s="95" t="s">
        <v>7993</v>
      </c>
      <c r="B1365" s="95" t="s">
        <v>22</v>
      </c>
      <c r="C1365" s="96" t="s">
        <v>7994</v>
      </c>
      <c r="D1365" s="95" t="s">
        <v>39</v>
      </c>
      <c r="E1365" s="95" t="s">
        <v>7995</v>
      </c>
      <c r="F1365" s="95" t="s">
        <v>19</v>
      </c>
      <c r="G1365" s="95" t="s">
        <v>19</v>
      </c>
      <c r="H1365" s="95" t="s">
        <v>21</v>
      </c>
      <c r="I1365" s="95" t="s">
        <v>589</v>
      </c>
      <c r="J1365" s="97">
        <v>46021.51020638889</v>
      </c>
      <c r="K1365" s="95" t="s">
        <v>7996</v>
      </c>
      <c r="L1365" s="96" t="s">
        <v>7997</v>
      </c>
      <c r="M1365" s="95" t="s">
        <v>503</v>
      </c>
      <c r="N1365" s="95" t="s">
        <v>7998</v>
      </c>
      <c r="O1365" s="95" t="s">
        <v>7998</v>
      </c>
      <c r="P1365" s="95" t="s">
        <v>7999</v>
      </c>
      <c r="Q1365" s="98">
        <v>3.0</v>
      </c>
      <c r="R1365" s="97">
        <v>45831.80914351852</v>
      </c>
      <c r="S1365" s="99">
        <v>1117.0</v>
      </c>
      <c r="T1365" s="99">
        <v>12.0</v>
      </c>
      <c r="U1365" s="99">
        <v>4.0</v>
      </c>
      <c r="V1365" s="99">
        <v>98.0</v>
      </c>
      <c r="W1365" s="99">
        <v>26216.0</v>
      </c>
    </row>
    <row r="1366" ht="15.75" customHeight="1">
      <c r="A1366" s="95" t="s">
        <v>8000</v>
      </c>
      <c r="B1366" s="95" t="s">
        <v>22</v>
      </c>
      <c r="C1366" s="96" t="s">
        <v>8001</v>
      </c>
      <c r="D1366" s="95" t="s">
        <v>49</v>
      </c>
      <c r="E1366" s="95" t="s">
        <v>49</v>
      </c>
      <c r="F1366" s="95" t="s">
        <v>19</v>
      </c>
      <c r="G1366" s="95" t="s">
        <v>19</v>
      </c>
      <c r="H1366" s="95" t="s">
        <v>21</v>
      </c>
      <c r="I1366" s="95" t="s">
        <v>589</v>
      </c>
      <c r="J1366" s="97">
        <v>46021.51330457176</v>
      </c>
      <c r="K1366" s="95" t="s">
        <v>8002</v>
      </c>
      <c r="L1366" s="96" t="s">
        <v>8003</v>
      </c>
      <c r="M1366" s="95" t="s">
        <v>54</v>
      </c>
      <c r="N1366" s="95" t="s">
        <v>8004</v>
      </c>
      <c r="O1366" s="95" t="s">
        <v>8004</v>
      </c>
      <c r="P1366" s="95" t="s">
        <v>8005</v>
      </c>
      <c r="Q1366" s="98">
        <v>3.0</v>
      </c>
      <c r="R1366" s="97">
        <v>45848.81241898148</v>
      </c>
      <c r="S1366" s="99">
        <v>100.0</v>
      </c>
      <c r="T1366" s="99">
        <v>1330.0</v>
      </c>
      <c r="U1366" s="99">
        <v>76.0</v>
      </c>
      <c r="V1366" s="99">
        <v>556.0</v>
      </c>
      <c r="W1366" s="99">
        <v>695869.0</v>
      </c>
    </row>
    <row r="1367" ht="15.75" customHeight="1">
      <c r="A1367" s="95" t="s">
        <v>8006</v>
      </c>
      <c r="B1367" s="95" t="s">
        <v>22</v>
      </c>
      <c r="C1367" s="96" t="s">
        <v>8007</v>
      </c>
      <c r="D1367" s="95" t="s">
        <v>39</v>
      </c>
      <c r="E1367" s="95" t="s">
        <v>39</v>
      </c>
      <c r="F1367" s="95" t="s">
        <v>19</v>
      </c>
      <c r="G1367" s="95" t="s">
        <v>19</v>
      </c>
      <c r="H1367" s="95" t="s">
        <v>21</v>
      </c>
      <c r="I1367" s="95" t="s">
        <v>589</v>
      </c>
      <c r="J1367" s="97">
        <v>46017.51244052083</v>
      </c>
      <c r="K1367" s="96" t="s">
        <v>8008</v>
      </c>
      <c r="L1367" s="96" t="s">
        <v>8009</v>
      </c>
      <c r="M1367" s="95" t="s">
        <v>503</v>
      </c>
      <c r="N1367" s="95" t="s">
        <v>8010</v>
      </c>
      <c r="O1367" s="95" t="s">
        <v>8010</v>
      </c>
      <c r="P1367" s="95" t="s">
        <v>8011</v>
      </c>
      <c r="Q1367" s="98">
        <v>3.0</v>
      </c>
      <c r="R1367" s="97">
        <v>45936.17864583333</v>
      </c>
      <c r="S1367" s="99">
        <v>1231.0</v>
      </c>
      <c r="T1367" s="99">
        <v>40.0</v>
      </c>
      <c r="U1367" s="99">
        <v>4.0</v>
      </c>
      <c r="V1367" s="99">
        <v>178.0</v>
      </c>
      <c r="W1367" s="99">
        <v>7034.0</v>
      </c>
    </row>
    <row r="1368" ht="15.75" customHeight="1">
      <c r="A1368" s="95" t="s">
        <v>8012</v>
      </c>
      <c r="B1368" s="95" t="s">
        <v>157</v>
      </c>
      <c r="C1368" s="96" t="s">
        <v>8013</v>
      </c>
      <c r="D1368" s="95" t="s">
        <v>59</v>
      </c>
      <c r="E1368" s="95" t="s">
        <v>59</v>
      </c>
      <c r="F1368" s="95" t="s">
        <v>19</v>
      </c>
      <c r="G1368" s="95" t="s">
        <v>19</v>
      </c>
      <c r="H1368" s="95" t="s">
        <v>89</v>
      </c>
      <c r="I1368" s="95" t="s">
        <v>859</v>
      </c>
      <c r="J1368" s="97">
        <v>45975.67937972222</v>
      </c>
      <c r="K1368" s="96" t="s">
        <v>8014</v>
      </c>
      <c r="L1368" s="96" t="s">
        <v>8015</v>
      </c>
      <c r="M1368" s="95" t="s">
        <v>74</v>
      </c>
      <c r="N1368" s="95" t="s">
        <v>8016</v>
      </c>
      <c r="O1368" s="95" t="s">
        <v>8016</v>
      </c>
      <c r="P1368" s="95" t="s">
        <v>8017</v>
      </c>
      <c r="Q1368" s="98">
        <v>3.0</v>
      </c>
      <c r="R1368" s="97">
        <v>45611.74616898148</v>
      </c>
      <c r="S1368" s="99">
        <v>81.0</v>
      </c>
      <c r="T1368" s="99">
        <v>119.0</v>
      </c>
      <c r="U1368" s="99">
        <v>7.0</v>
      </c>
      <c r="V1368" s="99">
        <v>94.0</v>
      </c>
      <c r="W1368" s="99">
        <v>273747.0</v>
      </c>
    </row>
    <row r="1369" ht="15.75" customHeight="1">
      <c r="A1369" s="95" t="s">
        <v>8018</v>
      </c>
      <c r="B1369" s="95" t="s">
        <v>157</v>
      </c>
      <c r="C1369" s="96" t="s">
        <v>8019</v>
      </c>
      <c r="D1369" s="95" t="s">
        <v>29</v>
      </c>
      <c r="E1369" s="95" t="s">
        <v>910</v>
      </c>
      <c r="F1369" s="95" t="s">
        <v>88</v>
      </c>
      <c r="G1369" s="95" t="s">
        <v>88</v>
      </c>
      <c r="H1369" s="95" t="s">
        <v>89</v>
      </c>
      <c r="I1369" s="95" t="s">
        <v>897</v>
      </c>
      <c r="J1369" s="97">
        <v>45980.95957168982</v>
      </c>
      <c r="K1369" s="95" t="s">
        <v>8020</v>
      </c>
      <c r="L1369" s="96" t="s">
        <v>8021</v>
      </c>
      <c r="M1369" s="95" t="s">
        <v>67</v>
      </c>
      <c r="N1369" s="95" t="s">
        <v>8022</v>
      </c>
      <c r="O1369" s="95" t="s">
        <v>8022</v>
      </c>
      <c r="P1369" s="95" t="s">
        <v>8023</v>
      </c>
      <c r="Q1369" s="98">
        <v>3.0</v>
      </c>
      <c r="R1369" s="97">
        <v>45869.4509837963</v>
      </c>
      <c r="S1369" s="99">
        <v>72.0</v>
      </c>
      <c r="T1369" s="99">
        <v>13.0</v>
      </c>
      <c r="U1369" s="99">
        <v>3.0</v>
      </c>
      <c r="V1369" s="99">
        <v>20.0</v>
      </c>
      <c r="W1369" s="99">
        <v>23134.0</v>
      </c>
    </row>
    <row r="1370" ht="15.75" customHeight="1">
      <c r="A1370" s="95" t="s">
        <v>8024</v>
      </c>
      <c r="B1370" s="95" t="s">
        <v>22</v>
      </c>
      <c r="C1370" s="96" t="s">
        <v>8025</v>
      </c>
      <c r="D1370" s="95" t="s">
        <v>124</v>
      </c>
      <c r="E1370" s="95" t="s">
        <v>124</v>
      </c>
      <c r="F1370" s="95" t="s">
        <v>19</v>
      </c>
      <c r="G1370" s="95" t="s">
        <v>19</v>
      </c>
      <c r="H1370" s="95" t="s">
        <v>21</v>
      </c>
      <c r="I1370" s="95" t="s">
        <v>567</v>
      </c>
      <c r="J1370" s="97">
        <v>46021.50628966435</v>
      </c>
      <c r="K1370" s="95" t="s">
        <v>8026</v>
      </c>
      <c r="L1370" s="96" t="s">
        <v>8027</v>
      </c>
      <c r="M1370" s="95" t="s">
        <v>67</v>
      </c>
      <c r="N1370" s="95" t="s">
        <v>8022</v>
      </c>
      <c r="O1370" s="95" t="s">
        <v>8022</v>
      </c>
      <c r="P1370" s="95" t="s">
        <v>8023</v>
      </c>
      <c r="Q1370" s="98">
        <v>3.0</v>
      </c>
      <c r="R1370" s="97">
        <v>45824.58090277778</v>
      </c>
      <c r="S1370" s="99">
        <v>72.0</v>
      </c>
      <c r="T1370" s="99">
        <v>14.0</v>
      </c>
      <c r="U1370" s="99">
        <v>4.0</v>
      </c>
      <c r="V1370" s="99">
        <v>47.0</v>
      </c>
      <c r="W1370" s="99">
        <v>23134.0</v>
      </c>
    </row>
    <row r="1371" ht="15.75" customHeight="1">
      <c r="A1371" s="95" t="s">
        <v>8028</v>
      </c>
      <c r="B1371" s="95" t="s">
        <v>22</v>
      </c>
      <c r="C1371" s="96" t="s">
        <v>8029</v>
      </c>
      <c r="D1371" s="95" t="s">
        <v>124</v>
      </c>
      <c r="E1371" s="95" t="s">
        <v>124</v>
      </c>
      <c r="F1371" s="95" t="s">
        <v>88</v>
      </c>
      <c r="G1371" s="95" t="s">
        <v>858</v>
      </c>
      <c r="H1371" s="95" t="s">
        <v>21</v>
      </c>
      <c r="I1371" s="95" t="s">
        <v>567</v>
      </c>
      <c r="J1371" s="97">
        <v>45975.67936400463</v>
      </c>
      <c r="K1371" s="96" t="s">
        <v>8030</v>
      </c>
      <c r="L1371" s="96" t="s">
        <v>8031</v>
      </c>
      <c r="M1371" s="95" t="s">
        <v>67</v>
      </c>
      <c r="N1371" s="95" t="s">
        <v>8022</v>
      </c>
      <c r="O1371" s="95" t="s">
        <v>8022</v>
      </c>
      <c r="P1371" s="95" t="s">
        <v>8023</v>
      </c>
      <c r="Q1371" s="98">
        <v>3.0</v>
      </c>
      <c r="R1371" s="97">
        <v>45842.51439814815</v>
      </c>
      <c r="S1371" s="99">
        <v>72.0</v>
      </c>
      <c r="T1371" s="99">
        <v>12.0</v>
      </c>
      <c r="U1371" s="99">
        <v>4.0</v>
      </c>
      <c r="V1371" s="99">
        <v>92.0</v>
      </c>
      <c r="W1371" s="99">
        <v>23134.0</v>
      </c>
    </row>
    <row r="1372" ht="15.75" customHeight="1">
      <c r="A1372" s="95" t="s">
        <v>8032</v>
      </c>
      <c r="B1372" s="95" t="s">
        <v>22</v>
      </c>
      <c r="C1372" s="96" t="s">
        <v>8033</v>
      </c>
      <c r="D1372" s="95" t="s">
        <v>29</v>
      </c>
      <c r="E1372" s="95" t="s">
        <v>910</v>
      </c>
      <c r="F1372" s="95" t="s">
        <v>19</v>
      </c>
      <c r="G1372" s="95" t="s">
        <v>19</v>
      </c>
      <c r="H1372" s="95" t="s">
        <v>21</v>
      </c>
      <c r="I1372" s="95" t="s">
        <v>567</v>
      </c>
      <c r="J1372" s="97">
        <v>46021.51865407408</v>
      </c>
      <c r="K1372" s="95" t="s">
        <v>8034</v>
      </c>
      <c r="L1372" s="96" t="s">
        <v>8035</v>
      </c>
      <c r="M1372" s="95" t="s">
        <v>67</v>
      </c>
      <c r="N1372" s="95" t="s">
        <v>8022</v>
      </c>
      <c r="O1372" s="95" t="s">
        <v>8022</v>
      </c>
      <c r="P1372" s="95" t="s">
        <v>8023</v>
      </c>
      <c r="Q1372" s="98">
        <v>3.0</v>
      </c>
      <c r="R1372" s="97">
        <v>45860.46891203704</v>
      </c>
      <c r="S1372" s="99">
        <v>72.0</v>
      </c>
      <c r="T1372" s="99">
        <v>2.0</v>
      </c>
      <c r="U1372" s="99">
        <v>3.0</v>
      </c>
      <c r="V1372" s="99">
        <v>32.0</v>
      </c>
      <c r="W1372" s="99">
        <v>23134.0</v>
      </c>
    </row>
    <row r="1373" ht="15.75" customHeight="1">
      <c r="A1373" s="95" t="s">
        <v>8036</v>
      </c>
      <c r="B1373" s="95" t="s">
        <v>22</v>
      </c>
      <c r="C1373" s="96" t="s">
        <v>8037</v>
      </c>
      <c r="D1373" s="95" t="s">
        <v>39</v>
      </c>
      <c r="E1373" s="95" t="s">
        <v>39</v>
      </c>
      <c r="F1373" s="95" t="s">
        <v>19</v>
      </c>
      <c r="G1373" s="95" t="s">
        <v>19</v>
      </c>
      <c r="H1373" s="95" t="s">
        <v>21</v>
      </c>
      <c r="I1373" s="95" t="s">
        <v>567</v>
      </c>
      <c r="J1373" s="97">
        <v>46076.63199695602</v>
      </c>
      <c r="K1373" s="95" t="s">
        <v>8038</v>
      </c>
      <c r="L1373" s="96" t="s">
        <v>8039</v>
      </c>
      <c r="M1373" s="95" t="s">
        <v>74</v>
      </c>
      <c r="N1373" s="95" t="s">
        <v>8040</v>
      </c>
      <c r="O1373" s="95" t="s">
        <v>8040</v>
      </c>
      <c r="P1373" s="95" t="s">
        <v>8041</v>
      </c>
      <c r="Q1373" s="98">
        <v>3.0</v>
      </c>
      <c r="R1373" s="97">
        <v>45869.57494212963</v>
      </c>
      <c r="S1373" s="99">
        <v>50.0</v>
      </c>
      <c r="T1373" s="99">
        <v>95.0</v>
      </c>
      <c r="U1373" s="99">
        <v>3.0</v>
      </c>
      <c r="V1373" s="99">
        <v>833.0</v>
      </c>
      <c r="W1373" s="99">
        <v>58798.0</v>
      </c>
    </row>
    <row r="1374" ht="15.75" customHeight="1">
      <c r="A1374" s="95" t="s">
        <v>8042</v>
      </c>
      <c r="B1374" s="95" t="s">
        <v>22</v>
      </c>
      <c r="C1374" s="96" t="s">
        <v>8043</v>
      </c>
      <c r="D1374" s="95" t="s">
        <v>168</v>
      </c>
      <c r="E1374" s="95"/>
      <c r="F1374" s="95" t="s">
        <v>19</v>
      </c>
      <c r="G1374" s="95" t="s">
        <v>19</v>
      </c>
      <c r="H1374" s="95" t="s">
        <v>21</v>
      </c>
      <c r="I1374" s="95" t="s">
        <v>567</v>
      </c>
      <c r="J1374" s="97">
        <v>45978.46433893518</v>
      </c>
      <c r="K1374" s="95" t="s">
        <v>8044</v>
      </c>
      <c r="L1374" s="96" t="s">
        <v>8045</v>
      </c>
      <c r="M1374" s="95" t="s">
        <v>17</v>
      </c>
      <c r="N1374" s="95" t="s">
        <v>8046</v>
      </c>
      <c r="O1374" s="95" t="s">
        <v>8046</v>
      </c>
      <c r="P1374" s="95" t="s">
        <v>8047</v>
      </c>
      <c r="Q1374" s="98">
        <v>3.0</v>
      </c>
      <c r="R1374" s="97">
        <v>45817.75853009259</v>
      </c>
      <c r="S1374" s="99">
        <v>1398.0</v>
      </c>
      <c r="T1374" s="99">
        <v>19.0</v>
      </c>
      <c r="U1374" s="99">
        <v>3.0</v>
      </c>
      <c r="V1374" s="99">
        <v>162.0</v>
      </c>
      <c r="W1374" s="99">
        <v>176662.0</v>
      </c>
    </row>
    <row r="1375" ht="15.75" customHeight="1">
      <c r="A1375" s="95" t="s">
        <v>8048</v>
      </c>
      <c r="B1375" s="95" t="s">
        <v>22</v>
      </c>
      <c r="C1375" s="96" t="s">
        <v>8049</v>
      </c>
      <c r="D1375" s="95" t="s">
        <v>168</v>
      </c>
      <c r="E1375" s="95" t="s">
        <v>168</v>
      </c>
      <c r="F1375" s="95" t="s">
        <v>19</v>
      </c>
      <c r="G1375" s="95" t="s">
        <v>19</v>
      </c>
      <c r="H1375" s="95" t="s">
        <v>21</v>
      </c>
      <c r="I1375" s="95" t="s">
        <v>567</v>
      </c>
      <c r="J1375" s="97">
        <v>45993.7854622338</v>
      </c>
      <c r="K1375" s="96" t="s">
        <v>8050</v>
      </c>
      <c r="L1375" s="96" t="s">
        <v>8051</v>
      </c>
      <c r="M1375" s="95" t="s">
        <v>17</v>
      </c>
      <c r="N1375" s="95" t="s">
        <v>8046</v>
      </c>
      <c r="O1375" s="95" t="s">
        <v>8046</v>
      </c>
      <c r="P1375" s="95" t="s">
        <v>8047</v>
      </c>
      <c r="Q1375" s="98">
        <v>3.0</v>
      </c>
      <c r="R1375" s="97">
        <v>45699.65510416667</v>
      </c>
      <c r="S1375" s="99">
        <v>1398.0</v>
      </c>
      <c r="T1375" s="99">
        <v>30.0</v>
      </c>
      <c r="U1375" s="99">
        <v>2.0</v>
      </c>
      <c r="V1375" s="99">
        <v>45.0</v>
      </c>
      <c r="W1375" s="99">
        <v>176662.0</v>
      </c>
    </row>
    <row r="1376" ht="15.75" customHeight="1">
      <c r="A1376" s="95" t="s">
        <v>8052</v>
      </c>
      <c r="B1376" s="95" t="s">
        <v>22</v>
      </c>
      <c r="C1376" s="96" t="s">
        <v>8053</v>
      </c>
      <c r="D1376" s="95" t="s">
        <v>168</v>
      </c>
      <c r="E1376" s="95" t="s">
        <v>168</v>
      </c>
      <c r="F1376" s="95" t="s">
        <v>19</v>
      </c>
      <c r="G1376" s="95" t="s">
        <v>1427</v>
      </c>
      <c r="H1376" s="95" t="s">
        <v>21</v>
      </c>
      <c r="I1376" s="95" t="s">
        <v>943</v>
      </c>
      <c r="J1376" s="97">
        <v>46008.62906715277</v>
      </c>
      <c r="K1376" s="96" t="s">
        <v>8054</v>
      </c>
      <c r="L1376" s="96" t="s">
        <v>8055</v>
      </c>
      <c r="M1376" s="95" t="s">
        <v>17</v>
      </c>
      <c r="N1376" s="95" t="s">
        <v>8046</v>
      </c>
      <c r="O1376" s="95" t="s">
        <v>8046</v>
      </c>
      <c r="P1376" s="95" t="s">
        <v>8047</v>
      </c>
      <c r="Q1376" s="98">
        <v>3.0</v>
      </c>
      <c r="R1376" s="97">
        <v>45839.71700231481</v>
      </c>
      <c r="S1376" s="99">
        <v>1398.0</v>
      </c>
      <c r="T1376" s="99">
        <v>20.0</v>
      </c>
      <c r="U1376" s="99">
        <v>4.0</v>
      </c>
      <c r="V1376" s="99">
        <v>138.0</v>
      </c>
      <c r="W1376" s="99">
        <v>176662.0</v>
      </c>
    </row>
    <row r="1377" ht="15.75" customHeight="1">
      <c r="A1377" s="95" t="s">
        <v>8056</v>
      </c>
      <c r="B1377" s="95" t="s">
        <v>22</v>
      </c>
      <c r="C1377" s="96" t="s">
        <v>8057</v>
      </c>
      <c r="D1377" s="95" t="s">
        <v>39</v>
      </c>
      <c r="E1377" s="95" t="s">
        <v>697</v>
      </c>
      <c r="F1377" s="95" t="s">
        <v>88</v>
      </c>
      <c r="G1377" s="95" t="s">
        <v>3380</v>
      </c>
      <c r="H1377" s="95" t="s">
        <v>21</v>
      </c>
      <c r="I1377" s="95" t="s">
        <v>589</v>
      </c>
      <c r="J1377" s="97">
        <v>45975.67928111111</v>
      </c>
      <c r="K1377" s="96" t="s">
        <v>8058</v>
      </c>
      <c r="L1377" s="96" t="s">
        <v>8059</v>
      </c>
      <c r="M1377" s="95" t="s">
        <v>105</v>
      </c>
      <c r="N1377" s="95" t="s">
        <v>8060</v>
      </c>
      <c r="O1377" s="95" t="s">
        <v>8060</v>
      </c>
      <c r="P1377" s="95" t="s">
        <v>8061</v>
      </c>
      <c r="Q1377" s="98">
        <v>3.0</v>
      </c>
      <c r="R1377" s="97">
        <v>45790.58857638889</v>
      </c>
      <c r="S1377" s="99">
        <v>17527.0</v>
      </c>
      <c r="T1377" s="99">
        <v>1076.0</v>
      </c>
      <c r="U1377" s="99">
        <v>21.0</v>
      </c>
      <c r="V1377" s="99">
        <v>28.0</v>
      </c>
      <c r="W1377" s="99">
        <v>64444.0</v>
      </c>
    </row>
    <row r="1378" ht="15.75" customHeight="1">
      <c r="A1378" s="95" t="s">
        <v>8062</v>
      </c>
      <c r="B1378" s="95" t="s">
        <v>22</v>
      </c>
      <c r="C1378" s="96" t="s">
        <v>8063</v>
      </c>
      <c r="D1378" s="95" t="s">
        <v>39</v>
      </c>
      <c r="E1378" s="95" t="s">
        <v>8064</v>
      </c>
      <c r="F1378" s="95" t="s">
        <v>19</v>
      </c>
      <c r="G1378" s="95" t="s">
        <v>19</v>
      </c>
      <c r="H1378" s="95" t="s">
        <v>21</v>
      </c>
      <c r="I1378" s="95" t="s">
        <v>567</v>
      </c>
      <c r="J1378" s="97">
        <v>45975.67928111111</v>
      </c>
      <c r="K1378" s="96" t="s">
        <v>8065</v>
      </c>
      <c r="L1378" s="96" t="s">
        <v>8066</v>
      </c>
      <c r="M1378" s="95" t="s">
        <v>105</v>
      </c>
      <c r="N1378" s="95" t="s">
        <v>8060</v>
      </c>
      <c r="O1378" s="95" t="s">
        <v>8060</v>
      </c>
      <c r="P1378" s="95" t="s">
        <v>8061</v>
      </c>
      <c r="Q1378" s="98">
        <v>3.0</v>
      </c>
      <c r="R1378" s="97">
        <v>45734.62261574074</v>
      </c>
      <c r="S1378" s="99">
        <v>17527.0</v>
      </c>
      <c r="T1378" s="99">
        <v>1115.0</v>
      </c>
      <c r="U1378" s="99">
        <v>37.0</v>
      </c>
      <c r="V1378" s="99">
        <v>239.0</v>
      </c>
      <c r="W1378" s="99">
        <v>64444.0</v>
      </c>
    </row>
    <row r="1379" ht="15.75" customHeight="1">
      <c r="A1379" s="95" t="s">
        <v>8067</v>
      </c>
      <c r="B1379" s="95" t="s">
        <v>131</v>
      </c>
      <c r="C1379" s="96" t="s">
        <v>8068</v>
      </c>
      <c r="D1379" s="95" t="s">
        <v>39</v>
      </c>
      <c r="E1379" s="95" t="s">
        <v>697</v>
      </c>
      <c r="F1379" s="95" t="s">
        <v>19</v>
      </c>
      <c r="G1379" s="95" t="s">
        <v>19</v>
      </c>
      <c r="H1379" s="95" t="s">
        <v>21</v>
      </c>
      <c r="I1379" s="95" t="s">
        <v>647</v>
      </c>
      <c r="J1379" s="97">
        <v>45977.67861283565</v>
      </c>
      <c r="K1379" s="95" t="s">
        <v>8069</v>
      </c>
      <c r="L1379" s="96" t="s">
        <v>8070</v>
      </c>
      <c r="M1379" s="95" t="s">
        <v>17</v>
      </c>
      <c r="N1379" s="95" t="s">
        <v>8071</v>
      </c>
      <c r="O1379" s="95" t="s">
        <v>8071</v>
      </c>
      <c r="P1379" s="95" t="s">
        <v>8072</v>
      </c>
      <c r="Q1379" s="98">
        <v>3.0</v>
      </c>
      <c r="R1379" s="97">
        <v>45624.83390046296</v>
      </c>
      <c r="S1379" s="99">
        <v>381.0</v>
      </c>
      <c r="T1379" s="99">
        <v>954.0</v>
      </c>
      <c r="U1379" s="99">
        <v>3.0</v>
      </c>
      <c r="V1379" s="99">
        <v>66.0</v>
      </c>
      <c r="W1379" s="99">
        <v>99506.0</v>
      </c>
    </row>
    <row r="1380" ht="15.75" customHeight="1">
      <c r="A1380" s="95" t="s">
        <v>8073</v>
      </c>
      <c r="B1380" s="95" t="s">
        <v>22</v>
      </c>
      <c r="C1380" s="96" t="s">
        <v>8074</v>
      </c>
      <c r="D1380" s="95" t="s">
        <v>39</v>
      </c>
      <c r="E1380" s="95" t="s">
        <v>697</v>
      </c>
      <c r="F1380" s="95" t="s">
        <v>19</v>
      </c>
      <c r="G1380" s="95" t="s">
        <v>19</v>
      </c>
      <c r="H1380" s="95" t="s">
        <v>21</v>
      </c>
      <c r="I1380" s="95" t="s">
        <v>589</v>
      </c>
      <c r="J1380" s="97">
        <v>45977.67861283565</v>
      </c>
      <c r="K1380" s="95" t="s">
        <v>8075</v>
      </c>
      <c r="L1380" s="96" t="s">
        <v>8076</v>
      </c>
      <c r="M1380" s="95" t="s">
        <v>17</v>
      </c>
      <c r="N1380" s="95" t="s">
        <v>8071</v>
      </c>
      <c r="O1380" s="95" t="s">
        <v>8071</v>
      </c>
      <c r="P1380" s="95" t="s">
        <v>8072</v>
      </c>
      <c r="Q1380" s="98">
        <v>3.0</v>
      </c>
      <c r="R1380" s="97">
        <v>45665.65234953703</v>
      </c>
      <c r="S1380" s="99">
        <v>381.0</v>
      </c>
      <c r="T1380" s="99">
        <v>125.0</v>
      </c>
      <c r="U1380" s="99">
        <v>18.0</v>
      </c>
      <c r="V1380" s="99">
        <v>86.0</v>
      </c>
      <c r="W1380" s="99">
        <v>99506.0</v>
      </c>
    </row>
    <row r="1381" ht="15.75" customHeight="1">
      <c r="A1381" s="95" t="s">
        <v>8077</v>
      </c>
      <c r="B1381" s="95" t="s">
        <v>22</v>
      </c>
      <c r="C1381" s="96" t="s">
        <v>8078</v>
      </c>
      <c r="D1381" s="95" t="s">
        <v>39</v>
      </c>
      <c r="E1381" s="95" t="s">
        <v>697</v>
      </c>
      <c r="F1381" s="95" t="s">
        <v>19</v>
      </c>
      <c r="G1381" s="95" t="s">
        <v>19</v>
      </c>
      <c r="H1381" s="95" t="s">
        <v>21</v>
      </c>
      <c r="I1381" s="95" t="s">
        <v>567</v>
      </c>
      <c r="J1381" s="97">
        <v>45993.7854622338</v>
      </c>
      <c r="K1381" s="96" t="s">
        <v>8079</v>
      </c>
      <c r="L1381" s="96" t="s">
        <v>8080</v>
      </c>
      <c r="M1381" s="95" t="s">
        <v>17</v>
      </c>
      <c r="N1381" s="95" t="s">
        <v>8071</v>
      </c>
      <c r="O1381" s="95" t="s">
        <v>8071</v>
      </c>
      <c r="P1381" s="95" t="s">
        <v>8072</v>
      </c>
      <c r="Q1381" s="98">
        <v>3.0</v>
      </c>
      <c r="R1381" s="97">
        <v>45850.34417824074</v>
      </c>
      <c r="S1381" s="99">
        <v>381.0</v>
      </c>
      <c r="T1381" s="99">
        <v>182.0</v>
      </c>
      <c r="U1381" s="99">
        <v>12.0</v>
      </c>
      <c r="V1381" s="99">
        <v>43.0</v>
      </c>
      <c r="W1381" s="99">
        <v>99506.0</v>
      </c>
    </row>
    <row r="1382" ht="15.75" customHeight="1">
      <c r="A1382" s="95" t="s">
        <v>8081</v>
      </c>
      <c r="B1382" s="95" t="s">
        <v>22</v>
      </c>
      <c r="C1382" s="96" t="s">
        <v>8082</v>
      </c>
      <c r="D1382" s="95" t="s">
        <v>39</v>
      </c>
      <c r="E1382" s="95" t="s">
        <v>697</v>
      </c>
      <c r="F1382" s="95" t="s">
        <v>19</v>
      </c>
      <c r="G1382" s="95" t="s">
        <v>997</v>
      </c>
      <c r="H1382" s="95" t="s">
        <v>21</v>
      </c>
      <c r="I1382" s="95" t="s">
        <v>677</v>
      </c>
      <c r="J1382" s="97">
        <v>45993.7854622338</v>
      </c>
      <c r="K1382" s="96" t="s">
        <v>8083</v>
      </c>
      <c r="L1382" s="96" t="s">
        <v>8084</v>
      </c>
      <c r="M1382" s="95" t="s">
        <v>17</v>
      </c>
      <c r="N1382" s="95" t="s">
        <v>8071</v>
      </c>
      <c r="O1382" s="95" t="s">
        <v>8071</v>
      </c>
      <c r="P1382" s="95" t="s">
        <v>8072</v>
      </c>
      <c r="Q1382" s="98">
        <v>3.0</v>
      </c>
      <c r="R1382" s="97">
        <v>45825.95150462963</v>
      </c>
      <c r="S1382" s="99">
        <v>381.0</v>
      </c>
      <c r="T1382" s="99">
        <v>366.0</v>
      </c>
      <c r="U1382" s="99">
        <v>52.0</v>
      </c>
      <c r="V1382" s="99">
        <v>662.0</v>
      </c>
      <c r="W1382" s="99">
        <v>99506.0</v>
      </c>
    </row>
    <row r="1383" ht="15.75" customHeight="1">
      <c r="A1383" s="95" t="s">
        <v>8085</v>
      </c>
      <c r="B1383" s="95" t="s">
        <v>22</v>
      </c>
      <c r="C1383" s="96" t="s">
        <v>8086</v>
      </c>
      <c r="D1383" s="95" t="s">
        <v>39</v>
      </c>
      <c r="E1383" s="95" t="s">
        <v>697</v>
      </c>
      <c r="F1383" s="95" t="s">
        <v>19</v>
      </c>
      <c r="G1383" s="95" t="s">
        <v>19</v>
      </c>
      <c r="H1383" s="95" t="s">
        <v>21</v>
      </c>
      <c r="I1383" s="95" t="s">
        <v>677</v>
      </c>
      <c r="J1383" s="97">
        <v>46008.62906719907</v>
      </c>
      <c r="K1383" s="96" t="s">
        <v>8087</v>
      </c>
      <c r="L1383" s="96" t="s">
        <v>8088</v>
      </c>
      <c r="M1383" s="95" t="s">
        <v>17</v>
      </c>
      <c r="N1383" s="95" t="s">
        <v>8071</v>
      </c>
      <c r="O1383" s="95" t="s">
        <v>8071</v>
      </c>
      <c r="P1383" s="95" t="s">
        <v>8072</v>
      </c>
      <c r="Q1383" s="98">
        <v>3.0</v>
      </c>
      <c r="R1383" s="97">
        <v>45740.53649305556</v>
      </c>
      <c r="S1383" s="99">
        <v>381.0</v>
      </c>
      <c r="T1383" s="99">
        <v>26.0</v>
      </c>
      <c r="U1383" s="99">
        <v>13.0</v>
      </c>
      <c r="V1383" s="99">
        <v>169.0</v>
      </c>
      <c r="W1383" s="99">
        <v>99506.0</v>
      </c>
    </row>
    <row r="1384" ht="15.75" customHeight="1">
      <c r="A1384" s="95" t="s">
        <v>8089</v>
      </c>
      <c r="B1384" s="95" t="s">
        <v>22</v>
      </c>
      <c r="C1384" s="96" t="s">
        <v>8090</v>
      </c>
      <c r="D1384" s="95" t="s">
        <v>39</v>
      </c>
      <c r="E1384" s="95" t="s">
        <v>697</v>
      </c>
      <c r="F1384" s="95" t="s">
        <v>19</v>
      </c>
      <c r="G1384" s="95" t="s">
        <v>19</v>
      </c>
      <c r="H1384" s="95" t="s">
        <v>21</v>
      </c>
      <c r="I1384" s="95" t="s">
        <v>677</v>
      </c>
      <c r="J1384" s="97">
        <v>46008.6290671875</v>
      </c>
      <c r="K1384" s="96" t="s">
        <v>8091</v>
      </c>
      <c r="L1384" s="96" t="s">
        <v>8092</v>
      </c>
      <c r="M1384" s="95" t="s">
        <v>17</v>
      </c>
      <c r="N1384" s="95" t="s">
        <v>8071</v>
      </c>
      <c r="O1384" s="95" t="s">
        <v>8071</v>
      </c>
      <c r="P1384" s="95" t="s">
        <v>8072</v>
      </c>
      <c r="Q1384" s="98">
        <v>3.0</v>
      </c>
      <c r="R1384" s="97">
        <v>45691.4897337963</v>
      </c>
      <c r="S1384" s="99">
        <v>381.0</v>
      </c>
      <c r="T1384" s="99">
        <v>31.0</v>
      </c>
      <c r="U1384" s="99">
        <v>2.0</v>
      </c>
      <c r="V1384" s="99">
        <v>63.0</v>
      </c>
      <c r="W1384" s="99">
        <v>99506.0</v>
      </c>
    </row>
    <row r="1385" ht="15.75" customHeight="1">
      <c r="A1385" s="95" t="s">
        <v>8093</v>
      </c>
      <c r="B1385" s="95" t="s">
        <v>22</v>
      </c>
      <c r="C1385" s="96" t="s">
        <v>8094</v>
      </c>
      <c r="D1385" s="95" t="s">
        <v>39</v>
      </c>
      <c r="E1385" s="95" t="s">
        <v>697</v>
      </c>
      <c r="F1385" s="95" t="s">
        <v>19</v>
      </c>
      <c r="G1385" s="95" t="s">
        <v>19</v>
      </c>
      <c r="H1385" s="95" t="s">
        <v>21</v>
      </c>
      <c r="I1385" s="95" t="s">
        <v>567</v>
      </c>
      <c r="J1385" s="97">
        <v>46008.62906717593</v>
      </c>
      <c r="K1385" s="96" t="s">
        <v>8095</v>
      </c>
      <c r="L1385" s="96" t="s">
        <v>8096</v>
      </c>
      <c r="M1385" s="95" t="s">
        <v>17</v>
      </c>
      <c r="N1385" s="95" t="s">
        <v>8071</v>
      </c>
      <c r="O1385" s="95" t="s">
        <v>8071</v>
      </c>
      <c r="P1385" s="95" t="s">
        <v>8072</v>
      </c>
      <c r="Q1385" s="98">
        <v>3.0</v>
      </c>
      <c r="R1385" s="97">
        <v>45635.57366898148</v>
      </c>
      <c r="S1385" s="99">
        <v>381.0</v>
      </c>
      <c r="T1385" s="99">
        <v>117.0</v>
      </c>
      <c r="U1385" s="99">
        <v>2.0</v>
      </c>
      <c r="V1385" s="99">
        <v>250.0</v>
      </c>
      <c r="W1385" s="99">
        <v>99506.0</v>
      </c>
    </row>
    <row r="1386" ht="15.75" customHeight="1">
      <c r="A1386" s="95" t="s">
        <v>8097</v>
      </c>
      <c r="B1386" s="95" t="s">
        <v>22</v>
      </c>
      <c r="C1386" s="96" t="s">
        <v>8098</v>
      </c>
      <c r="D1386" s="95" t="s">
        <v>39</v>
      </c>
      <c r="E1386" s="95" t="s">
        <v>697</v>
      </c>
      <c r="F1386" s="95" t="s">
        <v>19</v>
      </c>
      <c r="G1386" s="95" t="s">
        <v>19</v>
      </c>
      <c r="H1386" s="95" t="s">
        <v>21</v>
      </c>
      <c r="I1386" s="95" t="s">
        <v>589</v>
      </c>
      <c r="J1386" s="97">
        <v>46008.6290671875</v>
      </c>
      <c r="K1386" s="96" t="s">
        <v>8099</v>
      </c>
      <c r="L1386" s="96" t="s">
        <v>8100</v>
      </c>
      <c r="M1386" s="95" t="s">
        <v>17</v>
      </c>
      <c r="N1386" s="95" t="s">
        <v>8071</v>
      </c>
      <c r="O1386" s="95" t="s">
        <v>8071</v>
      </c>
      <c r="P1386" s="95" t="s">
        <v>8072</v>
      </c>
      <c r="Q1386" s="98">
        <v>3.0</v>
      </c>
      <c r="R1386" s="97">
        <v>45624.79875</v>
      </c>
      <c r="S1386" s="99">
        <v>381.0</v>
      </c>
      <c r="T1386" s="99">
        <v>107.0</v>
      </c>
      <c r="U1386" s="99">
        <v>8.0</v>
      </c>
      <c r="V1386" s="99">
        <v>30.0</v>
      </c>
      <c r="W1386" s="99">
        <v>99506.0</v>
      </c>
    </row>
    <row r="1387" ht="15.75" customHeight="1">
      <c r="A1387" s="95" t="s">
        <v>8101</v>
      </c>
      <c r="B1387" s="95" t="s">
        <v>22</v>
      </c>
      <c r="C1387" s="96" t="s">
        <v>8102</v>
      </c>
      <c r="D1387" s="95" t="s">
        <v>39</v>
      </c>
      <c r="E1387" s="95" t="s">
        <v>39</v>
      </c>
      <c r="F1387" s="95" t="s">
        <v>19</v>
      </c>
      <c r="G1387" s="95" t="s">
        <v>19</v>
      </c>
      <c r="H1387" s="95" t="s">
        <v>21</v>
      </c>
      <c r="I1387" s="95" t="s">
        <v>567</v>
      </c>
      <c r="J1387" s="97">
        <v>46008.62906719907</v>
      </c>
      <c r="K1387" s="96" t="s">
        <v>8103</v>
      </c>
      <c r="L1387" s="96" t="s">
        <v>8104</v>
      </c>
      <c r="M1387" s="95" t="s">
        <v>17</v>
      </c>
      <c r="N1387" s="95" t="s">
        <v>8071</v>
      </c>
      <c r="O1387" s="95" t="s">
        <v>8071</v>
      </c>
      <c r="P1387" s="95" t="s">
        <v>8072</v>
      </c>
      <c r="Q1387" s="98">
        <v>3.0</v>
      </c>
      <c r="R1387" s="97">
        <v>45691.9128125</v>
      </c>
      <c r="S1387" s="99">
        <v>381.0</v>
      </c>
      <c r="T1387" s="99">
        <v>481.0</v>
      </c>
      <c r="U1387" s="99">
        <v>11.0</v>
      </c>
      <c r="V1387" s="99">
        <v>204.0</v>
      </c>
      <c r="W1387" s="99">
        <v>99506.0</v>
      </c>
    </row>
    <row r="1388" ht="15.75" customHeight="1">
      <c r="A1388" s="95" t="s">
        <v>8105</v>
      </c>
      <c r="B1388" s="95" t="s">
        <v>22</v>
      </c>
      <c r="C1388" s="96" t="s">
        <v>8106</v>
      </c>
      <c r="D1388" s="95" t="s">
        <v>39</v>
      </c>
      <c r="E1388" s="95" t="s">
        <v>39</v>
      </c>
      <c r="F1388" s="95" t="s">
        <v>19</v>
      </c>
      <c r="G1388" s="95" t="s">
        <v>19</v>
      </c>
      <c r="H1388" s="95" t="s">
        <v>21</v>
      </c>
      <c r="I1388" s="95" t="s">
        <v>567</v>
      </c>
      <c r="J1388" s="97">
        <v>45977.14230104167</v>
      </c>
      <c r="K1388" s="95" t="s">
        <v>8107</v>
      </c>
      <c r="L1388" s="96" t="s">
        <v>8108</v>
      </c>
      <c r="M1388" s="95" t="s">
        <v>17</v>
      </c>
      <c r="N1388" s="95" t="s">
        <v>8109</v>
      </c>
      <c r="O1388" s="95" t="s">
        <v>8109</v>
      </c>
      <c r="P1388" s="95" t="s">
        <v>8110</v>
      </c>
      <c r="Q1388" s="98">
        <v>3.0</v>
      </c>
      <c r="R1388" s="97">
        <v>45691.52570601852</v>
      </c>
      <c r="S1388" s="99">
        <v>3717.0</v>
      </c>
      <c r="T1388" s="99">
        <v>3.0</v>
      </c>
      <c r="U1388" s="99">
        <v>3.0</v>
      </c>
      <c r="V1388" s="99">
        <v>26.0</v>
      </c>
      <c r="W1388" s="99">
        <v>72750.0</v>
      </c>
    </row>
    <row r="1389" ht="15.75" customHeight="1">
      <c r="A1389" s="95" t="s">
        <v>8111</v>
      </c>
      <c r="B1389" s="95" t="s">
        <v>69</v>
      </c>
      <c r="C1389" s="96" t="s">
        <v>8112</v>
      </c>
      <c r="D1389" s="95" t="s">
        <v>39</v>
      </c>
      <c r="E1389" s="95" t="s">
        <v>614</v>
      </c>
      <c r="F1389" s="95" t="s">
        <v>88</v>
      </c>
      <c r="G1389" s="95" t="s">
        <v>88</v>
      </c>
      <c r="H1389" s="95" t="s">
        <v>89</v>
      </c>
      <c r="I1389" s="95" t="s">
        <v>1477</v>
      </c>
      <c r="J1389" s="97">
        <v>45975.67935613426</v>
      </c>
      <c r="K1389" s="96" t="s">
        <v>8113</v>
      </c>
      <c r="L1389" s="96" t="s">
        <v>8114</v>
      </c>
      <c r="M1389" s="95" t="s">
        <v>17</v>
      </c>
      <c r="N1389" s="95" t="s">
        <v>8115</v>
      </c>
      <c r="O1389" s="95" t="s">
        <v>8115</v>
      </c>
      <c r="P1389" s="95" t="s">
        <v>8116</v>
      </c>
      <c r="Q1389" s="98">
        <v>3.0</v>
      </c>
      <c r="R1389" s="97">
        <v>45716.79987268519</v>
      </c>
      <c r="S1389" s="99">
        <v>26758.0</v>
      </c>
      <c r="T1389" s="99">
        <v>1127.0</v>
      </c>
      <c r="U1389" s="99">
        <v>6.0</v>
      </c>
      <c r="V1389" s="99">
        <v>628.0</v>
      </c>
      <c r="W1389" s="99">
        <v>130582.0</v>
      </c>
    </row>
    <row r="1390" ht="15.75" customHeight="1">
      <c r="A1390" s="95" t="s">
        <v>8117</v>
      </c>
      <c r="B1390" s="95" t="s">
        <v>22</v>
      </c>
      <c r="C1390" s="96" t="s">
        <v>8118</v>
      </c>
      <c r="D1390" s="95" t="s">
        <v>39</v>
      </c>
      <c r="E1390" s="95" t="s">
        <v>39</v>
      </c>
      <c r="F1390" s="95" t="s">
        <v>19</v>
      </c>
      <c r="G1390" s="95" t="s">
        <v>1367</v>
      </c>
      <c r="H1390" s="95" t="s">
        <v>21</v>
      </c>
      <c r="I1390" s="95" t="s">
        <v>1026</v>
      </c>
      <c r="J1390" s="97">
        <v>46008.62906719907</v>
      </c>
      <c r="K1390" s="96" t="s">
        <v>8119</v>
      </c>
      <c r="L1390" s="95"/>
      <c r="M1390" s="95" t="s">
        <v>17</v>
      </c>
      <c r="N1390" s="95" t="s">
        <v>8115</v>
      </c>
      <c r="O1390" s="95" t="s">
        <v>8115</v>
      </c>
      <c r="P1390" s="95" t="s">
        <v>8116</v>
      </c>
      <c r="Q1390" s="98">
        <v>3.0</v>
      </c>
      <c r="R1390" s="97">
        <v>45905.55138888889</v>
      </c>
      <c r="S1390" s="99">
        <v>26758.0</v>
      </c>
      <c r="T1390" s="99">
        <v>218.0</v>
      </c>
      <c r="U1390" s="99">
        <v>15.0</v>
      </c>
      <c r="V1390" s="99">
        <v>41.0</v>
      </c>
      <c r="W1390" s="99">
        <v>130582.0</v>
      </c>
    </row>
    <row r="1391" ht="15.75" customHeight="1">
      <c r="A1391" s="95" t="s">
        <v>8120</v>
      </c>
      <c r="B1391" s="95" t="s">
        <v>22</v>
      </c>
      <c r="C1391" s="96" t="s">
        <v>8121</v>
      </c>
      <c r="D1391" s="95" t="s">
        <v>20</v>
      </c>
      <c r="E1391" s="95" t="s">
        <v>20</v>
      </c>
      <c r="F1391" s="95" t="s">
        <v>19</v>
      </c>
      <c r="G1391" s="95" t="s">
        <v>19</v>
      </c>
      <c r="H1391" s="95" t="s">
        <v>21</v>
      </c>
      <c r="I1391" s="95" t="s">
        <v>567</v>
      </c>
      <c r="J1391" s="97">
        <v>46008.62907390046</v>
      </c>
      <c r="K1391" s="96" t="s">
        <v>8122</v>
      </c>
      <c r="L1391" s="96" t="s">
        <v>8123</v>
      </c>
      <c r="M1391" s="95" t="s">
        <v>17</v>
      </c>
      <c r="N1391" s="95" t="s">
        <v>8124</v>
      </c>
      <c r="O1391" s="95" t="s">
        <v>8124</v>
      </c>
      <c r="P1391" s="95" t="s">
        <v>8125</v>
      </c>
      <c r="Q1391" s="98">
        <v>3.0</v>
      </c>
      <c r="R1391" s="97">
        <v>45877.60219907408</v>
      </c>
      <c r="S1391" s="99">
        <v>14797.0</v>
      </c>
      <c r="T1391" s="99">
        <v>122.0</v>
      </c>
      <c r="U1391" s="99">
        <v>4.0</v>
      </c>
      <c r="V1391" s="99">
        <v>131.0</v>
      </c>
      <c r="W1391" s="99">
        <v>417364.0</v>
      </c>
    </row>
    <row r="1392" ht="15.75" customHeight="1">
      <c r="A1392" s="95" t="s">
        <v>8126</v>
      </c>
      <c r="B1392" s="95" t="s">
        <v>22</v>
      </c>
      <c r="C1392" s="96" t="s">
        <v>8127</v>
      </c>
      <c r="D1392" s="95" t="s">
        <v>168</v>
      </c>
      <c r="E1392" s="95" t="s">
        <v>1228</v>
      </c>
      <c r="F1392" s="95" t="s">
        <v>19</v>
      </c>
      <c r="G1392" s="95" t="s">
        <v>19</v>
      </c>
      <c r="H1392" s="95" t="s">
        <v>21</v>
      </c>
      <c r="I1392" s="95" t="s">
        <v>567</v>
      </c>
      <c r="J1392" s="97">
        <v>45977.67877016203</v>
      </c>
      <c r="K1392" s="95" t="s">
        <v>8128</v>
      </c>
      <c r="L1392" s="95"/>
      <c r="M1392" s="95" t="s">
        <v>17</v>
      </c>
      <c r="N1392" s="95" t="s">
        <v>8129</v>
      </c>
      <c r="O1392" s="95" t="s">
        <v>8129</v>
      </c>
      <c r="P1392" s="95" t="s">
        <v>8130</v>
      </c>
      <c r="Q1392" s="98">
        <v>3.0</v>
      </c>
      <c r="R1392" s="97">
        <v>45894.89978009259</v>
      </c>
      <c r="S1392" s="99">
        <v>4085.0</v>
      </c>
      <c r="T1392" s="99">
        <v>488.0</v>
      </c>
      <c r="U1392" s="99">
        <v>5.0</v>
      </c>
      <c r="V1392" s="99">
        <v>149.0</v>
      </c>
      <c r="W1392" s="99">
        <v>187014.0</v>
      </c>
    </row>
    <row r="1393" ht="15.75" customHeight="1">
      <c r="A1393" s="95" t="s">
        <v>8131</v>
      </c>
      <c r="B1393" s="95" t="s">
        <v>22</v>
      </c>
      <c r="C1393" s="96" t="s">
        <v>8132</v>
      </c>
      <c r="D1393" s="95" t="s">
        <v>168</v>
      </c>
      <c r="E1393" s="95" t="s">
        <v>1228</v>
      </c>
      <c r="F1393" s="95" t="s">
        <v>19</v>
      </c>
      <c r="G1393" s="95" t="s">
        <v>19</v>
      </c>
      <c r="H1393" s="95" t="s">
        <v>21</v>
      </c>
      <c r="I1393" s="95" t="s">
        <v>567</v>
      </c>
      <c r="J1393" s="97">
        <v>45975.67935613426</v>
      </c>
      <c r="K1393" s="96" t="s">
        <v>8133</v>
      </c>
      <c r="L1393" s="95"/>
      <c r="M1393" s="95" t="s">
        <v>17</v>
      </c>
      <c r="N1393" s="95" t="s">
        <v>8129</v>
      </c>
      <c r="O1393" s="95" t="s">
        <v>8129</v>
      </c>
      <c r="P1393" s="95" t="s">
        <v>8130</v>
      </c>
      <c r="Q1393" s="98">
        <v>3.0</v>
      </c>
      <c r="R1393" s="97">
        <v>45793.63077546296</v>
      </c>
      <c r="S1393" s="99">
        <v>4085.0</v>
      </c>
      <c r="T1393" s="99">
        <v>495.0</v>
      </c>
      <c r="U1393" s="99">
        <v>3.0</v>
      </c>
      <c r="V1393" s="99">
        <v>275.0</v>
      </c>
      <c r="W1393" s="99">
        <v>187014.0</v>
      </c>
    </row>
    <row r="1394" ht="15.75" customHeight="1">
      <c r="A1394" s="95" t="s">
        <v>8134</v>
      </c>
      <c r="B1394" s="95" t="s">
        <v>22</v>
      </c>
      <c r="C1394" s="96" t="s">
        <v>8135</v>
      </c>
      <c r="D1394" s="95" t="s">
        <v>168</v>
      </c>
      <c r="E1394" s="95" t="s">
        <v>1228</v>
      </c>
      <c r="F1394" s="95" t="s">
        <v>19</v>
      </c>
      <c r="G1394" s="95" t="s">
        <v>574</v>
      </c>
      <c r="H1394" s="95" t="s">
        <v>21</v>
      </c>
      <c r="I1394" s="95" t="s">
        <v>567</v>
      </c>
      <c r="J1394" s="97">
        <v>45975.67935613426</v>
      </c>
      <c r="K1394" s="96" t="s">
        <v>8136</v>
      </c>
      <c r="L1394" s="95"/>
      <c r="M1394" s="95" t="s">
        <v>17</v>
      </c>
      <c r="N1394" s="95" t="s">
        <v>8129</v>
      </c>
      <c r="O1394" s="95" t="s">
        <v>8129</v>
      </c>
      <c r="P1394" s="95" t="s">
        <v>8130</v>
      </c>
      <c r="Q1394" s="98">
        <v>3.0</v>
      </c>
      <c r="R1394" s="97">
        <v>45614.85368055556</v>
      </c>
      <c r="S1394" s="99">
        <v>4085.0</v>
      </c>
      <c r="T1394" s="99">
        <v>409.0</v>
      </c>
      <c r="U1394" s="99">
        <v>103.0</v>
      </c>
      <c r="V1394" s="99">
        <v>295.0</v>
      </c>
      <c r="W1394" s="99">
        <v>187014.0</v>
      </c>
    </row>
    <row r="1395" ht="15.75" customHeight="1">
      <c r="A1395" s="95" t="s">
        <v>8137</v>
      </c>
      <c r="B1395" s="95" t="s">
        <v>157</v>
      </c>
      <c r="C1395" s="96" t="s">
        <v>8138</v>
      </c>
      <c r="D1395" s="95" t="s">
        <v>168</v>
      </c>
      <c r="E1395" s="95" t="s">
        <v>8139</v>
      </c>
      <c r="F1395" s="95" t="s">
        <v>88</v>
      </c>
      <c r="G1395" s="95" t="s">
        <v>639</v>
      </c>
      <c r="H1395" s="95" t="s">
        <v>89</v>
      </c>
      <c r="I1395" s="95" t="s">
        <v>897</v>
      </c>
      <c r="J1395" s="97">
        <v>45993.7854622338</v>
      </c>
      <c r="K1395" s="96" t="s">
        <v>8140</v>
      </c>
      <c r="L1395" s="96" t="s">
        <v>8141</v>
      </c>
      <c r="M1395" s="95" t="s">
        <v>17</v>
      </c>
      <c r="N1395" s="95" t="s">
        <v>8142</v>
      </c>
      <c r="O1395" s="95" t="s">
        <v>8142</v>
      </c>
      <c r="P1395" s="95" t="s">
        <v>8143</v>
      </c>
      <c r="Q1395" s="98">
        <v>3.0</v>
      </c>
      <c r="R1395" s="97">
        <v>45672.95685185185</v>
      </c>
      <c r="S1395" s="99">
        <v>2081.0</v>
      </c>
      <c r="T1395" s="99">
        <v>63.0</v>
      </c>
      <c r="U1395" s="99">
        <v>3.0</v>
      </c>
      <c r="V1395" s="99">
        <v>90.0</v>
      </c>
      <c r="W1395" s="99">
        <v>191405.0</v>
      </c>
    </row>
    <row r="1396" ht="15.75" customHeight="1">
      <c r="A1396" s="95" t="s">
        <v>8144</v>
      </c>
      <c r="B1396" s="95" t="s">
        <v>22</v>
      </c>
      <c r="C1396" s="96" t="s">
        <v>8145</v>
      </c>
      <c r="D1396" s="95" t="s">
        <v>547</v>
      </c>
      <c r="E1396" s="95" t="s">
        <v>2202</v>
      </c>
      <c r="F1396" s="95" t="s">
        <v>19</v>
      </c>
      <c r="G1396" s="95" t="s">
        <v>588</v>
      </c>
      <c r="H1396" s="95" t="s">
        <v>21</v>
      </c>
      <c r="I1396" s="95" t="s">
        <v>589</v>
      </c>
      <c r="J1396" s="97">
        <v>45975.67935613426</v>
      </c>
      <c r="K1396" s="96" t="s">
        <v>8146</v>
      </c>
      <c r="L1396" s="96" t="s">
        <v>8147</v>
      </c>
      <c r="M1396" s="95" t="s">
        <v>17</v>
      </c>
      <c r="N1396" s="95" t="s">
        <v>8142</v>
      </c>
      <c r="O1396" s="95" t="s">
        <v>8142</v>
      </c>
      <c r="P1396" s="95" t="s">
        <v>8143</v>
      </c>
      <c r="Q1396" s="98">
        <v>3.0</v>
      </c>
      <c r="R1396" s="97">
        <v>45726.94385416667</v>
      </c>
      <c r="S1396" s="99">
        <v>2081.0</v>
      </c>
      <c r="T1396" s="99">
        <v>144.0</v>
      </c>
      <c r="U1396" s="99">
        <v>21.0</v>
      </c>
      <c r="V1396" s="99">
        <v>205.0</v>
      </c>
      <c r="W1396" s="99">
        <v>191405.0</v>
      </c>
    </row>
    <row r="1397" ht="15.75" customHeight="1">
      <c r="A1397" s="95" t="s">
        <v>8148</v>
      </c>
      <c r="B1397" s="95" t="s">
        <v>22</v>
      </c>
      <c r="C1397" s="96" t="s">
        <v>8149</v>
      </c>
      <c r="D1397" s="95" t="s">
        <v>168</v>
      </c>
      <c r="E1397" s="95" t="s">
        <v>606</v>
      </c>
      <c r="F1397" s="95" t="s">
        <v>19</v>
      </c>
      <c r="G1397" s="95" t="s">
        <v>588</v>
      </c>
      <c r="H1397" s="95" t="s">
        <v>21</v>
      </c>
      <c r="I1397" s="95" t="s">
        <v>589</v>
      </c>
      <c r="J1397" s="97">
        <v>45975.67935613426</v>
      </c>
      <c r="K1397" s="96" t="s">
        <v>8150</v>
      </c>
      <c r="L1397" s="96" t="s">
        <v>8151</v>
      </c>
      <c r="M1397" s="95" t="s">
        <v>17</v>
      </c>
      <c r="N1397" s="95" t="s">
        <v>8142</v>
      </c>
      <c r="O1397" s="95" t="s">
        <v>8142</v>
      </c>
      <c r="P1397" s="95" t="s">
        <v>8143</v>
      </c>
      <c r="Q1397" s="98">
        <v>3.0</v>
      </c>
      <c r="R1397" s="97">
        <v>45636.87747685185</v>
      </c>
      <c r="S1397" s="99">
        <v>2081.0</v>
      </c>
      <c r="T1397" s="99">
        <v>27.0</v>
      </c>
      <c r="U1397" s="99">
        <v>4.0</v>
      </c>
      <c r="V1397" s="99">
        <v>41.0</v>
      </c>
      <c r="W1397" s="99">
        <v>191405.0</v>
      </c>
    </row>
    <row r="1398" ht="15.75" customHeight="1">
      <c r="A1398" s="95" t="s">
        <v>8152</v>
      </c>
      <c r="B1398" s="95" t="s">
        <v>22</v>
      </c>
      <c r="C1398" s="96" t="s">
        <v>8153</v>
      </c>
      <c r="D1398" s="95" t="s">
        <v>20</v>
      </c>
      <c r="E1398" s="95" t="s">
        <v>1991</v>
      </c>
      <c r="F1398" s="95" t="s">
        <v>19</v>
      </c>
      <c r="G1398" s="95" t="s">
        <v>19</v>
      </c>
      <c r="H1398" s="95" t="s">
        <v>21</v>
      </c>
      <c r="I1398" s="95" t="s">
        <v>567</v>
      </c>
      <c r="J1398" s="97">
        <v>45975.67935613426</v>
      </c>
      <c r="K1398" s="96" t="s">
        <v>8154</v>
      </c>
      <c r="L1398" s="96" t="s">
        <v>8155</v>
      </c>
      <c r="M1398" s="95" t="s">
        <v>17</v>
      </c>
      <c r="N1398" s="95" t="s">
        <v>8156</v>
      </c>
      <c r="O1398" s="95" t="s">
        <v>8156</v>
      </c>
      <c r="P1398" s="95" t="s">
        <v>8157</v>
      </c>
      <c r="Q1398" s="98">
        <v>3.0</v>
      </c>
      <c r="R1398" s="97">
        <v>45720.4558912037</v>
      </c>
      <c r="S1398" s="99">
        <v>589.0</v>
      </c>
      <c r="T1398" s="99">
        <v>121.0</v>
      </c>
      <c r="U1398" s="99">
        <v>36.0</v>
      </c>
      <c r="V1398" s="99">
        <v>42.0</v>
      </c>
      <c r="W1398" s="99">
        <v>212655.0</v>
      </c>
    </row>
    <row r="1399" ht="15.75" customHeight="1">
      <c r="A1399" s="95" t="s">
        <v>8158</v>
      </c>
      <c r="B1399" s="95" t="s">
        <v>131</v>
      </c>
      <c r="C1399" s="96" t="s">
        <v>8159</v>
      </c>
      <c r="D1399" s="95" t="s">
        <v>168</v>
      </c>
      <c r="E1399" s="95" t="s">
        <v>3021</v>
      </c>
      <c r="F1399" s="95" t="s">
        <v>19</v>
      </c>
      <c r="G1399" s="95" t="s">
        <v>574</v>
      </c>
      <c r="H1399" s="95" t="s">
        <v>60</v>
      </c>
      <c r="I1399" s="95" t="s">
        <v>795</v>
      </c>
      <c r="J1399" s="97">
        <v>45977.67877016203</v>
      </c>
      <c r="K1399" s="95" t="s">
        <v>8160</v>
      </c>
      <c r="L1399" s="95"/>
      <c r="M1399" s="95" t="s">
        <v>17</v>
      </c>
      <c r="N1399" s="95" t="s">
        <v>8161</v>
      </c>
      <c r="O1399" s="95" t="s">
        <v>8161</v>
      </c>
      <c r="P1399" s="95" t="s">
        <v>8162</v>
      </c>
      <c r="Q1399" s="98">
        <v>3.0</v>
      </c>
      <c r="R1399" s="97">
        <v>45711.7294212963</v>
      </c>
      <c r="S1399" s="99">
        <v>1050.0</v>
      </c>
      <c r="T1399" s="99">
        <v>154.0</v>
      </c>
      <c r="U1399" s="99">
        <v>28.0</v>
      </c>
      <c r="V1399" s="99">
        <v>331.0</v>
      </c>
      <c r="W1399" s="99">
        <v>999999.0</v>
      </c>
    </row>
    <row r="1400" ht="15.75" customHeight="1">
      <c r="A1400" s="95" t="s">
        <v>8163</v>
      </c>
      <c r="B1400" s="95" t="s">
        <v>22</v>
      </c>
      <c r="C1400" s="96" t="s">
        <v>8164</v>
      </c>
      <c r="D1400" s="95" t="s">
        <v>39</v>
      </c>
      <c r="E1400" s="95" t="s">
        <v>39</v>
      </c>
      <c r="F1400" s="95" t="s">
        <v>19</v>
      </c>
      <c r="G1400" s="95" t="s">
        <v>19</v>
      </c>
      <c r="H1400" s="95" t="s">
        <v>21</v>
      </c>
      <c r="I1400" s="95" t="s">
        <v>589</v>
      </c>
      <c r="J1400" s="97">
        <v>45975.67935613426</v>
      </c>
      <c r="K1400" s="96" t="s">
        <v>8165</v>
      </c>
      <c r="L1400" s="96" t="s">
        <v>8166</v>
      </c>
      <c r="M1400" s="95" t="s">
        <v>17</v>
      </c>
      <c r="N1400" s="95" t="s">
        <v>8167</v>
      </c>
      <c r="O1400" s="95" t="s">
        <v>8167</v>
      </c>
      <c r="P1400" s="95" t="s">
        <v>8168</v>
      </c>
      <c r="Q1400" s="98">
        <v>3.0</v>
      </c>
      <c r="R1400" s="97">
        <v>45695.62364583334</v>
      </c>
      <c r="S1400" s="99">
        <v>2231.0</v>
      </c>
      <c r="T1400" s="99">
        <v>72.0</v>
      </c>
      <c r="U1400" s="99">
        <v>19.0</v>
      </c>
      <c r="V1400" s="99">
        <v>74.0</v>
      </c>
      <c r="W1400" s="99">
        <v>9581.0</v>
      </c>
    </row>
    <row r="1401" ht="15.75" customHeight="1">
      <c r="A1401" s="95" t="s">
        <v>8169</v>
      </c>
      <c r="B1401" s="95" t="s">
        <v>22</v>
      </c>
      <c r="C1401" s="96" t="s">
        <v>8170</v>
      </c>
      <c r="D1401" s="95" t="s">
        <v>39</v>
      </c>
      <c r="E1401" s="95" t="s">
        <v>960</v>
      </c>
      <c r="F1401" s="95" t="s">
        <v>19</v>
      </c>
      <c r="G1401" s="95" t="s">
        <v>19</v>
      </c>
      <c r="H1401" s="95" t="s">
        <v>21</v>
      </c>
      <c r="I1401" s="95" t="s">
        <v>943</v>
      </c>
      <c r="J1401" s="97">
        <v>46008.62904930556</v>
      </c>
      <c r="K1401" s="96" t="s">
        <v>8171</v>
      </c>
      <c r="L1401" s="96" t="s">
        <v>8172</v>
      </c>
      <c r="M1401" s="95" t="s">
        <v>17</v>
      </c>
      <c r="N1401" s="95" t="s">
        <v>8173</v>
      </c>
      <c r="O1401" s="95" t="s">
        <v>8173</v>
      </c>
      <c r="P1401" s="95" t="s">
        <v>8174</v>
      </c>
      <c r="Q1401" s="98">
        <v>3.0</v>
      </c>
      <c r="R1401" s="97">
        <v>45758.99405092592</v>
      </c>
      <c r="S1401" s="99">
        <v>9981.0</v>
      </c>
      <c r="T1401" s="99">
        <v>95.0</v>
      </c>
      <c r="U1401" s="99">
        <v>19.0</v>
      </c>
      <c r="V1401" s="99">
        <v>249.0</v>
      </c>
      <c r="W1401" s="99">
        <v>148255.0</v>
      </c>
    </row>
    <row r="1402" ht="15.75" customHeight="1">
      <c r="A1402" s="95" t="s">
        <v>8175</v>
      </c>
      <c r="B1402" s="95" t="s">
        <v>22</v>
      </c>
      <c r="C1402" s="96" t="s">
        <v>8176</v>
      </c>
      <c r="D1402" s="95" t="s">
        <v>39</v>
      </c>
      <c r="E1402" s="95" t="s">
        <v>960</v>
      </c>
      <c r="F1402" s="95" t="s">
        <v>19</v>
      </c>
      <c r="G1402" s="95" t="s">
        <v>19</v>
      </c>
      <c r="H1402" s="95" t="s">
        <v>21</v>
      </c>
      <c r="I1402" s="95" t="s">
        <v>567</v>
      </c>
      <c r="J1402" s="97">
        <v>45975.67935613426</v>
      </c>
      <c r="K1402" s="96" t="s">
        <v>8177</v>
      </c>
      <c r="L1402" s="95"/>
      <c r="M1402" s="95" t="s">
        <v>17</v>
      </c>
      <c r="N1402" s="95" t="s">
        <v>8178</v>
      </c>
      <c r="O1402" s="95" t="s">
        <v>8178</v>
      </c>
      <c r="P1402" s="95" t="s">
        <v>8179</v>
      </c>
      <c r="Q1402" s="98">
        <v>3.0</v>
      </c>
      <c r="R1402" s="97">
        <v>45665.7087962963</v>
      </c>
      <c r="S1402" s="99">
        <v>2806.0</v>
      </c>
      <c r="T1402" s="99">
        <v>194.0</v>
      </c>
      <c r="U1402" s="99">
        <v>16.0</v>
      </c>
      <c r="V1402" s="99">
        <v>306.0</v>
      </c>
      <c r="W1402" s="99">
        <v>94505.0</v>
      </c>
    </row>
    <row r="1403" ht="15.75" customHeight="1">
      <c r="A1403" s="95" t="s">
        <v>8180</v>
      </c>
      <c r="B1403" s="95" t="s">
        <v>22</v>
      </c>
      <c r="C1403" s="96" t="s">
        <v>8181</v>
      </c>
      <c r="D1403" s="95" t="s">
        <v>39</v>
      </c>
      <c r="E1403" s="95" t="s">
        <v>39</v>
      </c>
      <c r="F1403" s="95" t="s">
        <v>19</v>
      </c>
      <c r="G1403" s="95" t="s">
        <v>1367</v>
      </c>
      <c r="H1403" s="95" t="s">
        <v>21</v>
      </c>
      <c r="I1403" s="95" t="s">
        <v>567</v>
      </c>
      <c r="J1403" s="97">
        <v>45977.67931064815</v>
      </c>
      <c r="K1403" s="95" t="s">
        <v>8182</v>
      </c>
      <c r="L1403" s="95"/>
      <c r="M1403" s="95" t="s">
        <v>17</v>
      </c>
      <c r="N1403" s="95" t="s">
        <v>8183</v>
      </c>
      <c r="O1403" s="95" t="s">
        <v>8183</v>
      </c>
      <c r="P1403" s="95" t="s">
        <v>8184</v>
      </c>
      <c r="Q1403" s="98">
        <v>3.0</v>
      </c>
      <c r="R1403" s="97">
        <v>45873.28428240741</v>
      </c>
      <c r="S1403" s="99">
        <v>5729.0</v>
      </c>
      <c r="T1403" s="99">
        <v>253.0</v>
      </c>
      <c r="U1403" s="99">
        <v>14.0</v>
      </c>
      <c r="V1403" s="99">
        <v>64.0</v>
      </c>
      <c r="W1403" s="99">
        <v>20649.0</v>
      </c>
    </row>
    <row r="1404" ht="15.75" customHeight="1">
      <c r="A1404" s="95" t="s">
        <v>8185</v>
      </c>
      <c r="B1404" s="95" t="s">
        <v>22</v>
      </c>
      <c r="C1404" s="96" t="s">
        <v>8186</v>
      </c>
      <c r="D1404" s="95" t="s">
        <v>39</v>
      </c>
      <c r="E1404" s="95" t="s">
        <v>39</v>
      </c>
      <c r="F1404" s="95" t="s">
        <v>19</v>
      </c>
      <c r="G1404" s="95" t="s">
        <v>19</v>
      </c>
      <c r="H1404" s="95" t="s">
        <v>21</v>
      </c>
      <c r="I1404" s="95" t="s">
        <v>589</v>
      </c>
      <c r="J1404" s="97">
        <v>45978.46468967593</v>
      </c>
      <c r="K1404" s="95" t="s">
        <v>8187</v>
      </c>
      <c r="L1404" s="96" t="s">
        <v>8188</v>
      </c>
      <c r="M1404" s="95" t="s">
        <v>17</v>
      </c>
      <c r="N1404" s="95" t="s">
        <v>8189</v>
      </c>
      <c r="O1404" s="95" t="s">
        <v>8189</v>
      </c>
      <c r="P1404" s="95" t="s">
        <v>8190</v>
      </c>
      <c r="Q1404" s="98">
        <v>3.0</v>
      </c>
      <c r="R1404" s="97">
        <v>45603.95805555556</v>
      </c>
      <c r="S1404" s="99">
        <v>976.0</v>
      </c>
      <c r="T1404" s="99">
        <v>793.0</v>
      </c>
      <c r="U1404" s="99">
        <v>4.0</v>
      </c>
      <c r="V1404" s="99">
        <v>104.0</v>
      </c>
      <c r="W1404" s="99">
        <v>17196.0</v>
      </c>
    </row>
    <row r="1405" ht="15.75" customHeight="1">
      <c r="A1405" s="95" t="s">
        <v>8191</v>
      </c>
      <c r="B1405" s="95" t="s">
        <v>22</v>
      </c>
      <c r="C1405" s="96" t="s">
        <v>8192</v>
      </c>
      <c r="D1405" s="95" t="s">
        <v>39</v>
      </c>
      <c r="E1405" s="95" t="s">
        <v>39</v>
      </c>
      <c r="F1405" s="95" t="s">
        <v>19</v>
      </c>
      <c r="G1405" s="95" t="s">
        <v>1367</v>
      </c>
      <c r="H1405" s="95" t="s">
        <v>21</v>
      </c>
      <c r="I1405" s="95" t="s">
        <v>567</v>
      </c>
      <c r="J1405" s="97">
        <v>45975.67935613426</v>
      </c>
      <c r="K1405" s="96" t="s">
        <v>8193</v>
      </c>
      <c r="L1405" s="96" t="s">
        <v>8194</v>
      </c>
      <c r="M1405" s="95" t="s">
        <v>17</v>
      </c>
      <c r="N1405" s="95" t="s">
        <v>8189</v>
      </c>
      <c r="O1405" s="95" t="s">
        <v>8189</v>
      </c>
      <c r="P1405" s="95" t="s">
        <v>8190</v>
      </c>
      <c r="Q1405" s="98">
        <v>3.0</v>
      </c>
      <c r="R1405" s="97">
        <v>45664.41202546296</v>
      </c>
      <c r="S1405" s="99">
        <v>976.0</v>
      </c>
      <c r="T1405" s="99">
        <v>29.0</v>
      </c>
      <c r="U1405" s="99">
        <v>4.0</v>
      </c>
      <c r="V1405" s="99">
        <v>77.0</v>
      </c>
      <c r="W1405" s="99">
        <v>17196.0</v>
      </c>
    </row>
    <row r="1406" ht="15.75" customHeight="1">
      <c r="A1406" s="95" t="s">
        <v>8195</v>
      </c>
      <c r="B1406" s="95" t="s">
        <v>69</v>
      </c>
      <c r="C1406" s="96" t="s">
        <v>8196</v>
      </c>
      <c r="D1406" s="95" t="s">
        <v>39</v>
      </c>
      <c r="E1406" s="95" t="s">
        <v>39</v>
      </c>
      <c r="F1406" s="95" t="s">
        <v>19</v>
      </c>
      <c r="G1406" s="95" t="s">
        <v>574</v>
      </c>
      <c r="H1406" s="95" t="s">
        <v>60</v>
      </c>
      <c r="I1406" s="95" t="s">
        <v>2126</v>
      </c>
      <c r="J1406" s="97">
        <v>45977.67931064815</v>
      </c>
      <c r="K1406" s="95" t="s">
        <v>8197</v>
      </c>
      <c r="L1406" s="95"/>
      <c r="M1406" s="95" t="s">
        <v>17</v>
      </c>
      <c r="N1406" s="95" t="s">
        <v>8198</v>
      </c>
      <c r="O1406" s="95" t="s">
        <v>8198</v>
      </c>
      <c r="P1406" s="95" t="s">
        <v>8199</v>
      </c>
      <c r="Q1406" s="98">
        <v>3.0</v>
      </c>
      <c r="R1406" s="97">
        <v>45882.72467592593</v>
      </c>
      <c r="S1406" s="99">
        <v>660.0</v>
      </c>
      <c r="T1406" s="99">
        <v>435.0</v>
      </c>
      <c r="U1406" s="99">
        <v>1.0</v>
      </c>
      <c r="V1406" s="99">
        <v>391.0</v>
      </c>
      <c r="W1406" s="99">
        <v>29502.0</v>
      </c>
    </row>
    <row r="1407" ht="15.75" customHeight="1">
      <c r="A1407" s="95" t="s">
        <v>8200</v>
      </c>
      <c r="B1407" s="95" t="s">
        <v>22</v>
      </c>
      <c r="C1407" s="96" t="s">
        <v>8201</v>
      </c>
      <c r="D1407" s="95" t="s">
        <v>39</v>
      </c>
      <c r="E1407" s="95" t="s">
        <v>39</v>
      </c>
      <c r="F1407" s="95" t="s">
        <v>19</v>
      </c>
      <c r="G1407" s="95" t="s">
        <v>19</v>
      </c>
      <c r="H1407" s="95" t="s">
        <v>21</v>
      </c>
      <c r="I1407" s="95" t="s">
        <v>589</v>
      </c>
      <c r="J1407" s="97">
        <v>45977.67931064815</v>
      </c>
      <c r="K1407" s="95" t="s">
        <v>8202</v>
      </c>
      <c r="L1407" s="96" t="s">
        <v>8203</v>
      </c>
      <c r="M1407" s="95" t="s">
        <v>17</v>
      </c>
      <c r="N1407" s="95" t="s">
        <v>8198</v>
      </c>
      <c r="O1407" s="95" t="s">
        <v>8198</v>
      </c>
      <c r="P1407" s="95" t="s">
        <v>8199</v>
      </c>
      <c r="Q1407" s="98">
        <v>3.0</v>
      </c>
      <c r="R1407" s="97">
        <v>45803.82760416667</v>
      </c>
      <c r="S1407" s="99">
        <v>660.0</v>
      </c>
      <c r="T1407" s="99">
        <v>223.0</v>
      </c>
      <c r="U1407" s="99">
        <v>1.0</v>
      </c>
      <c r="V1407" s="99">
        <v>30.0</v>
      </c>
      <c r="W1407" s="99">
        <v>29502.0</v>
      </c>
    </row>
    <row r="1408" ht="15.75" customHeight="1">
      <c r="A1408" s="95" t="s">
        <v>8204</v>
      </c>
      <c r="B1408" s="95" t="s">
        <v>22</v>
      </c>
      <c r="C1408" s="96" t="s">
        <v>8205</v>
      </c>
      <c r="D1408" s="95" t="s">
        <v>548</v>
      </c>
      <c r="E1408" s="95" t="s">
        <v>2757</v>
      </c>
      <c r="F1408" s="95" t="s">
        <v>19</v>
      </c>
      <c r="G1408" s="95" t="s">
        <v>19</v>
      </c>
      <c r="H1408" s="95" t="s">
        <v>21</v>
      </c>
      <c r="I1408" s="95" t="s">
        <v>567</v>
      </c>
      <c r="J1408" s="97">
        <v>45977.67931064815</v>
      </c>
      <c r="K1408" s="95" t="s">
        <v>8206</v>
      </c>
      <c r="L1408" s="96" t="s">
        <v>8207</v>
      </c>
      <c r="M1408" s="95" t="s">
        <v>17</v>
      </c>
      <c r="N1408" s="95" t="s">
        <v>8208</v>
      </c>
      <c r="O1408" s="95" t="s">
        <v>8208</v>
      </c>
      <c r="P1408" s="95" t="s">
        <v>8209</v>
      </c>
      <c r="Q1408" s="98">
        <v>3.0</v>
      </c>
      <c r="R1408" s="97">
        <v>45671.35976851852</v>
      </c>
      <c r="S1408" s="99">
        <v>1515.0</v>
      </c>
      <c r="T1408" s="99">
        <v>1601.0</v>
      </c>
      <c r="U1408" s="99">
        <v>2.0</v>
      </c>
      <c r="V1408" s="99">
        <v>282.0</v>
      </c>
      <c r="W1408" s="99">
        <v>109615.0</v>
      </c>
    </row>
    <row r="1409" ht="15.75" customHeight="1">
      <c r="A1409" s="95" t="s">
        <v>8210</v>
      </c>
      <c r="B1409" s="95" t="s">
        <v>22</v>
      </c>
      <c r="C1409" s="96" t="s">
        <v>8211</v>
      </c>
      <c r="D1409" s="95" t="s">
        <v>39</v>
      </c>
      <c r="E1409" s="95" t="s">
        <v>39</v>
      </c>
      <c r="F1409" s="95" t="s">
        <v>19</v>
      </c>
      <c r="G1409" s="95" t="s">
        <v>19</v>
      </c>
      <c r="H1409" s="95" t="s">
        <v>21</v>
      </c>
      <c r="I1409" s="95" t="s">
        <v>589</v>
      </c>
      <c r="J1409" s="97">
        <v>45975.67935613426</v>
      </c>
      <c r="K1409" s="96" t="s">
        <v>8212</v>
      </c>
      <c r="L1409" s="96" t="s">
        <v>8213</v>
      </c>
      <c r="M1409" s="95" t="s">
        <v>17</v>
      </c>
      <c r="N1409" s="95" t="s">
        <v>8214</v>
      </c>
      <c r="O1409" s="95" t="s">
        <v>8214</v>
      </c>
      <c r="P1409" s="95" t="s">
        <v>8215</v>
      </c>
      <c r="Q1409" s="98">
        <v>3.0</v>
      </c>
      <c r="R1409" s="97">
        <v>45689.49894675926</v>
      </c>
      <c r="S1409" s="99">
        <v>34199.0</v>
      </c>
      <c r="T1409" s="99">
        <v>189.0</v>
      </c>
      <c r="U1409" s="99">
        <v>11.0</v>
      </c>
      <c r="V1409" s="99">
        <v>171.0</v>
      </c>
      <c r="W1409" s="99">
        <v>81576.0</v>
      </c>
    </row>
    <row r="1410" ht="15.75" customHeight="1">
      <c r="A1410" s="95" t="s">
        <v>8216</v>
      </c>
      <c r="B1410" s="95" t="s">
        <v>22</v>
      </c>
      <c r="C1410" s="96" t="s">
        <v>8217</v>
      </c>
      <c r="D1410" s="95" t="s">
        <v>39</v>
      </c>
      <c r="E1410" s="95" t="s">
        <v>39</v>
      </c>
      <c r="F1410" s="95" t="s">
        <v>19</v>
      </c>
      <c r="G1410" s="95" t="s">
        <v>588</v>
      </c>
      <c r="H1410" s="95" t="s">
        <v>21</v>
      </c>
      <c r="I1410" s="95" t="s">
        <v>567</v>
      </c>
      <c r="J1410" s="97">
        <v>45975.67935613426</v>
      </c>
      <c r="K1410" s="96" t="s">
        <v>8218</v>
      </c>
      <c r="L1410" s="96" t="s">
        <v>8219</v>
      </c>
      <c r="M1410" s="95" t="s">
        <v>17</v>
      </c>
      <c r="N1410" s="95" t="s">
        <v>8214</v>
      </c>
      <c r="O1410" s="95" t="s">
        <v>8214</v>
      </c>
      <c r="P1410" s="95" t="s">
        <v>8215</v>
      </c>
      <c r="Q1410" s="98">
        <v>3.0</v>
      </c>
      <c r="R1410" s="97">
        <v>45622.24079861111</v>
      </c>
      <c r="S1410" s="99">
        <v>34199.0</v>
      </c>
      <c r="T1410" s="99">
        <v>51.0</v>
      </c>
      <c r="U1410" s="99">
        <v>4.0</v>
      </c>
      <c r="V1410" s="99">
        <v>96.0</v>
      </c>
      <c r="W1410" s="99">
        <v>81576.0</v>
      </c>
    </row>
    <row r="1411" ht="15.75" customHeight="1">
      <c r="A1411" s="95" t="s">
        <v>8220</v>
      </c>
      <c r="B1411" s="95" t="s">
        <v>101</v>
      </c>
      <c r="C1411" s="96" t="s">
        <v>8221</v>
      </c>
      <c r="D1411" s="95" t="s">
        <v>39</v>
      </c>
      <c r="E1411" s="95" t="s">
        <v>960</v>
      </c>
      <c r="F1411" s="95" t="s">
        <v>19</v>
      </c>
      <c r="G1411" s="95" t="s">
        <v>19</v>
      </c>
      <c r="H1411" s="95" t="s">
        <v>21</v>
      </c>
      <c r="I1411" s="95" t="s">
        <v>955</v>
      </c>
      <c r="J1411" s="97">
        <v>45977.67931064815</v>
      </c>
      <c r="K1411" s="95" t="s">
        <v>8222</v>
      </c>
      <c r="L1411" s="96" t="s">
        <v>8223</v>
      </c>
      <c r="M1411" s="95" t="s">
        <v>17</v>
      </c>
      <c r="N1411" s="95" t="s">
        <v>8224</v>
      </c>
      <c r="O1411" s="95" t="s">
        <v>8224</v>
      </c>
      <c r="P1411" s="95" t="s">
        <v>8225</v>
      </c>
      <c r="Q1411" s="98">
        <v>3.0</v>
      </c>
      <c r="R1411" s="97">
        <v>45842.67689814815</v>
      </c>
      <c r="S1411" s="99">
        <v>973.0</v>
      </c>
      <c r="T1411" s="99">
        <v>1.0</v>
      </c>
      <c r="U1411" s="99">
        <v>8.0</v>
      </c>
      <c r="V1411" s="99">
        <v>20.0</v>
      </c>
      <c r="W1411" s="99">
        <v>59690.0</v>
      </c>
    </row>
    <row r="1412" ht="15.75" customHeight="1">
      <c r="A1412" s="95" t="s">
        <v>8226</v>
      </c>
      <c r="B1412" s="95" t="s">
        <v>101</v>
      </c>
      <c r="C1412" s="96" t="s">
        <v>8227</v>
      </c>
      <c r="D1412" s="95" t="s">
        <v>39</v>
      </c>
      <c r="E1412" s="95" t="s">
        <v>39</v>
      </c>
      <c r="F1412" s="95" t="s">
        <v>19</v>
      </c>
      <c r="G1412" s="95" t="s">
        <v>574</v>
      </c>
      <c r="H1412" s="95" t="s">
        <v>21</v>
      </c>
      <c r="I1412" s="95" t="s">
        <v>607</v>
      </c>
      <c r="J1412" s="97">
        <v>45975.67936400463</v>
      </c>
      <c r="K1412" s="96" t="s">
        <v>8228</v>
      </c>
      <c r="L1412" s="96" t="s">
        <v>8229</v>
      </c>
      <c r="M1412" s="95" t="s">
        <v>17</v>
      </c>
      <c r="N1412" s="95" t="s">
        <v>8230</v>
      </c>
      <c r="O1412" s="95" t="s">
        <v>8230</v>
      </c>
      <c r="P1412" s="95" t="s">
        <v>8231</v>
      </c>
      <c r="Q1412" s="98">
        <v>3.0</v>
      </c>
      <c r="R1412" s="97">
        <v>45633.38898148148</v>
      </c>
      <c r="S1412" s="99">
        <v>28781.0</v>
      </c>
      <c r="T1412" s="99">
        <v>258.0</v>
      </c>
      <c r="U1412" s="99">
        <v>11.0</v>
      </c>
      <c r="V1412" s="99">
        <v>222.0</v>
      </c>
      <c r="W1412" s="99">
        <v>123057.0</v>
      </c>
    </row>
    <row r="1413" ht="15.75" customHeight="1">
      <c r="A1413" s="95" t="s">
        <v>8232</v>
      </c>
      <c r="B1413" s="95" t="s">
        <v>22</v>
      </c>
      <c r="C1413" s="96" t="s">
        <v>8233</v>
      </c>
      <c r="D1413" s="95" t="s">
        <v>168</v>
      </c>
      <c r="E1413" s="95" t="s">
        <v>168</v>
      </c>
      <c r="F1413" s="95" t="s">
        <v>19</v>
      </c>
      <c r="G1413" s="95" t="s">
        <v>19</v>
      </c>
      <c r="H1413" s="95" t="s">
        <v>21</v>
      </c>
      <c r="I1413" s="95" t="s">
        <v>567</v>
      </c>
      <c r="J1413" s="97">
        <v>45986.53211375</v>
      </c>
      <c r="K1413" s="95" t="s">
        <v>8234</v>
      </c>
      <c r="L1413" s="96" t="s">
        <v>8235</v>
      </c>
      <c r="M1413" s="95" t="s">
        <v>17</v>
      </c>
      <c r="N1413" s="95" t="s">
        <v>8236</v>
      </c>
      <c r="O1413" s="95" t="s">
        <v>8236</v>
      </c>
      <c r="P1413" s="95" t="s">
        <v>8237</v>
      </c>
      <c r="Q1413" s="98">
        <v>3.0</v>
      </c>
      <c r="R1413" s="97">
        <v>45752.2143287037</v>
      </c>
      <c r="S1413" s="99">
        <v>4866.0</v>
      </c>
      <c r="T1413" s="99">
        <v>26.0</v>
      </c>
      <c r="U1413" s="99">
        <v>1.0</v>
      </c>
      <c r="V1413" s="99">
        <v>37.0</v>
      </c>
      <c r="W1413" s="99">
        <v>321106.0</v>
      </c>
    </row>
    <row r="1414" ht="15.75" customHeight="1">
      <c r="A1414" s="95" t="s">
        <v>8238</v>
      </c>
      <c r="B1414" s="95" t="s">
        <v>22</v>
      </c>
      <c r="C1414" s="96" t="s">
        <v>8239</v>
      </c>
      <c r="D1414" s="95" t="s">
        <v>168</v>
      </c>
      <c r="E1414" s="95" t="s">
        <v>168</v>
      </c>
      <c r="F1414" s="95" t="s">
        <v>19</v>
      </c>
      <c r="G1414" s="95" t="s">
        <v>19</v>
      </c>
      <c r="H1414" s="95" t="s">
        <v>21</v>
      </c>
      <c r="I1414" s="95" t="s">
        <v>567</v>
      </c>
      <c r="J1414" s="97">
        <v>46021.49322636574</v>
      </c>
      <c r="K1414" s="95" t="s">
        <v>8240</v>
      </c>
      <c r="L1414" s="96" t="s">
        <v>8241</v>
      </c>
      <c r="M1414" s="95" t="s">
        <v>105</v>
      </c>
      <c r="N1414" s="95" t="s">
        <v>8242</v>
      </c>
      <c r="O1414" s="95" t="s">
        <v>8242</v>
      </c>
      <c r="P1414" s="95" t="s">
        <v>8243</v>
      </c>
      <c r="Q1414" s="98">
        <v>3.0</v>
      </c>
      <c r="R1414" s="97">
        <v>45363.08741898148</v>
      </c>
      <c r="S1414" s="99">
        <v>594.0</v>
      </c>
      <c r="T1414" s="99">
        <v>1650.0</v>
      </c>
      <c r="U1414" s="99">
        <v>1.0</v>
      </c>
      <c r="V1414" s="99">
        <v>292.0</v>
      </c>
      <c r="W1414" s="99">
        <v>220743.0</v>
      </c>
    </row>
    <row r="1415" ht="15.75" customHeight="1">
      <c r="A1415" s="95" t="s">
        <v>8244</v>
      </c>
      <c r="B1415" s="95" t="s">
        <v>157</v>
      </c>
      <c r="C1415" s="96" t="s">
        <v>8245</v>
      </c>
      <c r="D1415" s="95" t="s">
        <v>168</v>
      </c>
      <c r="E1415" s="95" t="s">
        <v>8246</v>
      </c>
      <c r="F1415" s="95" t="s">
        <v>88</v>
      </c>
      <c r="G1415" s="95" t="s">
        <v>639</v>
      </c>
      <c r="H1415" s="95" t="s">
        <v>89</v>
      </c>
      <c r="I1415" s="95" t="s">
        <v>8247</v>
      </c>
      <c r="J1415" s="97">
        <v>45994.66860141204</v>
      </c>
      <c r="K1415" s="96" t="s">
        <v>8248</v>
      </c>
      <c r="L1415" s="96" t="s">
        <v>8249</v>
      </c>
      <c r="M1415" s="95" t="s">
        <v>105</v>
      </c>
      <c r="N1415" s="95" t="s">
        <v>8242</v>
      </c>
      <c r="O1415" s="95" t="s">
        <v>8242</v>
      </c>
      <c r="P1415" s="95" t="s">
        <v>8243</v>
      </c>
      <c r="Q1415" s="98">
        <v>3.0</v>
      </c>
      <c r="R1415" s="97">
        <v>45784.22952546296</v>
      </c>
      <c r="S1415" s="99">
        <v>594.0</v>
      </c>
      <c r="T1415" s="99">
        <v>112.0</v>
      </c>
      <c r="U1415" s="99">
        <v>1.0</v>
      </c>
      <c r="V1415" s="99">
        <v>472.0</v>
      </c>
      <c r="W1415" s="99">
        <v>220743.0</v>
      </c>
    </row>
    <row r="1416" ht="15.75" customHeight="1">
      <c r="A1416" s="95" t="s">
        <v>8250</v>
      </c>
      <c r="B1416" s="95" t="s">
        <v>22</v>
      </c>
      <c r="C1416" s="96" t="s">
        <v>8251</v>
      </c>
      <c r="D1416" s="95" t="s">
        <v>168</v>
      </c>
      <c r="E1416" s="95" t="s">
        <v>780</v>
      </c>
      <c r="F1416" s="95" t="s">
        <v>19</v>
      </c>
      <c r="G1416" s="95" t="s">
        <v>19</v>
      </c>
      <c r="H1416" s="95" t="s">
        <v>21</v>
      </c>
      <c r="I1416" s="95" t="s">
        <v>567</v>
      </c>
      <c r="J1416" s="97">
        <v>46021.49769592593</v>
      </c>
      <c r="K1416" s="95" t="s">
        <v>8252</v>
      </c>
      <c r="L1416" s="96" t="s">
        <v>8253</v>
      </c>
      <c r="M1416" s="95" t="s">
        <v>105</v>
      </c>
      <c r="N1416" s="95" t="s">
        <v>8242</v>
      </c>
      <c r="O1416" s="95" t="s">
        <v>8242</v>
      </c>
      <c r="P1416" s="95" t="s">
        <v>8243</v>
      </c>
      <c r="Q1416" s="98">
        <v>3.0</v>
      </c>
      <c r="R1416" s="97">
        <v>45740.74262731482</v>
      </c>
      <c r="S1416" s="99">
        <v>594.0</v>
      </c>
      <c r="T1416" s="99">
        <v>108.0</v>
      </c>
      <c r="U1416" s="99">
        <v>1.0</v>
      </c>
      <c r="V1416" s="99">
        <v>2072.0</v>
      </c>
      <c r="W1416" s="99">
        <v>220743.0</v>
      </c>
    </row>
    <row r="1417" ht="15.75" customHeight="1">
      <c r="A1417" s="95" t="s">
        <v>8254</v>
      </c>
      <c r="B1417" s="95" t="s">
        <v>22</v>
      </c>
      <c r="C1417" s="96" t="s">
        <v>8255</v>
      </c>
      <c r="D1417" s="95" t="s">
        <v>20</v>
      </c>
      <c r="E1417" s="95" t="s">
        <v>762</v>
      </c>
      <c r="F1417" s="95" t="s">
        <v>19</v>
      </c>
      <c r="G1417" s="95" t="s">
        <v>19</v>
      </c>
      <c r="H1417" s="95" t="s">
        <v>21</v>
      </c>
      <c r="I1417" s="95" t="s">
        <v>567</v>
      </c>
      <c r="J1417" s="97">
        <v>46021.51330457176</v>
      </c>
      <c r="K1417" s="95" t="s">
        <v>8256</v>
      </c>
      <c r="L1417" s="96" t="s">
        <v>8257</v>
      </c>
      <c r="M1417" s="95" t="s">
        <v>93</v>
      </c>
      <c r="N1417" s="95" t="s">
        <v>8258</v>
      </c>
      <c r="O1417" s="95" t="s">
        <v>8258</v>
      </c>
      <c r="P1417" s="95" t="s">
        <v>8259</v>
      </c>
      <c r="Q1417" s="98">
        <v>3.0</v>
      </c>
      <c r="R1417" s="97">
        <v>45789.53841435185</v>
      </c>
      <c r="S1417" s="99">
        <v>277.0</v>
      </c>
      <c r="T1417" s="99">
        <v>98.0</v>
      </c>
      <c r="U1417" s="99">
        <v>60.0</v>
      </c>
      <c r="V1417" s="99">
        <v>904.0</v>
      </c>
      <c r="W1417" s="99">
        <v>192546.0</v>
      </c>
    </row>
    <row r="1418" ht="15.75" customHeight="1">
      <c r="A1418" s="95" t="s">
        <v>8260</v>
      </c>
      <c r="B1418" s="95" t="s">
        <v>22</v>
      </c>
      <c r="C1418" s="96" t="s">
        <v>8261</v>
      </c>
      <c r="D1418" s="95" t="s">
        <v>20</v>
      </c>
      <c r="E1418" s="95" t="s">
        <v>762</v>
      </c>
      <c r="F1418" s="95" t="s">
        <v>19</v>
      </c>
      <c r="G1418" s="95" t="s">
        <v>19</v>
      </c>
      <c r="H1418" s="95" t="s">
        <v>21</v>
      </c>
      <c r="I1418" s="95" t="s">
        <v>567</v>
      </c>
      <c r="J1418" s="97">
        <v>46021.51330457176</v>
      </c>
      <c r="K1418" s="95" t="s">
        <v>8262</v>
      </c>
      <c r="L1418" s="96" t="s">
        <v>8263</v>
      </c>
      <c r="M1418" s="95" t="s">
        <v>93</v>
      </c>
      <c r="N1418" s="95" t="s">
        <v>8258</v>
      </c>
      <c r="O1418" s="95" t="s">
        <v>8258</v>
      </c>
      <c r="P1418" s="95" t="s">
        <v>8259</v>
      </c>
      <c r="Q1418" s="98">
        <v>3.0</v>
      </c>
      <c r="R1418" s="97">
        <v>45599.77488425926</v>
      </c>
      <c r="S1418" s="99">
        <v>277.0</v>
      </c>
      <c r="T1418" s="99">
        <v>156.0</v>
      </c>
      <c r="U1418" s="99">
        <v>3.0</v>
      </c>
      <c r="V1418" s="99">
        <v>102.0</v>
      </c>
      <c r="W1418" s="99">
        <v>192546.0</v>
      </c>
    </row>
    <row r="1419" ht="15.75" customHeight="1">
      <c r="A1419" s="95" t="s">
        <v>8264</v>
      </c>
      <c r="B1419" s="95" t="s">
        <v>22</v>
      </c>
      <c r="C1419" s="96" t="s">
        <v>8265</v>
      </c>
      <c r="D1419" s="95" t="s">
        <v>20</v>
      </c>
      <c r="E1419" s="95" t="s">
        <v>762</v>
      </c>
      <c r="F1419" s="95" t="s">
        <v>19</v>
      </c>
      <c r="G1419" s="95" t="s">
        <v>19</v>
      </c>
      <c r="H1419" s="95" t="s">
        <v>21</v>
      </c>
      <c r="I1419" s="95" t="s">
        <v>567</v>
      </c>
      <c r="J1419" s="97">
        <v>46041.42514399305</v>
      </c>
      <c r="K1419" s="95" t="s">
        <v>8266</v>
      </c>
      <c r="L1419" s="96" t="s">
        <v>8267</v>
      </c>
      <c r="M1419" s="95" t="s">
        <v>93</v>
      </c>
      <c r="N1419" s="95" t="s">
        <v>8258</v>
      </c>
      <c r="O1419" s="95" t="s">
        <v>8258</v>
      </c>
      <c r="P1419" s="95" t="s">
        <v>8259</v>
      </c>
      <c r="Q1419" s="98">
        <v>3.0</v>
      </c>
      <c r="R1419" s="97">
        <v>46002.53519675926</v>
      </c>
      <c r="S1419" s="99">
        <v>277.0</v>
      </c>
      <c r="T1419" s="99">
        <v>580.0</v>
      </c>
      <c r="U1419" s="99">
        <v>4.0</v>
      </c>
      <c r="V1419" s="99">
        <v>330.0</v>
      </c>
      <c r="W1419" s="99">
        <v>192546.0</v>
      </c>
    </row>
    <row r="1420" ht="15.75" customHeight="1">
      <c r="A1420" s="95" t="s">
        <v>8268</v>
      </c>
      <c r="B1420" s="95" t="s">
        <v>22</v>
      </c>
      <c r="C1420" s="96" t="s">
        <v>8269</v>
      </c>
      <c r="D1420" s="95" t="s">
        <v>20</v>
      </c>
      <c r="E1420" s="95" t="s">
        <v>762</v>
      </c>
      <c r="F1420" s="95" t="s">
        <v>19</v>
      </c>
      <c r="G1420" s="95" t="s">
        <v>19</v>
      </c>
      <c r="H1420" s="95" t="s">
        <v>21</v>
      </c>
      <c r="I1420" s="95" t="s">
        <v>567</v>
      </c>
      <c r="J1420" s="97">
        <v>46072.73852856481</v>
      </c>
      <c r="K1420" s="95" t="s">
        <v>8270</v>
      </c>
      <c r="L1420" s="96" t="s">
        <v>8271</v>
      </c>
      <c r="M1420" s="95" t="s">
        <v>93</v>
      </c>
      <c r="N1420" s="95" t="s">
        <v>8258</v>
      </c>
      <c r="O1420" s="95" t="s">
        <v>8258</v>
      </c>
      <c r="P1420" s="95" t="s">
        <v>8259</v>
      </c>
      <c r="Q1420" s="98">
        <v>3.0</v>
      </c>
      <c r="R1420" s="97">
        <v>45783.28226851852</v>
      </c>
      <c r="S1420" s="99">
        <v>277.0</v>
      </c>
      <c r="T1420" s="99">
        <v>355.0</v>
      </c>
      <c r="U1420" s="99">
        <v>6.0</v>
      </c>
      <c r="V1420" s="99">
        <v>145.0</v>
      </c>
      <c r="W1420" s="99">
        <v>192546.0</v>
      </c>
    </row>
    <row r="1421" ht="15.75" customHeight="1">
      <c r="A1421" s="95" t="s">
        <v>8272</v>
      </c>
      <c r="B1421" s="95" t="s">
        <v>22</v>
      </c>
      <c r="C1421" s="96" t="s">
        <v>8273</v>
      </c>
      <c r="D1421" s="95" t="s">
        <v>20</v>
      </c>
      <c r="E1421" s="95" t="s">
        <v>762</v>
      </c>
      <c r="F1421" s="95" t="s">
        <v>19</v>
      </c>
      <c r="G1421" s="95" t="s">
        <v>1018</v>
      </c>
      <c r="H1421" s="95" t="s">
        <v>21</v>
      </c>
      <c r="I1421" s="95" t="s">
        <v>677</v>
      </c>
      <c r="J1421" s="97">
        <v>46021.51020638889</v>
      </c>
      <c r="K1421" s="95" t="s">
        <v>8274</v>
      </c>
      <c r="L1421" s="96" t="s">
        <v>8275</v>
      </c>
      <c r="M1421" s="95" t="s">
        <v>93</v>
      </c>
      <c r="N1421" s="95" t="s">
        <v>8276</v>
      </c>
      <c r="O1421" s="95" t="s">
        <v>8276</v>
      </c>
      <c r="P1421" s="95" t="s">
        <v>8277</v>
      </c>
      <c r="Q1421" s="98">
        <v>3.0</v>
      </c>
      <c r="R1421" s="97">
        <v>45882.40231481481</v>
      </c>
      <c r="S1421" s="99">
        <v>166.0</v>
      </c>
      <c r="T1421" s="99">
        <v>150.0</v>
      </c>
      <c r="U1421" s="99">
        <v>1.0</v>
      </c>
      <c r="V1421" s="99">
        <v>79.0</v>
      </c>
      <c r="W1421" s="99">
        <v>42707.0</v>
      </c>
    </row>
    <row r="1422" ht="15.75" customHeight="1">
      <c r="A1422" s="95" t="s">
        <v>8278</v>
      </c>
      <c r="B1422" s="95" t="s">
        <v>22</v>
      </c>
      <c r="C1422" s="96" t="s">
        <v>8279</v>
      </c>
      <c r="D1422" s="95" t="s">
        <v>20</v>
      </c>
      <c r="E1422" s="95" t="s">
        <v>3369</v>
      </c>
      <c r="F1422" s="95" t="s">
        <v>19</v>
      </c>
      <c r="G1422" s="95" t="s">
        <v>19</v>
      </c>
      <c r="H1422" s="95" t="s">
        <v>21</v>
      </c>
      <c r="I1422" s="95" t="s">
        <v>677</v>
      </c>
      <c r="J1422" s="97">
        <v>46021.50628966435</v>
      </c>
      <c r="K1422" s="95" t="s">
        <v>8280</v>
      </c>
      <c r="L1422" s="96" t="s">
        <v>8281</v>
      </c>
      <c r="M1422" s="95" t="s">
        <v>93</v>
      </c>
      <c r="N1422" s="95" t="s">
        <v>8276</v>
      </c>
      <c r="O1422" s="95" t="s">
        <v>8276</v>
      </c>
      <c r="P1422" s="95" t="s">
        <v>8277</v>
      </c>
      <c r="Q1422" s="98">
        <v>3.0</v>
      </c>
      <c r="R1422" s="97">
        <v>45685.38844907407</v>
      </c>
      <c r="S1422" s="99">
        <v>166.0</v>
      </c>
      <c r="T1422" s="99">
        <v>35.0</v>
      </c>
      <c r="U1422" s="99">
        <v>5.0</v>
      </c>
      <c r="V1422" s="99">
        <v>789.0</v>
      </c>
      <c r="W1422" s="99">
        <v>42707.0</v>
      </c>
    </row>
    <row r="1423" ht="15.75" customHeight="1">
      <c r="A1423" s="95" t="s">
        <v>8282</v>
      </c>
      <c r="B1423" s="95" t="s">
        <v>22</v>
      </c>
      <c r="C1423" s="96" t="s">
        <v>8283</v>
      </c>
      <c r="D1423" s="95" t="s">
        <v>20</v>
      </c>
      <c r="E1423" s="95" t="s">
        <v>762</v>
      </c>
      <c r="F1423" s="95" t="s">
        <v>19</v>
      </c>
      <c r="G1423" s="95" t="s">
        <v>19</v>
      </c>
      <c r="H1423" s="95" t="s">
        <v>21</v>
      </c>
      <c r="I1423" s="95" t="s">
        <v>567</v>
      </c>
      <c r="J1423" s="97">
        <v>45993.7854622338</v>
      </c>
      <c r="K1423" s="96" t="s">
        <v>8284</v>
      </c>
      <c r="L1423" s="96" t="s">
        <v>8285</v>
      </c>
      <c r="M1423" s="95" t="s">
        <v>93</v>
      </c>
      <c r="N1423" s="95" t="s">
        <v>8276</v>
      </c>
      <c r="O1423" s="95" t="s">
        <v>8276</v>
      </c>
      <c r="P1423" s="95" t="s">
        <v>8277</v>
      </c>
      <c r="Q1423" s="98">
        <v>3.0</v>
      </c>
      <c r="R1423" s="97">
        <v>45758.2542824074</v>
      </c>
      <c r="S1423" s="99">
        <v>166.0</v>
      </c>
      <c r="T1423" s="99">
        <v>71.0</v>
      </c>
      <c r="U1423" s="99">
        <v>3.0</v>
      </c>
      <c r="V1423" s="99">
        <v>761.0</v>
      </c>
      <c r="W1423" s="99">
        <v>42707.0</v>
      </c>
    </row>
    <row r="1424" ht="15.75" customHeight="1">
      <c r="A1424" s="95" t="s">
        <v>8286</v>
      </c>
      <c r="B1424" s="95" t="s">
        <v>22</v>
      </c>
      <c r="C1424" s="96" t="s">
        <v>8287</v>
      </c>
      <c r="D1424" s="95" t="s">
        <v>39</v>
      </c>
      <c r="E1424" s="95" t="s">
        <v>39</v>
      </c>
      <c r="F1424" s="95" t="s">
        <v>19</v>
      </c>
      <c r="G1424" s="95" t="s">
        <v>19</v>
      </c>
      <c r="H1424" s="95" t="s">
        <v>21</v>
      </c>
      <c r="I1424" s="95" t="s">
        <v>567</v>
      </c>
      <c r="J1424" s="97">
        <v>46021.50628966435</v>
      </c>
      <c r="K1424" s="95" t="s">
        <v>8288</v>
      </c>
      <c r="L1424" s="96" t="s">
        <v>8289</v>
      </c>
      <c r="M1424" s="95" t="s">
        <v>93</v>
      </c>
      <c r="N1424" s="95" t="s">
        <v>8290</v>
      </c>
      <c r="O1424" s="95" t="s">
        <v>8290</v>
      </c>
      <c r="P1424" s="95" t="s">
        <v>8291</v>
      </c>
      <c r="Q1424" s="98">
        <v>3.0</v>
      </c>
      <c r="R1424" s="97">
        <v>45755.51947916667</v>
      </c>
      <c r="S1424" s="99">
        <v>72.0</v>
      </c>
      <c r="T1424" s="99">
        <v>55.0</v>
      </c>
      <c r="U1424" s="99">
        <v>2.0</v>
      </c>
      <c r="V1424" s="99">
        <v>202.0</v>
      </c>
      <c r="W1424" s="99">
        <v>30043.0</v>
      </c>
    </row>
    <row r="1425" ht="15.75" customHeight="1">
      <c r="A1425" s="95" t="s">
        <v>8292</v>
      </c>
      <c r="B1425" s="95" t="s">
        <v>22</v>
      </c>
      <c r="C1425" s="96" t="s">
        <v>8293</v>
      </c>
      <c r="D1425" s="95" t="s">
        <v>39</v>
      </c>
      <c r="E1425" s="95" t="s">
        <v>39</v>
      </c>
      <c r="F1425" s="95" t="s">
        <v>19</v>
      </c>
      <c r="G1425" s="95" t="s">
        <v>19</v>
      </c>
      <c r="H1425" s="95" t="s">
        <v>21</v>
      </c>
      <c r="I1425" s="95" t="s">
        <v>567</v>
      </c>
      <c r="J1425" s="97">
        <v>46021.50628966435</v>
      </c>
      <c r="K1425" s="95" t="s">
        <v>8294</v>
      </c>
      <c r="L1425" s="96" t="s">
        <v>8295</v>
      </c>
      <c r="M1425" s="95" t="s">
        <v>93</v>
      </c>
      <c r="N1425" s="95" t="s">
        <v>8290</v>
      </c>
      <c r="O1425" s="95" t="s">
        <v>8290</v>
      </c>
      <c r="P1425" s="95" t="s">
        <v>8291</v>
      </c>
      <c r="Q1425" s="98">
        <v>3.0</v>
      </c>
      <c r="R1425" s="97">
        <v>45798.64890046296</v>
      </c>
      <c r="S1425" s="99">
        <v>72.0</v>
      </c>
      <c r="T1425" s="99">
        <v>183.0</v>
      </c>
      <c r="U1425" s="99">
        <v>64.0</v>
      </c>
      <c r="V1425" s="99">
        <v>482.0</v>
      </c>
      <c r="W1425" s="99">
        <v>30043.0</v>
      </c>
    </row>
    <row r="1426" ht="15.75" customHeight="1">
      <c r="A1426" s="95" t="s">
        <v>8296</v>
      </c>
      <c r="B1426" s="95" t="s">
        <v>22</v>
      </c>
      <c r="C1426" s="96" t="s">
        <v>8297</v>
      </c>
      <c r="D1426" s="95" t="s">
        <v>29</v>
      </c>
      <c r="E1426" s="95" t="s">
        <v>8298</v>
      </c>
      <c r="F1426" s="95" t="s">
        <v>19</v>
      </c>
      <c r="G1426" s="95" t="s">
        <v>19</v>
      </c>
      <c r="H1426" s="95" t="s">
        <v>21</v>
      </c>
      <c r="I1426" s="95" t="s">
        <v>567</v>
      </c>
      <c r="J1426" s="97">
        <v>46057.09172366898</v>
      </c>
      <c r="K1426" s="95" t="s">
        <v>8299</v>
      </c>
      <c r="L1426" s="96" t="s">
        <v>8300</v>
      </c>
      <c r="M1426" s="95" t="s">
        <v>93</v>
      </c>
      <c r="N1426" s="95" t="s">
        <v>8301</v>
      </c>
      <c r="O1426" s="95" t="s">
        <v>8301</v>
      </c>
      <c r="P1426" s="95" t="s">
        <v>8302</v>
      </c>
      <c r="Q1426" s="98">
        <v>3.0</v>
      </c>
      <c r="R1426" s="97">
        <v>46031.57523148148</v>
      </c>
      <c r="S1426" s="99">
        <v>15471.0</v>
      </c>
      <c r="T1426" s="99">
        <v>10.0</v>
      </c>
      <c r="U1426" s="99">
        <v>1.0</v>
      </c>
      <c r="V1426" s="99">
        <v>222.0</v>
      </c>
      <c r="W1426" s="99">
        <v>1676379.0</v>
      </c>
    </row>
    <row r="1427" ht="15.75" customHeight="1">
      <c r="A1427" s="95" t="s">
        <v>8303</v>
      </c>
      <c r="B1427" s="95" t="s">
        <v>131</v>
      </c>
      <c r="C1427" s="96" t="s">
        <v>8304</v>
      </c>
      <c r="D1427" s="95" t="s">
        <v>29</v>
      </c>
      <c r="E1427" s="95" t="s">
        <v>658</v>
      </c>
      <c r="F1427" s="95" t="s">
        <v>19</v>
      </c>
      <c r="G1427" s="95" t="s">
        <v>19</v>
      </c>
      <c r="H1427" s="95" t="s">
        <v>21</v>
      </c>
      <c r="I1427" s="95" t="s">
        <v>5525</v>
      </c>
      <c r="J1427" s="97">
        <v>46069.13607259259</v>
      </c>
      <c r="K1427" s="95" t="s">
        <v>8305</v>
      </c>
      <c r="L1427" s="96" t="s">
        <v>8306</v>
      </c>
      <c r="M1427" s="95" t="s">
        <v>93</v>
      </c>
      <c r="N1427" s="95" t="s">
        <v>8301</v>
      </c>
      <c r="O1427" s="95" t="s">
        <v>8301</v>
      </c>
      <c r="P1427" s="95" t="s">
        <v>8302</v>
      </c>
      <c r="Q1427" s="98">
        <v>3.0</v>
      </c>
      <c r="R1427" s="97">
        <v>46046.54793981482</v>
      </c>
      <c r="S1427" s="99">
        <v>15471.0</v>
      </c>
      <c r="T1427" s="99">
        <v>84.0</v>
      </c>
      <c r="U1427" s="99">
        <v>2.0</v>
      </c>
      <c r="V1427" s="99">
        <v>78.0</v>
      </c>
      <c r="W1427" s="99">
        <v>1676379.0</v>
      </c>
    </row>
    <row r="1428" ht="15.75" customHeight="1">
      <c r="A1428" s="95" t="s">
        <v>8307</v>
      </c>
      <c r="B1428" s="95" t="s">
        <v>22</v>
      </c>
      <c r="C1428" s="96" t="s">
        <v>8308</v>
      </c>
      <c r="D1428" s="95" t="s">
        <v>29</v>
      </c>
      <c r="E1428" s="95" t="s">
        <v>658</v>
      </c>
      <c r="F1428" s="95" t="s">
        <v>19</v>
      </c>
      <c r="G1428" s="95" t="s">
        <v>588</v>
      </c>
      <c r="H1428" s="95" t="s">
        <v>21</v>
      </c>
      <c r="I1428" s="95" t="s">
        <v>567</v>
      </c>
      <c r="J1428" s="97">
        <v>46069.13607259259</v>
      </c>
      <c r="K1428" s="95" t="s">
        <v>8309</v>
      </c>
      <c r="L1428" s="96" t="s">
        <v>8310</v>
      </c>
      <c r="M1428" s="95" t="s">
        <v>93</v>
      </c>
      <c r="N1428" s="95" t="s">
        <v>8301</v>
      </c>
      <c r="O1428" s="95" t="s">
        <v>8301</v>
      </c>
      <c r="P1428" s="95" t="s">
        <v>8302</v>
      </c>
      <c r="Q1428" s="98">
        <v>3.0</v>
      </c>
      <c r="R1428" s="97">
        <v>46049.80969907407</v>
      </c>
      <c r="S1428" s="99">
        <v>15471.0</v>
      </c>
      <c r="T1428" s="99">
        <v>1375.0</v>
      </c>
      <c r="U1428" s="99">
        <v>4.0</v>
      </c>
      <c r="V1428" s="99">
        <v>271.0</v>
      </c>
      <c r="W1428" s="99">
        <v>1676379.0</v>
      </c>
    </row>
    <row r="1429" ht="15.75" customHeight="1">
      <c r="A1429" s="95" t="s">
        <v>8311</v>
      </c>
      <c r="B1429" s="95" t="s">
        <v>131</v>
      </c>
      <c r="C1429" s="96" t="s">
        <v>8312</v>
      </c>
      <c r="D1429" s="95" t="s">
        <v>39</v>
      </c>
      <c r="E1429" s="95" t="s">
        <v>1269</v>
      </c>
      <c r="F1429" s="95" t="s">
        <v>19</v>
      </c>
      <c r="G1429" s="95" t="s">
        <v>19</v>
      </c>
      <c r="H1429" s="95" t="s">
        <v>21</v>
      </c>
      <c r="I1429" s="95" t="s">
        <v>8313</v>
      </c>
      <c r="J1429" s="97">
        <v>46021.50399828704</v>
      </c>
      <c r="K1429" s="95" t="s">
        <v>8314</v>
      </c>
      <c r="L1429" s="96" t="s">
        <v>8315</v>
      </c>
      <c r="M1429" s="95" t="s">
        <v>93</v>
      </c>
      <c r="N1429" s="95" t="s">
        <v>8316</v>
      </c>
      <c r="O1429" s="95" t="s">
        <v>8316</v>
      </c>
      <c r="P1429" s="95" t="s">
        <v>8317</v>
      </c>
      <c r="Q1429" s="98">
        <v>3.0</v>
      </c>
      <c r="R1429" s="97">
        <v>45721.69929398148</v>
      </c>
      <c r="S1429" s="99">
        <v>63.0</v>
      </c>
      <c r="T1429" s="99">
        <v>56.0</v>
      </c>
      <c r="U1429" s="99">
        <v>13.0</v>
      </c>
      <c r="V1429" s="99">
        <v>184.0</v>
      </c>
      <c r="W1429" s="99">
        <v>27623.0</v>
      </c>
    </row>
    <row r="1430" ht="15.75" customHeight="1">
      <c r="A1430" s="95" t="s">
        <v>8318</v>
      </c>
      <c r="B1430" s="95" t="s">
        <v>22</v>
      </c>
      <c r="C1430" s="96" t="s">
        <v>8319</v>
      </c>
      <c r="D1430" s="95" t="s">
        <v>168</v>
      </c>
      <c r="E1430" s="95"/>
      <c r="F1430" s="95" t="s">
        <v>19</v>
      </c>
      <c r="G1430" s="95" t="s">
        <v>19</v>
      </c>
      <c r="H1430" s="95" t="s">
        <v>21</v>
      </c>
      <c r="I1430" s="95" t="s">
        <v>567</v>
      </c>
      <c r="J1430" s="97">
        <v>46008.62905604167</v>
      </c>
      <c r="K1430" s="96" t="s">
        <v>8320</v>
      </c>
      <c r="L1430" s="95"/>
      <c r="M1430" s="95" t="s">
        <v>17</v>
      </c>
      <c r="N1430" s="95" t="s">
        <v>8321</v>
      </c>
      <c r="O1430" s="95" t="s">
        <v>8321</v>
      </c>
      <c r="P1430" s="95" t="s">
        <v>8322</v>
      </c>
      <c r="Q1430" s="98">
        <v>3.0</v>
      </c>
      <c r="R1430" s="97">
        <v>45734.91328703704</v>
      </c>
      <c r="S1430" s="99">
        <v>267.0</v>
      </c>
      <c r="T1430" s="99">
        <v>26.0</v>
      </c>
      <c r="U1430" s="99">
        <v>1.0</v>
      </c>
      <c r="V1430" s="99">
        <v>1596.0</v>
      </c>
      <c r="W1430" s="99">
        <v>82389.0</v>
      </c>
    </row>
    <row r="1431" ht="15.75" customHeight="1">
      <c r="A1431" s="95" t="s">
        <v>8323</v>
      </c>
      <c r="B1431" s="95" t="s">
        <v>69</v>
      </c>
      <c r="C1431" s="96" t="s">
        <v>8324</v>
      </c>
      <c r="D1431" s="95" t="s">
        <v>124</v>
      </c>
      <c r="E1431" s="95" t="s">
        <v>983</v>
      </c>
      <c r="F1431" s="95" t="s">
        <v>19</v>
      </c>
      <c r="G1431" s="95" t="s">
        <v>19</v>
      </c>
      <c r="H1431" s="95" t="s">
        <v>21</v>
      </c>
      <c r="I1431" s="95" t="s">
        <v>998</v>
      </c>
      <c r="J1431" s="97">
        <v>46021.50399828704</v>
      </c>
      <c r="K1431" s="95" t="s">
        <v>8325</v>
      </c>
      <c r="L1431" s="96" t="s">
        <v>8326</v>
      </c>
      <c r="M1431" s="95" t="s">
        <v>74</v>
      </c>
      <c r="N1431" s="95" t="s">
        <v>8327</v>
      </c>
      <c r="O1431" s="95" t="s">
        <v>8327</v>
      </c>
      <c r="P1431" s="95" t="s">
        <v>8328</v>
      </c>
      <c r="Q1431" s="98">
        <v>3.0</v>
      </c>
      <c r="R1431" s="97">
        <v>45626.56304398148</v>
      </c>
      <c r="S1431" s="99">
        <v>262.0</v>
      </c>
      <c r="T1431" s="99">
        <v>5.0</v>
      </c>
      <c r="U1431" s="99">
        <v>2.0</v>
      </c>
      <c r="V1431" s="99">
        <v>408.0</v>
      </c>
      <c r="W1431" s="99">
        <v>20631.0</v>
      </c>
    </row>
    <row r="1432" ht="15.75" customHeight="1">
      <c r="A1432" s="95" t="s">
        <v>8329</v>
      </c>
      <c r="B1432" s="95" t="s">
        <v>22</v>
      </c>
      <c r="C1432" s="96" t="s">
        <v>8330</v>
      </c>
      <c r="D1432" s="95" t="s">
        <v>29</v>
      </c>
      <c r="E1432" s="95" t="s">
        <v>598</v>
      </c>
      <c r="F1432" s="95" t="s">
        <v>19</v>
      </c>
      <c r="G1432" s="95" t="s">
        <v>19</v>
      </c>
      <c r="H1432" s="95" t="s">
        <v>21</v>
      </c>
      <c r="I1432" s="95" t="s">
        <v>589</v>
      </c>
      <c r="J1432" s="97">
        <v>46021.50399828704</v>
      </c>
      <c r="K1432" s="95" t="s">
        <v>8331</v>
      </c>
      <c r="L1432" s="96" t="s">
        <v>8332</v>
      </c>
      <c r="M1432" s="95" t="s">
        <v>67</v>
      </c>
      <c r="N1432" s="95" t="s">
        <v>8333</v>
      </c>
      <c r="O1432" s="95" t="s">
        <v>8333</v>
      </c>
      <c r="P1432" s="95" t="s">
        <v>8334</v>
      </c>
      <c r="Q1432" s="98">
        <v>3.0</v>
      </c>
      <c r="R1432" s="97">
        <v>45692.39773148148</v>
      </c>
      <c r="S1432" s="99">
        <v>281.0</v>
      </c>
      <c r="T1432" s="99">
        <v>27.0</v>
      </c>
      <c r="U1432" s="99">
        <v>1.0</v>
      </c>
      <c r="V1432" s="99">
        <v>75.0</v>
      </c>
      <c r="W1432" s="99">
        <v>2038.0</v>
      </c>
    </row>
    <row r="1433" ht="15.75" customHeight="1">
      <c r="A1433" s="95" t="s">
        <v>8335</v>
      </c>
      <c r="B1433" s="95" t="s">
        <v>22</v>
      </c>
      <c r="C1433" s="96" t="s">
        <v>8336</v>
      </c>
      <c r="D1433" s="95" t="s">
        <v>59</v>
      </c>
      <c r="E1433" s="95" t="s">
        <v>1826</v>
      </c>
      <c r="F1433" s="95" t="s">
        <v>19</v>
      </c>
      <c r="G1433" s="95" t="s">
        <v>19</v>
      </c>
      <c r="H1433" s="95" t="s">
        <v>21</v>
      </c>
      <c r="I1433" s="95" t="s">
        <v>677</v>
      </c>
      <c r="J1433" s="97">
        <v>45975.67936400463</v>
      </c>
      <c r="K1433" s="96" t="s">
        <v>8337</v>
      </c>
      <c r="L1433" s="96" t="s">
        <v>8338</v>
      </c>
      <c r="M1433" s="95" t="s">
        <v>67</v>
      </c>
      <c r="N1433" s="95" t="s">
        <v>8339</v>
      </c>
      <c r="O1433" s="95" t="s">
        <v>8339</v>
      </c>
      <c r="P1433" s="95" t="s">
        <v>8340</v>
      </c>
      <c r="Q1433" s="98">
        <v>3.0</v>
      </c>
      <c r="R1433" s="97">
        <v>45730.49943287037</v>
      </c>
      <c r="S1433" s="99">
        <v>2287.0</v>
      </c>
      <c r="T1433" s="99">
        <v>1.0</v>
      </c>
      <c r="U1433" s="99">
        <v>1.0</v>
      </c>
      <c r="V1433" s="99">
        <v>17.0</v>
      </c>
      <c r="W1433" s="99">
        <v>8057.0</v>
      </c>
    </row>
    <row r="1434" ht="15.75" customHeight="1">
      <c r="A1434" s="95" t="s">
        <v>8341</v>
      </c>
      <c r="B1434" s="95" t="s">
        <v>22</v>
      </c>
      <c r="C1434" s="96" t="s">
        <v>8342</v>
      </c>
      <c r="D1434" s="95" t="s">
        <v>124</v>
      </c>
      <c r="E1434" s="95" t="s">
        <v>794</v>
      </c>
      <c r="F1434" s="95" t="s">
        <v>19</v>
      </c>
      <c r="G1434" s="95" t="s">
        <v>19</v>
      </c>
      <c r="H1434" s="95" t="s">
        <v>21</v>
      </c>
      <c r="I1434" s="95" t="s">
        <v>567</v>
      </c>
      <c r="J1434" s="97">
        <v>46021.51865407408</v>
      </c>
      <c r="K1434" s="95" t="s">
        <v>8343</v>
      </c>
      <c r="L1434" s="96" t="s">
        <v>8344</v>
      </c>
      <c r="M1434" s="95" t="s">
        <v>67</v>
      </c>
      <c r="N1434" s="95" t="s">
        <v>8345</v>
      </c>
      <c r="O1434" s="95" t="s">
        <v>8345</v>
      </c>
      <c r="P1434" s="95" t="s">
        <v>8346</v>
      </c>
      <c r="Q1434" s="98">
        <v>3.0</v>
      </c>
      <c r="R1434" s="97">
        <v>45607.60666666667</v>
      </c>
      <c r="S1434" s="99">
        <v>490.0</v>
      </c>
      <c r="T1434" s="99">
        <v>128.0</v>
      </c>
      <c r="U1434" s="99">
        <v>7.0</v>
      </c>
      <c r="V1434" s="99">
        <v>88.0</v>
      </c>
      <c r="W1434" s="99">
        <v>25507.0</v>
      </c>
    </row>
    <row r="1435" ht="15.75" customHeight="1">
      <c r="A1435" s="95" t="s">
        <v>8347</v>
      </c>
      <c r="B1435" s="95" t="s">
        <v>22</v>
      </c>
      <c r="C1435" s="96" t="s">
        <v>8348</v>
      </c>
      <c r="D1435" s="95" t="s">
        <v>130</v>
      </c>
      <c r="E1435" s="95" t="s">
        <v>130</v>
      </c>
      <c r="F1435" s="95" t="s">
        <v>19</v>
      </c>
      <c r="G1435" s="95" t="s">
        <v>19</v>
      </c>
      <c r="H1435" s="95" t="s">
        <v>21</v>
      </c>
      <c r="I1435" s="95" t="s">
        <v>684</v>
      </c>
      <c r="J1435" s="97">
        <v>46021.50399828704</v>
      </c>
      <c r="K1435" s="95" t="s">
        <v>8349</v>
      </c>
      <c r="L1435" s="96" t="s">
        <v>8350</v>
      </c>
      <c r="M1435" s="95" t="s">
        <v>67</v>
      </c>
      <c r="N1435" s="95" t="s">
        <v>8351</v>
      </c>
      <c r="O1435" s="95" t="s">
        <v>8351</v>
      </c>
      <c r="P1435" s="95" t="s">
        <v>8352</v>
      </c>
      <c r="Q1435" s="98">
        <v>3.0</v>
      </c>
      <c r="R1435" s="97">
        <v>45719.8320949074</v>
      </c>
      <c r="S1435" s="99">
        <v>113.0</v>
      </c>
      <c r="T1435" s="99">
        <v>150.0</v>
      </c>
      <c r="U1435" s="99">
        <v>1.0</v>
      </c>
      <c r="V1435" s="99">
        <v>21.0</v>
      </c>
      <c r="W1435" s="99">
        <v>11588.0</v>
      </c>
    </row>
    <row r="1436" ht="15.75" customHeight="1">
      <c r="A1436" s="95" t="s">
        <v>8353</v>
      </c>
      <c r="B1436" s="95" t="s">
        <v>22</v>
      </c>
      <c r="C1436" s="96" t="s">
        <v>8354</v>
      </c>
      <c r="D1436" s="95" t="s">
        <v>59</v>
      </c>
      <c r="E1436" s="95" t="s">
        <v>59</v>
      </c>
      <c r="F1436" s="95" t="s">
        <v>19</v>
      </c>
      <c r="G1436" s="95" t="s">
        <v>19</v>
      </c>
      <c r="H1436" s="95" t="s">
        <v>21</v>
      </c>
      <c r="I1436" s="95" t="s">
        <v>567</v>
      </c>
      <c r="J1436" s="97">
        <v>45982.02414685185</v>
      </c>
      <c r="K1436" s="95" t="s">
        <v>8355</v>
      </c>
      <c r="L1436" s="96" t="s">
        <v>8356</v>
      </c>
      <c r="M1436" s="95" t="s">
        <v>54</v>
      </c>
      <c r="N1436" s="95" t="s">
        <v>8357</v>
      </c>
      <c r="O1436" s="95" t="s">
        <v>8357</v>
      </c>
      <c r="P1436" s="95" t="s">
        <v>8358</v>
      </c>
      <c r="Q1436" s="98">
        <v>3.0</v>
      </c>
      <c r="R1436" s="97">
        <v>45875.81663194444</v>
      </c>
      <c r="S1436" s="99">
        <v>1648.0</v>
      </c>
      <c r="T1436" s="99">
        <v>58.0</v>
      </c>
      <c r="U1436" s="99">
        <v>9.0</v>
      </c>
      <c r="V1436" s="99">
        <v>157.0</v>
      </c>
      <c r="W1436" s="99">
        <v>106287.0</v>
      </c>
    </row>
    <row r="1437" ht="15.75" customHeight="1">
      <c r="A1437" s="95" t="s">
        <v>8359</v>
      </c>
      <c r="B1437" s="95" t="s">
        <v>157</v>
      </c>
      <c r="C1437" s="96" t="s">
        <v>8360</v>
      </c>
      <c r="D1437" s="95" t="s">
        <v>124</v>
      </c>
      <c r="E1437" s="95" t="s">
        <v>124</v>
      </c>
      <c r="F1437" s="95" t="s">
        <v>88</v>
      </c>
      <c r="G1437" s="95" t="s">
        <v>88</v>
      </c>
      <c r="H1437" s="95" t="s">
        <v>89</v>
      </c>
      <c r="I1437" s="95" t="s">
        <v>859</v>
      </c>
      <c r="J1437" s="97">
        <v>45975.67936400463</v>
      </c>
      <c r="K1437" s="96" t="s">
        <v>8361</v>
      </c>
      <c r="L1437" s="95"/>
      <c r="M1437" s="95" t="s">
        <v>17</v>
      </c>
      <c r="N1437" s="95" t="s">
        <v>8362</v>
      </c>
      <c r="O1437" s="95" t="s">
        <v>8362</v>
      </c>
      <c r="P1437" s="95" t="s">
        <v>8363</v>
      </c>
      <c r="Q1437" s="98">
        <v>3.0</v>
      </c>
      <c r="R1437" s="97">
        <v>45748.3925</v>
      </c>
      <c r="S1437" s="99">
        <v>206.0</v>
      </c>
      <c r="T1437" s="99">
        <v>62.0</v>
      </c>
      <c r="U1437" s="99">
        <v>33.0</v>
      </c>
      <c r="V1437" s="99">
        <v>90.0</v>
      </c>
      <c r="W1437" s="99">
        <v>1527727.0</v>
      </c>
    </row>
    <row r="1438" ht="15.75" customHeight="1">
      <c r="A1438" s="95" t="s">
        <v>8364</v>
      </c>
      <c r="B1438" s="95" t="s">
        <v>22</v>
      </c>
      <c r="C1438" s="96" t="s">
        <v>8365</v>
      </c>
      <c r="D1438" s="95" t="s">
        <v>39</v>
      </c>
      <c r="E1438" s="95" t="s">
        <v>39</v>
      </c>
      <c r="F1438" s="95" t="s">
        <v>19</v>
      </c>
      <c r="G1438" s="95" t="s">
        <v>588</v>
      </c>
      <c r="H1438" s="95" t="s">
        <v>21</v>
      </c>
      <c r="I1438" s="95" t="s">
        <v>567</v>
      </c>
      <c r="J1438" s="97">
        <v>46021.50628966435</v>
      </c>
      <c r="K1438" s="95" t="s">
        <v>8366</v>
      </c>
      <c r="L1438" s="96" t="s">
        <v>8367</v>
      </c>
      <c r="M1438" s="95" t="s">
        <v>74</v>
      </c>
      <c r="N1438" s="95" t="s">
        <v>8368</v>
      </c>
      <c r="O1438" s="95" t="s">
        <v>8368</v>
      </c>
      <c r="P1438" s="95" t="s">
        <v>8369</v>
      </c>
      <c r="Q1438" s="98">
        <v>3.0</v>
      </c>
      <c r="R1438" s="97">
        <v>45616.37465277778</v>
      </c>
      <c r="S1438" s="99">
        <v>542.0</v>
      </c>
      <c r="T1438" s="99">
        <v>39.0</v>
      </c>
      <c r="U1438" s="99">
        <v>3.0</v>
      </c>
      <c r="V1438" s="99">
        <v>83.0</v>
      </c>
      <c r="W1438" s="99">
        <v>67915.0</v>
      </c>
    </row>
    <row r="1439" ht="15.75" customHeight="1">
      <c r="A1439" s="95" t="s">
        <v>8370</v>
      </c>
      <c r="B1439" s="95" t="s">
        <v>131</v>
      </c>
      <c r="C1439" s="96" t="s">
        <v>8371</v>
      </c>
      <c r="D1439" s="95" t="s">
        <v>59</v>
      </c>
      <c r="E1439" s="95" t="s">
        <v>3394</v>
      </c>
      <c r="F1439" s="95" t="s">
        <v>19</v>
      </c>
      <c r="G1439" s="95" t="s">
        <v>19</v>
      </c>
      <c r="H1439" s="95" t="s">
        <v>21</v>
      </c>
      <c r="I1439" s="95" t="s">
        <v>5525</v>
      </c>
      <c r="J1439" s="97">
        <v>45975.67938763889</v>
      </c>
      <c r="K1439" s="96" t="s">
        <v>8372</v>
      </c>
      <c r="L1439" s="96" t="s">
        <v>8373</v>
      </c>
      <c r="M1439" s="95" t="s">
        <v>74</v>
      </c>
      <c r="N1439" s="95" t="s">
        <v>8368</v>
      </c>
      <c r="O1439" s="95" t="s">
        <v>8368</v>
      </c>
      <c r="P1439" s="95" t="s">
        <v>8369</v>
      </c>
      <c r="Q1439" s="98">
        <v>3.0</v>
      </c>
      <c r="R1439" s="97">
        <v>45698.55443287037</v>
      </c>
      <c r="S1439" s="99">
        <v>542.0</v>
      </c>
      <c r="T1439" s="99">
        <v>6.0</v>
      </c>
      <c r="U1439" s="99">
        <v>7.0</v>
      </c>
      <c r="V1439" s="99">
        <v>91.0</v>
      </c>
      <c r="W1439" s="99">
        <v>67915.0</v>
      </c>
    </row>
    <row r="1440" ht="15.75" customHeight="1">
      <c r="A1440" s="95" t="s">
        <v>8374</v>
      </c>
      <c r="B1440" s="95" t="s">
        <v>69</v>
      </c>
      <c r="C1440" s="96" t="s">
        <v>8375</v>
      </c>
      <c r="D1440" s="95" t="s">
        <v>124</v>
      </c>
      <c r="E1440" s="95" t="s">
        <v>1731</v>
      </c>
      <c r="F1440" s="95" t="s">
        <v>19</v>
      </c>
      <c r="G1440" s="95" t="s">
        <v>19</v>
      </c>
      <c r="H1440" s="95" t="s">
        <v>21</v>
      </c>
      <c r="I1440" s="95" t="s">
        <v>8376</v>
      </c>
      <c r="J1440" s="97">
        <v>46021.50628966435</v>
      </c>
      <c r="K1440" s="95" t="s">
        <v>8377</v>
      </c>
      <c r="L1440" s="96" t="s">
        <v>8378</v>
      </c>
      <c r="M1440" s="95" t="s">
        <v>74</v>
      </c>
      <c r="N1440" s="95" t="s">
        <v>8379</v>
      </c>
      <c r="O1440" s="95" t="s">
        <v>8379</v>
      </c>
      <c r="P1440" s="95" t="s">
        <v>8380</v>
      </c>
      <c r="Q1440" s="98">
        <v>3.0</v>
      </c>
      <c r="R1440" s="97">
        <v>45755.81238425926</v>
      </c>
      <c r="S1440" s="99">
        <v>499.0</v>
      </c>
      <c r="T1440" s="99">
        <v>15.0</v>
      </c>
      <c r="U1440" s="99">
        <v>7.0</v>
      </c>
      <c r="V1440" s="99">
        <v>150.0</v>
      </c>
      <c r="W1440" s="99">
        <v>976.0</v>
      </c>
    </row>
    <row r="1441" ht="15.75" customHeight="1">
      <c r="A1441" s="95" t="s">
        <v>8381</v>
      </c>
      <c r="B1441" s="95" t="s">
        <v>69</v>
      </c>
      <c r="C1441" s="96" t="s">
        <v>8382</v>
      </c>
      <c r="D1441" s="95" t="s">
        <v>29</v>
      </c>
      <c r="E1441" s="95" t="s">
        <v>3865</v>
      </c>
      <c r="F1441" s="95" t="s">
        <v>88</v>
      </c>
      <c r="G1441" s="95" t="s">
        <v>639</v>
      </c>
      <c r="H1441" s="95" t="s">
        <v>89</v>
      </c>
      <c r="I1441" s="95" t="s">
        <v>1477</v>
      </c>
      <c r="J1441" s="97">
        <v>45975.67938763889</v>
      </c>
      <c r="K1441" s="96" t="s">
        <v>8383</v>
      </c>
      <c r="L1441" s="96" t="s">
        <v>8384</v>
      </c>
      <c r="M1441" s="95" t="s">
        <v>74</v>
      </c>
      <c r="N1441" s="95" t="s">
        <v>8385</v>
      </c>
      <c r="O1441" s="95" t="s">
        <v>8385</v>
      </c>
      <c r="P1441" s="95" t="s">
        <v>8386</v>
      </c>
      <c r="Q1441" s="98">
        <v>3.0</v>
      </c>
      <c r="R1441" s="97">
        <v>45943.5972337963</v>
      </c>
      <c r="S1441" s="99">
        <v>177.0</v>
      </c>
      <c r="T1441" s="99">
        <v>47.0</v>
      </c>
      <c r="U1441" s="99">
        <v>25.0</v>
      </c>
      <c r="V1441" s="99">
        <v>51.0</v>
      </c>
      <c r="W1441" s="99">
        <v>37820.0</v>
      </c>
    </row>
    <row r="1442" ht="15.75" customHeight="1">
      <c r="A1442" s="95" t="s">
        <v>8387</v>
      </c>
      <c r="B1442" s="95" t="s">
        <v>131</v>
      </c>
      <c r="C1442" s="96" t="s">
        <v>8388</v>
      </c>
      <c r="D1442" s="95" t="s">
        <v>547</v>
      </c>
      <c r="E1442" s="95" t="s">
        <v>2952</v>
      </c>
      <c r="F1442" s="95" t="s">
        <v>58</v>
      </c>
      <c r="G1442" s="95" t="s">
        <v>58</v>
      </c>
      <c r="H1442" s="95" t="s">
        <v>136</v>
      </c>
      <c r="I1442" s="95" t="s">
        <v>2306</v>
      </c>
      <c r="J1442" s="97">
        <v>46069.70364975694</v>
      </c>
      <c r="K1442" s="95" t="s">
        <v>8389</v>
      </c>
      <c r="L1442" s="95"/>
      <c r="M1442" s="95" t="s">
        <v>74</v>
      </c>
      <c r="N1442" s="95" t="s">
        <v>8390</v>
      </c>
      <c r="O1442" s="95" t="s">
        <v>8390</v>
      </c>
      <c r="P1442" s="95" t="s">
        <v>8391</v>
      </c>
      <c r="Q1442" s="98">
        <v>3.0</v>
      </c>
      <c r="R1442" s="97">
        <v>45950.63196759259</v>
      </c>
      <c r="S1442" s="99">
        <v>26655.0</v>
      </c>
      <c r="T1442" s="99">
        <v>53.0</v>
      </c>
      <c r="U1442" s="99">
        <v>21.0</v>
      </c>
      <c r="V1442" s="99">
        <v>788.0</v>
      </c>
      <c r="W1442" s="99">
        <v>215498.0</v>
      </c>
    </row>
    <row r="1443" ht="15.75" customHeight="1">
      <c r="A1443" s="95" t="s">
        <v>8392</v>
      </c>
      <c r="B1443" s="95" t="s">
        <v>22</v>
      </c>
      <c r="C1443" s="96" t="s">
        <v>8393</v>
      </c>
      <c r="D1443" s="95" t="s">
        <v>547</v>
      </c>
      <c r="E1443" s="95" t="s">
        <v>8394</v>
      </c>
      <c r="F1443" s="95" t="s">
        <v>19</v>
      </c>
      <c r="G1443" s="95" t="s">
        <v>574</v>
      </c>
      <c r="H1443" s="95" t="s">
        <v>21</v>
      </c>
      <c r="I1443" s="95" t="s">
        <v>567</v>
      </c>
      <c r="J1443" s="97">
        <v>46069.66260454861</v>
      </c>
      <c r="K1443" s="95" t="s">
        <v>8395</v>
      </c>
      <c r="L1443" s="96" t="s">
        <v>8396</v>
      </c>
      <c r="M1443" s="95" t="s">
        <v>74</v>
      </c>
      <c r="N1443" s="95" t="s">
        <v>8390</v>
      </c>
      <c r="O1443" s="95" t="s">
        <v>8390</v>
      </c>
      <c r="P1443" s="95" t="s">
        <v>8391</v>
      </c>
      <c r="Q1443" s="98">
        <v>3.0</v>
      </c>
      <c r="R1443" s="97">
        <v>45969.53858796296</v>
      </c>
      <c r="S1443" s="99">
        <v>26655.0</v>
      </c>
      <c r="T1443" s="99">
        <v>14.0</v>
      </c>
      <c r="U1443" s="99">
        <v>15.0</v>
      </c>
      <c r="V1443" s="99">
        <v>173.0</v>
      </c>
      <c r="W1443" s="99">
        <v>215498.0</v>
      </c>
    </row>
    <row r="1444" ht="15.75" customHeight="1">
      <c r="A1444" s="95" t="s">
        <v>8397</v>
      </c>
      <c r="B1444" s="95" t="s">
        <v>101</v>
      </c>
      <c r="C1444" s="96" t="s">
        <v>8398</v>
      </c>
      <c r="D1444" s="95" t="s">
        <v>547</v>
      </c>
      <c r="E1444" s="95" t="s">
        <v>8394</v>
      </c>
      <c r="F1444" s="95" t="s">
        <v>58</v>
      </c>
      <c r="G1444" s="95" t="s">
        <v>4690</v>
      </c>
      <c r="H1444" s="95" t="s">
        <v>21</v>
      </c>
      <c r="I1444" s="95" t="s">
        <v>1504</v>
      </c>
      <c r="J1444" s="97">
        <v>46069.66260454861</v>
      </c>
      <c r="K1444" s="95" t="s">
        <v>8399</v>
      </c>
      <c r="L1444" s="96" t="s">
        <v>8400</v>
      </c>
      <c r="M1444" s="95" t="s">
        <v>74</v>
      </c>
      <c r="N1444" s="95" t="s">
        <v>8390</v>
      </c>
      <c r="O1444" s="95" t="s">
        <v>8390</v>
      </c>
      <c r="P1444" s="95" t="s">
        <v>8391</v>
      </c>
      <c r="Q1444" s="98">
        <v>3.0</v>
      </c>
      <c r="R1444" s="97">
        <v>45999.48826388889</v>
      </c>
      <c r="S1444" s="99">
        <v>26655.0</v>
      </c>
      <c r="T1444" s="99">
        <v>221.0</v>
      </c>
      <c r="U1444" s="99">
        <v>8.0</v>
      </c>
      <c r="V1444" s="99">
        <v>666.0</v>
      </c>
      <c r="W1444" s="99">
        <v>215498.0</v>
      </c>
    </row>
    <row r="1445" ht="15.75" customHeight="1">
      <c r="A1445" s="95" t="s">
        <v>8401</v>
      </c>
      <c r="B1445" s="95" t="s">
        <v>22</v>
      </c>
      <c r="C1445" s="96" t="s">
        <v>8402</v>
      </c>
      <c r="D1445" s="95" t="s">
        <v>547</v>
      </c>
      <c r="E1445" s="95" t="s">
        <v>2952</v>
      </c>
      <c r="F1445" s="95" t="s">
        <v>19</v>
      </c>
      <c r="G1445" s="95" t="s">
        <v>1367</v>
      </c>
      <c r="H1445" s="95" t="s">
        <v>21</v>
      </c>
      <c r="I1445" s="95" t="s">
        <v>567</v>
      </c>
      <c r="J1445" s="97">
        <v>46069.70394782408</v>
      </c>
      <c r="K1445" s="95" t="s">
        <v>8403</v>
      </c>
      <c r="L1445" s="96" t="s">
        <v>8404</v>
      </c>
      <c r="M1445" s="95" t="s">
        <v>74</v>
      </c>
      <c r="N1445" s="95" t="s">
        <v>8390</v>
      </c>
      <c r="O1445" s="95" t="s">
        <v>8390</v>
      </c>
      <c r="P1445" s="95" t="s">
        <v>8391</v>
      </c>
      <c r="Q1445" s="98">
        <v>3.0</v>
      </c>
      <c r="R1445" s="97">
        <v>45703.65125</v>
      </c>
      <c r="S1445" s="99">
        <v>26655.0</v>
      </c>
      <c r="T1445" s="99">
        <v>141.0</v>
      </c>
      <c r="U1445" s="99">
        <v>26.0</v>
      </c>
      <c r="V1445" s="99">
        <v>567.0</v>
      </c>
      <c r="W1445" s="99">
        <v>215498.0</v>
      </c>
    </row>
    <row r="1446" ht="15.75" customHeight="1">
      <c r="A1446" s="95" t="s">
        <v>8405</v>
      </c>
      <c r="B1446" s="95" t="s">
        <v>22</v>
      </c>
      <c r="C1446" s="96" t="s">
        <v>8406</v>
      </c>
      <c r="D1446" s="95" t="s">
        <v>59</v>
      </c>
      <c r="E1446" s="95" t="s">
        <v>59</v>
      </c>
      <c r="F1446" s="95" t="s">
        <v>19</v>
      </c>
      <c r="G1446" s="95" t="s">
        <v>1367</v>
      </c>
      <c r="H1446" s="95" t="s">
        <v>21</v>
      </c>
      <c r="I1446" s="95" t="s">
        <v>567</v>
      </c>
      <c r="J1446" s="97">
        <v>46021.50628966435</v>
      </c>
      <c r="K1446" s="95" t="s">
        <v>8407</v>
      </c>
      <c r="L1446" s="96" t="s">
        <v>8408</v>
      </c>
      <c r="M1446" s="95" t="s">
        <v>67</v>
      </c>
      <c r="N1446" s="95" t="s">
        <v>8409</v>
      </c>
      <c r="O1446" s="95" t="s">
        <v>8409</v>
      </c>
      <c r="P1446" s="95" t="s">
        <v>8410</v>
      </c>
      <c r="Q1446" s="98">
        <v>3.0</v>
      </c>
      <c r="R1446" s="97">
        <v>45923.35672453704</v>
      </c>
      <c r="S1446" s="99">
        <v>138.0</v>
      </c>
      <c r="T1446" s="99">
        <v>7.0</v>
      </c>
      <c r="U1446" s="99">
        <v>1.0</v>
      </c>
      <c r="V1446" s="99">
        <v>48.0</v>
      </c>
      <c r="W1446" s="99">
        <v>16120.0</v>
      </c>
    </row>
    <row r="1447" ht="15.75" customHeight="1">
      <c r="A1447" s="95" t="s">
        <v>8411</v>
      </c>
      <c r="B1447" s="95" t="s">
        <v>22</v>
      </c>
      <c r="C1447" s="96" t="s">
        <v>8412</v>
      </c>
      <c r="D1447" s="95" t="s">
        <v>59</v>
      </c>
      <c r="E1447" s="95" t="s">
        <v>59</v>
      </c>
      <c r="F1447" s="95" t="s">
        <v>19</v>
      </c>
      <c r="G1447" s="95" t="s">
        <v>19</v>
      </c>
      <c r="H1447" s="95" t="s">
        <v>21</v>
      </c>
      <c r="I1447" s="95" t="s">
        <v>567</v>
      </c>
      <c r="J1447" s="97">
        <v>46069.65910748843</v>
      </c>
      <c r="K1447" s="95" t="s">
        <v>8413</v>
      </c>
      <c r="L1447" s="96" t="s">
        <v>8414</v>
      </c>
      <c r="M1447" s="95" t="s">
        <v>93</v>
      </c>
      <c r="N1447" s="95" t="s">
        <v>8415</v>
      </c>
      <c r="O1447" s="95" t="s">
        <v>8415</v>
      </c>
      <c r="P1447" s="95" t="s">
        <v>8416</v>
      </c>
      <c r="Q1447" s="98">
        <v>3.0</v>
      </c>
      <c r="R1447" s="97">
        <v>45981.39113425926</v>
      </c>
      <c r="S1447" s="99">
        <v>5721.0</v>
      </c>
      <c r="T1447" s="99">
        <v>3506.0</v>
      </c>
      <c r="U1447" s="99">
        <v>193.0</v>
      </c>
      <c r="V1447" s="99">
        <v>319.0</v>
      </c>
      <c r="W1447" s="99">
        <v>291251.0</v>
      </c>
    </row>
    <row r="1448" ht="15.75" customHeight="1">
      <c r="A1448" s="95" t="s">
        <v>8417</v>
      </c>
      <c r="B1448" s="95" t="s">
        <v>69</v>
      </c>
      <c r="C1448" s="96" t="s">
        <v>8418</v>
      </c>
      <c r="D1448" s="95" t="s">
        <v>39</v>
      </c>
      <c r="E1448" s="95" t="s">
        <v>614</v>
      </c>
      <c r="F1448" s="95" t="s">
        <v>88</v>
      </c>
      <c r="G1448" s="95" t="s">
        <v>88</v>
      </c>
      <c r="H1448" s="95" t="s">
        <v>89</v>
      </c>
      <c r="I1448" s="95" t="s">
        <v>1922</v>
      </c>
      <c r="J1448" s="97">
        <v>46040.67651298611</v>
      </c>
      <c r="K1448" s="95" t="s">
        <v>8419</v>
      </c>
      <c r="L1448" s="96" t="s">
        <v>8420</v>
      </c>
      <c r="M1448" s="95" t="s">
        <v>74</v>
      </c>
      <c r="N1448" s="95" t="s">
        <v>8421</v>
      </c>
      <c r="O1448" s="95" t="s">
        <v>8421</v>
      </c>
      <c r="P1448" s="95" t="s">
        <v>8422</v>
      </c>
      <c r="Q1448" s="98">
        <v>3.0</v>
      </c>
      <c r="R1448" s="97">
        <v>45936.69451388889</v>
      </c>
      <c r="S1448" s="99">
        <v>1371.0</v>
      </c>
      <c r="T1448" s="99">
        <v>7.0</v>
      </c>
      <c r="U1448" s="99">
        <v>1.0</v>
      </c>
      <c r="V1448" s="99">
        <v>186.0</v>
      </c>
      <c r="W1448" s="99">
        <v>214346.0</v>
      </c>
    </row>
    <row r="1449" ht="15.75" customHeight="1">
      <c r="A1449" s="95" t="s">
        <v>8423</v>
      </c>
      <c r="B1449" s="95" t="s">
        <v>22</v>
      </c>
      <c r="C1449" s="96" t="s">
        <v>8424</v>
      </c>
      <c r="D1449" s="95" t="s">
        <v>59</v>
      </c>
      <c r="E1449" s="95" t="s">
        <v>4566</v>
      </c>
      <c r="F1449" s="95" t="s">
        <v>19</v>
      </c>
      <c r="G1449" s="95" t="s">
        <v>19</v>
      </c>
      <c r="H1449" s="95" t="s">
        <v>21</v>
      </c>
      <c r="I1449" s="95" t="s">
        <v>589</v>
      </c>
      <c r="J1449" s="97">
        <v>46021.50628966435</v>
      </c>
      <c r="K1449" s="95" t="s">
        <v>8425</v>
      </c>
      <c r="L1449" s="96" t="s">
        <v>8426</v>
      </c>
      <c r="M1449" s="95" t="s">
        <v>74</v>
      </c>
      <c r="N1449" s="95" t="s">
        <v>8427</v>
      </c>
      <c r="O1449" s="95" t="s">
        <v>8427</v>
      </c>
      <c r="P1449" s="95" t="s">
        <v>8428</v>
      </c>
      <c r="Q1449" s="98">
        <v>3.0</v>
      </c>
      <c r="R1449" s="97">
        <v>45827.35094907408</v>
      </c>
      <c r="S1449" s="99">
        <v>60.0</v>
      </c>
      <c r="T1449" s="99">
        <v>26.0</v>
      </c>
      <c r="U1449" s="99">
        <v>9.0</v>
      </c>
      <c r="V1449" s="99">
        <v>234.0</v>
      </c>
      <c r="W1449" s="99">
        <v>8825.0</v>
      </c>
    </row>
    <row r="1450" ht="15.75" customHeight="1">
      <c r="A1450" s="95" t="s">
        <v>8429</v>
      </c>
      <c r="B1450" s="95" t="s">
        <v>131</v>
      </c>
      <c r="C1450" s="96" t="s">
        <v>8430</v>
      </c>
      <c r="D1450" s="95" t="s">
        <v>49</v>
      </c>
      <c r="E1450" s="95" t="s">
        <v>8431</v>
      </c>
      <c r="F1450" s="95" t="s">
        <v>19</v>
      </c>
      <c r="G1450" s="95" t="s">
        <v>574</v>
      </c>
      <c r="H1450" s="95" t="s">
        <v>21</v>
      </c>
      <c r="I1450" s="95" t="s">
        <v>647</v>
      </c>
      <c r="J1450" s="97">
        <v>46021.51330457176</v>
      </c>
      <c r="K1450" s="95" t="s">
        <v>8432</v>
      </c>
      <c r="L1450" s="96" t="s">
        <v>8433</v>
      </c>
      <c r="M1450" s="95" t="s">
        <v>54</v>
      </c>
      <c r="N1450" s="95" t="s">
        <v>8434</v>
      </c>
      <c r="O1450" s="95" t="s">
        <v>8434</v>
      </c>
      <c r="P1450" s="95" t="s">
        <v>8435</v>
      </c>
      <c r="Q1450" s="98">
        <v>3.0</v>
      </c>
      <c r="R1450" s="97">
        <v>45672.70578703703</v>
      </c>
      <c r="S1450" s="99">
        <v>211.0</v>
      </c>
      <c r="T1450" s="99">
        <v>187.0</v>
      </c>
      <c r="U1450" s="99">
        <v>5.0</v>
      </c>
      <c r="V1450" s="99">
        <v>1769.0</v>
      </c>
      <c r="W1450" s="99">
        <v>22862.0</v>
      </c>
    </row>
    <row r="1451" ht="15.75" customHeight="1">
      <c r="A1451" s="95" t="s">
        <v>8436</v>
      </c>
      <c r="B1451" s="95" t="s">
        <v>22</v>
      </c>
      <c r="C1451" s="96" t="s">
        <v>8437</v>
      </c>
      <c r="D1451" s="95" t="s">
        <v>39</v>
      </c>
      <c r="E1451" s="95" t="s">
        <v>960</v>
      </c>
      <c r="F1451" s="95" t="s">
        <v>19</v>
      </c>
      <c r="G1451" s="95" t="s">
        <v>19</v>
      </c>
      <c r="H1451" s="95" t="s">
        <v>21</v>
      </c>
      <c r="I1451" s="95" t="s">
        <v>589</v>
      </c>
      <c r="J1451" s="97">
        <v>46056.93918255787</v>
      </c>
      <c r="K1451" s="95" t="s">
        <v>8438</v>
      </c>
      <c r="L1451" s="96" t="s">
        <v>8439</v>
      </c>
      <c r="M1451" s="95" t="s">
        <v>503</v>
      </c>
      <c r="N1451" s="95" t="s">
        <v>8440</v>
      </c>
      <c r="O1451" s="95" t="s">
        <v>8440</v>
      </c>
      <c r="P1451" s="95" t="s">
        <v>8441</v>
      </c>
      <c r="Q1451" s="98">
        <v>3.0</v>
      </c>
      <c r="R1451" s="97">
        <v>45643.19938657407</v>
      </c>
      <c r="S1451" s="99">
        <v>8841.0</v>
      </c>
      <c r="T1451" s="99">
        <v>13.0</v>
      </c>
      <c r="U1451" s="99">
        <v>1.0</v>
      </c>
      <c r="V1451" s="99">
        <v>61.0</v>
      </c>
      <c r="W1451" s="99">
        <v>10001.0</v>
      </c>
    </row>
    <row r="1452" ht="15.75" customHeight="1">
      <c r="A1452" s="95" t="s">
        <v>8442</v>
      </c>
      <c r="B1452" s="95" t="s">
        <v>69</v>
      </c>
      <c r="C1452" s="96" t="s">
        <v>8443</v>
      </c>
      <c r="D1452" s="95" t="s">
        <v>39</v>
      </c>
      <c r="E1452" s="95" t="s">
        <v>39</v>
      </c>
      <c r="F1452" s="95" t="s">
        <v>58</v>
      </c>
      <c r="G1452" s="95" t="s">
        <v>4690</v>
      </c>
      <c r="H1452" s="95" t="s">
        <v>89</v>
      </c>
      <c r="I1452" s="95" t="s">
        <v>1922</v>
      </c>
      <c r="J1452" s="97">
        <v>45994.67209194444</v>
      </c>
      <c r="K1452" s="95" t="s">
        <v>8444</v>
      </c>
      <c r="L1452" s="96" t="s">
        <v>8445</v>
      </c>
      <c r="M1452" s="95" t="s">
        <v>105</v>
      </c>
      <c r="N1452" s="95" t="s">
        <v>8446</v>
      </c>
      <c r="O1452" s="95" t="s">
        <v>8446</v>
      </c>
      <c r="P1452" s="95" t="s">
        <v>8447</v>
      </c>
      <c r="Q1452" s="98">
        <v>3.0</v>
      </c>
      <c r="R1452" s="97">
        <v>45487.63953703704</v>
      </c>
      <c r="S1452" s="99">
        <v>731.0</v>
      </c>
      <c r="T1452" s="99">
        <v>2.0</v>
      </c>
      <c r="U1452" s="99">
        <v>3.0</v>
      </c>
      <c r="V1452" s="99">
        <v>409.0</v>
      </c>
      <c r="W1452" s="99">
        <v>9228.0</v>
      </c>
    </row>
    <row r="1453" ht="15.75" customHeight="1">
      <c r="A1453" s="95" t="s">
        <v>8448</v>
      </c>
      <c r="B1453" s="95" t="s">
        <v>69</v>
      </c>
      <c r="C1453" s="96" t="s">
        <v>8449</v>
      </c>
      <c r="D1453" s="95" t="s">
        <v>29</v>
      </c>
      <c r="E1453" s="95" t="s">
        <v>598</v>
      </c>
      <c r="F1453" s="95" t="s">
        <v>88</v>
      </c>
      <c r="G1453" s="95" t="s">
        <v>639</v>
      </c>
      <c r="H1453" s="95" t="s">
        <v>89</v>
      </c>
      <c r="I1453" s="95" t="s">
        <v>8450</v>
      </c>
      <c r="J1453" s="97">
        <v>45993.79076451389</v>
      </c>
      <c r="K1453" s="96" t="s">
        <v>8451</v>
      </c>
      <c r="L1453" s="96" t="s">
        <v>8452</v>
      </c>
      <c r="M1453" s="95" t="s">
        <v>74</v>
      </c>
      <c r="N1453" s="95" t="s">
        <v>8453</v>
      </c>
      <c r="O1453" s="95" t="s">
        <v>8453</v>
      </c>
      <c r="P1453" s="95" t="s">
        <v>8454</v>
      </c>
      <c r="Q1453" s="98">
        <v>3.0</v>
      </c>
      <c r="R1453" s="97">
        <v>45915.58701388889</v>
      </c>
      <c r="S1453" s="99">
        <v>76.0</v>
      </c>
      <c r="T1453" s="99">
        <v>14.0</v>
      </c>
      <c r="U1453" s="99">
        <v>20.0</v>
      </c>
      <c r="V1453" s="99">
        <v>68.0</v>
      </c>
      <c r="W1453" s="99">
        <v>16995.0</v>
      </c>
    </row>
    <row r="1454" ht="15.75" customHeight="1">
      <c r="A1454" s="95" t="s">
        <v>8455</v>
      </c>
      <c r="B1454" s="95" t="s">
        <v>101</v>
      </c>
      <c r="C1454" s="96" t="s">
        <v>8456</v>
      </c>
      <c r="D1454" s="95" t="s">
        <v>39</v>
      </c>
      <c r="E1454" s="95" t="s">
        <v>960</v>
      </c>
      <c r="F1454" s="95" t="s">
        <v>19</v>
      </c>
      <c r="G1454" s="95" t="s">
        <v>574</v>
      </c>
      <c r="H1454" s="95" t="s">
        <v>21</v>
      </c>
      <c r="I1454" s="95" t="s">
        <v>2534</v>
      </c>
      <c r="J1454" s="97">
        <v>46021.50628966435</v>
      </c>
      <c r="K1454" s="95" t="s">
        <v>8457</v>
      </c>
      <c r="L1454" s="96" t="s">
        <v>8458</v>
      </c>
      <c r="M1454" s="95" t="s">
        <v>503</v>
      </c>
      <c r="N1454" s="95" t="s">
        <v>8459</v>
      </c>
      <c r="O1454" s="95" t="s">
        <v>8459</v>
      </c>
      <c r="P1454" s="95" t="s">
        <v>8460</v>
      </c>
      <c r="Q1454" s="98">
        <v>3.0</v>
      </c>
      <c r="R1454" s="97">
        <v>45888.70736111111</v>
      </c>
      <c r="S1454" s="99">
        <v>79.0</v>
      </c>
      <c r="T1454" s="99">
        <v>109.0</v>
      </c>
      <c r="U1454" s="99">
        <v>37.0</v>
      </c>
      <c r="V1454" s="99">
        <v>274.0</v>
      </c>
      <c r="W1454" s="99">
        <v>12582.0</v>
      </c>
    </row>
    <row r="1455" ht="15.75" customHeight="1">
      <c r="A1455" s="95" t="s">
        <v>8461</v>
      </c>
      <c r="B1455" s="95" t="s">
        <v>22</v>
      </c>
      <c r="C1455" s="96" t="s">
        <v>8462</v>
      </c>
      <c r="D1455" s="95" t="s">
        <v>68</v>
      </c>
      <c r="E1455" s="95" t="s">
        <v>769</v>
      </c>
      <c r="F1455" s="95" t="s">
        <v>19</v>
      </c>
      <c r="G1455" s="95" t="s">
        <v>19</v>
      </c>
      <c r="H1455" s="95" t="s">
        <v>21</v>
      </c>
      <c r="I1455" s="95" t="s">
        <v>567</v>
      </c>
      <c r="J1455" s="97">
        <v>45989.55592024305</v>
      </c>
      <c r="K1455" s="95" t="s">
        <v>8463</v>
      </c>
      <c r="L1455" s="96" t="s">
        <v>8464</v>
      </c>
      <c r="M1455" s="95" t="s">
        <v>105</v>
      </c>
      <c r="N1455" s="95" t="s">
        <v>8465</v>
      </c>
      <c r="O1455" s="95" t="s">
        <v>8465</v>
      </c>
      <c r="P1455" s="95" t="s">
        <v>8466</v>
      </c>
      <c r="Q1455" s="98">
        <v>3.0</v>
      </c>
      <c r="R1455" s="97">
        <v>45624.9965162037</v>
      </c>
      <c r="S1455" s="99">
        <v>227.0</v>
      </c>
      <c r="T1455" s="99">
        <v>262.0</v>
      </c>
      <c r="U1455" s="99">
        <v>7.0</v>
      </c>
      <c r="V1455" s="99">
        <v>159.0</v>
      </c>
      <c r="W1455" s="99">
        <v>108210.0</v>
      </c>
    </row>
    <row r="1456" ht="15.75" customHeight="1">
      <c r="A1456" s="95" t="s">
        <v>8467</v>
      </c>
      <c r="B1456" s="95" t="s">
        <v>101</v>
      </c>
      <c r="C1456" s="96" t="s">
        <v>8468</v>
      </c>
      <c r="D1456" s="95" t="s">
        <v>39</v>
      </c>
      <c r="E1456" s="95" t="s">
        <v>960</v>
      </c>
      <c r="F1456" s="95" t="s">
        <v>19</v>
      </c>
      <c r="G1456" s="95" t="s">
        <v>19</v>
      </c>
      <c r="H1456" s="95" t="s">
        <v>21</v>
      </c>
      <c r="I1456" s="95" t="s">
        <v>1589</v>
      </c>
      <c r="J1456" s="97">
        <v>46021.49769592593</v>
      </c>
      <c r="K1456" s="95" t="s">
        <v>8469</v>
      </c>
      <c r="L1456" s="96" t="s">
        <v>8470</v>
      </c>
      <c r="M1456" s="95" t="s">
        <v>28</v>
      </c>
      <c r="N1456" s="95" t="s">
        <v>8471</v>
      </c>
      <c r="O1456" s="95" t="s">
        <v>8471</v>
      </c>
      <c r="P1456" s="95" t="s">
        <v>8472</v>
      </c>
      <c r="Q1456" s="98">
        <v>3.0</v>
      </c>
      <c r="R1456" s="97">
        <v>45900.60087962963</v>
      </c>
      <c r="S1456" s="99">
        <v>3656.0</v>
      </c>
      <c r="T1456" s="99">
        <v>11.0</v>
      </c>
      <c r="U1456" s="99">
        <v>4.0</v>
      </c>
      <c r="V1456" s="99">
        <v>276.0</v>
      </c>
      <c r="W1456" s="99">
        <v>77954.0</v>
      </c>
    </row>
    <row r="1457" ht="15.75" customHeight="1">
      <c r="A1457" s="95" t="s">
        <v>8473</v>
      </c>
      <c r="B1457" s="95" t="s">
        <v>69</v>
      </c>
      <c r="C1457" s="96" t="s">
        <v>8474</v>
      </c>
      <c r="D1457" s="95" t="s">
        <v>39</v>
      </c>
      <c r="E1457" s="95" t="s">
        <v>39</v>
      </c>
      <c r="F1457" s="95" t="s">
        <v>88</v>
      </c>
      <c r="G1457" s="95" t="s">
        <v>858</v>
      </c>
      <c r="H1457" s="95" t="s">
        <v>89</v>
      </c>
      <c r="I1457" s="95" t="s">
        <v>8475</v>
      </c>
      <c r="J1457" s="97">
        <v>46040.56696197917</v>
      </c>
      <c r="K1457" s="95" t="s">
        <v>8476</v>
      </c>
      <c r="L1457" s="96" t="s">
        <v>8477</v>
      </c>
      <c r="M1457" s="95" t="s">
        <v>74</v>
      </c>
      <c r="N1457" s="95" t="s">
        <v>8478</v>
      </c>
      <c r="O1457" s="95" t="s">
        <v>8478</v>
      </c>
      <c r="P1457" s="95" t="s">
        <v>8479</v>
      </c>
      <c r="Q1457" s="98">
        <v>3.0</v>
      </c>
      <c r="R1457" s="97">
        <v>45656.33631944445</v>
      </c>
      <c r="S1457" s="99">
        <v>335.0</v>
      </c>
      <c r="T1457" s="99">
        <v>17.0</v>
      </c>
      <c r="U1457" s="99">
        <v>2.0</v>
      </c>
      <c r="V1457" s="99">
        <v>191.0</v>
      </c>
      <c r="W1457" s="99">
        <v>92443.0</v>
      </c>
    </row>
    <row r="1458" ht="15.75" customHeight="1">
      <c r="A1458" s="95" t="s">
        <v>8480</v>
      </c>
      <c r="B1458" s="95" t="s">
        <v>22</v>
      </c>
      <c r="C1458" s="96" t="s">
        <v>8481</v>
      </c>
      <c r="D1458" s="95" t="s">
        <v>548</v>
      </c>
      <c r="E1458" s="95" t="s">
        <v>4121</v>
      </c>
      <c r="F1458" s="95" t="s">
        <v>19</v>
      </c>
      <c r="G1458" s="95" t="s">
        <v>19</v>
      </c>
      <c r="H1458" s="95" t="s">
        <v>21</v>
      </c>
      <c r="I1458" s="95" t="s">
        <v>567</v>
      </c>
      <c r="J1458" s="97">
        <v>45985.58262005787</v>
      </c>
      <c r="K1458" s="95" t="s">
        <v>8482</v>
      </c>
      <c r="L1458" s="96" t="s">
        <v>8483</v>
      </c>
      <c r="M1458" s="95" t="s">
        <v>105</v>
      </c>
      <c r="N1458" s="95" t="s">
        <v>8484</v>
      </c>
      <c r="O1458" s="95" t="s">
        <v>8484</v>
      </c>
      <c r="P1458" s="95" t="s">
        <v>8485</v>
      </c>
      <c r="Q1458" s="98">
        <v>3.0</v>
      </c>
      <c r="R1458" s="97">
        <v>45825.87616898148</v>
      </c>
      <c r="S1458" s="99">
        <v>3820.0</v>
      </c>
      <c r="T1458" s="99">
        <v>14.0</v>
      </c>
      <c r="U1458" s="99">
        <v>3.0</v>
      </c>
      <c r="V1458" s="99">
        <v>91.0</v>
      </c>
      <c r="W1458" s="99">
        <v>854264.0</v>
      </c>
    </row>
    <row r="1459" ht="15.75" customHeight="1">
      <c r="A1459" s="95" t="s">
        <v>8486</v>
      </c>
      <c r="B1459" s="95" t="s">
        <v>22</v>
      </c>
      <c r="C1459" s="96" t="s">
        <v>8487</v>
      </c>
      <c r="D1459" s="95" t="s">
        <v>59</v>
      </c>
      <c r="E1459" s="95" t="s">
        <v>1873</v>
      </c>
      <c r="F1459" s="95" t="s">
        <v>19</v>
      </c>
      <c r="G1459" s="95" t="s">
        <v>19</v>
      </c>
      <c r="H1459" s="95" t="s">
        <v>21</v>
      </c>
      <c r="I1459" s="95" t="s">
        <v>677</v>
      </c>
      <c r="J1459" s="97">
        <v>46008.62905604167</v>
      </c>
      <c r="K1459" s="96" t="s">
        <v>8488</v>
      </c>
      <c r="L1459" s="96" t="s">
        <v>8489</v>
      </c>
      <c r="M1459" s="95" t="s">
        <v>17</v>
      </c>
      <c r="N1459" s="95" t="s">
        <v>8490</v>
      </c>
      <c r="O1459" s="95" t="s">
        <v>8490</v>
      </c>
      <c r="P1459" s="95" t="s">
        <v>8491</v>
      </c>
      <c r="Q1459" s="98">
        <v>3.0</v>
      </c>
      <c r="R1459" s="97">
        <v>45831.70935185185</v>
      </c>
      <c r="S1459" s="99">
        <v>1456.0</v>
      </c>
      <c r="T1459" s="99">
        <v>406.0</v>
      </c>
      <c r="U1459" s="99">
        <v>3.0</v>
      </c>
      <c r="V1459" s="99">
        <v>124.0</v>
      </c>
      <c r="W1459" s="99">
        <v>515077.0</v>
      </c>
    </row>
    <row r="1460" ht="15.75" customHeight="1">
      <c r="A1460" s="95" t="s">
        <v>8492</v>
      </c>
      <c r="B1460" s="95" t="s">
        <v>22</v>
      </c>
      <c r="C1460" s="96" t="s">
        <v>8493</v>
      </c>
      <c r="D1460" s="95" t="s">
        <v>547</v>
      </c>
      <c r="E1460" s="95" t="s">
        <v>710</v>
      </c>
      <c r="F1460" s="95" t="s">
        <v>19</v>
      </c>
      <c r="G1460" s="95" t="s">
        <v>588</v>
      </c>
      <c r="H1460" s="95" t="s">
        <v>21</v>
      </c>
      <c r="I1460" s="95" t="s">
        <v>589</v>
      </c>
      <c r="J1460" s="97">
        <v>46021.49769592593</v>
      </c>
      <c r="K1460" s="95" t="s">
        <v>8494</v>
      </c>
      <c r="L1460" s="96" t="s">
        <v>8495</v>
      </c>
      <c r="M1460" s="95" t="s">
        <v>105</v>
      </c>
      <c r="N1460" s="95" t="s">
        <v>8496</v>
      </c>
      <c r="O1460" s="95" t="s">
        <v>8496</v>
      </c>
      <c r="P1460" s="95" t="s">
        <v>8497</v>
      </c>
      <c r="Q1460" s="98">
        <v>3.0</v>
      </c>
      <c r="R1460" s="97">
        <v>45288.36484953704</v>
      </c>
      <c r="S1460" s="99">
        <v>1186.0</v>
      </c>
      <c r="T1460" s="99">
        <v>120.0</v>
      </c>
      <c r="U1460" s="99">
        <v>4.0</v>
      </c>
      <c r="V1460" s="99">
        <v>54.0</v>
      </c>
      <c r="W1460" s="99">
        <v>116430.0</v>
      </c>
    </row>
    <row r="1461" ht="15.75" customHeight="1">
      <c r="A1461" s="95" t="s">
        <v>8498</v>
      </c>
      <c r="B1461" s="95" t="s">
        <v>22</v>
      </c>
      <c r="C1461" s="96" t="s">
        <v>8499</v>
      </c>
      <c r="D1461" s="95" t="s">
        <v>168</v>
      </c>
      <c r="E1461" s="95" t="s">
        <v>606</v>
      </c>
      <c r="F1461" s="95" t="s">
        <v>19</v>
      </c>
      <c r="G1461" s="95" t="s">
        <v>19</v>
      </c>
      <c r="H1461" s="95" t="s">
        <v>21</v>
      </c>
      <c r="I1461" s="95" t="s">
        <v>677</v>
      </c>
      <c r="J1461" s="97">
        <v>46008.62905832176</v>
      </c>
      <c r="K1461" s="96" t="s">
        <v>8500</v>
      </c>
      <c r="L1461" s="96" t="s">
        <v>8501</v>
      </c>
      <c r="M1461" s="95" t="s">
        <v>17</v>
      </c>
      <c r="N1461" s="95" t="s">
        <v>8502</v>
      </c>
      <c r="O1461" s="95" t="s">
        <v>8502</v>
      </c>
      <c r="P1461" s="95" t="s">
        <v>8503</v>
      </c>
      <c r="Q1461" s="98">
        <v>3.0</v>
      </c>
      <c r="R1461" s="97">
        <v>45606.01953703703</v>
      </c>
      <c r="S1461" s="99">
        <v>880.0</v>
      </c>
      <c r="T1461" s="99">
        <v>2.0</v>
      </c>
      <c r="U1461" s="99">
        <v>5.0</v>
      </c>
      <c r="V1461" s="99">
        <v>963.0</v>
      </c>
      <c r="W1461" s="99">
        <v>999999.0</v>
      </c>
    </row>
    <row r="1462" ht="15.75" customHeight="1">
      <c r="A1462" s="95" t="s">
        <v>8504</v>
      </c>
      <c r="B1462" s="95" t="s">
        <v>69</v>
      </c>
      <c r="C1462" s="96" t="s">
        <v>8505</v>
      </c>
      <c r="D1462" s="95" t="s">
        <v>39</v>
      </c>
      <c r="E1462" s="95" t="s">
        <v>39</v>
      </c>
      <c r="F1462" s="95" t="s">
        <v>88</v>
      </c>
      <c r="G1462" s="95" t="s">
        <v>639</v>
      </c>
      <c r="H1462" s="95" t="s">
        <v>89</v>
      </c>
      <c r="I1462" s="95" t="s">
        <v>640</v>
      </c>
      <c r="J1462" s="97">
        <v>46002.6947709838</v>
      </c>
      <c r="K1462" s="95" t="s">
        <v>8506</v>
      </c>
      <c r="L1462" s="96" t="s">
        <v>8507</v>
      </c>
      <c r="M1462" s="95" t="s">
        <v>17</v>
      </c>
      <c r="N1462" s="95" t="s">
        <v>8508</v>
      </c>
      <c r="O1462" s="95" t="s">
        <v>8508</v>
      </c>
      <c r="P1462" s="95" t="s">
        <v>8509</v>
      </c>
      <c r="Q1462" s="98">
        <v>3.0</v>
      </c>
      <c r="R1462" s="97">
        <v>45800.64608796296</v>
      </c>
      <c r="S1462" s="99">
        <v>273.0</v>
      </c>
      <c r="T1462" s="99">
        <v>2.0</v>
      </c>
      <c r="U1462" s="99">
        <v>42.0</v>
      </c>
      <c r="V1462" s="99">
        <v>95.0</v>
      </c>
      <c r="W1462" s="99">
        <v>3769.0</v>
      </c>
    </row>
    <row r="1463" ht="15.75" customHeight="1">
      <c r="A1463" s="95" t="s">
        <v>8510</v>
      </c>
      <c r="B1463" s="95" t="s">
        <v>131</v>
      </c>
      <c r="C1463" s="96" t="s">
        <v>8511</v>
      </c>
      <c r="D1463" s="95" t="s">
        <v>168</v>
      </c>
      <c r="E1463" s="95" t="s">
        <v>168</v>
      </c>
      <c r="F1463" s="95" t="s">
        <v>58</v>
      </c>
      <c r="G1463" s="95" t="s">
        <v>58</v>
      </c>
      <c r="H1463" s="95" t="s">
        <v>60</v>
      </c>
      <c r="I1463" s="95" t="s">
        <v>8512</v>
      </c>
      <c r="J1463" s="97">
        <v>45993.7854622338</v>
      </c>
      <c r="K1463" s="96" t="s">
        <v>8513</v>
      </c>
      <c r="L1463" s="96" t="s">
        <v>8514</v>
      </c>
      <c r="M1463" s="95" t="s">
        <v>17</v>
      </c>
      <c r="N1463" s="95" t="s">
        <v>8515</v>
      </c>
      <c r="O1463" s="95" t="s">
        <v>8515</v>
      </c>
      <c r="P1463" s="95" t="s">
        <v>8516</v>
      </c>
      <c r="Q1463" s="98">
        <v>3.0</v>
      </c>
      <c r="R1463" s="97">
        <v>45826.66363425926</v>
      </c>
      <c r="S1463" s="99">
        <v>62.0</v>
      </c>
      <c r="T1463" s="99">
        <v>158.0</v>
      </c>
      <c r="U1463" s="99">
        <v>2.0</v>
      </c>
      <c r="V1463" s="99">
        <v>48.0</v>
      </c>
      <c r="W1463" s="99">
        <v>98516.0</v>
      </c>
    </row>
    <row r="1464" ht="15.75" customHeight="1">
      <c r="A1464" s="95" t="s">
        <v>8517</v>
      </c>
      <c r="B1464" s="95" t="s">
        <v>22</v>
      </c>
      <c r="C1464" s="96" t="s">
        <v>8518</v>
      </c>
      <c r="D1464" s="95" t="s">
        <v>59</v>
      </c>
      <c r="E1464" s="95" t="s">
        <v>738</v>
      </c>
      <c r="F1464" s="95" t="s">
        <v>19</v>
      </c>
      <c r="G1464" s="95" t="s">
        <v>19</v>
      </c>
      <c r="H1464" s="95" t="s">
        <v>21</v>
      </c>
      <c r="I1464" s="95" t="s">
        <v>567</v>
      </c>
      <c r="J1464" s="97">
        <v>45975.67931630787</v>
      </c>
      <c r="K1464" s="96" t="s">
        <v>8519</v>
      </c>
      <c r="L1464" s="96" t="s">
        <v>8520</v>
      </c>
      <c r="M1464" s="95" t="s">
        <v>54</v>
      </c>
      <c r="N1464" s="95" t="s">
        <v>8521</v>
      </c>
      <c r="O1464" s="95" t="s">
        <v>8521</v>
      </c>
      <c r="P1464" s="95" t="s">
        <v>8522</v>
      </c>
      <c r="Q1464" s="98">
        <v>3.0</v>
      </c>
      <c r="R1464" s="97">
        <v>45850.65758101852</v>
      </c>
      <c r="S1464" s="99">
        <v>17064.0</v>
      </c>
      <c r="T1464" s="99">
        <v>167.0</v>
      </c>
      <c r="U1464" s="99">
        <v>2.0</v>
      </c>
      <c r="V1464" s="99">
        <v>345.0</v>
      </c>
      <c r="W1464" s="99">
        <v>87310.0</v>
      </c>
    </row>
    <row r="1465" ht="15.75" customHeight="1">
      <c r="A1465" s="95" t="s">
        <v>8523</v>
      </c>
      <c r="B1465" s="95" t="s">
        <v>22</v>
      </c>
      <c r="C1465" s="96" t="s">
        <v>8524</v>
      </c>
      <c r="D1465" s="95" t="s">
        <v>39</v>
      </c>
      <c r="E1465" s="95" t="s">
        <v>39</v>
      </c>
      <c r="F1465" s="95" t="s">
        <v>88</v>
      </c>
      <c r="G1465" s="95" t="s">
        <v>88</v>
      </c>
      <c r="H1465" s="95" t="s">
        <v>21</v>
      </c>
      <c r="I1465" s="95" t="s">
        <v>567</v>
      </c>
      <c r="J1465" s="97">
        <v>45975.67936400463</v>
      </c>
      <c r="K1465" s="96" t="s">
        <v>8525</v>
      </c>
      <c r="L1465" s="96" t="s">
        <v>8526</v>
      </c>
      <c r="M1465" s="95" t="s">
        <v>67</v>
      </c>
      <c r="N1465" s="95" t="s">
        <v>8527</v>
      </c>
      <c r="O1465" s="95" t="s">
        <v>8527</v>
      </c>
      <c r="P1465" s="95" t="s">
        <v>8528</v>
      </c>
      <c r="Q1465" s="98">
        <v>3.0</v>
      </c>
      <c r="R1465" s="97">
        <v>45698.74319444445</v>
      </c>
      <c r="S1465" s="99">
        <v>12811.0</v>
      </c>
      <c r="T1465" s="99">
        <v>35.0</v>
      </c>
      <c r="U1465" s="99">
        <v>2.0</v>
      </c>
      <c r="V1465" s="99">
        <v>35.0</v>
      </c>
      <c r="W1465" s="99">
        <v>311573.0</v>
      </c>
    </row>
    <row r="1466" ht="15.75" customHeight="1">
      <c r="A1466" s="95" t="s">
        <v>8529</v>
      </c>
      <c r="B1466" s="95" t="s">
        <v>22</v>
      </c>
      <c r="C1466" s="96" t="s">
        <v>8530</v>
      </c>
      <c r="D1466" s="95" t="s">
        <v>39</v>
      </c>
      <c r="E1466" s="95" t="s">
        <v>39</v>
      </c>
      <c r="F1466" s="95" t="s">
        <v>19</v>
      </c>
      <c r="G1466" s="95" t="s">
        <v>19</v>
      </c>
      <c r="H1466" s="95" t="s">
        <v>21</v>
      </c>
      <c r="I1466" s="95" t="s">
        <v>567</v>
      </c>
      <c r="J1466" s="97">
        <v>45975.67936400463</v>
      </c>
      <c r="K1466" s="96" t="s">
        <v>8531</v>
      </c>
      <c r="L1466" s="96" t="s">
        <v>8532</v>
      </c>
      <c r="M1466" s="95" t="s">
        <v>67</v>
      </c>
      <c r="N1466" s="95" t="s">
        <v>8527</v>
      </c>
      <c r="O1466" s="95" t="s">
        <v>8527</v>
      </c>
      <c r="P1466" s="95" t="s">
        <v>8528</v>
      </c>
      <c r="Q1466" s="98">
        <v>3.0</v>
      </c>
      <c r="R1466" s="97">
        <v>45734.19608796296</v>
      </c>
      <c r="S1466" s="99">
        <v>12811.0</v>
      </c>
      <c r="T1466" s="99">
        <v>100.0</v>
      </c>
      <c r="U1466" s="99">
        <v>12.0</v>
      </c>
      <c r="V1466" s="99">
        <v>79.0</v>
      </c>
      <c r="W1466" s="99">
        <v>311573.0</v>
      </c>
    </row>
    <row r="1467" ht="15.75" customHeight="1">
      <c r="A1467" s="95" t="s">
        <v>8533</v>
      </c>
      <c r="B1467" s="95" t="s">
        <v>22</v>
      </c>
      <c r="C1467" s="96" t="s">
        <v>8534</v>
      </c>
      <c r="D1467" s="95" t="s">
        <v>39</v>
      </c>
      <c r="E1467" s="95" t="s">
        <v>39</v>
      </c>
      <c r="F1467" s="95" t="s">
        <v>19</v>
      </c>
      <c r="G1467" s="95" t="s">
        <v>19</v>
      </c>
      <c r="H1467" s="95" t="s">
        <v>21</v>
      </c>
      <c r="I1467" s="95" t="s">
        <v>567</v>
      </c>
      <c r="J1467" s="97">
        <v>45975.67936400463</v>
      </c>
      <c r="K1467" s="96" t="s">
        <v>8535</v>
      </c>
      <c r="L1467" s="96" t="s">
        <v>8536</v>
      </c>
      <c r="M1467" s="95" t="s">
        <v>67</v>
      </c>
      <c r="N1467" s="95" t="s">
        <v>8527</v>
      </c>
      <c r="O1467" s="95" t="s">
        <v>8527</v>
      </c>
      <c r="P1467" s="95" t="s">
        <v>8528</v>
      </c>
      <c r="Q1467" s="98">
        <v>3.0</v>
      </c>
      <c r="R1467" s="97">
        <v>45825.6346875</v>
      </c>
      <c r="S1467" s="99">
        <v>12811.0</v>
      </c>
      <c r="T1467" s="99">
        <v>354.0</v>
      </c>
      <c r="U1467" s="99">
        <v>8.0</v>
      </c>
      <c r="V1467" s="99">
        <v>45.0</v>
      </c>
      <c r="W1467" s="99">
        <v>311573.0</v>
      </c>
    </row>
    <row r="1468" ht="15.75" customHeight="1">
      <c r="A1468" s="95" t="s">
        <v>8537</v>
      </c>
      <c r="B1468" s="95" t="s">
        <v>22</v>
      </c>
      <c r="C1468" s="96" t="s">
        <v>8538</v>
      </c>
      <c r="D1468" s="95" t="s">
        <v>39</v>
      </c>
      <c r="E1468" s="95" t="s">
        <v>39</v>
      </c>
      <c r="F1468" s="95" t="s">
        <v>19</v>
      </c>
      <c r="G1468" s="95" t="s">
        <v>19</v>
      </c>
      <c r="H1468" s="95" t="s">
        <v>21</v>
      </c>
      <c r="I1468" s="95" t="s">
        <v>567</v>
      </c>
      <c r="J1468" s="97">
        <v>45975.67936400463</v>
      </c>
      <c r="K1468" s="96" t="s">
        <v>8539</v>
      </c>
      <c r="L1468" s="96" t="s">
        <v>8540</v>
      </c>
      <c r="M1468" s="95" t="s">
        <v>67</v>
      </c>
      <c r="N1468" s="95" t="s">
        <v>8527</v>
      </c>
      <c r="O1468" s="95" t="s">
        <v>8527</v>
      </c>
      <c r="P1468" s="95" t="s">
        <v>8528</v>
      </c>
      <c r="Q1468" s="98">
        <v>3.0</v>
      </c>
      <c r="R1468" s="97">
        <v>45828.28672453704</v>
      </c>
      <c r="S1468" s="99">
        <v>12811.0</v>
      </c>
      <c r="T1468" s="99">
        <v>575.0</v>
      </c>
      <c r="U1468" s="99">
        <v>29.0</v>
      </c>
      <c r="V1468" s="99">
        <v>67.0</v>
      </c>
      <c r="W1468" s="99">
        <v>311573.0</v>
      </c>
    </row>
    <row r="1469" ht="15.75" customHeight="1">
      <c r="A1469" s="95" t="s">
        <v>8541</v>
      </c>
      <c r="B1469" s="95" t="s">
        <v>22</v>
      </c>
      <c r="C1469" s="96" t="s">
        <v>8542</v>
      </c>
      <c r="D1469" s="95" t="s">
        <v>39</v>
      </c>
      <c r="E1469" s="95" t="s">
        <v>39</v>
      </c>
      <c r="F1469" s="95" t="s">
        <v>19</v>
      </c>
      <c r="G1469" s="95" t="s">
        <v>19</v>
      </c>
      <c r="H1469" s="95" t="s">
        <v>21</v>
      </c>
      <c r="I1469" s="95" t="s">
        <v>567</v>
      </c>
      <c r="J1469" s="97">
        <v>46021.50399828704</v>
      </c>
      <c r="K1469" s="95" t="s">
        <v>8543</v>
      </c>
      <c r="L1469" s="96" t="s">
        <v>8544</v>
      </c>
      <c r="M1469" s="95" t="s">
        <v>67</v>
      </c>
      <c r="N1469" s="95" t="s">
        <v>8545</v>
      </c>
      <c r="O1469" s="95" t="s">
        <v>8545</v>
      </c>
      <c r="P1469" s="95" t="s">
        <v>8546</v>
      </c>
      <c r="Q1469" s="98">
        <v>3.0</v>
      </c>
      <c r="R1469" s="97">
        <v>45886.33947916667</v>
      </c>
      <c r="S1469" s="99">
        <v>315.0</v>
      </c>
      <c r="T1469" s="99">
        <v>76.0</v>
      </c>
      <c r="U1469" s="99">
        <v>3.0</v>
      </c>
      <c r="V1469" s="99">
        <v>875.0</v>
      </c>
      <c r="W1469" s="99">
        <v>30158.0</v>
      </c>
    </row>
    <row r="1470" ht="15.75" customHeight="1">
      <c r="A1470" s="95" t="s">
        <v>8547</v>
      </c>
      <c r="B1470" s="95" t="s">
        <v>22</v>
      </c>
      <c r="C1470" s="96" t="s">
        <v>8548</v>
      </c>
      <c r="D1470" s="95" t="s">
        <v>39</v>
      </c>
      <c r="E1470" s="95" t="s">
        <v>39</v>
      </c>
      <c r="F1470" s="95" t="s">
        <v>19</v>
      </c>
      <c r="G1470" s="95" t="s">
        <v>19</v>
      </c>
      <c r="H1470" s="95" t="s">
        <v>21</v>
      </c>
      <c r="I1470" s="95" t="s">
        <v>589</v>
      </c>
      <c r="J1470" s="97">
        <v>46021.51865407408</v>
      </c>
      <c r="K1470" s="95" t="s">
        <v>8549</v>
      </c>
      <c r="L1470" s="96" t="s">
        <v>8550</v>
      </c>
      <c r="M1470" s="95" t="s">
        <v>67</v>
      </c>
      <c r="N1470" s="95" t="s">
        <v>8551</v>
      </c>
      <c r="O1470" s="95" t="s">
        <v>8551</v>
      </c>
      <c r="P1470" s="95" t="s">
        <v>8552</v>
      </c>
      <c r="Q1470" s="98">
        <v>3.0</v>
      </c>
      <c r="R1470" s="97">
        <v>45644.77538194445</v>
      </c>
      <c r="S1470" s="99">
        <v>99.0</v>
      </c>
      <c r="T1470" s="99">
        <v>91.0</v>
      </c>
      <c r="U1470" s="99">
        <v>2.0</v>
      </c>
      <c r="V1470" s="99">
        <v>15.0</v>
      </c>
      <c r="W1470" s="99">
        <v>4959.0</v>
      </c>
    </row>
    <row r="1471" ht="15.75" customHeight="1">
      <c r="A1471" s="95" t="s">
        <v>8553</v>
      </c>
      <c r="B1471" s="95" t="s">
        <v>22</v>
      </c>
      <c r="C1471" s="96" t="s">
        <v>8554</v>
      </c>
      <c r="D1471" s="95" t="s">
        <v>124</v>
      </c>
      <c r="E1471" s="95" t="s">
        <v>124</v>
      </c>
      <c r="F1471" s="95" t="s">
        <v>19</v>
      </c>
      <c r="G1471" s="95" t="s">
        <v>574</v>
      </c>
      <c r="H1471" s="95" t="s">
        <v>21</v>
      </c>
      <c r="I1471" s="95" t="s">
        <v>567</v>
      </c>
      <c r="J1471" s="97">
        <v>46021.50638981481</v>
      </c>
      <c r="K1471" s="95" t="s">
        <v>8555</v>
      </c>
      <c r="L1471" s="96" t="s">
        <v>8556</v>
      </c>
      <c r="M1471" s="95" t="s">
        <v>67</v>
      </c>
      <c r="N1471" s="95" t="s">
        <v>8557</v>
      </c>
      <c r="O1471" s="95" t="s">
        <v>8557</v>
      </c>
      <c r="P1471" s="95" t="s">
        <v>8558</v>
      </c>
      <c r="Q1471" s="98">
        <v>3.0</v>
      </c>
      <c r="R1471" s="97">
        <v>45721.00160879629</v>
      </c>
      <c r="S1471" s="99">
        <v>550.0</v>
      </c>
      <c r="T1471" s="99">
        <v>64.0</v>
      </c>
      <c r="U1471" s="99">
        <v>4.0</v>
      </c>
      <c r="V1471" s="99">
        <v>150.0</v>
      </c>
      <c r="W1471" s="99">
        <v>124250.0</v>
      </c>
    </row>
    <row r="1472" ht="15.75" customHeight="1">
      <c r="A1472" s="95" t="s">
        <v>8559</v>
      </c>
      <c r="B1472" s="95" t="s">
        <v>22</v>
      </c>
      <c r="C1472" s="96" t="s">
        <v>8560</v>
      </c>
      <c r="D1472" s="95" t="s">
        <v>124</v>
      </c>
      <c r="E1472" s="95" t="s">
        <v>794</v>
      </c>
      <c r="F1472" s="95" t="s">
        <v>19</v>
      </c>
      <c r="G1472" s="95" t="s">
        <v>19</v>
      </c>
      <c r="H1472" s="95" t="s">
        <v>21</v>
      </c>
      <c r="I1472" s="95" t="s">
        <v>589</v>
      </c>
      <c r="J1472" s="97">
        <v>46021.50638981481</v>
      </c>
      <c r="K1472" s="95" t="s">
        <v>8561</v>
      </c>
      <c r="L1472" s="96" t="s">
        <v>8562</v>
      </c>
      <c r="M1472" s="95" t="s">
        <v>67</v>
      </c>
      <c r="N1472" s="95" t="s">
        <v>8557</v>
      </c>
      <c r="O1472" s="95" t="s">
        <v>8557</v>
      </c>
      <c r="P1472" s="95" t="s">
        <v>8558</v>
      </c>
      <c r="Q1472" s="98">
        <v>3.0</v>
      </c>
      <c r="R1472" s="97">
        <v>45792.73650462963</v>
      </c>
      <c r="S1472" s="99">
        <v>550.0</v>
      </c>
      <c r="T1472" s="99">
        <v>45.0</v>
      </c>
      <c r="U1472" s="99">
        <v>3.0</v>
      </c>
      <c r="V1472" s="99">
        <v>38.0</v>
      </c>
      <c r="W1472" s="99">
        <v>124250.0</v>
      </c>
    </row>
    <row r="1473" ht="15.75" customHeight="1">
      <c r="A1473" s="95" t="s">
        <v>8563</v>
      </c>
      <c r="B1473" s="95" t="s">
        <v>22</v>
      </c>
      <c r="C1473" s="96" t="s">
        <v>8564</v>
      </c>
      <c r="D1473" s="95" t="s">
        <v>124</v>
      </c>
      <c r="E1473" s="95" t="s">
        <v>794</v>
      </c>
      <c r="F1473" s="95" t="s">
        <v>19</v>
      </c>
      <c r="G1473" s="95" t="s">
        <v>588</v>
      </c>
      <c r="H1473" s="95" t="s">
        <v>21</v>
      </c>
      <c r="I1473" s="95" t="s">
        <v>677</v>
      </c>
      <c r="J1473" s="97">
        <v>46021.50638981481</v>
      </c>
      <c r="K1473" s="95" t="s">
        <v>8565</v>
      </c>
      <c r="L1473" s="96" t="s">
        <v>8566</v>
      </c>
      <c r="M1473" s="95" t="s">
        <v>67</v>
      </c>
      <c r="N1473" s="95" t="s">
        <v>8557</v>
      </c>
      <c r="O1473" s="95" t="s">
        <v>8557</v>
      </c>
      <c r="P1473" s="95" t="s">
        <v>8558</v>
      </c>
      <c r="Q1473" s="98">
        <v>3.0</v>
      </c>
      <c r="R1473" s="97">
        <v>45769.96</v>
      </c>
      <c r="S1473" s="99">
        <v>550.0</v>
      </c>
      <c r="T1473" s="99">
        <v>81.0</v>
      </c>
      <c r="U1473" s="99">
        <v>14.0</v>
      </c>
      <c r="V1473" s="99">
        <v>304.0</v>
      </c>
      <c r="W1473" s="99">
        <v>124250.0</v>
      </c>
    </row>
    <row r="1474" ht="15.75" customHeight="1">
      <c r="A1474" s="95" t="s">
        <v>8567</v>
      </c>
      <c r="B1474" s="95" t="s">
        <v>22</v>
      </c>
      <c r="C1474" s="96" t="s">
        <v>8568</v>
      </c>
      <c r="D1474" s="95" t="s">
        <v>124</v>
      </c>
      <c r="E1474" s="95" t="s">
        <v>794</v>
      </c>
      <c r="F1474" s="95" t="s">
        <v>19</v>
      </c>
      <c r="G1474" s="95" t="s">
        <v>19</v>
      </c>
      <c r="H1474" s="95" t="s">
        <v>21</v>
      </c>
      <c r="I1474" s="95" t="s">
        <v>589</v>
      </c>
      <c r="J1474" s="97">
        <v>46021.50638981481</v>
      </c>
      <c r="K1474" s="95" t="s">
        <v>8569</v>
      </c>
      <c r="L1474" s="96" t="s">
        <v>8570</v>
      </c>
      <c r="M1474" s="95" t="s">
        <v>67</v>
      </c>
      <c r="N1474" s="95" t="s">
        <v>8557</v>
      </c>
      <c r="O1474" s="95" t="s">
        <v>8557</v>
      </c>
      <c r="P1474" s="95" t="s">
        <v>8558</v>
      </c>
      <c r="Q1474" s="98">
        <v>3.0</v>
      </c>
      <c r="R1474" s="97">
        <v>45898.78328703704</v>
      </c>
      <c r="S1474" s="99">
        <v>550.0</v>
      </c>
      <c r="T1474" s="99">
        <v>143.0</v>
      </c>
      <c r="U1474" s="99">
        <v>17.0</v>
      </c>
      <c r="V1474" s="99">
        <v>52.0</v>
      </c>
      <c r="W1474" s="99">
        <v>124250.0</v>
      </c>
    </row>
    <row r="1475" ht="15.75" customHeight="1">
      <c r="A1475" s="95" t="s">
        <v>8571</v>
      </c>
      <c r="B1475" s="95" t="s">
        <v>22</v>
      </c>
      <c r="C1475" s="96" t="s">
        <v>8572</v>
      </c>
      <c r="D1475" s="95" t="s">
        <v>124</v>
      </c>
      <c r="E1475" s="95" t="s">
        <v>794</v>
      </c>
      <c r="F1475" s="95" t="s">
        <v>19</v>
      </c>
      <c r="G1475" s="95" t="s">
        <v>588</v>
      </c>
      <c r="H1475" s="95" t="s">
        <v>21</v>
      </c>
      <c r="I1475" s="95" t="s">
        <v>589</v>
      </c>
      <c r="J1475" s="97">
        <v>46021.50399828704</v>
      </c>
      <c r="K1475" s="95" t="s">
        <v>8573</v>
      </c>
      <c r="L1475" s="96" t="s">
        <v>8574</v>
      </c>
      <c r="M1475" s="95" t="s">
        <v>67</v>
      </c>
      <c r="N1475" s="95" t="s">
        <v>8557</v>
      </c>
      <c r="O1475" s="95" t="s">
        <v>8557</v>
      </c>
      <c r="P1475" s="95" t="s">
        <v>8558</v>
      </c>
      <c r="Q1475" s="98">
        <v>3.0</v>
      </c>
      <c r="R1475" s="97">
        <v>45958.85461805556</v>
      </c>
      <c r="S1475" s="99">
        <v>550.0</v>
      </c>
      <c r="T1475" s="99">
        <v>29.0</v>
      </c>
      <c r="U1475" s="99">
        <v>3.0</v>
      </c>
      <c r="V1475" s="99">
        <v>22.0</v>
      </c>
      <c r="W1475" s="99">
        <v>124250.0</v>
      </c>
    </row>
    <row r="1476" ht="15.75" customHeight="1">
      <c r="A1476" s="95" t="s">
        <v>8575</v>
      </c>
      <c r="B1476" s="95" t="s">
        <v>131</v>
      </c>
      <c r="C1476" s="96" t="s">
        <v>8576</v>
      </c>
      <c r="D1476" s="95" t="s">
        <v>20</v>
      </c>
      <c r="E1476" s="95" t="s">
        <v>2261</v>
      </c>
      <c r="F1476" s="95" t="s">
        <v>88</v>
      </c>
      <c r="G1476" s="95" t="s">
        <v>88</v>
      </c>
      <c r="H1476" s="95" t="s">
        <v>89</v>
      </c>
      <c r="I1476" s="95" t="s">
        <v>1628</v>
      </c>
      <c r="J1476" s="97">
        <v>45993.7854622338</v>
      </c>
      <c r="K1476" s="96" t="s">
        <v>8577</v>
      </c>
      <c r="L1476" s="96" t="s">
        <v>8578</v>
      </c>
      <c r="M1476" s="95" t="s">
        <v>17</v>
      </c>
      <c r="N1476" s="95" t="s">
        <v>8579</v>
      </c>
      <c r="O1476" s="95" t="s">
        <v>8579</v>
      </c>
      <c r="P1476" s="95" t="s">
        <v>8580</v>
      </c>
      <c r="Q1476" s="98">
        <v>3.0</v>
      </c>
      <c r="R1476" s="97">
        <v>45849.59905092593</v>
      </c>
      <c r="S1476" s="99">
        <v>0.0</v>
      </c>
      <c r="T1476" s="99">
        <v>4.0</v>
      </c>
      <c r="U1476" s="99">
        <v>1.0</v>
      </c>
      <c r="V1476" s="99">
        <v>23.0</v>
      </c>
      <c r="W1476" s="99">
        <v>1578997.0</v>
      </c>
    </row>
    <row r="1477" ht="15.75" customHeight="1">
      <c r="A1477" s="95" t="s">
        <v>8581</v>
      </c>
      <c r="B1477" s="95" t="s">
        <v>22</v>
      </c>
      <c r="C1477" s="96" t="s">
        <v>8582</v>
      </c>
      <c r="D1477" s="95" t="s">
        <v>547</v>
      </c>
      <c r="E1477" s="95" t="s">
        <v>710</v>
      </c>
      <c r="F1477" s="95" t="s">
        <v>19</v>
      </c>
      <c r="G1477" s="95" t="s">
        <v>19</v>
      </c>
      <c r="H1477" s="95" t="s">
        <v>21</v>
      </c>
      <c r="I1477" s="95" t="s">
        <v>677</v>
      </c>
      <c r="J1477" s="97">
        <v>45975.6793321412</v>
      </c>
      <c r="K1477" s="96" t="s">
        <v>8583</v>
      </c>
      <c r="L1477" s="96" t="s">
        <v>8584</v>
      </c>
      <c r="M1477" s="95" t="s">
        <v>503</v>
      </c>
      <c r="N1477" s="95" t="s">
        <v>8585</v>
      </c>
      <c r="O1477" s="95" t="s">
        <v>8585</v>
      </c>
      <c r="P1477" s="95" t="s">
        <v>8586</v>
      </c>
      <c r="Q1477" s="98">
        <v>3.0</v>
      </c>
      <c r="R1477" s="97">
        <v>45725.93646990741</v>
      </c>
      <c r="S1477" s="99">
        <v>91.0</v>
      </c>
      <c r="T1477" s="99">
        <v>361.0</v>
      </c>
      <c r="U1477" s="99">
        <v>5.0</v>
      </c>
      <c r="V1477" s="99">
        <v>78.0</v>
      </c>
      <c r="W1477" s="99">
        <v>12026.0</v>
      </c>
    </row>
    <row r="1478" ht="15.75" customHeight="1">
      <c r="A1478" s="95" t="s">
        <v>8587</v>
      </c>
      <c r="B1478" s="95" t="s">
        <v>22</v>
      </c>
      <c r="C1478" s="96" t="s">
        <v>8588</v>
      </c>
      <c r="D1478" s="95" t="s">
        <v>39</v>
      </c>
      <c r="E1478" s="95" t="s">
        <v>614</v>
      </c>
      <c r="F1478" s="95" t="s">
        <v>19</v>
      </c>
      <c r="G1478" s="95" t="s">
        <v>19</v>
      </c>
      <c r="H1478" s="95" t="s">
        <v>21</v>
      </c>
      <c r="I1478" s="95" t="s">
        <v>567</v>
      </c>
      <c r="J1478" s="97">
        <v>45975.67937972222</v>
      </c>
      <c r="K1478" s="96" t="s">
        <v>8589</v>
      </c>
      <c r="L1478" s="96" t="s">
        <v>8590</v>
      </c>
      <c r="M1478" s="95" t="s">
        <v>38</v>
      </c>
      <c r="N1478" s="95" t="s">
        <v>8591</v>
      </c>
      <c r="O1478" s="95" t="s">
        <v>8591</v>
      </c>
      <c r="P1478" s="95" t="s">
        <v>8592</v>
      </c>
      <c r="Q1478" s="98">
        <v>3.0</v>
      </c>
      <c r="R1478" s="97">
        <v>45746.58217592593</v>
      </c>
      <c r="S1478" s="99">
        <v>20769.0</v>
      </c>
      <c r="T1478" s="99">
        <v>216.0</v>
      </c>
      <c r="U1478" s="99">
        <v>1.0</v>
      </c>
      <c r="V1478" s="99">
        <v>108.0</v>
      </c>
      <c r="W1478" s="99">
        <v>25167.0</v>
      </c>
    </row>
    <row r="1479" ht="15.75" customHeight="1">
      <c r="A1479" s="95" t="s">
        <v>8593</v>
      </c>
      <c r="B1479" s="95" t="s">
        <v>22</v>
      </c>
      <c r="C1479" s="96" t="s">
        <v>8594</v>
      </c>
      <c r="D1479" s="95" t="s">
        <v>39</v>
      </c>
      <c r="E1479" s="95" t="s">
        <v>39</v>
      </c>
      <c r="F1479" s="95" t="s">
        <v>19</v>
      </c>
      <c r="G1479" s="95" t="s">
        <v>19</v>
      </c>
      <c r="H1479" s="95" t="s">
        <v>21</v>
      </c>
      <c r="I1479" s="95" t="s">
        <v>567</v>
      </c>
      <c r="J1479" s="97">
        <v>45975.67937972222</v>
      </c>
      <c r="K1479" s="96" t="s">
        <v>8595</v>
      </c>
      <c r="L1479" s="96" t="s">
        <v>8596</v>
      </c>
      <c r="M1479" s="95" t="s">
        <v>38</v>
      </c>
      <c r="N1479" s="95" t="s">
        <v>8597</v>
      </c>
      <c r="O1479" s="95" t="s">
        <v>8597</v>
      </c>
      <c r="P1479" s="95" t="s">
        <v>8598</v>
      </c>
      <c r="Q1479" s="98">
        <v>3.0</v>
      </c>
      <c r="R1479" s="97">
        <v>45661.71179398148</v>
      </c>
      <c r="S1479" s="99">
        <v>15768.0</v>
      </c>
      <c r="T1479" s="99">
        <v>444.0</v>
      </c>
      <c r="U1479" s="99">
        <v>12.0</v>
      </c>
      <c r="V1479" s="99">
        <v>564.0</v>
      </c>
      <c r="W1479" s="99">
        <v>522537.0</v>
      </c>
    </row>
    <row r="1480" ht="15.75" customHeight="1">
      <c r="A1480" s="95" t="s">
        <v>8599</v>
      </c>
      <c r="B1480" s="95" t="s">
        <v>157</v>
      </c>
      <c r="C1480" s="96" t="s">
        <v>8600</v>
      </c>
      <c r="D1480" s="95" t="s">
        <v>39</v>
      </c>
      <c r="E1480" s="95" t="s">
        <v>39</v>
      </c>
      <c r="F1480" s="95" t="s">
        <v>88</v>
      </c>
      <c r="G1480" s="95" t="s">
        <v>88</v>
      </c>
      <c r="H1480" s="95" t="s">
        <v>89</v>
      </c>
      <c r="I1480" s="95" t="s">
        <v>859</v>
      </c>
      <c r="J1480" s="97">
        <v>45996.65484809028</v>
      </c>
      <c r="K1480" s="95" t="s">
        <v>8601</v>
      </c>
      <c r="L1480" s="96" t="s">
        <v>8602</v>
      </c>
      <c r="M1480" s="95" t="s">
        <v>38</v>
      </c>
      <c r="N1480" s="95" t="s">
        <v>8603</v>
      </c>
      <c r="O1480" s="95" t="s">
        <v>8603</v>
      </c>
      <c r="P1480" s="95" t="s">
        <v>8604</v>
      </c>
      <c r="Q1480" s="98">
        <v>3.0</v>
      </c>
      <c r="R1480" s="97">
        <v>45628.16288194444</v>
      </c>
      <c r="S1480" s="99">
        <v>5029.0</v>
      </c>
      <c r="T1480" s="99">
        <v>726.0</v>
      </c>
      <c r="U1480" s="99">
        <v>6.0</v>
      </c>
      <c r="V1480" s="99">
        <v>53.0</v>
      </c>
      <c r="W1480" s="99">
        <v>221049.0</v>
      </c>
    </row>
    <row r="1481" ht="15.75" customHeight="1">
      <c r="A1481" s="95" t="s">
        <v>8605</v>
      </c>
      <c r="B1481" s="95" t="s">
        <v>157</v>
      </c>
      <c r="C1481" s="96" t="s">
        <v>8606</v>
      </c>
      <c r="D1481" s="95" t="s">
        <v>20</v>
      </c>
      <c r="E1481" s="95" t="s">
        <v>20</v>
      </c>
      <c r="F1481" s="95" t="s">
        <v>88</v>
      </c>
      <c r="G1481" s="95" t="s">
        <v>88</v>
      </c>
      <c r="H1481" s="95" t="s">
        <v>89</v>
      </c>
      <c r="I1481" s="95" t="s">
        <v>859</v>
      </c>
      <c r="J1481" s="97">
        <v>45977.67608336805</v>
      </c>
      <c r="K1481" s="95" t="s">
        <v>8607</v>
      </c>
      <c r="L1481" s="96" t="s">
        <v>8608</v>
      </c>
      <c r="M1481" s="95" t="s">
        <v>17</v>
      </c>
      <c r="N1481" s="95" t="s">
        <v>8609</v>
      </c>
      <c r="O1481" s="95" t="s">
        <v>8609</v>
      </c>
      <c r="P1481" s="95" t="s">
        <v>8610</v>
      </c>
      <c r="Q1481" s="98">
        <v>3.0</v>
      </c>
      <c r="R1481" s="97">
        <v>45720.3887962963</v>
      </c>
      <c r="S1481" s="99">
        <v>370.0</v>
      </c>
      <c r="T1481" s="99">
        <v>9.0</v>
      </c>
      <c r="U1481" s="99">
        <v>5.0</v>
      </c>
      <c r="V1481" s="99">
        <v>352.0</v>
      </c>
      <c r="W1481" s="99">
        <v>187008.0</v>
      </c>
    </row>
    <row r="1482" ht="15.75" customHeight="1">
      <c r="A1482" s="95" t="s">
        <v>8611</v>
      </c>
      <c r="B1482" s="95" t="s">
        <v>69</v>
      </c>
      <c r="C1482" s="96" t="s">
        <v>8612</v>
      </c>
      <c r="D1482" s="95" t="s">
        <v>124</v>
      </c>
      <c r="E1482" s="95" t="s">
        <v>4929</v>
      </c>
      <c r="F1482" s="95" t="s">
        <v>19</v>
      </c>
      <c r="G1482" s="95" t="s">
        <v>19</v>
      </c>
      <c r="H1482" s="95" t="s">
        <v>21</v>
      </c>
      <c r="I1482" s="95" t="s">
        <v>998</v>
      </c>
      <c r="J1482" s="97">
        <v>46069.70394782408</v>
      </c>
      <c r="K1482" s="95" t="s">
        <v>8613</v>
      </c>
      <c r="L1482" s="96" t="s">
        <v>8614</v>
      </c>
      <c r="M1482" s="95" t="s">
        <v>74</v>
      </c>
      <c r="N1482" s="95" t="s">
        <v>8615</v>
      </c>
      <c r="O1482" s="95" t="s">
        <v>8615</v>
      </c>
      <c r="P1482" s="95" t="s">
        <v>8616</v>
      </c>
      <c r="Q1482" s="98">
        <v>3.0</v>
      </c>
      <c r="R1482" s="97">
        <v>45902.07925925926</v>
      </c>
      <c r="S1482" s="99">
        <v>59.0</v>
      </c>
      <c r="T1482" s="99">
        <v>132.0</v>
      </c>
      <c r="U1482" s="99">
        <v>29.0</v>
      </c>
      <c r="V1482" s="99">
        <v>633.0</v>
      </c>
      <c r="W1482" s="99">
        <v>8231.0</v>
      </c>
    </row>
    <row r="1483" ht="15.75" customHeight="1">
      <c r="A1483" s="95" t="s">
        <v>8617</v>
      </c>
      <c r="B1483" s="95" t="s">
        <v>22</v>
      </c>
      <c r="C1483" s="96" t="s">
        <v>8618</v>
      </c>
      <c r="D1483" s="95" t="s">
        <v>124</v>
      </c>
      <c r="E1483" s="95" t="s">
        <v>1731</v>
      </c>
      <c r="F1483" s="95" t="s">
        <v>19</v>
      </c>
      <c r="G1483" s="95" t="s">
        <v>19</v>
      </c>
      <c r="H1483" s="95" t="s">
        <v>21</v>
      </c>
      <c r="I1483" s="95" t="s">
        <v>567</v>
      </c>
      <c r="J1483" s="97">
        <v>46069.70394782408</v>
      </c>
      <c r="K1483" s="95" t="s">
        <v>8619</v>
      </c>
      <c r="L1483" s="96" t="s">
        <v>8620</v>
      </c>
      <c r="M1483" s="95" t="s">
        <v>74</v>
      </c>
      <c r="N1483" s="95" t="s">
        <v>8615</v>
      </c>
      <c r="O1483" s="95" t="s">
        <v>8615</v>
      </c>
      <c r="P1483" s="95" t="s">
        <v>8616</v>
      </c>
      <c r="Q1483" s="98">
        <v>3.0</v>
      </c>
      <c r="R1483" s="97">
        <v>45888.10068287037</v>
      </c>
      <c r="S1483" s="99">
        <v>59.0</v>
      </c>
      <c r="T1483" s="99">
        <v>38.0</v>
      </c>
      <c r="U1483" s="99">
        <v>98.0</v>
      </c>
      <c r="V1483" s="99">
        <v>1048.0</v>
      </c>
      <c r="W1483" s="99">
        <v>8231.0</v>
      </c>
    </row>
    <row r="1484" ht="15.75" customHeight="1">
      <c r="A1484" s="95" t="s">
        <v>8621</v>
      </c>
      <c r="B1484" s="95" t="s">
        <v>22</v>
      </c>
      <c r="C1484" s="96" t="s">
        <v>8622</v>
      </c>
      <c r="D1484" s="95" t="s">
        <v>124</v>
      </c>
      <c r="E1484" s="95" t="s">
        <v>1966</v>
      </c>
      <c r="F1484" s="95" t="s">
        <v>19</v>
      </c>
      <c r="G1484" s="95" t="s">
        <v>19</v>
      </c>
      <c r="H1484" s="95" t="s">
        <v>21</v>
      </c>
      <c r="I1484" s="95" t="s">
        <v>567</v>
      </c>
      <c r="J1484" s="97">
        <v>46070.31827957176</v>
      </c>
      <c r="K1484" s="95" t="s">
        <v>8623</v>
      </c>
      <c r="L1484" s="96" t="s">
        <v>8624</v>
      </c>
      <c r="M1484" s="95" t="s">
        <v>74</v>
      </c>
      <c r="N1484" s="95" t="s">
        <v>8615</v>
      </c>
      <c r="O1484" s="95" t="s">
        <v>8615</v>
      </c>
      <c r="P1484" s="95" t="s">
        <v>8616</v>
      </c>
      <c r="Q1484" s="98">
        <v>3.0</v>
      </c>
      <c r="R1484" s="97">
        <v>45902.11129629629</v>
      </c>
      <c r="S1484" s="99">
        <v>59.0</v>
      </c>
      <c r="T1484" s="99">
        <v>183.0</v>
      </c>
      <c r="U1484" s="99">
        <v>35.0</v>
      </c>
      <c r="V1484" s="99">
        <v>582.0</v>
      </c>
      <c r="W1484" s="99">
        <v>8231.0</v>
      </c>
    </row>
    <row r="1485" ht="15.75" customHeight="1">
      <c r="A1485" s="95" t="s">
        <v>8625</v>
      </c>
      <c r="B1485" s="95" t="s">
        <v>101</v>
      </c>
      <c r="C1485" s="96" t="s">
        <v>8626</v>
      </c>
      <c r="D1485" s="95" t="s">
        <v>29</v>
      </c>
      <c r="E1485" s="95" t="s">
        <v>29</v>
      </c>
      <c r="F1485" s="95" t="s">
        <v>19</v>
      </c>
      <c r="G1485" s="95" t="s">
        <v>19</v>
      </c>
      <c r="H1485" s="95" t="s">
        <v>21</v>
      </c>
      <c r="I1485" s="95" t="s">
        <v>745</v>
      </c>
      <c r="J1485" s="97">
        <v>46069.66215004629</v>
      </c>
      <c r="K1485" s="95" t="s">
        <v>8627</v>
      </c>
      <c r="L1485" s="96" t="s">
        <v>8628</v>
      </c>
      <c r="M1485" s="95" t="s">
        <v>74</v>
      </c>
      <c r="N1485" s="95" t="s">
        <v>8629</v>
      </c>
      <c r="O1485" s="95" t="s">
        <v>8629</v>
      </c>
      <c r="P1485" s="95" t="s">
        <v>8630</v>
      </c>
      <c r="Q1485" s="98">
        <v>3.0</v>
      </c>
      <c r="R1485" s="97">
        <v>45636.5827662037</v>
      </c>
      <c r="S1485" s="99">
        <v>297.0</v>
      </c>
      <c r="T1485" s="99">
        <v>95.0</v>
      </c>
      <c r="U1485" s="99">
        <v>1.0</v>
      </c>
      <c r="V1485" s="99">
        <v>197.0</v>
      </c>
      <c r="W1485" s="99">
        <v>282441.0</v>
      </c>
    </row>
    <row r="1486" ht="15.75" customHeight="1">
      <c r="A1486" s="95" t="s">
        <v>8631</v>
      </c>
      <c r="B1486" s="95" t="s">
        <v>69</v>
      </c>
      <c r="C1486" s="96" t="s">
        <v>8632</v>
      </c>
      <c r="D1486" s="95" t="s">
        <v>29</v>
      </c>
      <c r="E1486" s="95" t="s">
        <v>29</v>
      </c>
      <c r="F1486" s="95" t="s">
        <v>58</v>
      </c>
      <c r="G1486" s="95" t="s">
        <v>5617</v>
      </c>
      <c r="H1486" s="95" t="s">
        <v>77</v>
      </c>
      <c r="I1486" s="95" t="s">
        <v>8633</v>
      </c>
      <c r="J1486" s="97">
        <v>46069.66153204861</v>
      </c>
      <c r="K1486" s="95" t="s">
        <v>8634</v>
      </c>
      <c r="L1486" s="95"/>
      <c r="M1486" s="95" t="s">
        <v>503</v>
      </c>
      <c r="N1486" s="95" t="s">
        <v>8635</v>
      </c>
      <c r="O1486" s="95" t="s">
        <v>8635</v>
      </c>
      <c r="P1486" s="95" t="s">
        <v>8636</v>
      </c>
      <c r="Q1486" s="98">
        <v>3.0</v>
      </c>
      <c r="R1486" s="97">
        <v>45951.82003472222</v>
      </c>
      <c r="S1486" s="99">
        <v>35199.0</v>
      </c>
      <c r="T1486" s="99">
        <v>84.0</v>
      </c>
      <c r="U1486" s="99">
        <v>12.0</v>
      </c>
      <c r="V1486" s="99">
        <v>39.0</v>
      </c>
      <c r="W1486" s="99">
        <v>27761.0</v>
      </c>
    </row>
    <row r="1487" ht="15.75" customHeight="1">
      <c r="A1487" s="95" t="s">
        <v>8637</v>
      </c>
      <c r="B1487" s="95" t="s">
        <v>22</v>
      </c>
      <c r="C1487" s="96" t="s">
        <v>8638</v>
      </c>
      <c r="D1487" s="95" t="s">
        <v>59</v>
      </c>
      <c r="E1487" s="95" t="s">
        <v>738</v>
      </c>
      <c r="F1487" s="95" t="s">
        <v>19</v>
      </c>
      <c r="G1487" s="95" t="s">
        <v>19</v>
      </c>
      <c r="H1487" s="95" t="s">
        <v>21</v>
      </c>
      <c r="I1487" s="95" t="s">
        <v>589</v>
      </c>
      <c r="J1487" s="97">
        <v>46021.50638981481</v>
      </c>
      <c r="K1487" s="95" t="s">
        <v>8639</v>
      </c>
      <c r="L1487" s="96" t="s">
        <v>8640</v>
      </c>
      <c r="M1487" s="95" t="s">
        <v>38</v>
      </c>
      <c r="N1487" s="95" t="s">
        <v>8641</v>
      </c>
      <c r="O1487" s="95" t="s">
        <v>8641</v>
      </c>
      <c r="P1487" s="95" t="s">
        <v>8642</v>
      </c>
      <c r="Q1487" s="98">
        <v>3.0</v>
      </c>
      <c r="R1487" s="97">
        <v>45961.92546296296</v>
      </c>
      <c r="S1487" s="99">
        <v>1.0</v>
      </c>
      <c r="T1487" s="99">
        <v>33.0</v>
      </c>
      <c r="U1487" s="99">
        <v>9.0</v>
      </c>
      <c r="V1487" s="99">
        <v>106.0</v>
      </c>
      <c r="W1487" s="99">
        <v>3832.0</v>
      </c>
    </row>
    <row r="1488" ht="15.75" customHeight="1">
      <c r="A1488" s="95" t="s">
        <v>8643</v>
      </c>
      <c r="B1488" s="95" t="s">
        <v>22</v>
      </c>
      <c r="C1488" s="96" t="s">
        <v>8644</v>
      </c>
      <c r="D1488" s="95" t="s">
        <v>59</v>
      </c>
      <c r="E1488" s="95" t="s">
        <v>1347</v>
      </c>
      <c r="F1488" s="95" t="s">
        <v>19</v>
      </c>
      <c r="G1488" s="95" t="s">
        <v>19</v>
      </c>
      <c r="H1488" s="95" t="s">
        <v>21</v>
      </c>
      <c r="I1488" s="95" t="s">
        <v>677</v>
      </c>
      <c r="J1488" s="97">
        <v>46021.50638981481</v>
      </c>
      <c r="K1488" s="95" t="s">
        <v>8645</v>
      </c>
      <c r="L1488" s="96" t="s">
        <v>8646</v>
      </c>
      <c r="M1488" s="95" t="s">
        <v>38</v>
      </c>
      <c r="N1488" s="95" t="s">
        <v>8641</v>
      </c>
      <c r="O1488" s="95" t="s">
        <v>8641</v>
      </c>
      <c r="P1488" s="95" t="s">
        <v>8642</v>
      </c>
      <c r="Q1488" s="98">
        <v>3.0</v>
      </c>
      <c r="R1488" s="97">
        <v>45961.80965277777</v>
      </c>
      <c r="S1488" s="99">
        <v>1.0</v>
      </c>
      <c r="T1488" s="99">
        <v>27.0</v>
      </c>
      <c r="U1488" s="99">
        <v>6.0</v>
      </c>
      <c r="V1488" s="99">
        <v>115.0</v>
      </c>
      <c r="W1488" s="99">
        <v>3832.0</v>
      </c>
    </row>
    <row r="1489" ht="15.75" customHeight="1">
      <c r="A1489" s="95" t="s">
        <v>8647</v>
      </c>
      <c r="B1489" s="95" t="s">
        <v>22</v>
      </c>
      <c r="C1489" s="96" t="s">
        <v>8648</v>
      </c>
      <c r="D1489" s="95" t="s">
        <v>59</v>
      </c>
      <c r="E1489" s="95" t="s">
        <v>738</v>
      </c>
      <c r="F1489" s="95" t="s">
        <v>19</v>
      </c>
      <c r="G1489" s="95" t="s">
        <v>19</v>
      </c>
      <c r="H1489" s="95" t="s">
        <v>21</v>
      </c>
      <c r="I1489" s="95" t="s">
        <v>943</v>
      </c>
      <c r="J1489" s="97">
        <v>46021.51020638889</v>
      </c>
      <c r="K1489" s="95" t="s">
        <v>8649</v>
      </c>
      <c r="L1489" s="96" t="s">
        <v>8650</v>
      </c>
      <c r="M1489" s="95" t="s">
        <v>38</v>
      </c>
      <c r="N1489" s="95" t="s">
        <v>8641</v>
      </c>
      <c r="O1489" s="95" t="s">
        <v>8641</v>
      </c>
      <c r="P1489" s="95" t="s">
        <v>8642</v>
      </c>
      <c r="Q1489" s="98">
        <v>3.0</v>
      </c>
      <c r="R1489" s="97">
        <v>45964.81726851852</v>
      </c>
      <c r="S1489" s="99">
        <v>1.0</v>
      </c>
      <c r="T1489" s="99">
        <v>48.0</v>
      </c>
      <c r="U1489" s="99">
        <v>15.0</v>
      </c>
      <c r="V1489" s="99">
        <v>84.0</v>
      </c>
      <c r="W1489" s="99">
        <v>3832.0</v>
      </c>
    </row>
    <row r="1490" ht="15.75" customHeight="1">
      <c r="A1490" s="95" t="s">
        <v>8651</v>
      </c>
      <c r="B1490" s="95" t="s">
        <v>69</v>
      </c>
      <c r="C1490" s="96" t="s">
        <v>8652</v>
      </c>
      <c r="D1490" s="95" t="s">
        <v>547</v>
      </c>
      <c r="E1490" s="95" t="s">
        <v>547</v>
      </c>
      <c r="F1490" s="95" t="s">
        <v>88</v>
      </c>
      <c r="G1490" s="95" t="s">
        <v>88</v>
      </c>
      <c r="H1490" s="95" t="s">
        <v>89</v>
      </c>
      <c r="I1490" s="95" t="s">
        <v>1477</v>
      </c>
      <c r="J1490" s="97">
        <v>45975.67936400463</v>
      </c>
      <c r="K1490" s="96" t="s">
        <v>8653</v>
      </c>
      <c r="L1490" s="96" t="s">
        <v>8654</v>
      </c>
      <c r="M1490" s="95" t="s">
        <v>17</v>
      </c>
      <c r="N1490" s="95" t="s">
        <v>8655</v>
      </c>
      <c r="O1490" s="95" t="s">
        <v>8655</v>
      </c>
      <c r="P1490" s="95" t="s">
        <v>8656</v>
      </c>
      <c r="Q1490" s="98">
        <v>3.0</v>
      </c>
      <c r="R1490" s="97">
        <v>45888.43204861111</v>
      </c>
      <c r="S1490" s="99">
        <v>52.0</v>
      </c>
      <c r="T1490" s="99">
        <v>13.0</v>
      </c>
      <c r="U1490" s="99">
        <v>4.0</v>
      </c>
      <c r="V1490" s="99">
        <v>200.0</v>
      </c>
      <c r="W1490" s="99">
        <v>2025.0</v>
      </c>
    </row>
    <row r="1491" ht="15.75" customHeight="1">
      <c r="A1491" s="95" t="s">
        <v>8657</v>
      </c>
      <c r="B1491" s="95" t="s">
        <v>22</v>
      </c>
      <c r="C1491" s="96" t="s">
        <v>8658</v>
      </c>
      <c r="D1491" s="95" t="s">
        <v>29</v>
      </c>
      <c r="E1491" s="95" t="s">
        <v>598</v>
      </c>
      <c r="F1491" s="95" t="s">
        <v>19</v>
      </c>
      <c r="G1491" s="95" t="s">
        <v>19</v>
      </c>
      <c r="H1491" s="95" t="s">
        <v>21</v>
      </c>
      <c r="I1491" s="95" t="s">
        <v>677</v>
      </c>
      <c r="J1491" s="97">
        <v>46021.49338171296</v>
      </c>
      <c r="K1491" s="95" t="s">
        <v>8659</v>
      </c>
      <c r="L1491" s="96" t="s">
        <v>8660</v>
      </c>
      <c r="M1491" s="95" t="s">
        <v>28</v>
      </c>
      <c r="N1491" s="95" t="s">
        <v>8661</v>
      </c>
      <c r="O1491" s="95" t="s">
        <v>8661</v>
      </c>
      <c r="P1491" s="95" t="s">
        <v>8662</v>
      </c>
      <c r="Q1491" s="98">
        <v>3.0</v>
      </c>
      <c r="R1491" s="97">
        <v>45907.68840277778</v>
      </c>
      <c r="S1491" s="99">
        <v>92.0</v>
      </c>
      <c r="T1491" s="99">
        <v>19.0</v>
      </c>
      <c r="U1491" s="99">
        <v>3.0</v>
      </c>
      <c r="V1491" s="99">
        <v>106.0</v>
      </c>
      <c r="W1491" s="99">
        <v>12450.0</v>
      </c>
    </row>
    <row r="1492" ht="15.75" customHeight="1">
      <c r="A1492" s="95" t="s">
        <v>8663</v>
      </c>
      <c r="B1492" s="95" t="s">
        <v>22</v>
      </c>
      <c r="C1492" s="96" t="s">
        <v>8664</v>
      </c>
      <c r="D1492" s="95" t="s">
        <v>39</v>
      </c>
      <c r="E1492" s="95" t="s">
        <v>39</v>
      </c>
      <c r="F1492" s="95" t="s">
        <v>19</v>
      </c>
      <c r="G1492" s="95" t="s">
        <v>19</v>
      </c>
      <c r="H1492" s="95" t="s">
        <v>21</v>
      </c>
      <c r="I1492" s="95" t="s">
        <v>567</v>
      </c>
      <c r="J1492" s="97">
        <v>46021.49791459491</v>
      </c>
      <c r="K1492" s="95" t="s">
        <v>8665</v>
      </c>
      <c r="L1492" s="96" t="s">
        <v>8666</v>
      </c>
      <c r="M1492" s="95" t="s">
        <v>28</v>
      </c>
      <c r="N1492" s="95" t="s">
        <v>8661</v>
      </c>
      <c r="O1492" s="95" t="s">
        <v>8661</v>
      </c>
      <c r="P1492" s="95" t="s">
        <v>8662</v>
      </c>
      <c r="Q1492" s="98">
        <v>3.0</v>
      </c>
      <c r="R1492" s="97">
        <v>45912.55136574074</v>
      </c>
      <c r="S1492" s="99">
        <v>92.0</v>
      </c>
      <c r="T1492" s="99">
        <v>22.0</v>
      </c>
      <c r="U1492" s="99">
        <v>8.0</v>
      </c>
      <c r="V1492" s="99">
        <v>727.0</v>
      </c>
      <c r="W1492" s="99">
        <v>12450.0</v>
      </c>
    </row>
    <row r="1493" ht="15.75" customHeight="1">
      <c r="A1493" s="95" t="s">
        <v>8667</v>
      </c>
      <c r="B1493" s="95" t="s">
        <v>22</v>
      </c>
      <c r="C1493" s="96" t="s">
        <v>8668</v>
      </c>
      <c r="D1493" s="95" t="s">
        <v>124</v>
      </c>
      <c r="E1493" s="95" t="s">
        <v>6042</v>
      </c>
      <c r="F1493" s="95" t="s">
        <v>19</v>
      </c>
      <c r="G1493" s="95" t="s">
        <v>588</v>
      </c>
      <c r="H1493" s="95" t="s">
        <v>21</v>
      </c>
      <c r="I1493" s="95" t="s">
        <v>1026</v>
      </c>
      <c r="J1493" s="97">
        <v>46069.66215004629</v>
      </c>
      <c r="K1493" s="96" t="s">
        <v>8669</v>
      </c>
      <c r="L1493" s="96" t="s">
        <v>8670</v>
      </c>
      <c r="M1493" s="95" t="s">
        <v>74</v>
      </c>
      <c r="N1493" s="95" t="s">
        <v>8671</v>
      </c>
      <c r="O1493" s="95" t="s">
        <v>8671</v>
      </c>
      <c r="P1493" s="95" t="s">
        <v>8672</v>
      </c>
      <c r="Q1493" s="98">
        <v>3.0</v>
      </c>
      <c r="R1493" s="97">
        <v>45895.28773148148</v>
      </c>
      <c r="S1493" s="99">
        <v>1809.0</v>
      </c>
      <c r="T1493" s="99">
        <v>58.0</v>
      </c>
      <c r="U1493" s="99">
        <v>4.0</v>
      </c>
      <c r="V1493" s="99">
        <v>403.0</v>
      </c>
      <c r="W1493" s="99">
        <v>141298.0</v>
      </c>
    </row>
    <row r="1494" ht="15.75" customHeight="1">
      <c r="A1494" s="95" t="s">
        <v>8673</v>
      </c>
      <c r="B1494" s="95" t="s">
        <v>101</v>
      </c>
      <c r="C1494" s="96" t="s">
        <v>8674</v>
      </c>
      <c r="D1494" s="95" t="s">
        <v>547</v>
      </c>
      <c r="E1494" s="95" t="s">
        <v>5233</v>
      </c>
      <c r="F1494" s="95" t="s">
        <v>19</v>
      </c>
      <c r="G1494" s="95" t="s">
        <v>574</v>
      </c>
      <c r="H1494" s="95" t="s">
        <v>21</v>
      </c>
      <c r="I1494" s="95" t="s">
        <v>8675</v>
      </c>
      <c r="J1494" s="97">
        <v>46021.49791459491</v>
      </c>
      <c r="K1494" s="95" t="s">
        <v>8676</v>
      </c>
      <c r="L1494" s="96" t="s">
        <v>8677</v>
      </c>
      <c r="M1494" s="95" t="s">
        <v>105</v>
      </c>
      <c r="N1494" s="95" t="s">
        <v>8678</v>
      </c>
      <c r="O1494" s="95" t="s">
        <v>8678</v>
      </c>
      <c r="P1494" s="95" t="s">
        <v>8679</v>
      </c>
      <c r="Q1494" s="98">
        <v>3.0</v>
      </c>
      <c r="R1494" s="97">
        <v>45914.57210648148</v>
      </c>
      <c r="S1494" s="99">
        <v>147.0</v>
      </c>
      <c r="T1494" s="99">
        <v>12.0</v>
      </c>
      <c r="U1494" s="99">
        <v>9.0</v>
      </c>
      <c r="V1494" s="99">
        <v>543.0</v>
      </c>
      <c r="W1494" s="99">
        <v>47413.0</v>
      </c>
    </row>
    <row r="1495" ht="15.75" customHeight="1">
      <c r="A1495" s="95" t="s">
        <v>8680</v>
      </c>
      <c r="B1495" s="95" t="s">
        <v>22</v>
      </c>
      <c r="C1495" s="96" t="s">
        <v>8681</v>
      </c>
      <c r="D1495" s="95" t="s">
        <v>124</v>
      </c>
      <c r="E1495" s="95" t="s">
        <v>8682</v>
      </c>
      <c r="F1495" s="95" t="s">
        <v>19</v>
      </c>
      <c r="G1495" s="95" t="s">
        <v>19</v>
      </c>
      <c r="H1495" s="95" t="s">
        <v>21</v>
      </c>
      <c r="I1495" s="95" t="s">
        <v>567</v>
      </c>
      <c r="J1495" s="97">
        <v>46021.50638981481</v>
      </c>
      <c r="K1495" s="95" t="s">
        <v>8683</v>
      </c>
      <c r="L1495" s="96" t="s">
        <v>8684</v>
      </c>
      <c r="M1495" s="95" t="s">
        <v>67</v>
      </c>
      <c r="N1495" s="95" t="s">
        <v>8685</v>
      </c>
      <c r="O1495" s="95" t="s">
        <v>8685</v>
      </c>
      <c r="P1495" s="95" t="s">
        <v>8686</v>
      </c>
      <c r="Q1495" s="98">
        <v>3.0</v>
      </c>
      <c r="R1495" s="97">
        <v>45735.49392361111</v>
      </c>
      <c r="S1495" s="99">
        <v>108.0</v>
      </c>
      <c r="T1495" s="99">
        <v>231.0</v>
      </c>
      <c r="U1495" s="99">
        <v>10.0</v>
      </c>
      <c r="V1495" s="99">
        <v>28.0</v>
      </c>
      <c r="W1495" s="99">
        <v>190452.0</v>
      </c>
    </row>
    <row r="1496" ht="15.75" customHeight="1">
      <c r="A1496" s="95" t="s">
        <v>8687</v>
      </c>
      <c r="B1496" s="95" t="s">
        <v>101</v>
      </c>
      <c r="C1496" s="96" t="s">
        <v>8688</v>
      </c>
      <c r="D1496" s="95" t="s">
        <v>29</v>
      </c>
      <c r="E1496" s="95" t="s">
        <v>910</v>
      </c>
      <c r="F1496" s="95" t="s">
        <v>19</v>
      </c>
      <c r="G1496" s="95" t="s">
        <v>19</v>
      </c>
      <c r="H1496" s="95" t="s">
        <v>21</v>
      </c>
      <c r="I1496" s="95" t="s">
        <v>1504</v>
      </c>
      <c r="J1496" s="97">
        <v>46021.50638981481</v>
      </c>
      <c r="K1496" s="95" t="s">
        <v>8689</v>
      </c>
      <c r="L1496" s="96" t="s">
        <v>8690</v>
      </c>
      <c r="M1496" s="95" t="s">
        <v>74</v>
      </c>
      <c r="N1496" s="95" t="s">
        <v>8691</v>
      </c>
      <c r="O1496" s="95" t="s">
        <v>8691</v>
      </c>
      <c r="P1496" s="95" t="s">
        <v>8692</v>
      </c>
      <c r="Q1496" s="98">
        <v>3.0</v>
      </c>
      <c r="R1496" s="97">
        <v>45667.60304398148</v>
      </c>
      <c r="S1496" s="99">
        <v>55.0</v>
      </c>
      <c r="T1496" s="99">
        <v>4.0</v>
      </c>
      <c r="U1496" s="99">
        <v>1.0</v>
      </c>
      <c r="V1496" s="99">
        <v>542.0</v>
      </c>
      <c r="W1496" s="99">
        <v>32865.0</v>
      </c>
    </row>
    <row r="1497" ht="15.75" customHeight="1">
      <c r="A1497" s="95" t="s">
        <v>8693</v>
      </c>
      <c r="B1497" s="95" t="s">
        <v>22</v>
      </c>
      <c r="C1497" s="96" t="s">
        <v>8694</v>
      </c>
      <c r="D1497" s="95" t="s">
        <v>39</v>
      </c>
      <c r="E1497" s="95" t="s">
        <v>39</v>
      </c>
      <c r="F1497" s="95" t="s">
        <v>19</v>
      </c>
      <c r="G1497" s="95" t="s">
        <v>574</v>
      </c>
      <c r="H1497" s="95" t="s">
        <v>21</v>
      </c>
      <c r="I1497" s="95" t="s">
        <v>567</v>
      </c>
      <c r="J1497" s="97">
        <v>46069.70394782408</v>
      </c>
      <c r="K1497" s="95" t="s">
        <v>8695</v>
      </c>
      <c r="L1497" s="96" t="s">
        <v>8696</v>
      </c>
      <c r="M1497" s="95" t="s">
        <v>74</v>
      </c>
      <c r="N1497" s="95" t="s">
        <v>8697</v>
      </c>
      <c r="O1497" s="95" t="s">
        <v>8697</v>
      </c>
      <c r="P1497" s="95" t="s">
        <v>8698</v>
      </c>
      <c r="Q1497" s="98">
        <v>3.0</v>
      </c>
      <c r="R1497" s="97">
        <v>45681.35996527778</v>
      </c>
      <c r="S1497" s="99">
        <v>117.0</v>
      </c>
      <c r="T1497" s="99">
        <v>121.0</v>
      </c>
      <c r="U1497" s="99">
        <v>4.0</v>
      </c>
      <c r="V1497" s="99">
        <v>186.0</v>
      </c>
      <c r="W1497" s="99">
        <v>1023359.0</v>
      </c>
    </row>
    <row r="1498" ht="15.75" customHeight="1">
      <c r="A1498" s="95" t="s">
        <v>8699</v>
      </c>
      <c r="B1498" s="95" t="s">
        <v>22</v>
      </c>
      <c r="C1498" s="96" t="s">
        <v>8700</v>
      </c>
      <c r="D1498" s="95" t="s">
        <v>39</v>
      </c>
      <c r="E1498" s="95" t="s">
        <v>960</v>
      </c>
      <c r="F1498" s="95" t="s">
        <v>19</v>
      </c>
      <c r="G1498" s="95" t="s">
        <v>19</v>
      </c>
      <c r="H1498" s="95" t="s">
        <v>21</v>
      </c>
      <c r="I1498" s="95" t="s">
        <v>567</v>
      </c>
      <c r="J1498" s="97">
        <v>46070.31845966436</v>
      </c>
      <c r="K1498" s="95" t="s">
        <v>8701</v>
      </c>
      <c r="L1498" s="96" t="s">
        <v>8702</v>
      </c>
      <c r="M1498" s="95" t="s">
        <v>74</v>
      </c>
      <c r="N1498" s="95" t="s">
        <v>8697</v>
      </c>
      <c r="O1498" s="95" t="s">
        <v>8697</v>
      </c>
      <c r="P1498" s="95" t="s">
        <v>8698</v>
      </c>
      <c r="Q1498" s="98">
        <v>3.0</v>
      </c>
      <c r="R1498" s="97">
        <v>45730.43633101852</v>
      </c>
      <c r="S1498" s="99">
        <v>117.0</v>
      </c>
      <c r="T1498" s="99">
        <v>64.0</v>
      </c>
      <c r="U1498" s="99">
        <v>1.0</v>
      </c>
      <c r="V1498" s="99">
        <v>15.0</v>
      </c>
      <c r="W1498" s="99">
        <v>1023359.0</v>
      </c>
    </row>
    <row r="1499" ht="15.75" customHeight="1">
      <c r="A1499" s="95" t="s">
        <v>8703</v>
      </c>
      <c r="B1499" s="95" t="s">
        <v>22</v>
      </c>
      <c r="C1499" s="96" t="s">
        <v>8704</v>
      </c>
      <c r="D1499" s="95" t="s">
        <v>39</v>
      </c>
      <c r="E1499" s="95" t="s">
        <v>39</v>
      </c>
      <c r="F1499" s="95" t="s">
        <v>19</v>
      </c>
      <c r="G1499" s="95" t="s">
        <v>19</v>
      </c>
      <c r="H1499" s="95" t="s">
        <v>21</v>
      </c>
      <c r="I1499" s="95" t="s">
        <v>677</v>
      </c>
      <c r="J1499" s="97">
        <v>46003.09424736111</v>
      </c>
      <c r="K1499" s="95" t="s">
        <v>8705</v>
      </c>
      <c r="L1499" s="96" t="s">
        <v>8706</v>
      </c>
      <c r="M1499" s="95" t="s">
        <v>38</v>
      </c>
      <c r="N1499" s="95" t="s">
        <v>8707</v>
      </c>
      <c r="O1499" s="95" t="s">
        <v>8707</v>
      </c>
      <c r="P1499" s="95" t="s">
        <v>8708</v>
      </c>
      <c r="Q1499" s="98">
        <v>3.0</v>
      </c>
      <c r="R1499" s="97">
        <v>45813.66604166666</v>
      </c>
      <c r="S1499" s="99">
        <v>266.0</v>
      </c>
      <c r="T1499" s="99">
        <v>578.0</v>
      </c>
      <c r="U1499" s="99">
        <v>5.0</v>
      </c>
      <c r="V1499" s="99">
        <v>220.0</v>
      </c>
      <c r="W1499" s="99">
        <v>23422.0</v>
      </c>
    </row>
    <row r="1500" ht="15.75" customHeight="1">
      <c r="A1500" s="95" t="s">
        <v>8709</v>
      </c>
      <c r="B1500" s="95" t="s">
        <v>22</v>
      </c>
      <c r="C1500" s="96" t="s">
        <v>8710</v>
      </c>
      <c r="D1500" s="95" t="s">
        <v>39</v>
      </c>
      <c r="E1500" s="95" t="s">
        <v>960</v>
      </c>
      <c r="F1500" s="95" t="s">
        <v>19</v>
      </c>
      <c r="G1500" s="95" t="s">
        <v>588</v>
      </c>
      <c r="H1500" s="95" t="s">
        <v>21</v>
      </c>
      <c r="I1500" s="95" t="s">
        <v>677</v>
      </c>
      <c r="J1500" s="97">
        <v>45975.67938763889</v>
      </c>
      <c r="K1500" s="96" t="s">
        <v>8711</v>
      </c>
      <c r="L1500" s="95"/>
      <c r="M1500" s="95" t="s">
        <v>74</v>
      </c>
      <c r="N1500" s="95" t="s">
        <v>8712</v>
      </c>
      <c r="O1500" s="95" t="s">
        <v>8712</v>
      </c>
      <c r="P1500" s="95" t="s">
        <v>8713</v>
      </c>
      <c r="Q1500" s="98">
        <v>3.0</v>
      </c>
      <c r="R1500" s="97">
        <v>45821.5972337963</v>
      </c>
      <c r="S1500" s="99">
        <v>100.0</v>
      </c>
      <c r="T1500" s="99">
        <v>479.0</v>
      </c>
      <c r="U1500" s="99">
        <v>38.0</v>
      </c>
      <c r="V1500" s="99">
        <v>373.0</v>
      </c>
      <c r="W1500" s="99">
        <v>1.0</v>
      </c>
    </row>
    <row r="1501" ht="15.75" customHeight="1">
      <c r="A1501" s="95" t="s">
        <v>8714</v>
      </c>
      <c r="B1501" s="95" t="s">
        <v>22</v>
      </c>
      <c r="C1501" s="96" t="s">
        <v>8715</v>
      </c>
      <c r="D1501" s="95" t="s">
        <v>548</v>
      </c>
      <c r="E1501" s="95" t="s">
        <v>548</v>
      </c>
      <c r="F1501" s="95" t="s">
        <v>19</v>
      </c>
      <c r="G1501" s="95" t="s">
        <v>19</v>
      </c>
      <c r="H1501" s="95" t="s">
        <v>21</v>
      </c>
      <c r="I1501" s="95" t="s">
        <v>943</v>
      </c>
      <c r="J1501" s="97">
        <v>45986.53211375</v>
      </c>
      <c r="K1501" s="95" t="s">
        <v>8716</v>
      </c>
      <c r="L1501" s="96" t="s">
        <v>8717</v>
      </c>
      <c r="M1501" s="95" t="s">
        <v>17</v>
      </c>
      <c r="N1501" s="95" t="s">
        <v>8718</v>
      </c>
      <c r="O1501" s="95" t="s">
        <v>8718</v>
      </c>
      <c r="P1501" s="95" t="s">
        <v>8719</v>
      </c>
      <c r="Q1501" s="98">
        <v>3.0</v>
      </c>
      <c r="R1501" s="97">
        <v>45910.73408564815</v>
      </c>
      <c r="S1501" s="99">
        <v>137.0</v>
      </c>
      <c r="T1501" s="99">
        <v>654.0</v>
      </c>
      <c r="U1501" s="99">
        <v>10.0</v>
      </c>
      <c r="V1501" s="99">
        <v>180.0</v>
      </c>
      <c r="W1501" s="99">
        <v>14886.0</v>
      </c>
    </row>
    <row r="1502" ht="15.75" customHeight="1">
      <c r="A1502" s="95" t="s">
        <v>8720</v>
      </c>
      <c r="B1502" s="95" t="s">
        <v>22</v>
      </c>
      <c r="C1502" s="96" t="s">
        <v>8721</v>
      </c>
      <c r="D1502" s="95" t="s">
        <v>59</v>
      </c>
      <c r="E1502" s="95" t="s">
        <v>59</v>
      </c>
      <c r="F1502" s="95" t="s">
        <v>19</v>
      </c>
      <c r="G1502" s="95" t="s">
        <v>19</v>
      </c>
      <c r="H1502" s="95" t="s">
        <v>21</v>
      </c>
      <c r="I1502" s="95" t="s">
        <v>567</v>
      </c>
      <c r="J1502" s="97">
        <v>46011.7338655787</v>
      </c>
      <c r="K1502" s="95" t="s">
        <v>8722</v>
      </c>
      <c r="L1502" s="95"/>
      <c r="M1502" s="95" t="s">
        <v>93</v>
      </c>
      <c r="N1502" s="95" t="s">
        <v>8723</v>
      </c>
      <c r="O1502" s="95" t="s">
        <v>8723</v>
      </c>
      <c r="P1502" s="95" t="s">
        <v>8724</v>
      </c>
      <c r="Q1502" s="98">
        <v>3.0</v>
      </c>
      <c r="R1502" s="97">
        <v>45980.5965625</v>
      </c>
      <c r="S1502" s="99">
        <v>638.0</v>
      </c>
      <c r="T1502" s="99">
        <v>93.0</v>
      </c>
      <c r="U1502" s="99">
        <v>4.0</v>
      </c>
      <c r="V1502" s="99">
        <v>331.0</v>
      </c>
      <c r="W1502" s="99">
        <v>20380.0</v>
      </c>
    </row>
    <row r="1503" ht="15.75" customHeight="1">
      <c r="A1503" s="95" t="s">
        <v>8725</v>
      </c>
      <c r="B1503" s="95" t="s">
        <v>22</v>
      </c>
      <c r="C1503" s="96" t="s">
        <v>8726</v>
      </c>
      <c r="D1503" s="95" t="s">
        <v>168</v>
      </c>
      <c r="E1503" s="95" t="s">
        <v>168</v>
      </c>
      <c r="F1503" s="95" t="s">
        <v>19</v>
      </c>
      <c r="G1503" s="95" t="s">
        <v>574</v>
      </c>
      <c r="H1503" s="95" t="s">
        <v>21</v>
      </c>
      <c r="I1503" s="95" t="s">
        <v>567</v>
      </c>
      <c r="J1503" s="97">
        <v>46021.49791459491</v>
      </c>
      <c r="K1503" s="95" t="s">
        <v>8727</v>
      </c>
      <c r="L1503" s="96" t="s">
        <v>8728</v>
      </c>
      <c r="M1503" s="95" t="s">
        <v>105</v>
      </c>
      <c r="N1503" s="95" t="s">
        <v>8729</v>
      </c>
      <c r="O1503" s="95" t="s">
        <v>8729</v>
      </c>
      <c r="P1503" s="95" t="s">
        <v>8730</v>
      </c>
      <c r="Q1503" s="98">
        <v>3.0</v>
      </c>
      <c r="R1503" s="97">
        <v>45705.49436342593</v>
      </c>
      <c r="S1503" s="99">
        <v>61.0</v>
      </c>
      <c r="T1503" s="99">
        <v>9.0</v>
      </c>
      <c r="U1503" s="99">
        <v>3.0</v>
      </c>
      <c r="V1503" s="99">
        <v>94.0</v>
      </c>
      <c r="W1503" s="99">
        <v>122533.0</v>
      </c>
    </row>
    <row r="1504" ht="15.75" customHeight="1">
      <c r="A1504" s="95" t="s">
        <v>8731</v>
      </c>
      <c r="B1504" s="95" t="s">
        <v>101</v>
      </c>
      <c r="C1504" s="96" t="s">
        <v>8732</v>
      </c>
      <c r="D1504" s="95" t="s">
        <v>168</v>
      </c>
      <c r="E1504" s="95" t="s">
        <v>3036</v>
      </c>
      <c r="F1504" s="95" t="s">
        <v>19</v>
      </c>
      <c r="G1504" s="95" t="s">
        <v>19</v>
      </c>
      <c r="H1504" s="95" t="s">
        <v>21</v>
      </c>
      <c r="I1504" s="95" t="s">
        <v>955</v>
      </c>
      <c r="J1504" s="97">
        <v>46021.49791459491</v>
      </c>
      <c r="K1504" s="95" t="s">
        <v>8733</v>
      </c>
      <c r="L1504" s="96" t="s">
        <v>8734</v>
      </c>
      <c r="M1504" s="95" t="s">
        <v>105</v>
      </c>
      <c r="N1504" s="95" t="s">
        <v>8729</v>
      </c>
      <c r="O1504" s="95" t="s">
        <v>8729</v>
      </c>
      <c r="P1504" s="95" t="s">
        <v>8730</v>
      </c>
      <c r="Q1504" s="98">
        <v>3.0</v>
      </c>
      <c r="R1504" s="97">
        <v>45378.49399305556</v>
      </c>
      <c r="S1504" s="99">
        <v>61.0</v>
      </c>
      <c r="T1504" s="99">
        <v>439.0</v>
      </c>
      <c r="U1504" s="99">
        <v>10.0</v>
      </c>
      <c r="V1504" s="99">
        <v>1009.0</v>
      </c>
      <c r="W1504" s="99">
        <v>122533.0</v>
      </c>
    </row>
    <row r="1505" ht="15.75" customHeight="1">
      <c r="A1505" s="95" t="s">
        <v>8735</v>
      </c>
      <c r="B1505" s="95" t="s">
        <v>101</v>
      </c>
      <c r="C1505" s="96" t="s">
        <v>8736</v>
      </c>
      <c r="D1505" s="95" t="s">
        <v>168</v>
      </c>
      <c r="E1505" s="95" t="s">
        <v>168</v>
      </c>
      <c r="F1505" s="95" t="s">
        <v>19</v>
      </c>
      <c r="G1505" s="95" t="s">
        <v>1427</v>
      </c>
      <c r="H1505" s="95" t="s">
        <v>21</v>
      </c>
      <c r="I1505" s="95" t="s">
        <v>3028</v>
      </c>
      <c r="J1505" s="97">
        <v>46003.09131208334</v>
      </c>
      <c r="K1505" s="95" t="s">
        <v>8737</v>
      </c>
      <c r="L1505" s="96" t="s">
        <v>8738</v>
      </c>
      <c r="M1505" s="95" t="s">
        <v>105</v>
      </c>
      <c r="N1505" s="95" t="s">
        <v>8729</v>
      </c>
      <c r="O1505" s="95" t="s">
        <v>8729</v>
      </c>
      <c r="P1505" s="95" t="s">
        <v>8730</v>
      </c>
      <c r="Q1505" s="98">
        <v>3.0</v>
      </c>
      <c r="R1505" s="97">
        <v>45803.30583333333</v>
      </c>
      <c r="S1505" s="99">
        <v>61.0</v>
      </c>
      <c r="T1505" s="99">
        <v>613.0</v>
      </c>
      <c r="U1505" s="99">
        <v>8.0</v>
      </c>
      <c r="V1505" s="99">
        <v>983.0</v>
      </c>
      <c r="W1505" s="99">
        <v>122533.0</v>
      </c>
    </row>
    <row r="1506" ht="15.75" customHeight="1">
      <c r="A1506" s="95" t="s">
        <v>8739</v>
      </c>
      <c r="B1506" s="95" t="s">
        <v>131</v>
      </c>
      <c r="C1506" s="96" t="s">
        <v>8740</v>
      </c>
      <c r="D1506" s="95" t="s">
        <v>168</v>
      </c>
      <c r="E1506" s="95" t="s">
        <v>168</v>
      </c>
      <c r="F1506" s="95" t="s">
        <v>19</v>
      </c>
      <c r="G1506" s="95" t="s">
        <v>19</v>
      </c>
      <c r="H1506" s="95" t="s">
        <v>21</v>
      </c>
      <c r="I1506" s="95" t="s">
        <v>647</v>
      </c>
      <c r="J1506" s="97">
        <v>46021.49791459491</v>
      </c>
      <c r="K1506" s="95" t="s">
        <v>8741</v>
      </c>
      <c r="L1506" s="96" t="s">
        <v>8742</v>
      </c>
      <c r="M1506" s="95" t="s">
        <v>105</v>
      </c>
      <c r="N1506" s="95" t="s">
        <v>8729</v>
      </c>
      <c r="O1506" s="95" t="s">
        <v>8729</v>
      </c>
      <c r="P1506" s="95" t="s">
        <v>8730</v>
      </c>
      <c r="Q1506" s="98">
        <v>3.0</v>
      </c>
      <c r="R1506" s="97">
        <v>45411.31810185185</v>
      </c>
      <c r="S1506" s="99">
        <v>61.0</v>
      </c>
      <c r="T1506" s="99">
        <v>464.0</v>
      </c>
      <c r="U1506" s="99">
        <v>3.0</v>
      </c>
      <c r="V1506" s="99">
        <v>527.0</v>
      </c>
      <c r="W1506" s="99">
        <v>122533.0</v>
      </c>
    </row>
    <row r="1507" ht="15.75" customHeight="1">
      <c r="A1507" s="95" t="s">
        <v>8743</v>
      </c>
      <c r="B1507" s="95" t="s">
        <v>131</v>
      </c>
      <c r="C1507" s="96" t="s">
        <v>8744</v>
      </c>
      <c r="D1507" s="95" t="s">
        <v>20</v>
      </c>
      <c r="E1507" s="95" t="s">
        <v>1991</v>
      </c>
      <c r="F1507" s="95" t="s">
        <v>58</v>
      </c>
      <c r="G1507" s="95" t="s">
        <v>58</v>
      </c>
      <c r="H1507" s="95" t="s">
        <v>60</v>
      </c>
      <c r="I1507" s="95" t="s">
        <v>795</v>
      </c>
      <c r="J1507" s="97">
        <v>45975.67936400463</v>
      </c>
      <c r="K1507" s="96" t="s">
        <v>8745</v>
      </c>
      <c r="L1507" s="96" t="s">
        <v>8746</v>
      </c>
      <c r="M1507" s="95" t="s">
        <v>17</v>
      </c>
      <c r="N1507" s="95" t="s">
        <v>8747</v>
      </c>
      <c r="O1507" s="95" t="s">
        <v>8747</v>
      </c>
      <c r="P1507" s="95" t="s">
        <v>8748</v>
      </c>
      <c r="Q1507" s="98">
        <v>3.0</v>
      </c>
      <c r="R1507" s="97">
        <v>45601.8703125</v>
      </c>
      <c r="S1507" s="99">
        <v>64975.0</v>
      </c>
      <c r="T1507" s="99">
        <v>203.0</v>
      </c>
      <c r="U1507" s="99">
        <v>6.0</v>
      </c>
      <c r="V1507" s="99">
        <v>158.0</v>
      </c>
      <c r="W1507" s="99">
        <v>399277.0</v>
      </c>
    </row>
    <row r="1508" ht="15.75" customHeight="1">
      <c r="A1508" s="95" t="s">
        <v>8749</v>
      </c>
      <c r="B1508" s="95" t="s">
        <v>22</v>
      </c>
      <c r="C1508" s="96" t="s">
        <v>8750</v>
      </c>
      <c r="D1508" s="95" t="s">
        <v>59</v>
      </c>
      <c r="E1508" s="95" t="s">
        <v>665</v>
      </c>
      <c r="F1508" s="95" t="s">
        <v>19</v>
      </c>
      <c r="G1508" s="95" t="s">
        <v>574</v>
      </c>
      <c r="H1508" s="95" t="s">
        <v>21</v>
      </c>
      <c r="I1508" s="95" t="s">
        <v>567</v>
      </c>
      <c r="J1508" s="97">
        <v>46021.51435841435</v>
      </c>
      <c r="K1508" s="95" t="s">
        <v>8751</v>
      </c>
      <c r="L1508" s="96" t="s">
        <v>8752</v>
      </c>
      <c r="M1508" s="95" t="s">
        <v>54</v>
      </c>
      <c r="N1508" s="95" t="s">
        <v>8753</v>
      </c>
      <c r="O1508" s="95" t="s">
        <v>8753</v>
      </c>
      <c r="P1508" s="95" t="s">
        <v>8754</v>
      </c>
      <c r="Q1508" s="98">
        <v>3.0</v>
      </c>
      <c r="R1508" s="97">
        <v>45855.63299768518</v>
      </c>
      <c r="S1508" s="99">
        <v>465.0</v>
      </c>
      <c r="T1508" s="99">
        <v>666.0</v>
      </c>
      <c r="U1508" s="99">
        <v>12.0</v>
      </c>
      <c r="V1508" s="99">
        <v>1265.0</v>
      </c>
      <c r="W1508" s="99">
        <v>224635.0</v>
      </c>
    </row>
    <row r="1509" ht="15.75" customHeight="1">
      <c r="A1509" s="95" t="s">
        <v>8755</v>
      </c>
      <c r="B1509" s="95" t="s">
        <v>69</v>
      </c>
      <c r="C1509" s="96" t="s">
        <v>8756</v>
      </c>
      <c r="D1509" s="95" t="s">
        <v>168</v>
      </c>
      <c r="E1509" s="95" t="s">
        <v>606</v>
      </c>
      <c r="F1509" s="95" t="s">
        <v>58</v>
      </c>
      <c r="G1509" s="95" t="s">
        <v>2409</v>
      </c>
      <c r="H1509" s="95" t="s">
        <v>77</v>
      </c>
      <c r="I1509" s="95" t="s">
        <v>8757</v>
      </c>
      <c r="J1509" s="97">
        <v>46008.62905601852</v>
      </c>
      <c r="K1509" s="96" t="s">
        <v>8758</v>
      </c>
      <c r="L1509" s="96" t="s">
        <v>8759</v>
      </c>
      <c r="M1509" s="95" t="s">
        <v>17</v>
      </c>
      <c r="N1509" s="95" t="s">
        <v>8760</v>
      </c>
      <c r="O1509" s="95" t="s">
        <v>8760</v>
      </c>
      <c r="P1509" s="95" t="s">
        <v>8761</v>
      </c>
      <c r="Q1509" s="98">
        <v>3.0</v>
      </c>
      <c r="R1509" s="97">
        <v>45712.4335300926</v>
      </c>
      <c r="S1509" s="99">
        <v>705.0</v>
      </c>
      <c r="T1509" s="99">
        <v>11.0</v>
      </c>
      <c r="U1509" s="99">
        <v>1.0</v>
      </c>
      <c r="V1509" s="99">
        <v>26.0</v>
      </c>
      <c r="W1509" s="99">
        <v>230139.0</v>
      </c>
    </row>
    <row r="1510" ht="15.75" customHeight="1">
      <c r="A1510" s="95" t="s">
        <v>8762</v>
      </c>
      <c r="B1510" s="95" t="s">
        <v>22</v>
      </c>
      <c r="C1510" s="96" t="s">
        <v>8763</v>
      </c>
      <c r="D1510" s="95" t="s">
        <v>39</v>
      </c>
      <c r="E1510" s="95" t="s">
        <v>39</v>
      </c>
      <c r="F1510" s="95" t="s">
        <v>88</v>
      </c>
      <c r="G1510" s="95" t="s">
        <v>88</v>
      </c>
      <c r="H1510" s="95" t="s">
        <v>21</v>
      </c>
      <c r="I1510" s="95" t="s">
        <v>567</v>
      </c>
      <c r="J1510" s="97">
        <v>45977.67608336805</v>
      </c>
      <c r="K1510" s="95" t="s">
        <v>8764</v>
      </c>
      <c r="L1510" s="96" t="s">
        <v>8765</v>
      </c>
      <c r="M1510" s="95" t="s">
        <v>17</v>
      </c>
      <c r="N1510" s="95" t="s">
        <v>8766</v>
      </c>
      <c r="O1510" s="95" t="s">
        <v>8766</v>
      </c>
      <c r="P1510" s="95" t="s">
        <v>8767</v>
      </c>
      <c r="Q1510" s="98">
        <v>3.0</v>
      </c>
      <c r="R1510" s="97">
        <v>45854.78870370371</v>
      </c>
      <c r="S1510" s="99">
        <v>0.0</v>
      </c>
      <c r="T1510" s="99">
        <v>1059.0</v>
      </c>
      <c r="U1510" s="99">
        <v>5.0</v>
      </c>
      <c r="V1510" s="99">
        <v>90.0</v>
      </c>
      <c r="W1510" s="99">
        <v>13996.0</v>
      </c>
    </row>
    <row r="1511" ht="15.75" customHeight="1">
      <c r="A1511" s="95" t="s">
        <v>8768</v>
      </c>
      <c r="B1511" s="95" t="s">
        <v>22</v>
      </c>
      <c r="C1511" s="96" t="s">
        <v>8769</v>
      </c>
      <c r="D1511" s="95" t="s">
        <v>59</v>
      </c>
      <c r="E1511" s="95" t="s">
        <v>1347</v>
      </c>
      <c r="F1511" s="95" t="s">
        <v>19</v>
      </c>
      <c r="G1511" s="95" t="s">
        <v>19</v>
      </c>
      <c r="H1511" s="95" t="s">
        <v>21</v>
      </c>
      <c r="I1511" s="95" t="s">
        <v>567</v>
      </c>
      <c r="J1511" s="97">
        <v>46021.52078068287</v>
      </c>
      <c r="K1511" s="95" t="s">
        <v>8770</v>
      </c>
      <c r="L1511" s="96" t="s">
        <v>8771</v>
      </c>
      <c r="M1511" s="95" t="s">
        <v>54</v>
      </c>
      <c r="N1511" s="95" t="s">
        <v>8772</v>
      </c>
      <c r="O1511" s="95" t="s">
        <v>8772</v>
      </c>
      <c r="P1511" s="95" t="s">
        <v>8773</v>
      </c>
      <c r="Q1511" s="98">
        <v>3.0</v>
      </c>
      <c r="R1511" s="97">
        <v>45705.64893518519</v>
      </c>
      <c r="S1511" s="99">
        <v>60.0</v>
      </c>
      <c r="T1511" s="99">
        <v>8.0</v>
      </c>
      <c r="U1511" s="99">
        <v>17.0</v>
      </c>
      <c r="V1511" s="99">
        <v>404.0</v>
      </c>
      <c r="W1511" s="99">
        <v>1409091.0</v>
      </c>
    </row>
    <row r="1512" ht="15.75" customHeight="1">
      <c r="A1512" s="95" t="s">
        <v>8774</v>
      </c>
      <c r="B1512" s="95" t="s">
        <v>69</v>
      </c>
      <c r="C1512" s="96" t="s">
        <v>8775</v>
      </c>
      <c r="D1512" s="95" t="s">
        <v>20</v>
      </c>
      <c r="E1512" s="95" t="s">
        <v>8776</v>
      </c>
      <c r="F1512" s="95" t="s">
        <v>88</v>
      </c>
      <c r="G1512" s="95" t="s">
        <v>639</v>
      </c>
      <c r="H1512" s="95" t="s">
        <v>89</v>
      </c>
      <c r="I1512" s="95" t="s">
        <v>1922</v>
      </c>
      <c r="J1512" s="97">
        <v>45993.7854622338</v>
      </c>
      <c r="K1512" s="96" t="s">
        <v>8777</v>
      </c>
      <c r="L1512" s="96" t="s">
        <v>8778</v>
      </c>
      <c r="M1512" s="95" t="s">
        <v>17</v>
      </c>
      <c r="N1512" s="95" t="s">
        <v>8779</v>
      </c>
      <c r="O1512" s="95" t="s">
        <v>8779</v>
      </c>
      <c r="P1512" s="95" t="s">
        <v>8780</v>
      </c>
      <c r="Q1512" s="98">
        <v>3.0</v>
      </c>
      <c r="R1512" s="97">
        <v>45738.79675925926</v>
      </c>
      <c r="S1512" s="99">
        <v>2447.0</v>
      </c>
      <c r="T1512" s="99">
        <v>56.0</v>
      </c>
      <c r="U1512" s="99">
        <v>3.0</v>
      </c>
      <c r="V1512" s="99">
        <v>55.0</v>
      </c>
      <c r="W1512" s="99">
        <v>9629.0</v>
      </c>
    </row>
    <row r="1513" ht="15.75" customHeight="1">
      <c r="A1513" s="95" t="s">
        <v>8781</v>
      </c>
      <c r="B1513" s="95" t="s">
        <v>69</v>
      </c>
      <c r="C1513" s="96" t="s">
        <v>8782</v>
      </c>
      <c r="D1513" s="95" t="s">
        <v>20</v>
      </c>
      <c r="E1513" s="95" t="s">
        <v>8783</v>
      </c>
      <c r="F1513" s="95" t="s">
        <v>88</v>
      </c>
      <c r="G1513" s="95" t="s">
        <v>8784</v>
      </c>
      <c r="H1513" s="95" t="s">
        <v>89</v>
      </c>
      <c r="I1513" s="95" t="s">
        <v>1971</v>
      </c>
      <c r="J1513" s="97">
        <v>45993.7854622338</v>
      </c>
      <c r="K1513" s="96" t="s">
        <v>8785</v>
      </c>
      <c r="L1513" s="95"/>
      <c r="M1513" s="95" t="s">
        <v>17</v>
      </c>
      <c r="N1513" s="95" t="s">
        <v>8779</v>
      </c>
      <c r="O1513" s="95" t="s">
        <v>8779</v>
      </c>
      <c r="P1513" s="95" t="s">
        <v>8780</v>
      </c>
      <c r="Q1513" s="98">
        <v>3.0</v>
      </c>
      <c r="R1513" s="97">
        <v>45703.7844212963</v>
      </c>
      <c r="S1513" s="99">
        <v>2447.0</v>
      </c>
      <c r="T1513" s="99">
        <v>2.0</v>
      </c>
      <c r="U1513" s="99">
        <v>5.0</v>
      </c>
      <c r="V1513" s="99">
        <v>83.0</v>
      </c>
      <c r="W1513" s="99">
        <v>9629.0</v>
      </c>
    </row>
    <row r="1514" ht="15.75" customHeight="1">
      <c r="A1514" s="95" t="s">
        <v>8786</v>
      </c>
      <c r="B1514" s="95" t="s">
        <v>22</v>
      </c>
      <c r="C1514" s="96" t="s">
        <v>8787</v>
      </c>
      <c r="D1514" s="95" t="s">
        <v>20</v>
      </c>
      <c r="E1514" s="95" t="s">
        <v>1991</v>
      </c>
      <c r="F1514" s="95" t="s">
        <v>19</v>
      </c>
      <c r="G1514" s="95" t="s">
        <v>19</v>
      </c>
      <c r="H1514" s="95" t="s">
        <v>21</v>
      </c>
      <c r="I1514" s="95" t="s">
        <v>567</v>
      </c>
      <c r="J1514" s="97">
        <v>46008.62905599537</v>
      </c>
      <c r="K1514" s="96" t="s">
        <v>8788</v>
      </c>
      <c r="L1514" s="96" t="s">
        <v>8789</v>
      </c>
      <c r="M1514" s="95" t="s">
        <v>17</v>
      </c>
      <c r="N1514" s="95" t="s">
        <v>8790</v>
      </c>
      <c r="O1514" s="95" t="s">
        <v>8790</v>
      </c>
      <c r="P1514" s="95" t="s">
        <v>8791</v>
      </c>
      <c r="Q1514" s="98">
        <v>3.0</v>
      </c>
      <c r="R1514" s="97">
        <v>45681.88986111111</v>
      </c>
      <c r="S1514" s="99">
        <v>131.0</v>
      </c>
      <c r="T1514" s="99">
        <v>120.0</v>
      </c>
      <c r="U1514" s="99">
        <v>19.0</v>
      </c>
      <c r="V1514" s="99">
        <v>138.0</v>
      </c>
      <c r="W1514" s="99">
        <v>29079.0</v>
      </c>
    </row>
    <row r="1515" ht="15.75" customHeight="1">
      <c r="A1515" s="95" t="s">
        <v>8792</v>
      </c>
      <c r="B1515" s="95" t="s">
        <v>101</v>
      </c>
      <c r="C1515" s="96" t="s">
        <v>8793</v>
      </c>
      <c r="D1515" s="95" t="s">
        <v>20</v>
      </c>
      <c r="E1515" s="95" t="s">
        <v>2261</v>
      </c>
      <c r="F1515" s="95" t="s">
        <v>19</v>
      </c>
      <c r="G1515" s="95" t="s">
        <v>19</v>
      </c>
      <c r="H1515" s="95" t="s">
        <v>21</v>
      </c>
      <c r="I1515" s="95" t="s">
        <v>4028</v>
      </c>
      <c r="J1515" s="97">
        <v>45975.67936400463</v>
      </c>
      <c r="K1515" s="96" t="s">
        <v>8794</v>
      </c>
      <c r="L1515" s="95"/>
      <c r="M1515" s="95" t="s">
        <v>17</v>
      </c>
      <c r="N1515" s="95" t="s">
        <v>8795</v>
      </c>
      <c r="O1515" s="95" t="s">
        <v>8795</v>
      </c>
      <c r="P1515" s="95" t="s">
        <v>8796</v>
      </c>
      <c r="Q1515" s="98">
        <v>3.0</v>
      </c>
      <c r="R1515" s="97">
        <v>45638.5344212963</v>
      </c>
      <c r="S1515" s="99">
        <v>282.0</v>
      </c>
      <c r="T1515" s="99">
        <v>57.0</v>
      </c>
      <c r="U1515" s="99">
        <v>1.0</v>
      </c>
      <c r="V1515" s="99">
        <v>35.0</v>
      </c>
      <c r="W1515" s="99">
        <v>11410.0</v>
      </c>
    </row>
    <row r="1516" ht="15.75" customHeight="1">
      <c r="A1516" s="95" t="s">
        <v>8797</v>
      </c>
      <c r="B1516" s="95" t="s">
        <v>22</v>
      </c>
      <c r="C1516" s="96" t="s">
        <v>8798</v>
      </c>
      <c r="D1516" s="95" t="s">
        <v>20</v>
      </c>
      <c r="E1516" s="95" t="s">
        <v>1991</v>
      </c>
      <c r="F1516" s="95" t="s">
        <v>19</v>
      </c>
      <c r="G1516" s="95" t="s">
        <v>19</v>
      </c>
      <c r="H1516" s="95" t="s">
        <v>21</v>
      </c>
      <c r="I1516" s="95" t="s">
        <v>567</v>
      </c>
      <c r="J1516" s="97">
        <v>45977.67921827547</v>
      </c>
      <c r="K1516" s="95" t="s">
        <v>8799</v>
      </c>
      <c r="L1516" s="96" t="s">
        <v>8800</v>
      </c>
      <c r="M1516" s="95" t="s">
        <v>17</v>
      </c>
      <c r="N1516" s="95" t="s">
        <v>8801</v>
      </c>
      <c r="O1516" s="95" t="s">
        <v>8801</v>
      </c>
      <c r="P1516" s="95" t="s">
        <v>8802</v>
      </c>
      <c r="Q1516" s="98">
        <v>3.0</v>
      </c>
      <c r="R1516" s="97">
        <v>45666.77060185185</v>
      </c>
      <c r="S1516" s="99">
        <v>251.0</v>
      </c>
      <c r="T1516" s="99">
        <v>20.0</v>
      </c>
      <c r="U1516" s="99">
        <v>3.0</v>
      </c>
      <c r="V1516" s="99">
        <v>60.0</v>
      </c>
      <c r="W1516" s="99">
        <v>27505.0</v>
      </c>
    </row>
    <row r="1517" ht="15.75" customHeight="1">
      <c r="A1517" s="95" t="s">
        <v>8803</v>
      </c>
      <c r="B1517" s="95" t="s">
        <v>22</v>
      </c>
      <c r="C1517" s="96" t="s">
        <v>8804</v>
      </c>
      <c r="D1517" s="95" t="s">
        <v>39</v>
      </c>
      <c r="E1517" s="95" t="s">
        <v>39</v>
      </c>
      <c r="F1517" s="95" t="s">
        <v>19</v>
      </c>
      <c r="G1517" s="95" t="s">
        <v>19</v>
      </c>
      <c r="H1517" s="95" t="s">
        <v>21</v>
      </c>
      <c r="I1517" s="95" t="s">
        <v>567</v>
      </c>
      <c r="J1517" s="97">
        <v>45977.67532152778</v>
      </c>
      <c r="K1517" s="95" t="s">
        <v>8805</v>
      </c>
      <c r="L1517" s="95"/>
      <c r="M1517" s="95" t="s">
        <v>38</v>
      </c>
      <c r="N1517" s="95" t="s">
        <v>8806</v>
      </c>
      <c r="O1517" s="95" t="s">
        <v>8806</v>
      </c>
      <c r="P1517" s="95" t="s">
        <v>8807</v>
      </c>
      <c r="Q1517" s="98">
        <v>3.0</v>
      </c>
      <c r="R1517" s="97">
        <v>45704.72118055556</v>
      </c>
      <c r="S1517" s="99">
        <v>1581.0</v>
      </c>
      <c r="T1517" s="99">
        <v>238.0</v>
      </c>
      <c r="U1517" s="99">
        <v>2.0</v>
      </c>
      <c r="V1517" s="99">
        <v>38.0</v>
      </c>
      <c r="W1517" s="99">
        <v>35266.0</v>
      </c>
    </row>
    <row r="1518" ht="15.75" customHeight="1">
      <c r="A1518" s="95" t="s">
        <v>8808</v>
      </c>
      <c r="B1518" s="95" t="s">
        <v>101</v>
      </c>
      <c r="C1518" s="96" t="s">
        <v>8809</v>
      </c>
      <c r="D1518" s="95" t="s">
        <v>39</v>
      </c>
      <c r="E1518" s="95" t="s">
        <v>4255</v>
      </c>
      <c r="F1518" s="95" t="s">
        <v>19</v>
      </c>
      <c r="G1518" s="95" t="s">
        <v>588</v>
      </c>
      <c r="H1518" s="95" t="s">
        <v>21</v>
      </c>
      <c r="I1518" s="95" t="s">
        <v>1504</v>
      </c>
      <c r="J1518" s="97">
        <v>45978.45865711806</v>
      </c>
      <c r="K1518" s="95" t="s">
        <v>8810</v>
      </c>
      <c r="L1518" s="96" t="s">
        <v>8811</v>
      </c>
      <c r="M1518" s="95" t="s">
        <v>105</v>
      </c>
      <c r="N1518" s="95" t="s">
        <v>8812</v>
      </c>
      <c r="O1518" s="95" t="s">
        <v>8812</v>
      </c>
      <c r="P1518" s="95" t="s">
        <v>8813</v>
      </c>
      <c r="Q1518" s="98">
        <v>3.0</v>
      </c>
      <c r="R1518" s="97">
        <v>45744.27126157407</v>
      </c>
      <c r="S1518" s="99">
        <v>3029.0</v>
      </c>
      <c r="T1518" s="99">
        <v>189.0</v>
      </c>
      <c r="U1518" s="99">
        <v>3.0</v>
      </c>
      <c r="V1518" s="99">
        <v>171.0</v>
      </c>
      <c r="W1518" s="99">
        <v>317564.0</v>
      </c>
    </row>
    <row r="1519" ht="15.75" customHeight="1">
      <c r="A1519" s="95" t="s">
        <v>8814</v>
      </c>
      <c r="B1519" s="95" t="s">
        <v>69</v>
      </c>
      <c r="C1519" s="96" t="s">
        <v>8815</v>
      </c>
      <c r="D1519" s="95" t="s">
        <v>39</v>
      </c>
      <c r="E1519" s="95" t="s">
        <v>960</v>
      </c>
      <c r="F1519" s="95" t="s">
        <v>58</v>
      </c>
      <c r="G1519" s="95" t="s">
        <v>2409</v>
      </c>
      <c r="H1519" s="95" t="s">
        <v>77</v>
      </c>
      <c r="I1519" s="95" t="s">
        <v>599</v>
      </c>
      <c r="J1519" s="97">
        <v>46061.01660956018</v>
      </c>
      <c r="K1519" s="95" t="s">
        <v>8816</v>
      </c>
      <c r="L1519" s="96" t="s">
        <v>8817</v>
      </c>
      <c r="M1519" s="95" t="s">
        <v>503</v>
      </c>
      <c r="N1519" s="95" t="s">
        <v>8818</v>
      </c>
      <c r="O1519" s="95" t="s">
        <v>8818</v>
      </c>
      <c r="P1519" s="95" t="s">
        <v>8819</v>
      </c>
      <c r="Q1519" s="98">
        <v>3.0</v>
      </c>
      <c r="R1519" s="97">
        <v>46052.88318287037</v>
      </c>
      <c r="S1519" s="99">
        <v>23313.0</v>
      </c>
      <c r="T1519" s="99">
        <v>15.0</v>
      </c>
      <c r="U1519" s="99">
        <v>1.0</v>
      </c>
      <c r="V1519" s="99">
        <v>17.0</v>
      </c>
      <c r="W1519" s="99">
        <v>11961.0</v>
      </c>
    </row>
    <row r="1520" ht="15.75" customHeight="1">
      <c r="A1520" s="95" t="s">
        <v>8820</v>
      </c>
      <c r="B1520" s="95" t="s">
        <v>22</v>
      </c>
      <c r="C1520" s="96" t="s">
        <v>8821</v>
      </c>
      <c r="D1520" s="95" t="s">
        <v>124</v>
      </c>
      <c r="E1520" s="95" t="s">
        <v>794</v>
      </c>
      <c r="F1520" s="95" t="s">
        <v>19</v>
      </c>
      <c r="G1520" s="95" t="s">
        <v>19</v>
      </c>
      <c r="H1520" s="95" t="s">
        <v>21</v>
      </c>
      <c r="I1520" s="95" t="s">
        <v>567</v>
      </c>
      <c r="J1520" s="97">
        <v>46021.50638981481</v>
      </c>
      <c r="K1520" s="95" t="s">
        <v>8822</v>
      </c>
      <c r="L1520" s="96" t="s">
        <v>8823</v>
      </c>
      <c r="M1520" s="95" t="s">
        <v>74</v>
      </c>
      <c r="N1520" s="95" t="s">
        <v>8824</v>
      </c>
      <c r="O1520" s="95" t="s">
        <v>8824</v>
      </c>
      <c r="P1520" s="95" t="s">
        <v>8825</v>
      </c>
      <c r="Q1520" s="98">
        <v>3.0</v>
      </c>
      <c r="R1520" s="97">
        <v>45921.25414351852</v>
      </c>
      <c r="S1520" s="99">
        <v>278.0</v>
      </c>
      <c r="T1520" s="99">
        <v>72.0</v>
      </c>
      <c r="U1520" s="99">
        <v>14.0</v>
      </c>
      <c r="V1520" s="99">
        <v>604.0</v>
      </c>
      <c r="W1520" s="99">
        <v>999999.0</v>
      </c>
    </row>
    <row r="1521" ht="15.75" customHeight="1">
      <c r="A1521" s="95" t="s">
        <v>8826</v>
      </c>
      <c r="B1521" s="95" t="s">
        <v>22</v>
      </c>
      <c r="C1521" s="96" t="s">
        <v>8827</v>
      </c>
      <c r="D1521" s="95" t="s">
        <v>168</v>
      </c>
      <c r="E1521" s="95" t="s">
        <v>168</v>
      </c>
      <c r="F1521" s="95" t="s">
        <v>19</v>
      </c>
      <c r="G1521" s="95" t="s">
        <v>588</v>
      </c>
      <c r="H1521" s="95" t="s">
        <v>21</v>
      </c>
      <c r="I1521" s="95" t="s">
        <v>677</v>
      </c>
      <c r="J1521" s="97">
        <v>46021.51435841435</v>
      </c>
      <c r="K1521" s="95" t="s">
        <v>8828</v>
      </c>
      <c r="L1521" s="96" t="s">
        <v>8829</v>
      </c>
      <c r="M1521" s="95" t="s">
        <v>105</v>
      </c>
      <c r="N1521" s="95" t="s">
        <v>8830</v>
      </c>
      <c r="O1521" s="95" t="s">
        <v>8830</v>
      </c>
      <c r="P1521" s="95" t="s">
        <v>8831</v>
      </c>
      <c r="Q1521" s="98">
        <v>3.0</v>
      </c>
      <c r="R1521" s="97">
        <v>45443.44740740741</v>
      </c>
      <c r="S1521" s="99">
        <v>444.0</v>
      </c>
      <c r="T1521" s="99">
        <v>8034.0</v>
      </c>
      <c r="U1521" s="99">
        <v>3.0</v>
      </c>
      <c r="V1521" s="99">
        <v>115.0</v>
      </c>
      <c r="W1521" s="99">
        <v>168723.0</v>
      </c>
    </row>
    <row r="1522" ht="15.75" customHeight="1">
      <c r="A1522" s="95" t="s">
        <v>8832</v>
      </c>
      <c r="B1522" s="95" t="s">
        <v>131</v>
      </c>
      <c r="C1522" s="96" t="s">
        <v>8833</v>
      </c>
      <c r="D1522" s="95" t="s">
        <v>39</v>
      </c>
      <c r="E1522" s="95" t="s">
        <v>39</v>
      </c>
      <c r="F1522" s="95" t="s">
        <v>58</v>
      </c>
      <c r="G1522" s="95" t="s">
        <v>1450</v>
      </c>
      <c r="H1522" s="95" t="s">
        <v>60</v>
      </c>
      <c r="I1522" s="95" t="s">
        <v>795</v>
      </c>
      <c r="J1522" s="97">
        <v>46021.50638981481</v>
      </c>
      <c r="K1522" s="95" t="s">
        <v>8834</v>
      </c>
      <c r="L1522" s="96" t="s">
        <v>8835</v>
      </c>
      <c r="M1522" s="95" t="s">
        <v>67</v>
      </c>
      <c r="N1522" s="95" t="s">
        <v>8836</v>
      </c>
      <c r="O1522" s="95" t="s">
        <v>8836</v>
      </c>
      <c r="P1522" s="95" t="s">
        <v>8837</v>
      </c>
      <c r="Q1522" s="98">
        <v>3.0</v>
      </c>
      <c r="R1522" s="97">
        <v>45729.88056712963</v>
      </c>
      <c r="S1522" s="99">
        <v>54.0</v>
      </c>
      <c r="T1522" s="99">
        <v>54.0</v>
      </c>
      <c r="U1522" s="99">
        <v>1.0</v>
      </c>
      <c r="V1522" s="99">
        <v>27.0</v>
      </c>
      <c r="W1522" s="99">
        <v>17168.0</v>
      </c>
    </row>
    <row r="1523" ht="15.75" customHeight="1">
      <c r="A1523" s="95" t="s">
        <v>8838</v>
      </c>
      <c r="B1523" s="95" t="s">
        <v>22</v>
      </c>
      <c r="C1523" s="96" t="s">
        <v>8839</v>
      </c>
      <c r="D1523" s="95" t="s">
        <v>20</v>
      </c>
      <c r="E1523" s="95" t="s">
        <v>1991</v>
      </c>
      <c r="F1523" s="95" t="s">
        <v>19</v>
      </c>
      <c r="G1523" s="95" t="s">
        <v>19</v>
      </c>
      <c r="H1523" s="95" t="s">
        <v>21</v>
      </c>
      <c r="I1523" s="95" t="s">
        <v>567</v>
      </c>
      <c r="J1523" s="97">
        <v>46008.62905598379</v>
      </c>
      <c r="K1523" s="96" t="s">
        <v>8840</v>
      </c>
      <c r="L1523" s="96" t="s">
        <v>8841</v>
      </c>
      <c r="M1523" s="95" t="s">
        <v>17</v>
      </c>
      <c r="N1523" s="95" t="s">
        <v>8842</v>
      </c>
      <c r="O1523" s="95" t="s">
        <v>8842</v>
      </c>
      <c r="P1523" s="95" t="s">
        <v>8843</v>
      </c>
      <c r="Q1523" s="98">
        <v>3.0</v>
      </c>
      <c r="R1523" s="97">
        <v>45790.90618055555</v>
      </c>
      <c r="S1523" s="99">
        <v>288.0</v>
      </c>
      <c r="T1523" s="99">
        <v>199.0</v>
      </c>
      <c r="U1523" s="99">
        <v>45.0</v>
      </c>
      <c r="V1523" s="99">
        <v>384.0</v>
      </c>
      <c r="W1523" s="99">
        <v>60818.0</v>
      </c>
    </row>
    <row r="1524" ht="15.75" customHeight="1">
      <c r="A1524" s="95" t="s">
        <v>8844</v>
      </c>
      <c r="B1524" s="95" t="s">
        <v>69</v>
      </c>
      <c r="C1524" s="96" t="s">
        <v>8845</v>
      </c>
      <c r="D1524" s="95" t="s">
        <v>547</v>
      </c>
      <c r="E1524" s="95" t="s">
        <v>547</v>
      </c>
      <c r="F1524" s="95" t="s">
        <v>88</v>
      </c>
      <c r="G1524" s="95" t="s">
        <v>88</v>
      </c>
      <c r="H1524" s="95" t="s">
        <v>89</v>
      </c>
      <c r="I1524" s="95" t="s">
        <v>1477</v>
      </c>
      <c r="J1524" s="97">
        <v>45975.67928111111</v>
      </c>
      <c r="K1524" s="96" t="s">
        <v>8846</v>
      </c>
      <c r="L1524" s="96" t="s">
        <v>8847</v>
      </c>
      <c r="M1524" s="95" t="s">
        <v>105</v>
      </c>
      <c r="N1524" s="95" t="s">
        <v>8848</v>
      </c>
      <c r="O1524" s="95" t="s">
        <v>8848</v>
      </c>
      <c r="P1524" s="95" t="s">
        <v>8849</v>
      </c>
      <c r="Q1524" s="98">
        <v>3.0</v>
      </c>
      <c r="R1524" s="97">
        <v>45319.72503472222</v>
      </c>
      <c r="S1524" s="99">
        <v>11504.0</v>
      </c>
      <c r="T1524" s="99">
        <v>44.0</v>
      </c>
      <c r="U1524" s="99">
        <v>1.0</v>
      </c>
      <c r="V1524" s="99">
        <v>93.0</v>
      </c>
      <c r="W1524" s="99">
        <v>271513.0</v>
      </c>
    </row>
    <row r="1525" ht="15.75" customHeight="1">
      <c r="A1525" s="95" t="s">
        <v>8850</v>
      </c>
      <c r="B1525" s="95" t="s">
        <v>22</v>
      </c>
      <c r="C1525" s="96" t="s">
        <v>8851</v>
      </c>
      <c r="D1525" s="95" t="s">
        <v>547</v>
      </c>
      <c r="E1525" s="95" t="s">
        <v>8852</v>
      </c>
      <c r="F1525" s="95" t="s">
        <v>19</v>
      </c>
      <c r="G1525" s="95" t="s">
        <v>19</v>
      </c>
      <c r="H1525" s="95" t="s">
        <v>21</v>
      </c>
      <c r="I1525" s="95" t="s">
        <v>567</v>
      </c>
      <c r="J1525" s="97">
        <v>45975.67928111111</v>
      </c>
      <c r="K1525" s="96" t="s">
        <v>8853</v>
      </c>
      <c r="L1525" s="96" t="s">
        <v>8854</v>
      </c>
      <c r="M1525" s="95" t="s">
        <v>105</v>
      </c>
      <c r="N1525" s="95" t="s">
        <v>8855</v>
      </c>
      <c r="O1525" s="95" t="s">
        <v>8855</v>
      </c>
      <c r="P1525" s="95" t="s">
        <v>8856</v>
      </c>
      <c r="Q1525" s="98">
        <v>3.0</v>
      </c>
      <c r="R1525" s="97">
        <v>45411.73128472222</v>
      </c>
      <c r="S1525" s="99">
        <v>2361.0</v>
      </c>
      <c r="T1525" s="99">
        <v>1687.0</v>
      </c>
      <c r="U1525" s="99">
        <v>3.0</v>
      </c>
      <c r="V1525" s="99">
        <v>420.0</v>
      </c>
      <c r="W1525" s="99">
        <v>999999.0</v>
      </c>
    </row>
    <row r="1526" ht="15.75" customHeight="1">
      <c r="A1526" s="95" t="s">
        <v>8857</v>
      </c>
      <c r="B1526" s="95" t="s">
        <v>22</v>
      </c>
      <c r="C1526" s="96" t="s">
        <v>8858</v>
      </c>
      <c r="D1526" s="95" t="s">
        <v>547</v>
      </c>
      <c r="E1526" s="95" t="s">
        <v>2952</v>
      </c>
      <c r="F1526" s="95" t="s">
        <v>19</v>
      </c>
      <c r="G1526" s="95" t="s">
        <v>19</v>
      </c>
      <c r="H1526" s="95" t="s">
        <v>21</v>
      </c>
      <c r="I1526" s="95" t="s">
        <v>567</v>
      </c>
      <c r="J1526" s="97">
        <v>46069.13673649306</v>
      </c>
      <c r="K1526" s="95" t="s">
        <v>8859</v>
      </c>
      <c r="L1526" s="95"/>
      <c r="M1526" s="95" t="s">
        <v>503</v>
      </c>
      <c r="N1526" s="95" t="s">
        <v>8860</v>
      </c>
      <c r="O1526" s="95" t="s">
        <v>8860</v>
      </c>
      <c r="P1526" s="95" t="s">
        <v>8861</v>
      </c>
      <c r="Q1526" s="98">
        <v>3.0</v>
      </c>
      <c r="R1526" s="97">
        <v>45944.82876157408</v>
      </c>
      <c r="S1526" s="99">
        <v>7951.0</v>
      </c>
      <c r="T1526" s="99">
        <v>2912.0</v>
      </c>
      <c r="U1526" s="99">
        <v>8.0</v>
      </c>
      <c r="V1526" s="99">
        <v>64.0</v>
      </c>
      <c r="W1526" s="99">
        <v>199491.0</v>
      </c>
    </row>
    <row r="1527" ht="15.75" customHeight="1">
      <c r="A1527" s="95" t="s">
        <v>8862</v>
      </c>
      <c r="B1527" s="95" t="s">
        <v>22</v>
      </c>
      <c r="C1527" s="96" t="s">
        <v>8863</v>
      </c>
      <c r="D1527" s="95" t="s">
        <v>547</v>
      </c>
      <c r="E1527" s="95" t="s">
        <v>2952</v>
      </c>
      <c r="F1527" s="95" t="s">
        <v>19</v>
      </c>
      <c r="G1527" s="95" t="s">
        <v>19</v>
      </c>
      <c r="H1527" s="95" t="s">
        <v>21</v>
      </c>
      <c r="I1527" s="95" t="s">
        <v>567</v>
      </c>
      <c r="J1527" s="97">
        <v>46069.13673649306</v>
      </c>
      <c r="K1527" s="95" t="s">
        <v>8864</v>
      </c>
      <c r="L1527" s="95"/>
      <c r="M1527" s="95" t="s">
        <v>503</v>
      </c>
      <c r="N1527" s="95" t="s">
        <v>8860</v>
      </c>
      <c r="O1527" s="95" t="s">
        <v>8860</v>
      </c>
      <c r="P1527" s="95" t="s">
        <v>8861</v>
      </c>
      <c r="Q1527" s="98">
        <v>3.0</v>
      </c>
      <c r="R1527" s="97">
        <v>45869.52649305556</v>
      </c>
      <c r="S1527" s="99">
        <v>7951.0</v>
      </c>
      <c r="T1527" s="99">
        <v>2825.0</v>
      </c>
      <c r="U1527" s="99">
        <v>2.0</v>
      </c>
      <c r="V1527" s="99">
        <v>86.0</v>
      </c>
      <c r="W1527" s="99">
        <v>199491.0</v>
      </c>
    </row>
    <row r="1528" ht="15.75" customHeight="1">
      <c r="A1528" s="95" t="s">
        <v>8865</v>
      </c>
      <c r="B1528" s="95" t="s">
        <v>22</v>
      </c>
      <c r="C1528" s="96" t="s">
        <v>8866</v>
      </c>
      <c r="D1528" s="95" t="s">
        <v>168</v>
      </c>
      <c r="E1528" s="95" t="s">
        <v>168</v>
      </c>
      <c r="F1528" s="95" t="s">
        <v>19</v>
      </c>
      <c r="G1528" s="95" t="s">
        <v>1427</v>
      </c>
      <c r="H1528" s="95" t="s">
        <v>21</v>
      </c>
      <c r="I1528" s="95" t="s">
        <v>567</v>
      </c>
      <c r="J1528" s="97">
        <v>46008.62905599537</v>
      </c>
      <c r="K1528" s="96" t="s">
        <v>8867</v>
      </c>
      <c r="L1528" s="96" t="s">
        <v>8868</v>
      </c>
      <c r="M1528" s="95" t="s">
        <v>17</v>
      </c>
      <c r="N1528" s="95" t="s">
        <v>8869</v>
      </c>
      <c r="O1528" s="95" t="s">
        <v>8869</v>
      </c>
      <c r="P1528" s="95" t="s">
        <v>8870</v>
      </c>
      <c r="Q1528" s="98">
        <v>3.0</v>
      </c>
      <c r="R1528" s="97">
        <v>45723.45306712963</v>
      </c>
      <c r="S1528" s="99">
        <v>4369.0</v>
      </c>
      <c r="T1528" s="99">
        <v>1090.0</v>
      </c>
      <c r="U1528" s="99">
        <v>24.0</v>
      </c>
      <c r="V1528" s="99">
        <v>94.0</v>
      </c>
      <c r="W1528" s="99">
        <v>38916.0</v>
      </c>
    </row>
    <row r="1529" ht="15.75" customHeight="1">
      <c r="A1529" s="95" t="s">
        <v>8871</v>
      </c>
      <c r="B1529" s="95" t="s">
        <v>69</v>
      </c>
      <c r="C1529" s="96" t="s">
        <v>8872</v>
      </c>
      <c r="D1529" s="95" t="s">
        <v>39</v>
      </c>
      <c r="E1529" s="95" t="s">
        <v>39</v>
      </c>
      <c r="F1529" s="95" t="s">
        <v>19</v>
      </c>
      <c r="G1529" s="95" t="s">
        <v>19</v>
      </c>
      <c r="H1529" s="95" t="s">
        <v>21</v>
      </c>
      <c r="I1529" s="95" t="s">
        <v>1044</v>
      </c>
      <c r="J1529" s="97">
        <v>46021.51435841435</v>
      </c>
      <c r="K1529" s="95" t="s">
        <v>8873</v>
      </c>
      <c r="L1529" s="96" t="s">
        <v>8874</v>
      </c>
      <c r="M1529" s="95" t="s">
        <v>93</v>
      </c>
      <c r="N1529" s="95" t="s">
        <v>8875</v>
      </c>
      <c r="O1529" s="95" t="s">
        <v>8875</v>
      </c>
      <c r="P1529" s="95" t="s">
        <v>8876</v>
      </c>
      <c r="Q1529" s="98">
        <v>3.0</v>
      </c>
      <c r="R1529" s="97">
        <v>45745.69508101852</v>
      </c>
      <c r="S1529" s="99">
        <v>70.0</v>
      </c>
      <c r="T1529" s="99">
        <v>125.0</v>
      </c>
      <c r="U1529" s="99">
        <v>5.0</v>
      </c>
      <c r="V1529" s="99">
        <v>268.0</v>
      </c>
      <c r="W1529" s="99">
        <v>15736.0</v>
      </c>
    </row>
    <row r="1530" ht="15.75" customHeight="1">
      <c r="A1530" s="95" t="s">
        <v>8877</v>
      </c>
      <c r="B1530" s="95" t="s">
        <v>22</v>
      </c>
      <c r="C1530" s="96" t="s">
        <v>8878</v>
      </c>
      <c r="D1530" s="95" t="s">
        <v>39</v>
      </c>
      <c r="E1530" s="95" t="s">
        <v>39</v>
      </c>
      <c r="F1530" s="95" t="s">
        <v>19</v>
      </c>
      <c r="G1530" s="95" t="s">
        <v>19</v>
      </c>
      <c r="H1530" s="95" t="s">
        <v>21</v>
      </c>
      <c r="I1530" s="95" t="s">
        <v>589</v>
      </c>
      <c r="J1530" s="97">
        <v>46021.50638981481</v>
      </c>
      <c r="K1530" s="95" t="s">
        <v>8879</v>
      </c>
      <c r="L1530" s="96" t="s">
        <v>8880</v>
      </c>
      <c r="M1530" s="95" t="s">
        <v>93</v>
      </c>
      <c r="N1530" s="95" t="s">
        <v>8875</v>
      </c>
      <c r="O1530" s="95" t="s">
        <v>8875</v>
      </c>
      <c r="P1530" s="95" t="s">
        <v>8876</v>
      </c>
      <c r="Q1530" s="98">
        <v>3.0</v>
      </c>
      <c r="R1530" s="97">
        <v>45748.0284375</v>
      </c>
      <c r="S1530" s="99">
        <v>70.0</v>
      </c>
      <c r="T1530" s="99">
        <v>176.0</v>
      </c>
      <c r="U1530" s="99">
        <v>1.0</v>
      </c>
      <c r="V1530" s="99">
        <v>52.0</v>
      </c>
      <c r="W1530" s="99">
        <v>15736.0</v>
      </c>
    </row>
    <row r="1531" ht="15.75" customHeight="1">
      <c r="A1531" s="95" t="s">
        <v>8881</v>
      </c>
      <c r="B1531" s="95" t="s">
        <v>22</v>
      </c>
      <c r="C1531" s="96" t="s">
        <v>8882</v>
      </c>
      <c r="D1531" s="95" t="s">
        <v>39</v>
      </c>
      <c r="E1531" s="95" t="s">
        <v>39</v>
      </c>
      <c r="F1531" s="95" t="s">
        <v>88</v>
      </c>
      <c r="G1531" s="95" t="s">
        <v>88</v>
      </c>
      <c r="H1531" s="95" t="s">
        <v>21</v>
      </c>
      <c r="I1531" s="95" t="s">
        <v>567</v>
      </c>
      <c r="J1531" s="97">
        <v>46021.50638981481</v>
      </c>
      <c r="K1531" s="95" t="s">
        <v>8883</v>
      </c>
      <c r="L1531" s="96" t="s">
        <v>8884</v>
      </c>
      <c r="M1531" s="95" t="s">
        <v>93</v>
      </c>
      <c r="N1531" s="95" t="s">
        <v>8875</v>
      </c>
      <c r="O1531" s="95" t="s">
        <v>8875</v>
      </c>
      <c r="P1531" s="95" t="s">
        <v>8876</v>
      </c>
      <c r="Q1531" s="98">
        <v>3.0</v>
      </c>
      <c r="R1531" s="97">
        <v>45721.10704861111</v>
      </c>
      <c r="S1531" s="99">
        <v>70.0</v>
      </c>
      <c r="T1531" s="99">
        <v>109.0</v>
      </c>
      <c r="U1531" s="99">
        <v>4.0</v>
      </c>
      <c r="V1531" s="99">
        <v>67.0</v>
      </c>
      <c r="W1531" s="99">
        <v>15736.0</v>
      </c>
    </row>
    <row r="1532" ht="15.75" customHeight="1">
      <c r="A1532" s="95" t="s">
        <v>8885</v>
      </c>
      <c r="B1532" s="95" t="s">
        <v>22</v>
      </c>
      <c r="C1532" s="96" t="s">
        <v>8886</v>
      </c>
      <c r="D1532" s="95" t="s">
        <v>124</v>
      </c>
      <c r="E1532" s="95" t="s">
        <v>794</v>
      </c>
      <c r="F1532" s="95" t="s">
        <v>19</v>
      </c>
      <c r="G1532" s="95" t="s">
        <v>19</v>
      </c>
      <c r="H1532" s="95" t="s">
        <v>21</v>
      </c>
      <c r="I1532" s="95" t="s">
        <v>567</v>
      </c>
      <c r="J1532" s="97">
        <v>46021.50638981481</v>
      </c>
      <c r="K1532" s="95" t="s">
        <v>8887</v>
      </c>
      <c r="L1532" s="96" t="s">
        <v>8888</v>
      </c>
      <c r="M1532" s="95" t="s">
        <v>74</v>
      </c>
      <c r="N1532" s="95" t="s">
        <v>8889</v>
      </c>
      <c r="O1532" s="95" t="s">
        <v>8889</v>
      </c>
      <c r="P1532" s="95" t="s">
        <v>8890</v>
      </c>
      <c r="Q1532" s="98">
        <v>3.0</v>
      </c>
      <c r="R1532" s="97">
        <v>45915.39408564815</v>
      </c>
      <c r="S1532" s="99">
        <v>2422.0</v>
      </c>
      <c r="T1532" s="99">
        <v>25.0</v>
      </c>
      <c r="U1532" s="99">
        <v>2.0</v>
      </c>
      <c r="V1532" s="99">
        <v>3778.0</v>
      </c>
      <c r="W1532" s="99">
        <v>157129.0</v>
      </c>
    </row>
    <row r="1533" ht="15.75" customHeight="1">
      <c r="A1533" s="95" t="s">
        <v>8891</v>
      </c>
      <c r="B1533" s="95" t="s">
        <v>22</v>
      </c>
      <c r="C1533" s="96" t="s">
        <v>8892</v>
      </c>
      <c r="D1533" s="95" t="s">
        <v>39</v>
      </c>
      <c r="E1533" s="95" t="s">
        <v>39</v>
      </c>
      <c r="F1533" s="95" t="s">
        <v>19</v>
      </c>
      <c r="G1533" s="95" t="s">
        <v>19</v>
      </c>
      <c r="H1533" s="95" t="s">
        <v>21</v>
      </c>
      <c r="I1533" s="95" t="s">
        <v>677</v>
      </c>
      <c r="J1533" s="97">
        <v>45978.45940983796</v>
      </c>
      <c r="K1533" s="95" t="s">
        <v>8893</v>
      </c>
      <c r="L1533" s="96" t="s">
        <v>8894</v>
      </c>
      <c r="M1533" s="95" t="s">
        <v>38</v>
      </c>
      <c r="N1533" s="95" t="s">
        <v>8895</v>
      </c>
      <c r="O1533" s="95" t="s">
        <v>8895</v>
      </c>
      <c r="P1533" s="95" t="s">
        <v>8896</v>
      </c>
      <c r="Q1533" s="98">
        <v>3.0</v>
      </c>
      <c r="R1533" s="97">
        <v>45805.56182870371</v>
      </c>
      <c r="S1533" s="99">
        <v>1814.0</v>
      </c>
      <c r="T1533" s="99">
        <v>160.0</v>
      </c>
      <c r="U1533" s="99">
        <v>1.0</v>
      </c>
      <c r="V1533" s="99">
        <v>126.0</v>
      </c>
      <c r="W1533" s="99">
        <v>13359.0</v>
      </c>
    </row>
    <row r="1534" ht="15.75" customHeight="1">
      <c r="A1534" s="95" t="s">
        <v>8897</v>
      </c>
      <c r="B1534" s="95" t="s">
        <v>22</v>
      </c>
      <c r="C1534" s="96" t="s">
        <v>8898</v>
      </c>
      <c r="D1534" s="95" t="s">
        <v>20</v>
      </c>
      <c r="E1534" s="95" t="s">
        <v>638</v>
      </c>
      <c r="F1534" s="95" t="s">
        <v>19</v>
      </c>
      <c r="G1534" s="95" t="s">
        <v>19</v>
      </c>
      <c r="H1534" s="95" t="s">
        <v>21</v>
      </c>
      <c r="I1534" s="95" t="s">
        <v>589</v>
      </c>
      <c r="J1534" s="97">
        <v>46021.50638981481</v>
      </c>
      <c r="K1534" s="95" t="s">
        <v>8899</v>
      </c>
      <c r="L1534" s="96" t="s">
        <v>8900</v>
      </c>
      <c r="M1534" s="95" t="s">
        <v>67</v>
      </c>
      <c r="N1534" s="95" t="s">
        <v>8901</v>
      </c>
      <c r="O1534" s="95" t="s">
        <v>8901</v>
      </c>
      <c r="P1534" s="95" t="s">
        <v>8902</v>
      </c>
      <c r="Q1534" s="98">
        <v>3.0</v>
      </c>
      <c r="R1534" s="97">
        <v>45871.72505787037</v>
      </c>
      <c r="S1534" s="99">
        <v>1129.0</v>
      </c>
      <c r="T1534" s="99">
        <v>13.0</v>
      </c>
      <c r="U1534" s="99">
        <v>4.0</v>
      </c>
      <c r="V1534" s="99">
        <v>37.0</v>
      </c>
      <c r="W1534" s="99">
        <v>8976.0</v>
      </c>
    </row>
    <row r="1535" ht="15.75" customHeight="1">
      <c r="A1535" s="95" t="s">
        <v>8903</v>
      </c>
      <c r="B1535" s="95" t="s">
        <v>22</v>
      </c>
      <c r="C1535" s="96" t="s">
        <v>8904</v>
      </c>
      <c r="D1535" s="95" t="s">
        <v>39</v>
      </c>
      <c r="E1535" s="95" t="s">
        <v>39</v>
      </c>
      <c r="F1535" s="95" t="s">
        <v>19</v>
      </c>
      <c r="G1535" s="95" t="s">
        <v>19</v>
      </c>
      <c r="H1535" s="95" t="s">
        <v>21</v>
      </c>
      <c r="I1535" s="95" t="s">
        <v>1634</v>
      </c>
      <c r="J1535" s="97">
        <v>46021.50638981481</v>
      </c>
      <c r="K1535" s="95" t="s">
        <v>8905</v>
      </c>
      <c r="L1535" s="96" t="s">
        <v>8906</v>
      </c>
      <c r="M1535" s="95" t="s">
        <v>67</v>
      </c>
      <c r="N1535" s="95" t="s">
        <v>8907</v>
      </c>
      <c r="O1535" s="95" t="s">
        <v>8907</v>
      </c>
      <c r="P1535" s="95" t="s">
        <v>8908</v>
      </c>
      <c r="Q1535" s="98">
        <v>3.0</v>
      </c>
      <c r="R1535" s="97">
        <v>45789.92518518519</v>
      </c>
      <c r="S1535" s="99">
        <v>191.0</v>
      </c>
      <c r="T1535" s="99">
        <v>368.0</v>
      </c>
      <c r="U1535" s="99">
        <v>17.0</v>
      </c>
      <c r="V1535" s="99">
        <v>42.0</v>
      </c>
      <c r="W1535" s="99">
        <v>10263.0</v>
      </c>
    </row>
    <row r="1536" ht="15.75" customHeight="1">
      <c r="A1536" s="95" t="s">
        <v>8909</v>
      </c>
      <c r="B1536" s="95" t="s">
        <v>101</v>
      </c>
      <c r="C1536" s="96" t="s">
        <v>8910</v>
      </c>
      <c r="D1536" s="95" t="s">
        <v>59</v>
      </c>
      <c r="E1536" s="95" t="s">
        <v>59</v>
      </c>
      <c r="F1536" s="95" t="s">
        <v>19</v>
      </c>
      <c r="G1536" s="95" t="s">
        <v>1367</v>
      </c>
      <c r="H1536" s="95" t="s">
        <v>21</v>
      </c>
      <c r="I1536" s="95" t="s">
        <v>4518</v>
      </c>
      <c r="J1536" s="97">
        <v>46021.49791459491</v>
      </c>
      <c r="K1536" s="95" t="s">
        <v>8911</v>
      </c>
      <c r="L1536" s="96" t="s">
        <v>8912</v>
      </c>
      <c r="M1536" s="95" t="s">
        <v>54</v>
      </c>
      <c r="N1536" s="95" t="s">
        <v>8913</v>
      </c>
      <c r="O1536" s="95" t="s">
        <v>8913</v>
      </c>
      <c r="P1536" s="95" t="s">
        <v>8914</v>
      </c>
      <c r="Q1536" s="98">
        <v>3.0</v>
      </c>
      <c r="R1536" s="97">
        <v>45736.72387731481</v>
      </c>
      <c r="S1536" s="99">
        <v>138.0</v>
      </c>
      <c r="T1536" s="99">
        <v>59.0</v>
      </c>
      <c r="U1536" s="99">
        <v>3.0</v>
      </c>
      <c r="V1536" s="99">
        <v>198.0</v>
      </c>
      <c r="W1536" s="99">
        <v>19956.0</v>
      </c>
    </row>
    <row r="1537" ht="15.75" customHeight="1">
      <c r="A1537" s="95" t="s">
        <v>8915</v>
      </c>
      <c r="B1537" s="95" t="s">
        <v>131</v>
      </c>
      <c r="C1537" s="96" t="s">
        <v>8916</v>
      </c>
      <c r="D1537" s="95" t="s">
        <v>59</v>
      </c>
      <c r="E1537" s="95" t="s">
        <v>59</v>
      </c>
      <c r="F1537" s="95" t="s">
        <v>517</v>
      </c>
      <c r="G1537" s="95" t="s">
        <v>1532</v>
      </c>
      <c r="H1537" s="95" t="s">
        <v>536</v>
      </c>
      <c r="I1537" s="95" t="s">
        <v>8917</v>
      </c>
      <c r="J1537" s="97">
        <v>45975.67931630787</v>
      </c>
      <c r="K1537" s="96" t="s">
        <v>8918</v>
      </c>
      <c r="L1537" s="96" t="s">
        <v>8919</v>
      </c>
      <c r="M1537" s="95" t="s">
        <v>54</v>
      </c>
      <c r="N1537" s="95" t="s">
        <v>8920</v>
      </c>
      <c r="O1537" s="95" t="s">
        <v>8920</v>
      </c>
      <c r="P1537" s="95" t="s">
        <v>8921</v>
      </c>
      <c r="Q1537" s="98">
        <v>3.0</v>
      </c>
      <c r="R1537" s="97">
        <v>45810.67020833334</v>
      </c>
      <c r="S1537" s="99">
        <v>9081.0</v>
      </c>
      <c r="T1537" s="99">
        <v>15.0</v>
      </c>
      <c r="U1537" s="99">
        <v>5.0</v>
      </c>
      <c r="V1537" s="99">
        <v>89.0</v>
      </c>
      <c r="W1537" s="99">
        <v>468126.0</v>
      </c>
    </row>
    <row r="1538" ht="15.75" customHeight="1">
      <c r="A1538" s="95" t="s">
        <v>8922</v>
      </c>
      <c r="B1538" s="95" t="s">
        <v>101</v>
      </c>
      <c r="C1538" s="96" t="s">
        <v>8923</v>
      </c>
      <c r="D1538" s="95" t="s">
        <v>59</v>
      </c>
      <c r="E1538" s="95" t="s">
        <v>59</v>
      </c>
      <c r="F1538" s="95" t="s">
        <v>19</v>
      </c>
      <c r="G1538" s="95" t="s">
        <v>574</v>
      </c>
      <c r="H1538" s="95" t="s">
        <v>21</v>
      </c>
      <c r="I1538" s="95" t="s">
        <v>745</v>
      </c>
      <c r="J1538" s="97">
        <v>45982.02350528935</v>
      </c>
      <c r="K1538" s="95" t="s">
        <v>8924</v>
      </c>
      <c r="L1538" s="96" t="s">
        <v>8925</v>
      </c>
      <c r="M1538" s="95" t="s">
        <v>54</v>
      </c>
      <c r="N1538" s="95" t="s">
        <v>8920</v>
      </c>
      <c r="O1538" s="95" t="s">
        <v>8920</v>
      </c>
      <c r="P1538" s="95" t="s">
        <v>8921</v>
      </c>
      <c r="Q1538" s="98">
        <v>3.0</v>
      </c>
      <c r="R1538" s="97">
        <v>45938.5278125</v>
      </c>
      <c r="S1538" s="99">
        <v>9081.0</v>
      </c>
      <c r="T1538" s="99">
        <v>106.0</v>
      </c>
      <c r="U1538" s="99">
        <v>12.0</v>
      </c>
      <c r="V1538" s="99">
        <v>1152.0</v>
      </c>
      <c r="W1538" s="99">
        <v>468126.0</v>
      </c>
    </row>
    <row r="1539" ht="15.75" customHeight="1">
      <c r="A1539" s="95" t="s">
        <v>8926</v>
      </c>
      <c r="B1539" s="95" t="s">
        <v>22</v>
      </c>
      <c r="C1539" s="96" t="s">
        <v>8927</v>
      </c>
      <c r="D1539" s="95" t="s">
        <v>59</v>
      </c>
      <c r="E1539" s="95" t="s">
        <v>59</v>
      </c>
      <c r="F1539" s="95" t="s">
        <v>19</v>
      </c>
      <c r="G1539" s="95" t="s">
        <v>19</v>
      </c>
      <c r="H1539" s="95" t="s">
        <v>21</v>
      </c>
      <c r="I1539" s="95" t="s">
        <v>567</v>
      </c>
      <c r="J1539" s="97">
        <v>45975.67931630787</v>
      </c>
      <c r="K1539" s="96" t="s">
        <v>8928</v>
      </c>
      <c r="L1539" s="96" t="s">
        <v>8929</v>
      </c>
      <c r="M1539" s="95" t="s">
        <v>54</v>
      </c>
      <c r="N1539" s="95" t="s">
        <v>8920</v>
      </c>
      <c r="O1539" s="95" t="s">
        <v>8920</v>
      </c>
      <c r="P1539" s="95" t="s">
        <v>8921</v>
      </c>
      <c r="Q1539" s="98">
        <v>3.0</v>
      </c>
      <c r="R1539" s="97">
        <v>45870.90417824074</v>
      </c>
      <c r="S1539" s="99">
        <v>9081.0</v>
      </c>
      <c r="T1539" s="99">
        <v>12.0</v>
      </c>
      <c r="U1539" s="99">
        <v>2.0</v>
      </c>
      <c r="V1539" s="99">
        <v>73.0</v>
      </c>
      <c r="W1539" s="99">
        <v>468126.0</v>
      </c>
    </row>
    <row r="1540" ht="15.75" customHeight="1">
      <c r="A1540" s="95" t="s">
        <v>8930</v>
      </c>
      <c r="B1540" s="95" t="s">
        <v>69</v>
      </c>
      <c r="C1540" s="96" t="s">
        <v>8931</v>
      </c>
      <c r="D1540" s="95" t="s">
        <v>59</v>
      </c>
      <c r="E1540" s="95" t="s">
        <v>665</v>
      </c>
      <c r="F1540" s="95" t="s">
        <v>58</v>
      </c>
      <c r="G1540" s="95" t="s">
        <v>1450</v>
      </c>
      <c r="H1540" s="95" t="s">
        <v>60</v>
      </c>
      <c r="I1540" s="95" t="s">
        <v>8932</v>
      </c>
      <c r="J1540" s="97">
        <v>45993.78544196759</v>
      </c>
      <c r="K1540" s="96" t="s">
        <v>8933</v>
      </c>
      <c r="L1540" s="96" t="s">
        <v>8934</v>
      </c>
      <c r="M1540" s="95" t="s">
        <v>54</v>
      </c>
      <c r="N1540" s="95" t="s">
        <v>8920</v>
      </c>
      <c r="O1540" s="95" t="s">
        <v>8920</v>
      </c>
      <c r="P1540" s="95" t="s">
        <v>8921</v>
      </c>
      <c r="Q1540" s="98">
        <v>3.0</v>
      </c>
      <c r="R1540" s="97">
        <v>45860.43876157407</v>
      </c>
      <c r="S1540" s="99">
        <v>9081.0</v>
      </c>
      <c r="T1540" s="99">
        <v>113.0</v>
      </c>
      <c r="U1540" s="99">
        <v>6.0</v>
      </c>
      <c r="V1540" s="99">
        <v>303.0</v>
      </c>
      <c r="W1540" s="99">
        <v>468126.0</v>
      </c>
    </row>
    <row r="1541" ht="15.75" customHeight="1">
      <c r="A1541" s="95" t="s">
        <v>8935</v>
      </c>
      <c r="B1541" s="95" t="s">
        <v>131</v>
      </c>
      <c r="C1541" s="96" t="s">
        <v>8936</v>
      </c>
      <c r="D1541" s="95" t="s">
        <v>59</v>
      </c>
      <c r="E1541" s="95" t="s">
        <v>665</v>
      </c>
      <c r="F1541" s="95" t="s">
        <v>19</v>
      </c>
      <c r="G1541" s="95" t="s">
        <v>19</v>
      </c>
      <c r="H1541" s="95" t="s">
        <v>21</v>
      </c>
      <c r="I1541" s="95" t="s">
        <v>2509</v>
      </c>
      <c r="J1541" s="97">
        <v>45975.67931630787</v>
      </c>
      <c r="K1541" s="96" t="s">
        <v>8937</v>
      </c>
      <c r="L1541" s="96" t="s">
        <v>8938</v>
      </c>
      <c r="M1541" s="95" t="s">
        <v>54</v>
      </c>
      <c r="N1541" s="95" t="s">
        <v>8920</v>
      </c>
      <c r="O1541" s="95" t="s">
        <v>8920</v>
      </c>
      <c r="P1541" s="95" t="s">
        <v>8921</v>
      </c>
      <c r="Q1541" s="98">
        <v>3.0</v>
      </c>
      <c r="R1541" s="97">
        <v>45905.63439814815</v>
      </c>
      <c r="S1541" s="99">
        <v>9081.0</v>
      </c>
      <c r="T1541" s="99">
        <v>84.0</v>
      </c>
      <c r="U1541" s="99">
        <v>7.0</v>
      </c>
      <c r="V1541" s="99">
        <v>1358.0</v>
      </c>
      <c r="W1541" s="99">
        <v>468126.0</v>
      </c>
    </row>
    <row r="1542" ht="15.75" customHeight="1">
      <c r="A1542" s="95" t="s">
        <v>8939</v>
      </c>
      <c r="B1542" s="95" t="s">
        <v>157</v>
      </c>
      <c r="C1542" s="96" t="s">
        <v>8940</v>
      </c>
      <c r="D1542" s="95" t="s">
        <v>59</v>
      </c>
      <c r="E1542" s="95" t="s">
        <v>1347</v>
      </c>
      <c r="F1542" s="95" t="s">
        <v>88</v>
      </c>
      <c r="G1542" s="95" t="s">
        <v>8941</v>
      </c>
      <c r="H1542" s="95" t="s">
        <v>89</v>
      </c>
      <c r="I1542" s="95" t="s">
        <v>8942</v>
      </c>
      <c r="J1542" s="97">
        <v>45980.93978717593</v>
      </c>
      <c r="K1542" s="95" t="s">
        <v>8943</v>
      </c>
      <c r="L1542" s="96" t="s">
        <v>8944</v>
      </c>
      <c r="M1542" s="95" t="s">
        <v>54</v>
      </c>
      <c r="N1542" s="95" t="s">
        <v>8945</v>
      </c>
      <c r="O1542" s="95" t="s">
        <v>8945</v>
      </c>
      <c r="P1542" s="95" t="s">
        <v>8946</v>
      </c>
      <c r="Q1542" s="98">
        <v>3.0</v>
      </c>
      <c r="R1542" s="97">
        <v>45906.3391087963</v>
      </c>
      <c r="S1542" s="99">
        <v>65.0</v>
      </c>
      <c r="T1542" s="99">
        <v>52.0</v>
      </c>
      <c r="U1542" s="99">
        <v>10.0</v>
      </c>
      <c r="V1542" s="99">
        <v>106.0</v>
      </c>
      <c r="W1542" s="99">
        <v>66952.0</v>
      </c>
    </row>
    <row r="1543" ht="15.75" customHeight="1">
      <c r="A1543" s="95" t="s">
        <v>8947</v>
      </c>
      <c r="B1543" s="95" t="s">
        <v>22</v>
      </c>
      <c r="C1543" s="96" t="s">
        <v>8948</v>
      </c>
      <c r="D1543" s="95" t="s">
        <v>68</v>
      </c>
      <c r="E1543" s="95" t="s">
        <v>1489</v>
      </c>
      <c r="F1543" s="95" t="s">
        <v>19</v>
      </c>
      <c r="G1543" s="95" t="s">
        <v>19</v>
      </c>
      <c r="H1543" s="95" t="s">
        <v>21</v>
      </c>
      <c r="I1543" s="95" t="s">
        <v>589</v>
      </c>
      <c r="J1543" s="97">
        <v>45975.67931630787</v>
      </c>
      <c r="K1543" s="96" t="s">
        <v>8949</v>
      </c>
      <c r="L1543" s="96" t="s">
        <v>8950</v>
      </c>
      <c r="M1543" s="95" t="s">
        <v>54</v>
      </c>
      <c r="N1543" s="95" t="s">
        <v>8951</v>
      </c>
      <c r="O1543" s="95" t="s">
        <v>8951</v>
      </c>
      <c r="P1543" s="95" t="s">
        <v>8952</v>
      </c>
      <c r="Q1543" s="98">
        <v>3.0</v>
      </c>
      <c r="R1543" s="97">
        <v>45664.65565972222</v>
      </c>
      <c r="S1543" s="99">
        <v>5375.0</v>
      </c>
      <c r="T1543" s="99">
        <v>2.0</v>
      </c>
      <c r="U1543" s="99">
        <v>1.0</v>
      </c>
      <c r="V1543" s="99">
        <v>71.0</v>
      </c>
      <c r="W1543" s="99">
        <v>54438.0</v>
      </c>
    </row>
    <row r="1544" ht="15.75" customHeight="1">
      <c r="A1544" s="95" t="s">
        <v>8953</v>
      </c>
      <c r="B1544" s="95" t="s">
        <v>22</v>
      </c>
      <c r="C1544" s="96" t="s">
        <v>8954</v>
      </c>
      <c r="D1544" s="95" t="s">
        <v>168</v>
      </c>
      <c r="E1544" s="95" t="s">
        <v>1228</v>
      </c>
      <c r="F1544" s="95" t="s">
        <v>19</v>
      </c>
      <c r="G1544" s="95" t="s">
        <v>1427</v>
      </c>
      <c r="H1544" s="95" t="s">
        <v>21</v>
      </c>
      <c r="I1544" s="95" t="s">
        <v>567</v>
      </c>
      <c r="J1544" s="97">
        <v>45975.67936400463</v>
      </c>
      <c r="K1544" s="96" t="s">
        <v>8955</v>
      </c>
      <c r="L1544" s="96" t="s">
        <v>8956</v>
      </c>
      <c r="M1544" s="95" t="s">
        <v>17</v>
      </c>
      <c r="N1544" s="95" t="s">
        <v>8957</v>
      </c>
      <c r="O1544" s="95" t="s">
        <v>8957</v>
      </c>
      <c r="P1544" s="95" t="s">
        <v>8958</v>
      </c>
      <c r="Q1544" s="98">
        <v>3.0</v>
      </c>
      <c r="R1544" s="97">
        <v>45919.38181712963</v>
      </c>
      <c r="S1544" s="99">
        <v>154.0</v>
      </c>
      <c r="T1544" s="99">
        <v>31.0</v>
      </c>
      <c r="U1544" s="99">
        <v>175.0</v>
      </c>
      <c r="V1544" s="99">
        <v>363.0</v>
      </c>
      <c r="W1544" s="99">
        <v>185196.0</v>
      </c>
    </row>
    <row r="1545" ht="15.75" customHeight="1">
      <c r="A1545" s="95" t="s">
        <v>8959</v>
      </c>
      <c r="B1545" s="95" t="s">
        <v>22</v>
      </c>
      <c r="C1545" s="96" t="s">
        <v>8960</v>
      </c>
      <c r="D1545" s="95" t="s">
        <v>39</v>
      </c>
      <c r="E1545" s="95" t="s">
        <v>697</v>
      </c>
      <c r="F1545" s="95" t="s">
        <v>19</v>
      </c>
      <c r="G1545" s="95"/>
      <c r="H1545" s="95" t="s">
        <v>21</v>
      </c>
      <c r="I1545" s="95" t="s">
        <v>633</v>
      </c>
      <c r="J1545" s="97">
        <v>45978.45865711806</v>
      </c>
      <c r="K1545" s="95" t="s">
        <v>8961</v>
      </c>
      <c r="L1545" s="96" t="s">
        <v>8962</v>
      </c>
      <c r="M1545" s="95" t="s">
        <v>105</v>
      </c>
      <c r="N1545" s="95" t="s">
        <v>8963</v>
      </c>
      <c r="O1545" s="95" t="s">
        <v>8963</v>
      </c>
      <c r="P1545" s="95" t="s">
        <v>8964</v>
      </c>
      <c r="Q1545" s="98">
        <v>3.0</v>
      </c>
      <c r="R1545" s="97">
        <v>45805.94678240741</v>
      </c>
      <c r="S1545" s="99">
        <v>1587.0</v>
      </c>
      <c r="T1545" s="99">
        <v>82.0</v>
      </c>
      <c r="U1545" s="99">
        <v>1.0</v>
      </c>
      <c r="V1545" s="99">
        <v>178.0</v>
      </c>
      <c r="W1545" s="99">
        <v>126667.0</v>
      </c>
    </row>
    <row r="1546" ht="15.75" customHeight="1">
      <c r="A1546" s="95" t="s">
        <v>8965</v>
      </c>
      <c r="B1546" s="95" t="s">
        <v>157</v>
      </c>
      <c r="C1546" s="96" t="s">
        <v>8966</v>
      </c>
      <c r="D1546" s="95" t="s">
        <v>124</v>
      </c>
      <c r="E1546" s="95" t="s">
        <v>4929</v>
      </c>
      <c r="F1546" s="95" t="s">
        <v>88</v>
      </c>
      <c r="G1546" s="95" t="s">
        <v>88</v>
      </c>
      <c r="H1546" s="95" t="s">
        <v>89</v>
      </c>
      <c r="I1546" s="95" t="s">
        <v>897</v>
      </c>
      <c r="J1546" s="97">
        <v>45975.67938763889</v>
      </c>
      <c r="K1546" s="96" t="s">
        <v>8967</v>
      </c>
      <c r="L1546" s="96" t="s">
        <v>8968</v>
      </c>
      <c r="M1546" s="95" t="s">
        <v>74</v>
      </c>
      <c r="N1546" s="95" t="s">
        <v>8969</v>
      </c>
      <c r="O1546" s="95" t="s">
        <v>8969</v>
      </c>
      <c r="P1546" s="95" t="s">
        <v>8970</v>
      </c>
      <c r="Q1546" s="98">
        <v>3.0</v>
      </c>
      <c r="R1546" s="97">
        <v>45823.23457175926</v>
      </c>
      <c r="S1546" s="99">
        <v>1217.0</v>
      </c>
      <c r="T1546" s="99">
        <v>12.0</v>
      </c>
      <c r="U1546" s="99">
        <v>3.0</v>
      </c>
      <c r="V1546" s="99">
        <v>466.0</v>
      </c>
      <c r="W1546" s="99">
        <v>4159.0</v>
      </c>
    </row>
    <row r="1547" ht="15.75" customHeight="1">
      <c r="A1547" s="95" t="s">
        <v>8971</v>
      </c>
      <c r="B1547" s="95" t="s">
        <v>22</v>
      </c>
      <c r="C1547" s="96" t="s">
        <v>8972</v>
      </c>
      <c r="D1547" s="95" t="s">
        <v>124</v>
      </c>
      <c r="E1547" s="95" t="s">
        <v>2604</v>
      </c>
      <c r="F1547" s="95" t="s">
        <v>19</v>
      </c>
      <c r="G1547" s="95" t="s">
        <v>19</v>
      </c>
      <c r="H1547" s="95" t="s">
        <v>21</v>
      </c>
      <c r="I1547" s="95" t="s">
        <v>567</v>
      </c>
      <c r="J1547" s="97">
        <v>45975.67938763889</v>
      </c>
      <c r="K1547" s="96" t="s">
        <v>8973</v>
      </c>
      <c r="L1547" s="96" t="s">
        <v>8974</v>
      </c>
      <c r="M1547" s="95" t="s">
        <v>74</v>
      </c>
      <c r="N1547" s="95" t="s">
        <v>8975</v>
      </c>
      <c r="O1547" s="95" t="s">
        <v>8975</v>
      </c>
      <c r="P1547" s="95" t="s">
        <v>8976</v>
      </c>
      <c r="Q1547" s="98">
        <v>3.0</v>
      </c>
      <c r="R1547" s="97">
        <v>45741.05833333333</v>
      </c>
      <c r="S1547" s="99">
        <v>26423.0</v>
      </c>
      <c r="T1547" s="99">
        <v>16.0</v>
      </c>
      <c r="U1547" s="99">
        <v>1.0</v>
      </c>
      <c r="V1547" s="99">
        <v>709.0</v>
      </c>
      <c r="W1547" s="99">
        <v>1596637.0</v>
      </c>
    </row>
    <row r="1548" ht="15.75" customHeight="1">
      <c r="A1548" s="95" t="s">
        <v>8977</v>
      </c>
      <c r="B1548" s="95" t="s">
        <v>22</v>
      </c>
      <c r="C1548" s="96" t="s">
        <v>8978</v>
      </c>
      <c r="D1548" s="95" t="s">
        <v>29</v>
      </c>
      <c r="E1548" s="95" t="s">
        <v>910</v>
      </c>
      <c r="F1548" s="95" t="s">
        <v>19</v>
      </c>
      <c r="G1548" s="95" t="s">
        <v>19</v>
      </c>
      <c r="H1548" s="95" t="s">
        <v>21</v>
      </c>
      <c r="I1548" s="95" t="s">
        <v>2183</v>
      </c>
      <c r="J1548" s="97">
        <v>45975.67937972222</v>
      </c>
      <c r="K1548" s="96" t="s">
        <v>8979</v>
      </c>
      <c r="L1548" s="96" t="s">
        <v>8980</v>
      </c>
      <c r="M1548" s="95" t="s">
        <v>38</v>
      </c>
      <c r="N1548" s="95" t="s">
        <v>8981</v>
      </c>
      <c r="O1548" s="95" t="s">
        <v>8981</v>
      </c>
      <c r="P1548" s="95" t="s">
        <v>8982</v>
      </c>
      <c r="Q1548" s="98">
        <v>3.0</v>
      </c>
      <c r="R1548" s="97">
        <v>45818.05413194445</v>
      </c>
      <c r="S1548" s="99">
        <v>370.0</v>
      </c>
      <c r="T1548" s="99">
        <v>9.0</v>
      </c>
      <c r="U1548" s="99">
        <v>1.0</v>
      </c>
      <c r="V1548" s="99">
        <v>37.0</v>
      </c>
      <c r="W1548" s="99">
        <v>4205.0</v>
      </c>
    </row>
    <row r="1549" ht="15.75" customHeight="1">
      <c r="A1549" s="95" t="s">
        <v>8983</v>
      </c>
      <c r="B1549" s="95" t="s">
        <v>22</v>
      </c>
      <c r="C1549" s="96" t="s">
        <v>8984</v>
      </c>
      <c r="D1549" s="95" t="s">
        <v>124</v>
      </c>
      <c r="E1549" s="95" t="s">
        <v>794</v>
      </c>
      <c r="F1549" s="95" t="s">
        <v>19</v>
      </c>
      <c r="G1549" s="95" t="s">
        <v>19</v>
      </c>
      <c r="H1549" s="95" t="s">
        <v>21</v>
      </c>
      <c r="I1549" s="95" t="s">
        <v>567</v>
      </c>
      <c r="J1549" s="97">
        <v>46008.62905596065</v>
      </c>
      <c r="K1549" s="96" t="s">
        <v>8985</v>
      </c>
      <c r="L1549" s="96" t="s">
        <v>8986</v>
      </c>
      <c r="M1549" s="95" t="s">
        <v>17</v>
      </c>
      <c r="N1549" s="95" t="s">
        <v>8987</v>
      </c>
      <c r="O1549" s="95" t="s">
        <v>8987</v>
      </c>
      <c r="P1549" s="95" t="s">
        <v>8988</v>
      </c>
      <c r="Q1549" s="98">
        <v>3.0</v>
      </c>
      <c r="R1549" s="97">
        <v>45738.4404050926</v>
      </c>
      <c r="S1549" s="99">
        <v>10097.0</v>
      </c>
      <c r="T1549" s="99">
        <v>211.0</v>
      </c>
      <c r="U1549" s="99">
        <v>10.0</v>
      </c>
      <c r="V1549" s="99">
        <v>43.0</v>
      </c>
      <c r="W1549" s="99">
        <v>40443.0</v>
      </c>
    </row>
    <row r="1550" ht="15.75" customHeight="1">
      <c r="A1550" s="95" t="s">
        <v>8989</v>
      </c>
      <c r="B1550" s="95" t="s">
        <v>22</v>
      </c>
      <c r="C1550" s="96" t="s">
        <v>8990</v>
      </c>
      <c r="D1550" s="95" t="s">
        <v>168</v>
      </c>
      <c r="E1550" s="95" t="s">
        <v>1228</v>
      </c>
      <c r="F1550" s="95" t="s">
        <v>19</v>
      </c>
      <c r="G1550" s="95" t="s">
        <v>19</v>
      </c>
      <c r="H1550" s="95" t="s">
        <v>21</v>
      </c>
      <c r="I1550" s="95" t="s">
        <v>567</v>
      </c>
      <c r="J1550" s="97">
        <v>45977.67921827547</v>
      </c>
      <c r="K1550" s="95" t="s">
        <v>8991</v>
      </c>
      <c r="L1550" s="96" t="s">
        <v>8992</v>
      </c>
      <c r="M1550" s="95" t="s">
        <v>17</v>
      </c>
      <c r="N1550" s="95" t="s">
        <v>8993</v>
      </c>
      <c r="O1550" s="95" t="s">
        <v>8993</v>
      </c>
      <c r="P1550" s="95" t="s">
        <v>8994</v>
      </c>
      <c r="Q1550" s="98">
        <v>3.0</v>
      </c>
      <c r="R1550" s="97">
        <v>45762.69667824074</v>
      </c>
      <c r="S1550" s="99">
        <v>1488.0</v>
      </c>
      <c r="T1550" s="99">
        <v>100.0</v>
      </c>
      <c r="U1550" s="99">
        <v>8.0</v>
      </c>
      <c r="V1550" s="99">
        <v>162.0</v>
      </c>
      <c r="W1550" s="99">
        <v>52528.0</v>
      </c>
    </row>
    <row r="1551" ht="15.75" customHeight="1">
      <c r="A1551" s="95" t="s">
        <v>8995</v>
      </c>
      <c r="B1551" s="95" t="s">
        <v>22</v>
      </c>
      <c r="C1551" s="96" t="s">
        <v>8996</v>
      </c>
      <c r="D1551" s="95" t="s">
        <v>130</v>
      </c>
      <c r="E1551" s="95" t="s">
        <v>1025</v>
      </c>
      <c r="F1551" s="95" t="s">
        <v>19</v>
      </c>
      <c r="G1551" s="95" t="s">
        <v>19</v>
      </c>
      <c r="H1551" s="95" t="s">
        <v>21</v>
      </c>
      <c r="I1551" s="95" t="s">
        <v>567</v>
      </c>
      <c r="J1551" s="97">
        <v>45975.67936400463</v>
      </c>
      <c r="K1551" s="96" t="s">
        <v>8997</v>
      </c>
      <c r="L1551" s="96" t="s">
        <v>8998</v>
      </c>
      <c r="M1551" s="95" t="s">
        <v>17</v>
      </c>
      <c r="N1551" s="95" t="s">
        <v>8993</v>
      </c>
      <c r="O1551" s="95" t="s">
        <v>8993</v>
      </c>
      <c r="P1551" s="95" t="s">
        <v>8994</v>
      </c>
      <c r="Q1551" s="98">
        <v>3.0</v>
      </c>
      <c r="R1551" s="97">
        <v>45748.55432870371</v>
      </c>
      <c r="S1551" s="99">
        <v>1488.0</v>
      </c>
      <c r="T1551" s="99">
        <v>55.0</v>
      </c>
      <c r="U1551" s="99">
        <v>5.0</v>
      </c>
      <c r="V1551" s="99">
        <v>189.0</v>
      </c>
      <c r="W1551" s="99">
        <v>52528.0</v>
      </c>
    </row>
    <row r="1552" ht="15.75" customHeight="1">
      <c r="A1552" s="95" t="s">
        <v>8999</v>
      </c>
      <c r="B1552" s="95" t="s">
        <v>22</v>
      </c>
      <c r="C1552" s="96" t="s">
        <v>9000</v>
      </c>
      <c r="D1552" s="95" t="s">
        <v>168</v>
      </c>
      <c r="E1552" s="95" t="s">
        <v>1228</v>
      </c>
      <c r="F1552" s="95" t="s">
        <v>19</v>
      </c>
      <c r="G1552" s="95" t="s">
        <v>19</v>
      </c>
      <c r="H1552" s="95" t="s">
        <v>21</v>
      </c>
      <c r="I1552" s="95" t="s">
        <v>567</v>
      </c>
      <c r="J1552" s="97">
        <v>46008.62905815972</v>
      </c>
      <c r="K1552" s="96" t="s">
        <v>9001</v>
      </c>
      <c r="L1552" s="96" t="s">
        <v>9002</v>
      </c>
      <c r="M1552" s="95" t="s">
        <v>17</v>
      </c>
      <c r="N1552" s="95" t="s">
        <v>8993</v>
      </c>
      <c r="O1552" s="95" t="s">
        <v>8993</v>
      </c>
      <c r="P1552" s="95" t="s">
        <v>8994</v>
      </c>
      <c r="Q1552" s="98">
        <v>3.0</v>
      </c>
      <c r="R1552" s="97">
        <v>45772.54622685185</v>
      </c>
      <c r="S1552" s="99">
        <v>1488.0</v>
      </c>
      <c r="T1552" s="99">
        <v>432.0</v>
      </c>
      <c r="U1552" s="99">
        <v>15.0</v>
      </c>
      <c r="V1552" s="99">
        <v>101.0</v>
      </c>
      <c r="W1552" s="99">
        <v>52528.0</v>
      </c>
    </row>
    <row r="1553" ht="15.75" customHeight="1">
      <c r="A1553" s="95" t="s">
        <v>9003</v>
      </c>
      <c r="B1553" s="95" t="s">
        <v>69</v>
      </c>
      <c r="C1553" s="96" t="s">
        <v>9004</v>
      </c>
      <c r="D1553" s="95" t="s">
        <v>59</v>
      </c>
      <c r="E1553" s="95" t="s">
        <v>1873</v>
      </c>
      <c r="F1553" s="95" t="s">
        <v>58</v>
      </c>
      <c r="G1553" s="95" t="s">
        <v>2409</v>
      </c>
      <c r="H1553" s="95" t="s">
        <v>89</v>
      </c>
      <c r="I1553" s="95" t="s">
        <v>1922</v>
      </c>
      <c r="J1553" s="97">
        <v>45993.7854622338</v>
      </c>
      <c r="K1553" s="96" t="s">
        <v>9005</v>
      </c>
      <c r="L1553" s="95"/>
      <c r="M1553" s="95" t="s">
        <v>17</v>
      </c>
      <c r="N1553" s="95" t="s">
        <v>9006</v>
      </c>
      <c r="O1553" s="95" t="s">
        <v>9006</v>
      </c>
      <c r="P1553" s="95" t="s">
        <v>9007</v>
      </c>
      <c r="Q1553" s="98">
        <v>3.0</v>
      </c>
      <c r="R1553" s="97">
        <v>45775.85248842592</v>
      </c>
      <c r="S1553" s="99">
        <v>9442.0</v>
      </c>
      <c r="T1553" s="99">
        <v>19.0</v>
      </c>
      <c r="U1553" s="99">
        <v>1.0</v>
      </c>
      <c r="V1553" s="99">
        <v>29.0</v>
      </c>
      <c r="W1553" s="99">
        <v>328417.0</v>
      </c>
    </row>
    <row r="1554" ht="15.75" customHeight="1">
      <c r="A1554" s="95" t="s">
        <v>9008</v>
      </c>
      <c r="B1554" s="95" t="s">
        <v>22</v>
      </c>
      <c r="C1554" s="96" t="s">
        <v>9009</v>
      </c>
      <c r="D1554" s="95" t="s">
        <v>124</v>
      </c>
      <c r="E1554" s="95" t="s">
        <v>1731</v>
      </c>
      <c r="F1554" s="95" t="s">
        <v>19</v>
      </c>
      <c r="G1554" s="95" t="s">
        <v>19</v>
      </c>
      <c r="H1554" s="95" t="s">
        <v>21</v>
      </c>
      <c r="I1554" s="95" t="s">
        <v>589</v>
      </c>
      <c r="J1554" s="97">
        <v>45975.67937972222</v>
      </c>
      <c r="K1554" s="96" t="s">
        <v>9010</v>
      </c>
      <c r="L1554" s="96" t="s">
        <v>9011</v>
      </c>
      <c r="M1554" s="95" t="s">
        <v>38</v>
      </c>
      <c r="N1554" s="95" t="s">
        <v>9012</v>
      </c>
      <c r="O1554" s="95" t="s">
        <v>9012</v>
      </c>
      <c r="P1554" s="95" t="s">
        <v>9013</v>
      </c>
      <c r="Q1554" s="98">
        <v>3.0</v>
      </c>
      <c r="R1554" s="97">
        <v>45861.51174768519</v>
      </c>
      <c r="S1554" s="99">
        <v>20314.0</v>
      </c>
      <c r="T1554" s="99">
        <v>488.0</v>
      </c>
      <c r="U1554" s="99">
        <v>1.0</v>
      </c>
      <c r="V1554" s="99">
        <v>37.0</v>
      </c>
      <c r="W1554" s="99">
        <v>347451.0</v>
      </c>
    </row>
    <row r="1555" ht="15.75" customHeight="1">
      <c r="A1555" s="95" t="s">
        <v>9014</v>
      </c>
      <c r="B1555" s="95" t="s">
        <v>101</v>
      </c>
      <c r="C1555" s="96" t="s">
        <v>9015</v>
      </c>
      <c r="D1555" s="95" t="s">
        <v>124</v>
      </c>
      <c r="E1555" s="95" t="s">
        <v>794</v>
      </c>
      <c r="F1555" s="95" t="s">
        <v>19</v>
      </c>
      <c r="G1555" s="95" t="s">
        <v>19</v>
      </c>
      <c r="H1555" s="95" t="s">
        <v>21</v>
      </c>
      <c r="I1555" s="95" t="s">
        <v>955</v>
      </c>
      <c r="J1555" s="97">
        <v>46021.50638981481</v>
      </c>
      <c r="K1555" s="95" t="s">
        <v>9016</v>
      </c>
      <c r="L1555" s="96" t="s">
        <v>9017</v>
      </c>
      <c r="M1555" s="95" t="s">
        <v>93</v>
      </c>
      <c r="N1555" s="95" t="s">
        <v>9018</v>
      </c>
      <c r="O1555" s="95" t="s">
        <v>9018</v>
      </c>
      <c r="P1555" s="95" t="s">
        <v>9019</v>
      </c>
      <c r="Q1555" s="98">
        <v>3.0</v>
      </c>
      <c r="R1555" s="97">
        <v>45657.53037037037</v>
      </c>
      <c r="S1555" s="99">
        <v>79.0</v>
      </c>
      <c r="T1555" s="99">
        <v>61.0</v>
      </c>
      <c r="U1555" s="99">
        <v>11.0</v>
      </c>
      <c r="V1555" s="99">
        <v>40.0</v>
      </c>
      <c r="W1555" s="99">
        <v>31022.0</v>
      </c>
    </row>
    <row r="1556" ht="15.75" customHeight="1">
      <c r="A1556" s="95" t="s">
        <v>9020</v>
      </c>
      <c r="B1556" s="95" t="s">
        <v>22</v>
      </c>
      <c r="C1556" s="96" t="s">
        <v>9021</v>
      </c>
      <c r="D1556" s="95" t="s">
        <v>124</v>
      </c>
      <c r="E1556" s="95" t="s">
        <v>794</v>
      </c>
      <c r="F1556" s="95" t="s">
        <v>19</v>
      </c>
      <c r="G1556" s="95" t="s">
        <v>574</v>
      </c>
      <c r="H1556" s="95" t="s">
        <v>21</v>
      </c>
      <c r="I1556" s="95" t="s">
        <v>567</v>
      </c>
      <c r="J1556" s="97">
        <v>46021.50638981481</v>
      </c>
      <c r="K1556" s="95" t="s">
        <v>9022</v>
      </c>
      <c r="L1556" s="96" t="s">
        <v>9023</v>
      </c>
      <c r="M1556" s="95" t="s">
        <v>93</v>
      </c>
      <c r="N1556" s="95" t="s">
        <v>9018</v>
      </c>
      <c r="O1556" s="95" t="s">
        <v>9018</v>
      </c>
      <c r="P1556" s="95" t="s">
        <v>9019</v>
      </c>
      <c r="Q1556" s="98">
        <v>3.0</v>
      </c>
      <c r="R1556" s="97">
        <v>45703.72354166667</v>
      </c>
      <c r="S1556" s="99">
        <v>79.0</v>
      </c>
      <c r="T1556" s="99">
        <v>174.0</v>
      </c>
      <c r="U1556" s="99">
        <v>1.0</v>
      </c>
      <c r="V1556" s="99">
        <v>24.0</v>
      </c>
      <c r="W1556" s="99">
        <v>31022.0</v>
      </c>
    </row>
    <row r="1557" ht="15.75" customHeight="1">
      <c r="A1557" s="95" t="s">
        <v>9024</v>
      </c>
      <c r="B1557" s="95" t="s">
        <v>22</v>
      </c>
      <c r="C1557" s="96" t="s">
        <v>9025</v>
      </c>
      <c r="D1557" s="95" t="s">
        <v>124</v>
      </c>
      <c r="E1557" s="95" t="s">
        <v>794</v>
      </c>
      <c r="F1557" s="95" t="s">
        <v>19</v>
      </c>
      <c r="G1557" s="95" t="s">
        <v>574</v>
      </c>
      <c r="H1557" s="95" t="s">
        <v>21</v>
      </c>
      <c r="I1557" s="95" t="s">
        <v>567</v>
      </c>
      <c r="J1557" s="97">
        <v>46021.51435841435</v>
      </c>
      <c r="K1557" s="95" t="s">
        <v>9026</v>
      </c>
      <c r="L1557" s="96" t="s">
        <v>9027</v>
      </c>
      <c r="M1557" s="95" t="s">
        <v>93</v>
      </c>
      <c r="N1557" s="95" t="s">
        <v>9018</v>
      </c>
      <c r="O1557" s="95" t="s">
        <v>9018</v>
      </c>
      <c r="P1557" s="95" t="s">
        <v>9019</v>
      </c>
      <c r="Q1557" s="98">
        <v>3.0</v>
      </c>
      <c r="R1557" s="97">
        <v>45718.59442129629</v>
      </c>
      <c r="S1557" s="99">
        <v>79.0</v>
      </c>
      <c r="T1557" s="99">
        <v>234.0</v>
      </c>
      <c r="U1557" s="99">
        <v>9.0</v>
      </c>
      <c r="V1557" s="99">
        <v>31.0</v>
      </c>
      <c r="W1557" s="99">
        <v>31022.0</v>
      </c>
    </row>
    <row r="1558" ht="15.75" customHeight="1">
      <c r="A1558" s="95" t="s">
        <v>9028</v>
      </c>
      <c r="B1558" s="95" t="s">
        <v>22</v>
      </c>
      <c r="C1558" s="96" t="s">
        <v>9029</v>
      </c>
      <c r="D1558" s="95" t="s">
        <v>59</v>
      </c>
      <c r="E1558" s="95" t="s">
        <v>738</v>
      </c>
      <c r="F1558" s="95" t="s">
        <v>19</v>
      </c>
      <c r="G1558" s="95" t="s">
        <v>19</v>
      </c>
      <c r="H1558" s="95" t="s">
        <v>21</v>
      </c>
      <c r="I1558" s="95" t="s">
        <v>567</v>
      </c>
      <c r="J1558" s="97">
        <v>46057.09172366898</v>
      </c>
      <c r="K1558" s="95" t="s">
        <v>9030</v>
      </c>
      <c r="L1558" s="96" t="s">
        <v>9031</v>
      </c>
      <c r="M1558" s="95" t="s">
        <v>93</v>
      </c>
      <c r="N1558" s="95" t="s">
        <v>9032</v>
      </c>
      <c r="O1558" s="95" t="s">
        <v>9032</v>
      </c>
      <c r="P1558" s="95" t="s">
        <v>9033</v>
      </c>
      <c r="Q1558" s="98">
        <v>3.0</v>
      </c>
      <c r="R1558" s="97">
        <v>43651.20657407407</v>
      </c>
      <c r="S1558" s="99">
        <v>3797.0</v>
      </c>
      <c r="T1558" s="99">
        <v>39.0</v>
      </c>
      <c r="U1558" s="99">
        <v>4.0</v>
      </c>
      <c r="V1558" s="99">
        <v>422.0</v>
      </c>
      <c r="W1558" s="99">
        <v>106902.0</v>
      </c>
    </row>
    <row r="1559" ht="15.75" customHeight="1">
      <c r="A1559" s="95" t="s">
        <v>9034</v>
      </c>
      <c r="B1559" s="95" t="s">
        <v>22</v>
      </c>
      <c r="C1559" s="96" t="s">
        <v>9035</v>
      </c>
      <c r="D1559" s="95" t="s">
        <v>547</v>
      </c>
      <c r="E1559" s="95" t="s">
        <v>547</v>
      </c>
      <c r="F1559" s="95" t="s">
        <v>19</v>
      </c>
      <c r="G1559" s="95" t="s">
        <v>1427</v>
      </c>
      <c r="H1559" s="95" t="s">
        <v>21</v>
      </c>
      <c r="I1559" s="95" t="s">
        <v>567</v>
      </c>
      <c r="J1559" s="97">
        <v>46021.49791459491</v>
      </c>
      <c r="K1559" s="95" t="s">
        <v>9036</v>
      </c>
      <c r="L1559" s="96" t="s">
        <v>9037</v>
      </c>
      <c r="M1559" s="95" t="s">
        <v>38</v>
      </c>
      <c r="N1559" s="95" t="s">
        <v>9038</v>
      </c>
      <c r="O1559" s="95" t="s">
        <v>9038</v>
      </c>
      <c r="P1559" s="95" t="s">
        <v>9039</v>
      </c>
      <c r="Q1559" s="98">
        <v>3.0</v>
      </c>
      <c r="R1559" s="97">
        <v>45856.45078703704</v>
      </c>
      <c r="S1559" s="99">
        <v>559.0</v>
      </c>
      <c r="T1559" s="99">
        <v>8.0</v>
      </c>
      <c r="U1559" s="99">
        <v>3.0</v>
      </c>
      <c r="V1559" s="99">
        <v>199.0</v>
      </c>
      <c r="W1559" s="99">
        <v>117926.0</v>
      </c>
    </row>
    <row r="1560" ht="15.75" customHeight="1">
      <c r="A1560" s="95" t="s">
        <v>9040</v>
      </c>
      <c r="B1560" s="95" t="s">
        <v>22</v>
      </c>
      <c r="C1560" s="96" t="s">
        <v>9041</v>
      </c>
      <c r="D1560" s="95" t="s">
        <v>547</v>
      </c>
      <c r="E1560" s="95" t="s">
        <v>710</v>
      </c>
      <c r="F1560" s="95" t="s">
        <v>19</v>
      </c>
      <c r="G1560" s="95" t="s">
        <v>19</v>
      </c>
      <c r="H1560" s="95" t="s">
        <v>21</v>
      </c>
      <c r="I1560" s="95" t="s">
        <v>589</v>
      </c>
      <c r="J1560" s="97">
        <v>46021.51435841435</v>
      </c>
      <c r="K1560" s="95" t="s">
        <v>9042</v>
      </c>
      <c r="L1560" s="96" t="s">
        <v>9043</v>
      </c>
      <c r="M1560" s="95" t="s">
        <v>74</v>
      </c>
      <c r="N1560" s="95" t="s">
        <v>9044</v>
      </c>
      <c r="O1560" s="95" t="s">
        <v>9044</v>
      </c>
      <c r="P1560" s="95" t="s">
        <v>9045</v>
      </c>
      <c r="Q1560" s="98">
        <v>3.0</v>
      </c>
      <c r="R1560" s="97">
        <v>45699.42319444445</v>
      </c>
      <c r="S1560" s="99">
        <v>2142.0</v>
      </c>
      <c r="T1560" s="99">
        <v>14.0</v>
      </c>
      <c r="U1560" s="99">
        <v>5.0</v>
      </c>
      <c r="V1560" s="99">
        <v>418.0</v>
      </c>
      <c r="W1560" s="99">
        <v>111798.0</v>
      </c>
    </row>
    <row r="1561" ht="15.75" customHeight="1">
      <c r="A1561" s="95" t="s">
        <v>9046</v>
      </c>
      <c r="B1561" s="95" t="s">
        <v>157</v>
      </c>
      <c r="C1561" s="96" t="s">
        <v>9047</v>
      </c>
      <c r="D1561" s="95" t="s">
        <v>547</v>
      </c>
      <c r="E1561" s="95" t="s">
        <v>710</v>
      </c>
      <c r="F1561" s="95" t="s">
        <v>88</v>
      </c>
      <c r="G1561" s="95" t="s">
        <v>88</v>
      </c>
      <c r="H1561" s="95" t="s">
        <v>89</v>
      </c>
      <c r="I1561" s="95" t="s">
        <v>897</v>
      </c>
      <c r="J1561" s="97">
        <v>46040.56696197917</v>
      </c>
      <c r="K1561" s="95" t="s">
        <v>9048</v>
      </c>
      <c r="L1561" s="96" t="s">
        <v>9049</v>
      </c>
      <c r="M1561" s="95" t="s">
        <v>74</v>
      </c>
      <c r="N1561" s="95" t="s">
        <v>9044</v>
      </c>
      <c r="O1561" s="95" t="s">
        <v>9044</v>
      </c>
      <c r="P1561" s="95" t="s">
        <v>9045</v>
      </c>
      <c r="Q1561" s="98">
        <v>3.0</v>
      </c>
      <c r="R1561" s="97">
        <v>45845.39825231482</v>
      </c>
      <c r="S1561" s="99">
        <v>2142.0</v>
      </c>
      <c r="T1561" s="99">
        <v>152.0</v>
      </c>
      <c r="U1561" s="99">
        <v>11.0</v>
      </c>
      <c r="V1561" s="99">
        <v>372.0</v>
      </c>
      <c r="W1561" s="99">
        <v>111798.0</v>
      </c>
    </row>
    <row r="1562" ht="15.75" customHeight="1">
      <c r="A1562" s="95" t="s">
        <v>9050</v>
      </c>
      <c r="B1562" s="95" t="s">
        <v>22</v>
      </c>
      <c r="C1562" s="96" t="s">
        <v>9051</v>
      </c>
      <c r="D1562" s="95" t="s">
        <v>547</v>
      </c>
      <c r="E1562" s="95" t="s">
        <v>710</v>
      </c>
      <c r="F1562" s="95" t="s">
        <v>19</v>
      </c>
      <c r="G1562" s="95" t="s">
        <v>574</v>
      </c>
      <c r="H1562" s="95" t="s">
        <v>21</v>
      </c>
      <c r="I1562" s="95" t="s">
        <v>567</v>
      </c>
      <c r="J1562" s="97">
        <v>46021.50638981481</v>
      </c>
      <c r="K1562" s="95" t="s">
        <v>9052</v>
      </c>
      <c r="L1562" s="96" t="s">
        <v>9053</v>
      </c>
      <c r="M1562" s="95" t="s">
        <v>74</v>
      </c>
      <c r="N1562" s="95" t="s">
        <v>9044</v>
      </c>
      <c r="O1562" s="95" t="s">
        <v>9044</v>
      </c>
      <c r="P1562" s="95" t="s">
        <v>9045</v>
      </c>
      <c r="Q1562" s="98">
        <v>3.0</v>
      </c>
      <c r="R1562" s="97">
        <v>45903.68131944445</v>
      </c>
      <c r="S1562" s="99">
        <v>2142.0</v>
      </c>
      <c r="T1562" s="99">
        <v>28.0</v>
      </c>
      <c r="U1562" s="99">
        <v>33.0</v>
      </c>
      <c r="V1562" s="99">
        <v>947.0</v>
      </c>
      <c r="W1562" s="99">
        <v>111798.0</v>
      </c>
    </row>
    <row r="1563" ht="15.75" customHeight="1">
      <c r="A1563" s="95" t="s">
        <v>9054</v>
      </c>
      <c r="B1563" s="95" t="s">
        <v>157</v>
      </c>
      <c r="C1563" s="96" t="s">
        <v>9055</v>
      </c>
      <c r="D1563" s="95" t="s">
        <v>168</v>
      </c>
      <c r="E1563" s="95" t="s">
        <v>9056</v>
      </c>
      <c r="F1563" s="95" t="s">
        <v>19</v>
      </c>
      <c r="G1563" s="95" t="s">
        <v>19</v>
      </c>
      <c r="H1563" s="95" t="s">
        <v>89</v>
      </c>
      <c r="I1563" s="95" t="s">
        <v>897</v>
      </c>
      <c r="J1563" s="97">
        <v>46021.50647173611</v>
      </c>
      <c r="K1563" s="95" t="s">
        <v>9057</v>
      </c>
      <c r="L1563" s="96" t="s">
        <v>9058</v>
      </c>
      <c r="M1563" s="95" t="s">
        <v>74</v>
      </c>
      <c r="N1563" s="95" t="s">
        <v>9044</v>
      </c>
      <c r="O1563" s="95" t="s">
        <v>9044</v>
      </c>
      <c r="P1563" s="95" t="s">
        <v>9045</v>
      </c>
      <c r="Q1563" s="98">
        <v>3.0</v>
      </c>
      <c r="R1563" s="97">
        <v>45714.50085648148</v>
      </c>
      <c r="S1563" s="99">
        <v>2142.0</v>
      </c>
      <c r="T1563" s="99">
        <v>500.0</v>
      </c>
      <c r="U1563" s="99">
        <v>7.0</v>
      </c>
      <c r="V1563" s="99">
        <v>585.0</v>
      </c>
      <c r="W1563" s="99">
        <v>111798.0</v>
      </c>
    </row>
    <row r="1564" ht="15.75" customHeight="1">
      <c r="A1564" s="95" t="s">
        <v>9059</v>
      </c>
      <c r="B1564" s="95" t="s">
        <v>69</v>
      </c>
      <c r="C1564" s="96" t="s">
        <v>9060</v>
      </c>
      <c r="D1564" s="95" t="s">
        <v>59</v>
      </c>
      <c r="E1564" s="95" t="s">
        <v>59</v>
      </c>
      <c r="F1564" s="95" t="s">
        <v>19</v>
      </c>
      <c r="G1564" s="95" t="s">
        <v>19</v>
      </c>
      <c r="H1564" s="95" t="s">
        <v>21</v>
      </c>
      <c r="I1564" s="95" t="s">
        <v>998</v>
      </c>
      <c r="J1564" s="97">
        <v>46021.51435841435</v>
      </c>
      <c r="K1564" s="95" t="s">
        <v>9061</v>
      </c>
      <c r="L1564" s="96" t="s">
        <v>9062</v>
      </c>
      <c r="M1564" s="95" t="s">
        <v>54</v>
      </c>
      <c r="N1564" s="95" t="s">
        <v>9063</v>
      </c>
      <c r="O1564" s="95" t="s">
        <v>9063</v>
      </c>
      <c r="P1564" s="95" t="s">
        <v>9064</v>
      </c>
      <c r="Q1564" s="98">
        <v>3.0</v>
      </c>
      <c r="R1564" s="97">
        <v>45683.15033564815</v>
      </c>
      <c r="S1564" s="99">
        <v>193.0</v>
      </c>
      <c r="T1564" s="99">
        <v>5.0</v>
      </c>
      <c r="U1564" s="99">
        <v>1.0</v>
      </c>
      <c r="V1564" s="99">
        <v>42.0</v>
      </c>
      <c r="W1564" s="99">
        <v>3737.0</v>
      </c>
    </row>
    <row r="1565" ht="15.75" customHeight="1">
      <c r="A1565" s="95" t="s">
        <v>9065</v>
      </c>
      <c r="B1565" s="95" t="s">
        <v>69</v>
      </c>
      <c r="C1565" s="96" t="s">
        <v>9066</v>
      </c>
      <c r="D1565" s="95" t="s">
        <v>39</v>
      </c>
      <c r="E1565" s="95" t="s">
        <v>39</v>
      </c>
      <c r="F1565" s="95" t="s">
        <v>88</v>
      </c>
      <c r="G1565" s="95" t="s">
        <v>88</v>
      </c>
      <c r="H1565" s="95" t="s">
        <v>89</v>
      </c>
      <c r="I1565" s="95" t="s">
        <v>5444</v>
      </c>
      <c r="J1565" s="97">
        <v>46075.71582396991</v>
      </c>
      <c r="K1565" s="95" t="s">
        <v>9067</v>
      </c>
      <c r="L1565" s="96" t="s">
        <v>9068</v>
      </c>
      <c r="M1565" s="95" t="s">
        <v>93</v>
      </c>
      <c r="N1565" s="95" t="s">
        <v>9069</v>
      </c>
      <c r="O1565" s="95" t="s">
        <v>9069</v>
      </c>
      <c r="P1565" s="95" t="s">
        <v>9070</v>
      </c>
      <c r="Q1565" s="98">
        <v>3.0</v>
      </c>
      <c r="R1565" s="97">
        <v>46063.47835648148</v>
      </c>
      <c r="S1565" s="99">
        <v>3071.0</v>
      </c>
      <c r="T1565" s="99">
        <v>401.0</v>
      </c>
      <c r="U1565" s="99">
        <v>5.0</v>
      </c>
      <c r="V1565" s="99">
        <v>382.0</v>
      </c>
      <c r="W1565" s="99">
        <v>999999.0</v>
      </c>
    </row>
    <row r="1566" ht="15.75" customHeight="1">
      <c r="A1566" s="95" t="s">
        <v>9071</v>
      </c>
      <c r="B1566" s="95" t="s">
        <v>22</v>
      </c>
      <c r="C1566" s="96" t="s">
        <v>9072</v>
      </c>
      <c r="D1566" s="95" t="s">
        <v>39</v>
      </c>
      <c r="E1566" s="95" t="s">
        <v>39</v>
      </c>
      <c r="F1566" s="95" t="s">
        <v>19</v>
      </c>
      <c r="G1566" s="95" t="s">
        <v>19</v>
      </c>
      <c r="H1566" s="95" t="s">
        <v>21</v>
      </c>
      <c r="I1566" s="95" t="s">
        <v>567</v>
      </c>
      <c r="J1566" s="97">
        <v>45978.45940983796</v>
      </c>
      <c r="K1566" s="95" t="s">
        <v>9073</v>
      </c>
      <c r="L1566" s="96" t="s">
        <v>9074</v>
      </c>
      <c r="M1566" s="95" t="s">
        <v>38</v>
      </c>
      <c r="N1566" s="95" t="s">
        <v>9075</v>
      </c>
      <c r="O1566" s="95" t="s">
        <v>9075</v>
      </c>
      <c r="P1566" s="95" t="s">
        <v>9076</v>
      </c>
      <c r="Q1566" s="98">
        <v>3.0</v>
      </c>
      <c r="R1566" s="97">
        <v>45607.66496527778</v>
      </c>
      <c r="S1566" s="99">
        <v>1016.0</v>
      </c>
      <c r="T1566" s="99">
        <v>150.0</v>
      </c>
      <c r="U1566" s="99">
        <v>10.0</v>
      </c>
      <c r="V1566" s="99">
        <v>1038.0</v>
      </c>
      <c r="W1566" s="99">
        <v>17138.0</v>
      </c>
    </row>
    <row r="1567" ht="15.75" customHeight="1">
      <c r="A1567" s="95" t="s">
        <v>9077</v>
      </c>
      <c r="B1567" s="95" t="s">
        <v>22</v>
      </c>
      <c r="C1567" s="96" t="s">
        <v>9078</v>
      </c>
      <c r="D1567" s="95" t="s">
        <v>59</v>
      </c>
      <c r="E1567" s="95" t="s">
        <v>9079</v>
      </c>
      <c r="F1567" s="95" t="s">
        <v>19</v>
      </c>
      <c r="G1567" s="95" t="s">
        <v>19</v>
      </c>
      <c r="H1567" s="95" t="s">
        <v>21</v>
      </c>
      <c r="I1567" s="95" t="s">
        <v>589</v>
      </c>
      <c r="J1567" s="97">
        <v>46021.49791459491</v>
      </c>
      <c r="K1567" s="95" t="s">
        <v>9080</v>
      </c>
      <c r="L1567" s="96" t="s">
        <v>9081</v>
      </c>
      <c r="M1567" s="95" t="s">
        <v>54</v>
      </c>
      <c r="N1567" s="95" t="s">
        <v>9082</v>
      </c>
      <c r="O1567" s="95" t="s">
        <v>9082</v>
      </c>
      <c r="P1567" s="95" t="s">
        <v>9083</v>
      </c>
      <c r="Q1567" s="98">
        <v>3.0</v>
      </c>
      <c r="R1567" s="97">
        <v>45622.61260416666</v>
      </c>
      <c r="S1567" s="99">
        <v>804.0</v>
      </c>
      <c r="T1567" s="99">
        <v>3254.0</v>
      </c>
      <c r="U1567" s="99">
        <v>3.0</v>
      </c>
      <c r="V1567" s="99">
        <v>101.0</v>
      </c>
      <c r="W1567" s="99">
        <v>272867.0</v>
      </c>
    </row>
    <row r="1568" ht="15.75" customHeight="1">
      <c r="A1568" s="95" t="s">
        <v>9084</v>
      </c>
      <c r="B1568" s="95" t="s">
        <v>22</v>
      </c>
      <c r="C1568" s="96" t="s">
        <v>9085</v>
      </c>
      <c r="D1568" s="95" t="s">
        <v>59</v>
      </c>
      <c r="E1568" s="95" t="s">
        <v>9086</v>
      </c>
      <c r="F1568" s="95" t="s">
        <v>19</v>
      </c>
      <c r="G1568" s="95" t="s">
        <v>19</v>
      </c>
      <c r="H1568" s="95" t="s">
        <v>21</v>
      </c>
      <c r="I1568" s="95" t="s">
        <v>567</v>
      </c>
      <c r="J1568" s="97">
        <v>46021.51435841435</v>
      </c>
      <c r="K1568" s="95" t="s">
        <v>9087</v>
      </c>
      <c r="L1568" s="96" t="s">
        <v>9088</v>
      </c>
      <c r="M1568" s="95" t="s">
        <v>54</v>
      </c>
      <c r="N1568" s="95" t="s">
        <v>9082</v>
      </c>
      <c r="O1568" s="95" t="s">
        <v>9082</v>
      </c>
      <c r="P1568" s="95" t="s">
        <v>9083</v>
      </c>
      <c r="Q1568" s="98">
        <v>3.0</v>
      </c>
      <c r="R1568" s="97">
        <v>45607.83020833333</v>
      </c>
      <c r="S1568" s="99">
        <v>804.0</v>
      </c>
      <c r="T1568" s="99">
        <v>3207.0</v>
      </c>
      <c r="U1568" s="99">
        <v>10.0</v>
      </c>
      <c r="V1568" s="99">
        <v>111.0</v>
      </c>
      <c r="W1568" s="99">
        <v>272867.0</v>
      </c>
    </row>
    <row r="1569" ht="15.75" customHeight="1">
      <c r="A1569" s="95" t="s">
        <v>9089</v>
      </c>
      <c r="B1569" s="95" t="s">
        <v>22</v>
      </c>
      <c r="C1569" s="96" t="s">
        <v>9090</v>
      </c>
      <c r="D1569" s="95" t="s">
        <v>49</v>
      </c>
      <c r="E1569" s="95" t="s">
        <v>1082</v>
      </c>
      <c r="F1569" s="95" t="s">
        <v>19</v>
      </c>
      <c r="G1569" s="95" t="s">
        <v>19</v>
      </c>
      <c r="H1569" s="95" t="s">
        <v>21</v>
      </c>
      <c r="I1569" s="95" t="s">
        <v>567</v>
      </c>
      <c r="J1569" s="97">
        <v>46003.09561767361</v>
      </c>
      <c r="K1569" s="95" t="s">
        <v>9091</v>
      </c>
      <c r="L1569" s="96" t="s">
        <v>9092</v>
      </c>
      <c r="M1569" s="95" t="s">
        <v>38</v>
      </c>
      <c r="N1569" s="95" t="s">
        <v>9093</v>
      </c>
      <c r="O1569" s="95" t="s">
        <v>9093</v>
      </c>
      <c r="P1569" s="95" t="s">
        <v>9094</v>
      </c>
      <c r="Q1569" s="98">
        <v>3.0</v>
      </c>
      <c r="R1569" s="97">
        <v>45939.48496527778</v>
      </c>
      <c r="S1569" s="99">
        <v>440.0</v>
      </c>
      <c r="T1569" s="99">
        <v>5.0</v>
      </c>
      <c r="U1569" s="99">
        <v>2.0</v>
      </c>
      <c r="V1569" s="99">
        <v>293.0</v>
      </c>
      <c r="W1569" s="99">
        <v>230770.0</v>
      </c>
    </row>
    <row r="1570" ht="15.75" customHeight="1">
      <c r="A1570" s="95" t="s">
        <v>9095</v>
      </c>
      <c r="B1570" s="95" t="s">
        <v>101</v>
      </c>
      <c r="C1570" s="96" t="s">
        <v>9096</v>
      </c>
      <c r="D1570" s="95" t="s">
        <v>130</v>
      </c>
      <c r="E1570" s="95" t="s">
        <v>1025</v>
      </c>
      <c r="F1570" s="95" t="s">
        <v>19</v>
      </c>
      <c r="G1570" s="95" t="s">
        <v>574</v>
      </c>
      <c r="H1570" s="95" t="s">
        <v>21</v>
      </c>
      <c r="I1570" s="95" t="s">
        <v>1504</v>
      </c>
      <c r="J1570" s="97">
        <v>46069.13660108796</v>
      </c>
      <c r="K1570" s="95" t="s">
        <v>9097</v>
      </c>
      <c r="L1570" s="96" t="s">
        <v>9098</v>
      </c>
      <c r="M1570" s="95" t="s">
        <v>93</v>
      </c>
      <c r="N1570" s="95" t="s">
        <v>9099</v>
      </c>
      <c r="O1570" s="95" t="s">
        <v>9099</v>
      </c>
      <c r="P1570" s="95" t="s">
        <v>9100</v>
      </c>
      <c r="Q1570" s="98">
        <v>3.0</v>
      </c>
      <c r="R1570" s="97">
        <v>46050.63189814815</v>
      </c>
      <c r="S1570" s="99">
        <v>281.0</v>
      </c>
      <c r="T1570" s="99">
        <v>208.0</v>
      </c>
      <c r="U1570" s="99">
        <v>51.0</v>
      </c>
      <c r="V1570" s="99">
        <v>949.0</v>
      </c>
      <c r="W1570" s="99">
        <v>151785.0</v>
      </c>
    </row>
    <row r="1571" ht="15.75" customHeight="1">
      <c r="A1571" s="95" t="s">
        <v>9101</v>
      </c>
      <c r="B1571" s="95" t="s">
        <v>22</v>
      </c>
      <c r="C1571" s="96" t="s">
        <v>9102</v>
      </c>
      <c r="D1571" s="95" t="s">
        <v>68</v>
      </c>
      <c r="E1571" s="95" t="s">
        <v>1901</v>
      </c>
      <c r="F1571" s="95" t="s">
        <v>19</v>
      </c>
      <c r="G1571" s="95" t="s">
        <v>19</v>
      </c>
      <c r="H1571" s="95" t="s">
        <v>21</v>
      </c>
      <c r="I1571" s="95" t="s">
        <v>567</v>
      </c>
      <c r="J1571" s="97">
        <v>46021.49338171296</v>
      </c>
      <c r="K1571" s="95" t="s">
        <v>9103</v>
      </c>
      <c r="L1571" s="96" t="s">
        <v>9104</v>
      </c>
      <c r="M1571" s="95" t="s">
        <v>54</v>
      </c>
      <c r="N1571" s="95" t="s">
        <v>9105</v>
      </c>
      <c r="O1571" s="95" t="s">
        <v>9105</v>
      </c>
      <c r="P1571" s="95" t="s">
        <v>9106</v>
      </c>
      <c r="Q1571" s="98">
        <v>3.0</v>
      </c>
      <c r="R1571" s="97">
        <v>45697.33572916667</v>
      </c>
      <c r="S1571" s="99">
        <v>58.0</v>
      </c>
      <c r="T1571" s="99">
        <v>42.0</v>
      </c>
      <c r="U1571" s="99">
        <v>9.0</v>
      </c>
      <c r="V1571" s="99">
        <v>81.0</v>
      </c>
      <c r="W1571" s="99">
        <v>5143.0</v>
      </c>
    </row>
    <row r="1572" ht="15.75" customHeight="1">
      <c r="A1572" s="95" t="s">
        <v>9107</v>
      </c>
      <c r="B1572" s="95" t="s">
        <v>22</v>
      </c>
      <c r="C1572" s="96" t="s">
        <v>9108</v>
      </c>
      <c r="D1572" s="95" t="s">
        <v>39</v>
      </c>
      <c r="E1572" s="95" t="s">
        <v>39</v>
      </c>
      <c r="F1572" s="95" t="s">
        <v>19</v>
      </c>
      <c r="G1572" s="95" t="s">
        <v>19</v>
      </c>
      <c r="H1572" s="95" t="s">
        <v>21</v>
      </c>
      <c r="I1572" s="95" t="s">
        <v>567</v>
      </c>
      <c r="J1572" s="97">
        <v>45993.78544196759</v>
      </c>
      <c r="K1572" s="96" t="s">
        <v>9109</v>
      </c>
      <c r="L1572" s="96" t="s">
        <v>9110</v>
      </c>
      <c r="M1572" s="95" t="s">
        <v>93</v>
      </c>
      <c r="N1572" s="95" t="s">
        <v>9111</v>
      </c>
      <c r="O1572" s="95" t="s">
        <v>9111</v>
      </c>
      <c r="P1572" s="95" t="s">
        <v>9112</v>
      </c>
      <c r="Q1572" s="98">
        <v>3.0</v>
      </c>
      <c r="R1572" s="97">
        <v>45936.36443287037</v>
      </c>
      <c r="S1572" s="99">
        <v>3825.0</v>
      </c>
      <c r="T1572" s="99">
        <v>803.0</v>
      </c>
      <c r="U1572" s="99">
        <v>49.0</v>
      </c>
      <c r="V1572" s="99">
        <v>367.0</v>
      </c>
      <c r="W1572" s="99">
        <v>287592.0</v>
      </c>
    </row>
    <row r="1573" ht="15.75" customHeight="1">
      <c r="A1573" s="95" t="s">
        <v>9113</v>
      </c>
      <c r="B1573" s="95" t="s">
        <v>22</v>
      </c>
      <c r="C1573" s="96" t="s">
        <v>9114</v>
      </c>
      <c r="D1573" s="95" t="s">
        <v>39</v>
      </c>
      <c r="E1573" s="95" t="s">
        <v>39</v>
      </c>
      <c r="F1573" s="95" t="s">
        <v>19</v>
      </c>
      <c r="G1573" s="95" t="s">
        <v>19</v>
      </c>
      <c r="H1573" s="95" t="s">
        <v>21</v>
      </c>
      <c r="I1573" s="95" t="s">
        <v>567</v>
      </c>
      <c r="J1573" s="97">
        <v>46039.71667966435</v>
      </c>
      <c r="K1573" s="95" t="s">
        <v>9115</v>
      </c>
      <c r="L1573" s="96" t="s">
        <v>9116</v>
      </c>
      <c r="M1573" s="95" t="s">
        <v>93</v>
      </c>
      <c r="N1573" s="95" t="s">
        <v>9111</v>
      </c>
      <c r="O1573" s="95" t="s">
        <v>9111</v>
      </c>
      <c r="P1573" s="95" t="s">
        <v>9112</v>
      </c>
      <c r="Q1573" s="98">
        <v>3.0</v>
      </c>
      <c r="R1573" s="97">
        <v>45717.80568287037</v>
      </c>
      <c r="S1573" s="99">
        <v>3825.0</v>
      </c>
      <c r="T1573" s="99">
        <v>745.0</v>
      </c>
      <c r="U1573" s="99">
        <v>15.0</v>
      </c>
      <c r="V1573" s="99">
        <v>84.0</v>
      </c>
      <c r="W1573" s="99">
        <v>287592.0</v>
      </c>
    </row>
    <row r="1574" ht="15.75" customHeight="1">
      <c r="A1574" s="95" t="s">
        <v>9117</v>
      </c>
      <c r="B1574" s="95" t="s">
        <v>22</v>
      </c>
      <c r="C1574" s="96" t="s">
        <v>9118</v>
      </c>
      <c r="D1574" s="95" t="s">
        <v>124</v>
      </c>
      <c r="E1574" s="95" t="s">
        <v>9119</v>
      </c>
      <c r="F1574" s="95" t="s">
        <v>19</v>
      </c>
      <c r="G1574" s="95" t="s">
        <v>19</v>
      </c>
      <c r="H1574" s="95" t="s">
        <v>21</v>
      </c>
      <c r="I1574" s="95" t="s">
        <v>943</v>
      </c>
      <c r="J1574" s="97">
        <v>45975.67928111111</v>
      </c>
      <c r="K1574" s="96" t="s">
        <v>9120</v>
      </c>
      <c r="L1574" s="95"/>
      <c r="M1574" s="95" t="s">
        <v>28</v>
      </c>
      <c r="N1574" s="95" t="s">
        <v>9121</v>
      </c>
      <c r="O1574" s="95" t="s">
        <v>9121</v>
      </c>
      <c r="P1574" s="95" t="s">
        <v>9122</v>
      </c>
      <c r="Q1574" s="98">
        <v>3.0</v>
      </c>
      <c r="R1574" s="97">
        <v>45955.55111111111</v>
      </c>
      <c r="S1574" s="99">
        <v>54.0</v>
      </c>
      <c r="T1574" s="99">
        <v>22.0</v>
      </c>
      <c r="U1574" s="99">
        <v>3.0</v>
      </c>
      <c r="V1574" s="99">
        <v>242.0</v>
      </c>
      <c r="W1574" s="99">
        <v>9259.0</v>
      </c>
    </row>
    <row r="1575" ht="15.75" customHeight="1">
      <c r="A1575" s="95" t="s">
        <v>9123</v>
      </c>
      <c r="B1575" s="95" t="s">
        <v>131</v>
      </c>
      <c r="C1575" s="96" t="s">
        <v>9124</v>
      </c>
      <c r="D1575" s="95" t="s">
        <v>29</v>
      </c>
      <c r="E1575" s="95" t="s">
        <v>658</v>
      </c>
      <c r="F1575" s="95" t="s">
        <v>58</v>
      </c>
      <c r="G1575" s="95" t="s">
        <v>58</v>
      </c>
      <c r="H1575" s="95" t="s">
        <v>60</v>
      </c>
      <c r="I1575" s="95" t="s">
        <v>9125</v>
      </c>
      <c r="J1575" s="97">
        <v>45993.78544196759</v>
      </c>
      <c r="K1575" s="96" t="s">
        <v>9126</v>
      </c>
      <c r="L1575" s="96" t="s">
        <v>9127</v>
      </c>
      <c r="M1575" s="95" t="s">
        <v>93</v>
      </c>
      <c r="N1575" s="95" t="s">
        <v>9128</v>
      </c>
      <c r="O1575" s="95" t="s">
        <v>9128</v>
      </c>
      <c r="P1575" s="95" t="s">
        <v>9129</v>
      </c>
      <c r="Q1575" s="98">
        <v>3.0</v>
      </c>
      <c r="R1575" s="97">
        <v>45782.95173611111</v>
      </c>
      <c r="S1575" s="99">
        <v>4823.0</v>
      </c>
      <c r="T1575" s="99">
        <v>893.0</v>
      </c>
      <c r="U1575" s="99">
        <v>1.0</v>
      </c>
      <c r="V1575" s="99">
        <v>163.0</v>
      </c>
      <c r="W1575" s="99">
        <v>68826.0</v>
      </c>
    </row>
    <row r="1576" ht="15.75" customHeight="1">
      <c r="A1576" s="95" t="s">
        <v>9130</v>
      </c>
      <c r="B1576" s="95" t="s">
        <v>22</v>
      </c>
      <c r="C1576" s="96" t="s">
        <v>9131</v>
      </c>
      <c r="D1576" s="95" t="s">
        <v>20</v>
      </c>
      <c r="E1576" s="95" t="s">
        <v>3369</v>
      </c>
      <c r="F1576" s="95" t="s">
        <v>19</v>
      </c>
      <c r="G1576" s="95" t="s">
        <v>19</v>
      </c>
      <c r="H1576" s="95" t="s">
        <v>21</v>
      </c>
      <c r="I1576" s="95" t="s">
        <v>567</v>
      </c>
      <c r="J1576" s="97">
        <v>46021.51020638889</v>
      </c>
      <c r="K1576" s="95" t="s">
        <v>9132</v>
      </c>
      <c r="L1576" s="96" t="s">
        <v>9133</v>
      </c>
      <c r="M1576" s="95" t="s">
        <v>93</v>
      </c>
      <c r="N1576" s="95" t="s">
        <v>9134</v>
      </c>
      <c r="O1576" s="95" t="s">
        <v>9134</v>
      </c>
      <c r="P1576" s="95" t="s">
        <v>9135</v>
      </c>
      <c r="Q1576" s="98">
        <v>3.0</v>
      </c>
      <c r="R1576" s="97">
        <v>45659.65393518518</v>
      </c>
      <c r="S1576" s="99">
        <v>197.0</v>
      </c>
      <c r="T1576" s="99">
        <v>98.0</v>
      </c>
      <c r="U1576" s="99">
        <v>4.0</v>
      </c>
      <c r="V1576" s="99">
        <v>94.0</v>
      </c>
      <c r="W1576" s="99">
        <v>13541.0</v>
      </c>
    </row>
    <row r="1577" ht="15.75" customHeight="1">
      <c r="A1577" s="95" t="s">
        <v>9136</v>
      </c>
      <c r="B1577" s="95" t="s">
        <v>157</v>
      </c>
      <c r="C1577" s="96" t="s">
        <v>9137</v>
      </c>
      <c r="D1577" s="95" t="s">
        <v>29</v>
      </c>
      <c r="E1577" s="95" t="s">
        <v>29</v>
      </c>
      <c r="F1577" s="95" t="s">
        <v>88</v>
      </c>
      <c r="G1577" s="95" t="s">
        <v>88</v>
      </c>
      <c r="H1577" s="95" t="s">
        <v>89</v>
      </c>
      <c r="I1577" s="95" t="s">
        <v>859</v>
      </c>
      <c r="J1577" s="97">
        <v>46056.94316913195</v>
      </c>
      <c r="K1577" s="95" t="s">
        <v>9138</v>
      </c>
      <c r="L1577" s="96" t="s">
        <v>9139</v>
      </c>
      <c r="M1577" s="95" t="s">
        <v>93</v>
      </c>
      <c r="N1577" s="95" t="s">
        <v>9140</v>
      </c>
      <c r="O1577" s="95" t="s">
        <v>9140</v>
      </c>
      <c r="P1577" s="95" t="s">
        <v>9141</v>
      </c>
      <c r="Q1577" s="98">
        <v>3.0</v>
      </c>
      <c r="R1577" s="97">
        <v>46020.53626157407</v>
      </c>
      <c r="S1577" s="99">
        <v>1620.0</v>
      </c>
      <c r="T1577" s="99">
        <v>47.0</v>
      </c>
      <c r="U1577" s="99">
        <v>28.0</v>
      </c>
      <c r="V1577" s="99">
        <v>46.0</v>
      </c>
      <c r="W1577" s="99">
        <v>391416.0</v>
      </c>
    </row>
    <row r="1578" ht="15.75" customHeight="1">
      <c r="A1578" s="95" t="s">
        <v>9142</v>
      </c>
      <c r="B1578" s="95" t="s">
        <v>22</v>
      </c>
      <c r="C1578" s="96" t="s">
        <v>9143</v>
      </c>
      <c r="D1578" s="95" t="s">
        <v>59</v>
      </c>
      <c r="E1578" s="95" t="s">
        <v>1347</v>
      </c>
      <c r="F1578" s="95" t="s">
        <v>19</v>
      </c>
      <c r="G1578" s="95" t="s">
        <v>19</v>
      </c>
      <c r="H1578" s="95" t="s">
        <v>21</v>
      </c>
      <c r="I1578" s="95" t="s">
        <v>9144</v>
      </c>
      <c r="J1578" s="97">
        <v>46021.50647173611</v>
      </c>
      <c r="K1578" s="95" t="s">
        <v>9145</v>
      </c>
      <c r="L1578" s="96" t="s">
        <v>9146</v>
      </c>
      <c r="M1578" s="95" t="s">
        <v>93</v>
      </c>
      <c r="N1578" s="95" t="s">
        <v>9140</v>
      </c>
      <c r="O1578" s="95" t="s">
        <v>9140</v>
      </c>
      <c r="P1578" s="95" t="s">
        <v>9141</v>
      </c>
      <c r="Q1578" s="98">
        <v>3.0</v>
      </c>
      <c r="R1578" s="97">
        <v>45792.61605324074</v>
      </c>
      <c r="S1578" s="99">
        <v>1620.0</v>
      </c>
      <c r="T1578" s="99">
        <v>319.0</v>
      </c>
      <c r="U1578" s="99">
        <v>2.0</v>
      </c>
      <c r="V1578" s="99">
        <v>120.0</v>
      </c>
      <c r="W1578" s="99">
        <v>391416.0</v>
      </c>
    </row>
    <row r="1579" ht="15.75" customHeight="1">
      <c r="A1579" s="95" t="s">
        <v>9147</v>
      </c>
      <c r="B1579" s="95" t="s">
        <v>22</v>
      </c>
      <c r="C1579" s="96" t="s">
        <v>9148</v>
      </c>
      <c r="D1579" s="95" t="s">
        <v>29</v>
      </c>
      <c r="E1579" s="95" t="s">
        <v>658</v>
      </c>
      <c r="F1579" s="95" t="s">
        <v>19</v>
      </c>
      <c r="G1579" s="95" t="s">
        <v>19</v>
      </c>
      <c r="H1579" s="95" t="s">
        <v>21</v>
      </c>
      <c r="I1579" s="95" t="s">
        <v>677</v>
      </c>
      <c r="J1579" s="97">
        <v>46021.50500998842</v>
      </c>
      <c r="K1579" s="95" t="s">
        <v>9149</v>
      </c>
      <c r="L1579" s="96" t="s">
        <v>9150</v>
      </c>
      <c r="M1579" s="95" t="s">
        <v>93</v>
      </c>
      <c r="N1579" s="95" t="s">
        <v>9140</v>
      </c>
      <c r="O1579" s="95" t="s">
        <v>9140</v>
      </c>
      <c r="P1579" s="95" t="s">
        <v>9141</v>
      </c>
      <c r="Q1579" s="98">
        <v>3.0</v>
      </c>
      <c r="R1579" s="97">
        <v>45474.70863425926</v>
      </c>
      <c r="S1579" s="99">
        <v>1620.0</v>
      </c>
      <c r="T1579" s="99">
        <v>13.0</v>
      </c>
      <c r="U1579" s="99">
        <v>1.0</v>
      </c>
      <c r="V1579" s="99">
        <v>243.0</v>
      </c>
      <c r="W1579" s="99">
        <v>391416.0</v>
      </c>
    </row>
    <row r="1580" ht="15.75" customHeight="1">
      <c r="A1580" s="95" t="s">
        <v>9151</v>
      </c>
      <c r="B1580" s="95" t="s">
        <v>157</v>
      </c>
      <c r="C1580" s="96" t="s">
        <v>9152</v>
      </c>
      <c r="D1580" s="95" t="s">
        <v>29</v>
      </c>
      <c r="E1580" s="95" t="s">
        <v>29</v>
      </c>
      <c r="F1580" s="95" t="s">
        <v>88</v>
      </c>
      <c r="G1580" s="95" t="s">
        <v>858</v>
      </c>
      <c r="H1580" s="95" t="s">
        <v>89</v>
      </c>
      <c r="I1580" s="95" t="s">
        <v>859</v>
      </c>
      <c r="J1580" s="97">
        <v>46040.566019375</v>
      </c>
      <c r="K1580" s="95" t="s">
        <v>9153</v>
      </c>
      <c r="L1580" s="96" t="s">
        <v>9154</v>
      </c>
      <c r="M1580" s="95" t="s">
        <v>93</v>
      </c>
      <c r="N1580" s="95" t="s">
        <v>9140</v>
      </c>
      <c r="O1580" s="95" t="s">
        <v>9140</v>
      </c>
      <c r="P1580" s="95" t="s">
        <v>9141</v>
      </c>
      <c r="Q1580" s="98">
        <v>3.0</v>
      </c>
      <c r="R1580" s="97">
        <v>45539.81320601852</v>
      </c>
      <c r="S1580" s="99">
        <v>1620.0</v>
      </c>
      <c r="T1580" s="99">
        <v>18.0</v>
      </c>
      <c r="U1580" s="99">
        <v>2.0</v>
      </c>
      <c r="V1580" s="99">
        <v>210.0</v>
      </c>
      <c r="W1580" s="99">
        <v>391416.0</v>
      </c>
    </row>
    <row r="1581" ht="15.75" customHeight="1">
      <c r="A1581" s="95" t="s">
        <v>9155</v>
      </c>
      <c r="B1581" s="95" t="s">
        <v>22</v>
      </c>
      <c r="C1581" s="96" t="s">
        <v>9156</v>
      </c>
      <c r="D1581" s="95" t="s">
        <v>68</v>
      </c>
      <c r="E1581" s="95" t="s">
        <v>1671</v>
      </c>
      <c r="F1581" s="95" t="s">
        <v>19</v>
      </c>
      <c r="G1581" s="95" t="s">
        <v>574</v>
      </c>
      <c r="H1581" s="95" t="s">
        <v>21</v>
      </c>
      <c r="I1581" s="95" t="s">
        <v>567</v>
      </c>
      <c r="J1581" s="97">
        <v>46069.13607259259</v>
      </c>
      <c r="K1581" s="95" t="s">
        <v>9157</v>
      </c>
      <c r="L1581" s="96" t="s">
        <v>9158</v>
      </c>
      <c r="M1581" s="95" t="s">
        <v>93</v>
      </c>
      <c r="N1581" s="95" t="s">
        <v>9159</v>
      </c>
      <c r="O1581" s="95" t="s">
        <v>9159</v>
      </c>
      <c r="P1581" s="95" t="s">
        <v>9160</v>
      </c>
      <c r="Q1581" s="98">
        <v>3.0</v>
      </c>
      <c r="R1581" s="97">
        <v>45735.61729166667</v>
      </c>
      <c r="S1581" s="99">
        <v>9444.0</v>
      </c>
      <c r="T1581" s="99">
        <v>3372.0</v>
      </c>
      <c r="U1581" s="99">
        <v>16.0</v>
      </c>
      <c r="V1581" s="99">
        <v>416.0</v>
      </c>
      <c r="W1581" s="99">
        <v>540958.0</v>
      </c>
    </row>
    <row r="1582" ht="15.75" customHeight="1">
      <c r="A1582" s="95" t="s">
        <v>9161</v>
      </c>
      <c r="B1582" s="95" t="s">
        <v>22</v>
      </c>
      <c r="C1582" s="96" t="s">
        <v>9162</v>
      </c>
      <c r="D1582" s="95" t="s">
        <v>68</v>
      </c>
      <c r="E1582" s="95" t="s">
        <v>1671</v>
      </c>
      <c r="F1582" s="95" t="s">
        <v>19</v>
      </c>
      <c r="G1582" s="95" t="s">
        <v>19</v>
      </c>
      <c r="H1582" s="95" t="s">
        <v>21</v>
      </c>
      <c r="I1582" s="95" t="s">
        <v>567</v>
      </c>
      <c r="J1582" s="97">
        <v>46039.71667966435</v>
      </c>
      <c r="K1582" s="95" t="s">
        <v>9163</v>
      </c>
      <c r="L1582" s="96" t="s">
        <v>9164</v>
      </c>
      <c r="M1582" s="95" t="s">
        <v>93</v>
      </c>
      <c r="N1582" s="95" t="s">
        <v>9159</v>
      </c>
      <c r="O1582" s="95" t="s">
        <v>9159</v>
      </c>
      <c r="P1582" s="95" t="s">
        <v>9160</v>
      </c>
      <c r="Q1582" s="98">
        <v>3.0</v>
      </c>
      <c r="R1582" s="97">
        <v>45645.06402777778</v>
      </c>
      <c r="S1582" s="99">
        <v>9444.0</v>
      </c>
      <c r="T1582" s="99">
        <v>5432.0</v>
      </c>
      <c r="U1582" s="99">
        <v>22.0</v>
      </c>
      <c r="V1582" s="99">
        <v>101.0</v>
      </c>
      <c r="W1582" s="99">
        <v>540958.0</v>
      </c>
    </row>
    <row r="1583" ht="15.75" customHeight="1">
      <c r="A1583" s="95" t="s">
        <v>9165</v>
      </c>
      <c r="B1583" s="95" t="s">
        <v>22</v>
      </c>
      <c r="C1583" s="96" t="s">
        <v>9166</v>
      </c>
      <c r="D1583" s="95" t="s">
        <v>39</v>
      </c>
      <c r="E1583" s="95" t="s">
        <v>9167</v>
      </c>
      <c r="F1583" s="95" t="s">
        <v>19</v>
      </c>
      <c r="G1583" s="95" t="s">
        <v>19</v>
      </c>
      <c r="H1583" s="95" t="s">
        <v>21</v>
      </c>
      <c r="I1583" s="95" t="s">
        <v>567</v>
      </c>
      <c r="J1583" s="97">
        <v>45975.67930844907</v>
      </c>
      <c r="K1583" s="96" t="s">
        <v>9168</v>
      </c>
      <c r="L1583" s="96" t="s">
        <v>9169</v>
      </c>
      <c r="M1583" s="95" t="s">
        <v>54</v>
      </c>
      <c r="N1583" s="95" t="s">
        <v>9170</v>
      </c>
      <c r="O1583" s="95" t="s">
        <v>9170</v>
      </c>
      <c r="P1583" s="95" t="s">
        <v>9171</v>
      </c>
      <c r="Q1583" s="98">
        <v>3.0</v>
      </c>
      <c r="R1583" s="97">
        <v>45628.74515046296</v>
      </c>
      <c r="S1583" s="99">
        <v>16257.0</v>
      </c>
      <c r="T1583" s="99">
        <v>3.0</v>
      </c>
      <c r="U1583" s="99">
        <v>1.0</v>
      </c>
      <c r="V1583" s="99">
        <v>155.0</v>
      </c>
      <c r="W1583" s="99">
        <v>437484.0</v>
      </c>
    </row>
    <row r="1584" ht="15.75" customHeight="1">
      <c r="A1584" s="95" t="s">
        <v>9172</v>
      </c>
      <c r="B1584" s="95" t="s">
        <v>22</v>
      </c>
      <c r="C1584" s="96" t="s">
        <v>9173</v>
      </c>
      <c r="D1584" s="95" t="s">
        <v>68</v>
      </c>
      <c r="E1584" s="95" t="s">
        <v>1901</v>
      </c>
      <c r="F1584" s="95" t="s">
        <v>19</v>
      </c>
      <c r="G1584" s="95" t="s">
        <v>1427</v>
      </c>
      <c r="H1584" s="95" t="s">
        <v>21</v>
      </c>
      <c r="I1584" s="95" t="s">
        <v>633</v>
      </c>
      <c r="J1584" s="97">
        <v>45993.78544196759</v>
      </c>
      <c r="K1584" s="96" t="s">
        <v>9174</v>
      </c>
      <c r="L1584" s="96" t="s">
        <v>9175</v>
      </c>
      <c r="M1584" s="95" t="s">
        <v>28</v>
      </c>
      <c r="N1584" s="95" t="s">
        <v>9176</v>
      </c>
      <c r="O1584" s="95" t="s">
        <v>9176</v>
      </c>
      <c r="P1584" s="95" t="s">
        <v>9177</v>
      </c>
      <c r="Q1584" s="98">
        <v>3.0</v>
      </c>
      <c r="R1584" s="97">
        <v>45741.56063657408</v>
      </c>
      <c r="S1584" s="99">
        <v>4260.0</v>
      </c>
      <c r="T1584" s="99">
        <v>1079.0</v>
      </c>
      <c r="U1584" s="99">
        <v>25.0</v>
      </c>
      <c r="V1584" s="99">
        <v>688.0</v>
      </c>
      <c r="W1584" s="99">
        <v>89148.0</v>
      </c>
    </row>
    <row r="1585" ht="15.75" customHeight="1">
      <c r="A1585" s="95" t="s">
        <v>9178</v>
      </c>
      <c r="B1585" s="95" t="s">
        <v>22</v>
      </c>
      <c r="C1585" s="96" t="s">
        <v>9179</v>
      </c>
      <c r="D1585" s="95" t="s">
        <v>68</v>
      </c>
      <c r="E1585" s="95" t="s">
        <v>1489</v>
      </c>
      <c r="F1585" s="95" t="s">
        <v>19</v>
      </c>
      <c r="G1585" s="95" t="s">
        <v>19</v>
      </c>
      <c r="H1585" s="95" t="s">
        <v>21</v>
      </c>
      <c r="I1585" s="95" t="s">
        <v>684</v>
      </c>
      <c r="J1585" s="97">
        <v>46021.51435841435</v>
      </c>
      <c r="K1585" s="95" t="s">
        <v>9180</v>
      </c>
      <c r="L1585" s="96" t="s">
        <v>9181</v>
      </c>
      <c r="M1585" s="95" t="s">
        <v>28</v>
      </c>
      <c r="N1585" s="95" t="s">
        <v>9176</v>
      </c>
      <c r="O1585" s="95" t="s">
        <v>9176</v>
      </c>
      <c r="P1585" s="95" t="s">
        <v>9177</v>
      </c>
      <c r="Q1585" s="98">
        <v>3.0</v>
      </c>
      <c r="R1585" s="97">
        <v>45628.94773148148</v>
      </c>
      <c r="S1585" s="99">
        <v>4260.0</v>
      </c>
      <c r="T1585" s="99">
        <v>1060.0</v>
      </c>
      <c r="U1585" s="99">
        <v>16.0</v>
      </c>
      <c r="V1585" s="99">
        <v>278.0</v>
      </c>
      <c r="W1585" s="99">
        <v>89148.0</v>
      </c>
    </row>
    <row r="1586" ht="15.75" customHeight="1">
      <c r="A1586" s="95" t="s">
        <v>9182</v>
      </c>
      <c r="B1586" s="95" t="s">
        <v>22</v>
      </c>
      <c r="C1586" s="96" t="s">
        <v>9183</v>
      </c>
      <c r="D1586" s="95" t="s">
        <v>168</v>
      </c>
      <c r="E1586" s="95" t="s">
        <v>168</v>
      </c>
      <c r="F1586" s="95" t="s">
        <v>19</v>
      </c>
      <c r="G1586" s="95" t="s">
        <v>19</v>
      </c>
      <c r="H1586" s="95" t="s">
        <v>21</v>
      </c>
      <c r="I1586" s="95" t="s">
        <v>567</v>
      </c>
      <c r="J1586" s="97">
        <v>46021.4982831713</v>
      </c>
      <c r="K1586" s="95" t="s">
        <v>9184</v>
      </c>
      <c r="L1586" s="96" t="s">
        <v>9185</v>
      </c>
      <c r="M1586" s="95" t="s">
        <v>105</v>
      </c>
      <c r="N1586" s="95" t="s">
        <v>9186</v>
      </c>
      <c r="O1586" s="95" t="s">
        <v>9186</v>
      </c>
      <c r="P1586" s="95" t="s">
        <v>9187</v>
      </c>
      <c r="Q1586" s="98">
        <v>3.0</v>
      </c>
      <c r="R1586" s="97">
        <v>45502.74258101852</v>
      </c>
      <c r="S1586" s="99">
        <v>183.0</v>
      </c>
      <c r="T1586" s="99">
        <v>98.0</v>
      </c>
      <c r="U1586" s="99">
        <v>23.0</v>
      </c>
      <c r="V1586" s="99">
        <v>1957.0</v>
      </c>
      <c r="W1586" s="99">
        <v>100285.0</v>
      </c>
    </row>
    <row r="1587" ht="15.75" customHeight="1">
      <c r="A1587" s="95" t="s">
        <v>9188</v>
      </c>
      <c r="B1587" s="95" t="s">
        <v>22</v>
      </c>
      <c r="C1587" s="96" t="s">
        <v>9189</v>
      </c>
      <c r="D1587" s="95" t="s">
        <v>59</v>
      </c>
      <c r="E1587" s="95" t="s">
        <v>9190</v>
      </c>
      <c r="F1587" s="95" t="s">
        <v>19</v>
      </c>
      <c r="G1587" s="95" t="s">
        <v>19</v>
      </c>
      <c r="H1587" s="95" t="s">
        <v>21</v>
      </c>
      <c r="I1587" s="95" t="s">
        <v>567</v>
      </c>
      <c r="J1587" s="97">
        <v>46021.51435841435</v>
      </c>
      <c r="K1587" s="95" t="s">
        <v>9191</v>
      </c>
      <c r="L1587" s="96" t="s">
        <v>9192</v>
      </c>
      <c r="M1587" s="95" t="s">
        <v>54</v>
      </c>
      <c r="N1587" s="95" t="s">
        <v>9193</v>
      </c>
      <c r="O1587" s="95" t="s">
        <v>9193</v>
      </c>
      <c r="P1587" s="95" t="s">
        <v>9194</v>
      </c>
      <c r="Q1587" s="98">
        <v>3.0</v>
      </c>
      <c r="R1587" s="97">
        <v>45818.40136574074</v>
      </c>
      <c r="S1587" s="99">
        <v>1353.0</v>
      </c>
      <c r="T1587" s="99">
        <v>765.0</v>
      </c>
      <c r="U1587" s="99">
        <v>9.0</v>
      </c>
      <c r="V1587" s="99">
        <v>212.0</v>
      </c>
      <c r="W1587" s="99">
        <v>287859.0</v>
      </c>
    </row>
    <row r="1588" ht="15.75" customHeight="1">
      <c r="A1588" s="95" t="s">
        <v>9195</v>
      </c>
      <c r="B1588" s="95" t="s">
        <v>22</v>
      </c>
      <c r="C1588" s="96" t="s">
        <v>9196</v>
      </c>
      <c r="D1588" s="95" t="s">
        <v>59</v>
      </c>
      <c r="E1588" s="95" t="s">
        <v>9197</v>
      </c>
      <c r="F1588" s="95" t="s">
        <v>19</v>
      </c>
      <c r="G1588" s="95" t="s">
        <v>19</v>
      </c>
      <c r="H1588" s="95" t="s">
        <v>21</v>
      </c>
      <c r="I1588" s="95" t="s">
        <v>567</v>
      </c>
      <c r="J1588" s="97">
        <v>46021.4982831713</v>
      </c>
      <c r="K1588" s="95" t="s">
        <v>9198</v>
      </c>
      <c r="L1588" s="96" t="s">
        <v>9199</v>
      </c>
      <c r="M1588" s="95" t="s">
        <v>54</v>
      </c>
      <c r="N1588" s="95" t="s">
        <v>9193</v>
      </c>
      <c r="O1588" s="95" t="s">
        <v>9193</v>
      </c>
      <c r="P1588" s="95" t="s">
        <v>9194</v>
      </c>
      <c r="Q1588" s="98">
        <v>3.0</v>
      </c>
      <c r="R1588" s="97">
        <v>45805.52186342593</v>
      </c>
      <c r="S1588" s="99">
        <v>1353.0</v>
      </c>
      <c r="T1588" s="99">
        <v>364.0</v>
      </c>
      <c r="U1588" s="99">
        <v>25.0</v>
      </c>
      <c r="V1588" s="99">
        <v>215.0</v>
      </c>
      <c r="W1588" s="99">
        <v>287859.0</v>
      </c>
    </row>
    <row r="1589" ht="15.75" customHeight="1">
      <c r="A1589" s="95" t="s">
        <v>9200</v>
      </c>
      <c r="B1589" s="95" t="s">
        <v>22</v>
      </c>
      <c r="C1589" s="96" t="s">
        <v>9201</v>
      </c>
      <c r="D1589" s="95" t="s">
        <v>59</v>
      </c>
      <c r="E1589" s="95" t="s">
        <v>9202</v>
      </c>
      <c r="F1589" s="95" t="s">
        <v>19</v>
      </c>
      <c r="G1589" s="95" t="s">
        <v>19</v>
      </c>
      <c r="H1589" s="95" t="s">
        <v>21</v>
      </c>
      <c r="I1589" s="95" t="s">
        <v>567</v>
      </c>
      <c r="J1589" s="97">
        <v>46021.51435841435</v>
      </c>
      <c r="K1589" s="95" t="s">
        <v>9203</v>
      </c>
      <c r="L1589" s="96" t="s">
        <v>9204</v>
      </c>
      <c r="M1589" s="95" t="s">
        <v>54</v>
      </c>
      <c r="N1589" s="95" t="s">
        <v>9193</v>
      </c>
      <c r="O1589" s="95" t="s">
        <v>9193</v>
      </c>
      <c r="P1589" s="95" t="s">
        <v>9194</v>
      </c>
      <c r="Q1589" s="98">
        <v>3.0</v>
      </c>
      <c r="R1589" s="97">
        <v>45813.58449074074</v>
      </c>
      <c r="S1589" s="99">
        <v>1353.0</v>
      </c>
      <c r="T1589" s="99">
        <v>22.0</v>
      </c>
      <c r="U1589" s="99">
        <v>1.0</v>
      </c>
      <c r="V1589" s="99">
        <v>131.0</v>
      </c>
      <c r="W1589" s="99">
        <v>287859.0</v>
      </c>
    </row>
    <row r="1590" ht="15.75" customHeight="1">
      <c r="A1590" s="95" t="s">
        <v>9205</v>
      </c>
      <c r="B1590" s="95" t="s">
        <v>131</v>
      </c>
      <c r="C1590" s="96" t="s">
        <v>9206</v>
      </c>
      <c r="D1590" s="95" t="s">
        <v>59</v>
      </c>
      <c r="E1590" s="95" t="s">
        <v>9197</v>
      </c>
      <c r="F1590" s="95" t="s">
        <v>58</v>
      </c>
      <c r="G1590" s="95" t="s">
        <v>1450</v>
      </c>
      <c r="H1590" s="95" t="s">
        <v>60</v>
      </c>
      <c r="I1590" s="95" t="s">
        <v>5618</v>
      </c>
      <c r="J1590" s="97">
        <v>46021.51435841435</v>
      </c>
      <c r="K1590" s="95" t="s">
        <v>9207</v>
      </c>
      <c r="L1590" s="96" t="s">
        <v>9208</v>
      </c>
      <c r="M1590" s="95" t="s">
        <v>54</v>
      </c>
      <c r="N1590" s="95" t="s">
        <v>9193</v>
      </c>
      <c r="O1590" s="95" t="s">
        <v>9193</v>
      </c>
      <c r="P1590" s="95" t="s">
        <v>9194</v>
      </c>
      <c r="Q1590" s="98">
        <v>3.0</v>
      </c>
      <c r="R1590" s="97">
        <v>45832.58310185185</v>
      </c>
      <c r="S1590" s="99">
        <v>1353.0</v>
      </c>
      <c r="T1590" s="99">
        <v>9.0</v>
      </c>
      <c r="U1590" s="99">
        <v>2.0</v>
      </c>
      <c r="V1590" s="99">
        <v>76.0</v>
      </c>
      <c r="W1590" s="99">
        <v>287859.0</v>
      </c>
    </row>
    <row r="1591" ht="15.75" customHeight="1">
      <c r="A1591" s="95" t="s">
        <v>9209</v>
      </c>
      <c r="B1591" s="95" t="s">
        <v>22</v>
      </c>
      <c r="C1591" s="96" t="s">
        <v>9210</v>
      </c>
      <c r="D1591" s="95" t="s">
        <v>59</v>
      </c>
      <c r="E1591" s="95" t="s">
        <v>9190</v>
      </c>
      <c r="F1591" s="95" t="s">
        <v>19</v>
      </c>
      <c r="G1591" s="95" t="s">
        <v>19</v>
      </c>
      <c r="H1591" s="95" t="s">
        <v>21</v>
      </c>
      <c r="I1591" s="95" t="s">
        <v>567</v>
      </c>
      <c r="J1591" s="97">
        <v>46021.51435841435</v>
      </c>
      <c r="K1591" s="95" t="s">
        <v>9211</v>
      </c>
      <c r="L1591" s="96" t="s">
        <v>9212</v>
      </c>
      <c r="M1591" s="95" t="s">
        <v>54</v>
      </c>
      <c r="N1591" s="95" t="s">
        <v>9193</v>
      </c>
      <c r="O1591" s="95" t="s">
        <v>9193</v>
      </c>
      <c r="P1591" s="95" t="s">
        <v>9194</v>
      </c>
      <c r="Q1591" s="98">
        <v>3.0</v>
      </c>
      <c r="R1591" s="97">
        <v>45876.32701388889</v>
      </c>
      <c r="S1591" s="99">
        <v>1353.0</v>
      </c>
      <c r="T1591" s="99">
        <v>1272.0</v>
      </c>
      <c r="U1591" s="99">
        <v>3.0</v>
      </c>
      <c r="V1591" s="99">
        <v>374.0</v>
      </c>
      <c r="W1591" s="99">
        <v>287859.0</v>
      </c>
    </row>
    <row r="1592" ht="15.75" customHeight="1">
      <c r="A1592" s="95" t="s">
        <v>9213</v>
      </c>
      <c r="B1592" s="95" t="s">
        <v>22</v>
      </c>
      <c r="C1592" s="96" t="s">
        <v>9214</v>
      </c>
      <c r="D1592" s="95" t="s">
        <v>130</v>
      </c>
      <c r="E1592" s="95" t="s">
        <v>1025</v>
      </c>
      <c r="F1592" s="95" t="s">
        <v>19</v>
      </c>
      <c r="G1592" s="95" t="s">
        <v>19</v>
      </c>
      <c r="H1592" s="95" t="s">
        <v>21</v>
      </c>
      <c r="I1592" s="95" t="s">
        <v>567</v>
      </c>
      <c r="J1592" s="97">
        <v>46069.13607259259</v>
      </c>
      <c r="K1592" s="95" t="s">
        <v>9215</v>
      </c>
      <c r="L1592" s="96" t="s">
        <v>9216</v>
      </c>
      <c r="M1592" s="95" t="s">
        <v>93</v>
      </c>
      <c r="N1592" s="95" t="s">
        <v>9217</v>
      </c>
      <c r="O1592" s="95" t="s">
        <v>9217</v>
      </c>
      <c r="P1592" s="95" t="s">
        <v>9218</v>
      </c>
      <c r="Q1592" s="98">
        <v>3.0</v>
      </c>
      <c r="R1592" s="97">
        <v>45800.09564814815</v>
      </c>
      <c r="S1592" s="99">
        <v>10616.0</v>
      </c>
      <c r="T1592" s="99">
        <v>101.0</v>
      </c>
      <c r="U1592" s="99">
        <v>7.0</v>
      </c>
      <c r="V1592" s="99">
        <v>287.0</v>
      </c>
      <c r="W1592" s="95"/>
    </row>
    <row r="1593" ht="15.75" customHeight="1">
      <c r="A1593" s="95" t="s">
        <v>9219</v>
      </c>
      <c r="B1593" s="95" t="s">
        <v>22</v>
      </c>
      <c r="C1593" s="96" t="s">
        <v>9220</v>
      </c>
      <c r="D1593" s="95" t="s">
        <v>130</v>
      </c>
      <c r="E1593" s="95" t="s">
        <v>917</v>
      </c>
      <c r="F1593" s="95" t="s">
        <v>19</v>
      </c>
      <c r="G1593" s="95" t="s">
        <v>19</v>
      </c>
      <c r="H1593" s="95" t="s">
        <v>21</v>
      </c>
      <c r="I1593" s="95" t="s">
        <v>567</v>
      </c>
      <c r="J1593" s="97">
        <v>46069.65910748843</v>
      </c>
      <c r="K1593" s="95" t="s">
        <v>9221</v>
      </c>
      <c r="L1593" s="96" t="s">
        <v>9222</v>
      </c>
      <c r="M1593" s="95" t="s">
        <v>93</v>
      </c>
      <c r="N1593" s="95" t="s">
        <v>9217</v>
      </c>
      <c r="O1593" s="95" t="s">
        <v>9217</v>
      </c>
      <c r="P1593" s="95" t="s">
        <v>9218</v>
      </c>
      <c r="Q1593" s="98">
        <v>3.0</v>
      </c>
      <c r="R1593" s="97">
        <v>45639.32927083333</v>
      </c>
      <c r="S1593" s="99">
        <v>10616.0</v>
      </c>
      <c r="T1593" s="99">
        <v>46.0</v>
      </c>
      <c r="U1593" s="99">
        <v>2.0</v>
      </c>
      <c r="V1593" s="99">
        <v>156.0</v>
      </c>
      <c r="W1593" s="95"/>
    </row>
    <row r="1594" ht="15.75" customHeight="1">
      <c r="A1594" s="95" t="s">
        <v>9223</v>
      </c>
      <c r="B1594" s="95" t="s">
        <v>22</v>
      </c>
      <c r="C1594" s="96" t="s">
        <v>9224</v>
      </c>
      <c r="D1594" s="95" t="s">
        <v>39</v>
      </c>
      <c r="E1594" s="95" t="s">
        <v>39</v>
      </c>
      <c r="F1594" s="95" t="s">
        <v>19</v>
      </c>
      <c r="G1594" s="95" t="s">
        <v>19</v>
      </c>
      <c r="H1594" s="95" t="s">
        <v>21</v>
      </c>
      <c r="I1594" s="95" t="s">
        <v>567</v>
      </c>
      <c r="J1594" s="97">
        <v>46021.50647173611</v>
      </c>
      <c r="K1594" s="95" t="s">
        <v>9225</v>
      </c>
      <c r="L1594" s="96" t="s">
        <v>9226</v>
      </c>
      <c r="M1594" s="95" t="s">
        <v>67</v>
      </c>
      <c r="N1594" s="95" t="s">
        <v>9227</v>
      </c>
      <c r="O1594" s="95" t="s">
        <v>9227</v>
      </c>
      <c r="P1594" s="95" t="s">
        <v>9228</v>
      </c>
      <c r="Q1594" s="98">
        <v>3.0</v>
      </c>
      <c r="R1594" s="97">
        <v>45827.91664351852</v>
      </c>
      <c r="S1594" s="99">
        <v>855.0</v>
      </c>
      <c r="T1594" s="99">
        <v>1855.0</v>
      </c>
      <c r="U1594" s="99">
        <v>4.0</v>
      </c>
      <c r="V1594" s="99">
        <v>60.0</v>
      </c>
      <c r="W1594" s="99">
        <v>20066.0</v>
      </c>
    </row>
    <row r="1595" ht="15.75" customHeight="1">
      <c r="A1595" s="95" t="s">
        <v>9229</v>
      </c>
      <c r="B1595" s="95" t="s">
        <v>22</v>
      </c>
      <c r="C1595" s="96" t="s">
        <v>9230</v>
      </c>
      <c r="D1595" s="95" t="s">
        <v>168</v>
      </c>
      <c r="E1595" s="95" t="s">
        <v>780</v>
      </c>
      <c r="F1595" s="95" t="s">
        <v>19</v>
      </c>
      <c r="G1595" s="95" t="s">
        <v>574</v>
      </c>
      <c r="H1595" s="95" t="s">
        <v>21</v>
      </c>
      <c r="I1595" s="95" t="s">
        <v>567</v>
      </c>
      <c r="J1595" s="97">
        <v>45975.6793321412</v>
      </c>
      <c r="K1595" s="96" t="s">
        <v>9231</v>
      </c>
      <c r="L1595" s="95"/>
      <c r="M1595" s="95" t="s">
        <v>503</v>
      </c>
      <c r="N1595" s="95" t="s">
        <v>9232</v>
      </c>
      <c r="O1595" s="95" t="s">
        <v>9232</v>
      </c>
      <c r="P1595" s="95" t="s">
        <v>9233</v>
      </c>
      <c r="Q1595" s="98">
        <v>3.0</v>
      </c>
      <c r="R1595" s="97">
        <v>45821.84553240741</v>
      </c>
      <c r="S1595" s="99">
        <v>0.0</v>
      </c>
      <c r="T1595" s="99">
        <v>4.0</v>
      </c>
      <c r="U1595" s="99">
        <v>1.0</v>
      </c>
      <c r="V1595" s="99">
        <v>211.0</v>
      </c>
      <c r="W1595" s="99">
        <v>999999.0</v>
      </c>
    </row>
    <row r="1596" ht="15.75" customHeight="1">
      <c r="A1596" s="95" t="s">
        <v>9234</v>
      </c>
      <c r="B1596" s="95" t="s">
        <v>22</v>
      </c>
      <c r="C1596" s="96" t="s">
        <v>9235</v>
      </c>
      <c r="D1596" s="95" t="s">
        <v>39</v>
      </c>
      <c r="E1596" s="95" t="s">
        <v>39</v>
      </c>
      <c r="F1596" s="95" t="s">
        <v>19</v>
      </c>
      <c r="G1596" s="95" t="s">
        <v>19</v>
      </c>
      <c r="H1596" s="95" t="s">
        <v>21</v>
      </c>
      <c r="I1596" s="95" t="s">
        <v>567</v>
      </c>
      <c r="J1596" s="97">
        <v>46021.50500998842</v>
      </c>
      <c r="K1596" s="95" t="s">
        <v>9236</v>
      </c>
      <c r="L1596" s="96" t="s">
        <v>9237</v>
      </c>
      <c r="M1596" s="95" t="s">
        <v>38</v>
      </c>
      <c r="N1596" s="95" t="s">
        <v>9238</v>
      </c>
      <c r="O1596" s="95" t="s">
        <v>9238</v>
      </c>
      <c r="P1596" s="95" t="s">
        <v>9239</v>
      </c>
      <c r="Q1596" s="98">
        <v>3.0</v>
      </c>
      <c r="R1596" s="97">
        <v>45788.85586805556</v>
      </c>
      <c r="S1596" s="99">
        <v>1375.0</v>
      </c>
      <c r="T1596" s="99">
        <v>51.0</v>
      </c>
      <c r="U1596" s="99">
        <v>1.0</v>
      </c>
      <c r="V1596" s="99">
        <v>69.0</v>
      </c>
      <c r="W1596" s="99">
        <v>2798.0</v>
      </c>
    </row>
    <row r="1597" ht="15.75" customHeight="1">
      <c r="A1597" s="95" t="s">
        <v>9240</v>
      </c>
      <c r="B1597" s="95" t="s">
        <v>22</v>
      </c>
      <c r="C1597" s="96" t="s">
        <v>9241</v>
      </c>
      <c r="D1597" s="95" t="s">
        <v>49</v>
      </c>
      <c r="E1597" s="95" t="s">
        <v>9242</v>
      </c>
      <c r="F1597" s="95" t="s">
        <v>19</v>
      </c>
      <c r="G1597" s="95" t="s">
        <v>19</v>
      </c>
      <c r="H1597" s="95" t="s">
        <v>21</v>
      </c>
      <c r="I1597" s="95" t="s">
        <v>567</v>
      </c>
      <c r="J1597" s="97">
        <v>46021.50647173611</v>
      </c>
      <c r="K1597" s="95" t="s">
        <v>9243</v>
      </c>
      <c r="L1597" s="96" t="s">
        <v>9244</v>
      </c>
      <c r="M1597" s="95" t="s">
        <v>74</v>
      </c>
      <c r="N1597" s="95" t="s">
        <v>9245</v>
      </c>
      <c r="O1597" s="95" t="s">
        <v>9245</v>
      </c>
      <c r="P1597" s="95" t="s">
        <v>9246</v>
      </c>
      <c r="Q1597" s="98">
        <v>3.0</v>
      </c>
      <c r="R1597" s="97">
        <v>45602.63856481481</v>
      </c>
      <c r="S1597" s="99">
        <v>102.0</v>
      </c>
      <c r="T1597" s="99">
        <v>4.0</v>
      </c>
      <c r="U1597" s="99">
        <v>2.0</v>
      </c>
      <c r="V1597" s="99">
        <v>554.0</v>
      </c>
      <c r="W1597" s="99">
        <v>94151.0</v>
      </c>
    </row>
    <row r="1598" ht="15.75" customHeight="1">
      <c r="A1598" s="95" t="s">
        <v>9247</v>
      </c>
      <c r="B1598" s="95" t="s">
        <v>69</v>
      </c>
      <c r="C1598" s="96" t="s">
        <v>9248</v>
      </c>
      <c r="D1598" s="95" t="s">
        <v>49</v>
      </c>
      <c r="E1598" s="95" t="s">
        <v>9249</v>
      </c>
      <c r="F1598" s="95" t="s">
        <v>19</v>
      </c>
      <c r="G1598" s="95" t="s">
        <v>19</v>
      </c>
      <c r="H1598" s="95" t="s">
        <v>89</v>
      </c>
      <c r="I1598" s="95" t="s">
        <v>1984</v>
      </c>
      <c r="J1598" s="97">
        <v>45993.79076224537</v>
      </c>
      <c r="K1598" s="96" t="s">
        <v>9250</v>
      </c>
      <c r="L1598" s="96" t="s">
        <v>9251</v>
      </c>
      <c r="M1598" s="95" t="s">
        <v>74</v>
      </c>
      <c r="N1598" s="95" t="s">
        <v>9245</v>
      </c>
      <c r="O1598" s="95" t="s">
        <v>9245</v>
      </c>
      <c r="P1598" s="95" t="s">
        <v>9246</v>
      </c>
      <c r="Q1598" s="98">
        <v>3.0</v>
      </c>
      <c r="R1598" s="97">
        <v>45630.86239583333</v>
      </c>
      <c r="S1598" s="99">
        <v>102.0</v>
      </c>
      <c r="T1598" s="99">
        <v>7.0</v>
      </c>
      <c r="U1598" s="99">
        <v>1.0</v>
      </c>
      <c r="V1598" s="99">
        <v>85.0</v>
      </c>
      <c r="W1598" s="99">
        <v>94151.0</v>
      </c>
    </row>
    <row r="1599" ht="15.75" customHeight="1">
      <c r="A1599" s="95" t="s">
        <v>9252</v>
      </c>
      <c r="B1599" s="95" t="s">
        <v>22</v>
      </c>
      <c r="C1599" s="96" t="s">
        <v>9253</v>
      </c>
      <c r="D1599" s="95" t="s">
        <v>39</v>
      </c>
      <c r="E1599" s="95" t="s">
        <v>39</v>
      </c>
      <c r="F1599" s="95" t="s">
        <v>19</v>
      </c>
      <c r="G1599" s="95" t="s">
        <v>19</v>
      </c>
      <c r="H1599" s="95" t="s">
        <v>21</v>
      </c>
      <c r="I1599" s="95" t="s">
        <v>567</v>
      </c>
      <c r="J1599" s="97">
        <v>46021.52070043982</v>
      </c>
      <c r="K1599" s="95" t="s">
        <v>9254</v>
      </c>
      <c r="L1599" s="96" t="s">
        <v>9255</v>
      </c>
      <c r="M1599" s="95" t="s">
        <v>105</v>
      </c>
      <c r="N1599" s="95" t="s">
        <v>9256</v>
      </c>
      <c r="O1599" s="95" t="s">
        <v>9256</v>
      </c>
      <c r="P1599" s="95" t="s">
        <v>9257</v>
      </c>
      <c r="Q1599" s="98">
        <v>3.0</v>
      </c>
      <c r="R1599" s="97">
        <v>45847.838125</v>
      </c>
      <c r="S1599" s="99">
        <v>2234.0</v>
      </c>
      <c r="T1599" s="99">
        <v>33.0</v>
      </c>
      <c r="U1599" s="99">
        <v>2.0</v>
      </c>
      <c r="V1599" s="99">
        <v>813.0</v>
      </c>
      <c r="W1599" s="99">
        <v>161261.0</v>
      </c>
    </row>
    <row r="1600" ht="15.75" customHeight="1">
      <c r="A1600" s="95" t="s">
        <v>9258</v>
      </c>
      <c r="B1600" s="95" t="s">
        <v>101</v>
      </c>
      <c r="C1600" s="96" t="s">
        <v>9259</v>
      </c>
      <c r="D1600" s="95" t="s">
        <v>39</v>
      </c>
      <c r="E1600" s="95" t="s">
        <v>39</v>
      </c>
      <c r="F1600" s="95" t="s">
        <v>19</v>
      </c>
      <c r="G1600" s="95" t="s">
        <v>19</v>
      </c>
      <c r="H1600" s="95" t="s">
        <v>21</v>
      </c>
      <c r="I1600" s="95" t="s">
        <v>9260</v>
      </c>
      <c r="J1600" s="97">
        <v>45975.67938763889</v>
      </c>
      <c r="K1600" s="96" t="s">
        <v>9261</v>
      </c>
      <c r="L1600" s="96" t="s">
        <v>9262</v>
      </c>
      <c r="M1600" s="95" t="s">
        <v>74</v>
      </c>
      <c r="N1600" s="95" t="s">
        <v>9263</v>
      </c>
      <c r="O1600" s="95" t="s">
        <v>9263</v>
      </c>
      <c r="P1600" s="95" t="s">
        <v>9264</v>
      </c>
      <c r="Q1600" s="98">
        <v>3.0</v>
      </c>
      <c r="R1600" s="97">
        <v>45629.07414351852</v>
      </c>
      <c r="S1600" s="99">
        <v>2546.0</v>
      </c>
      <c r="T1600" s="99">
        <v>18.0</v>
      </c>
      <c r="U1600" s="99">
        <v>1.0</v>
      </c>
      <c r="V1600" s="99">
        <v>221.0</v>
      </c>
      <c r="W1600" s="99">
        <v>135997.0</v>
      </c>
    </row>
    <row r="1601" ht="15.75" customHeight="1">
      <c r="A1601" s="95" t="s">
        <v>9265</v>
      </c>
      <c r="B1601" s="95" t="s">
        <v>69</v>
      </c>
      <c r="C1601" s="96" t="s">
        <v>9266</v>
      </c>
      <c r="D1601" s="95" t="s">
        <v>124</v>
      </c>
      <c r="E1601" s="95" t="s">
        <v>983</v>
      </c>
      <c r="F1601" s="95" t="s">
        <v>19</v>
      </c>
      <c r="G1601" s="95" t="s">
        <v>19</v>
      </c>
      <c r="H1601" s="95" t="s">
        <v>21</v>
      </c>
      <c r="I1601" s="95" t="s">
        <v>998</v>
      </c>
      <c r="J1601" s="97">
        <v>46057.0926012963</v>
      </c>
      <c r="K1601" s="95" t="s">
        <v>9267</v>
      </c>
      <c r="L1601" s="96" t="s">
        <v>9268</v>
      </c>
      <c r="M1601" s="95" t="s">
        <v>93</v>
      </c>
      <c r="N1601" s="95" t="s">
        <v>9269</v>
      </c>
      <c r="O1601" s="95" t="s">
        <v>9269</v>
      </c>
      <c r="P1601" s="95" t="s">
        <v>9270</v>
      </c>
      <c r="Q1601" s="98">
        <v>3.0</v>
      </c>
      <c r="R1601" s="97">
        <v>45832.95297453704</v>
      </c>
      <c r="S1601" s="99">
        <v>66603.0</v>
      </c>
      <c r="T1601" s="99">
        <v>383.0</v>
      </c>
      <c r="U1601" s="99">
        <v>8.0</v>
      </c>
      <c r="V1601" s="99">
        <v>291.0</v>
      </c>
      <c r="W1601" s="99">
        <v>690011.0</v>
      </c>
    </row>
    <row r="1602" ht="15.75" customHeight="1">
      <c r="A1602" s="95" t="s">
        <v>9271</v>
      </c>
      <c r="B1602" s="95" t="s">
        <v>22</v>
      </c>
      <c r="C1602" s="96" t="s">
        <v>9272</v>
      </c>
      <c r="D1602" s="95" t="s">
        <v>20</v>
      </c>
      <c r="E1602" s="95" t="s">
        <v>638</v>
      </c>
      <c r="F1602" s="95" t="s">
        <v>19</v>
      </c>
      <c r="G1602" s="95" t="s">
        <v>574</v>
      </c>
      <c r="H1602" s="95" t="s">
        <v>21</v>
      </c>
      <c r="I1602" s="95" t="s">
        <v>567</v>
      </c>
      <c r="J1602" s="97">
        <v>45980.93902726852</v>
      </c>
      <c r="K1602" s="95" t="s">
        <v>9273</v>
      </c>
      <c r="L1602" s="96" t="s">
        <v>9274</v>
      </c>
      <c r="M1602" s="95" t="s">
        <v>17</v>
      </c>
      <c r="N1602" s="95" t="s">
        <v>9275</v>
      </c>
      <c r="O1602" s="95" t="s">
        <v>9275</v>
      </c>
      <c r="P1602" s="95" t="s">
        <v>9276</v>
      </c>
      <c r="Q1602" s="98">
        <v>3.0</v>
      </c>
      <c r="R1602" s="97">
        <v>45908.88521990741</v>
      </c>
      <c r="S1602" s="99">
        <v>5075.0</v>
      </c>
      <c r="T1602" s="99">
        <v>225.0</v>
      </c>
      <c r="U1602" s="99">
        <v>19.0</v>
      </c>
      <c r="V1602" s="99">
        <v>48.0</v>
      </c>
      <c r="W1602" s="99">
        <v>65114.0</v>
      </c>
    </row>
    <row r="1603" ht="15.75" customHeight="1">
      <c r="A1603" s="95" t="s">
        <v>9277</v>
      </c>
      <c r="B1603" s="95" t="s">
        <v>157</v>
      </c>
      <c r="C1603" s="96" t="s">
        <v>9278</v>
      </c>
      <c r="D1603" s="95" t="s">
        <v>29</v>
      </c>
      <c r="E1603" s="95" t="s">
        <v>29</v>
      </c>
      <c r="F1603" s="95" t="s">
        <v>88</v>
      </c>
      <c r="G1603" s="95" t="s">
        <v>88</v>
      </c>
      <c r="H1603" s="95" t="s">
        <v>89</v>
      </c>
      <c r="I1603" s="95" t="s">
        <v>859</v>
      </c>
      <c r="J1603" s="97">
        <v>46069.70401856481</v>
      </c>
      <c r="K1603" s="95" t="s">
        <v>9279</v>
      </c>
      <c r="L1603" s="96" t="s">
        <v>9280</v>
      </c>
      <c r="M1603" s="95" t="s">
        <v>74</v>
      </c>
      <c r="N1603" s="95" t="s">
        <v>9281</v>
      </c>
      <c r="O1603" s="95" t="s">
        <v>9281</v>
      </c>
      <c r="P1603" s="95" t="s">
        <v>9282</v>
      </c>
      <c r="Q1603" s="98">
        <v>3.0</v>
      </c>
      <c r="R1603" s="97">
        <v>45958.6159375</v>
      </c>
      <c r="S1603" s="99">
        <v>73.0</v>
      </c>
      <c r="T1603" s="99">
        <v>44.0</v>
      </c>
      <c r="U1603" s="99">
        <v>1.0</v>
      </c>
      <c r="V1603" s="99">
        <v>47.0</v>
      </c>
      <c r="W1603" s="99">
        <v>10186.0</v>
      </c>
    </row>
    <row r="1604" ht="15.75" customHeight="1">
      <c r="A1604" s="95" t="s">
        <v>9283</v>
      </c>
      <c r="B1604" s="95" t="s">
        <v>22</v>
      </c>
      <c r="C1604" s="96" t="s">
        <v>9284</v>
      </c>
      <c r="D1604" s="95" t="s">
        <v>29</v>
      </c>
      <c r="E1604" s="95" t="s">
        <v>910</v>
      </c>
      <c r="F1604" s="95" t="s">
        <v>19</v>
      </c>
      <c r="G1604" s="95" t="s">
        <v>19</v>
      </c>
      <c r="H1604" s="95" t="s">
        <v>21</v>
      </c>
      <c r="I1604" s="95" t="s">
        <v>567</v>
      </c>
      <c r="J1604" s="97">
        <v>46076.63191756944</v>
      </c>
      <c r="K1604" s="95" t="s">
        <v>9285</v>
      </c>
      <c r="L1604" s="96" t="s">
        <v>9286</v>
      </c>
      <c r="M1604" s="95" t="s">
        <v>74</v>
      </c>
      <c r="N1604" s="95" t="s">
        <v>9287</v>
      </c>
      <c r="O1604" s="95" t="s">
        <v>9287</v>
      </c>
      <c r="P1604" s="95" t="s">
        <v>9288</v>
      </c>
      <c r="Q1604" s="98">
        <v>3.0</v>
      </c>
      <c r="R1604" s="97">
        <v>45960.38853009259</v>
      </c>
      <c r="S1604" s="99">
        <v>71322.0</v>
      </c>
      <c r="T1604" s="99">
        <v>3.0</v>
      </c>
      <c r="U1604" s="99">
        <v>5.0</v>
      </c>
      <c r="V1604" s="99">
        <v>153.0</v>
      </c>
      <c r="W1604" s="99">
        <v>999999.0</v>
      </c>
    </row>
    <row r="1605" ht="15.75" customHeight="1">
      <c r="A1605" s="95" t="s">
        <v>9289</v>
      </c>
      <c r="B1605" s="95" t="s">
        <v>69</v>
      </c>
      <c r="C1605" s="96" t="s">
        <v>9290</v>
      </c>
      <c r="D1605" s="95" t="s">
        <v>29</v>
      </c>
      <c r="E1605" s="95" t="s">
        <v>598</v>
      </c>
      <c r="F1605" s="95" t="s">
        <v>19</v>
      </c>
      <c r="G1605" s="95" t="s">
        <v>19</v>
      </c>
      <c r="H1605" s="95" t="s">
        <v>21</v>
      </c>
      <c r="I1605" s="95" t="s">
        <v>998</v>
      </c>
      <c r="J1605" s="97">
        <v>46021.50647173611</v>
      </c>
      <c r="K1605" s="95" t="s">
        <v>9291</v>
      </c>
      <c r="L1605" s="96" t="s">
        <v>9292</v>
      </c>
      <c r="M1605" s="95" t="s">
        <v>74</v>
      </c>
      <c r="N1605" s="95" t="s">
        <v>9293</v>
      </c>
      <c r="O1605" s="95" t="s">
        <v>9293</v>
      </c>
      <c r="P1605" s="95" t="s">
        <v>9294</v>
      </c>
      <c r="Q1605" s="98">
        <v>3.0</v>
      </c>
      <c r="R1605" s="97">
        <v>45727.80988425926</v>
      </c>
      <c r="S1605" s="99">
        <v>1047.0</v>
      </c>
      <c r="T1605" s="99">
        <v>0.0</v>
      </c>
      <c r="U1605" s="99">
        <v>3.0</v>
      </c>
      <c r="V1605" s="99">
        <v>222.0</v>
      </c>
      <c r="W1605" s="99">
        <v>284900.0</v>
      </c>
    </row>
    <row r="1606" ht="15.75" customHeight="1">
      <c r="A1606" s="95" t="s">
        <v>9295</v>
      </c>
      <c r="B1606" s="95" t="s">
        <v>22</v>
      </c>
      <c r="C1606" s="96" t="s">
        <v>9296</v>
      </c>
      <c r="D1606" s="95" t="s">
        <v>124</v>
      </c>
      <c r="E1606" s="95" t="s">
        <v>794</v>
      </c>
      <c r="F1606" s="95" t="s">
        <v>19</v>
      </c>
      <c r="G1606" s="95" t="s">
        <v>19</v>
      </c>
      <c r="H1606" s="95" t="s">
        <v>21</v>
      </c>
      <c r="I1606" s="95" t="s">
        <v>567</v>
      </c>
      <c r="J1606" s="97">
        <v>45975.67936400463</v>
      </c>
      <c r="K1606" s="96" t="s">
        <v>9297</v>
      </c>
      <c r="L1606" s="96" t="s">
        <v>9298</v>
      </c>
      <c r="M1606" s="95" t="s">
        <v>17</v>
      </c>
      <c r="N1606" s="95" t="s">
        <v>9299</v>
      </c>
      <c r="O1606" s="95" t="s">
        <v>9299</v>
      </c>
      <c r="P1606" s="95" t="s">
        <v>9300</v>
      </c>
      <c r="Q1606" s="98">
        <v>3.0</v>
      </c>
      <c r="R1606" s="97">
        <v>45895.66248842593</v>
      </c>
      <c r="S1606" s="99">
        <v>41941.0</v>
      </c>
      <c r="T1606" s="99">
        <v>131.0</v>
      </c>
      <c r="U1606" s="99">
        <v>5.0</v>
      </c>
      <c r="V1606" s="99">
        <v>13.0</v>
      </c>
      <c r="W1606" s="99">
        <v>999999.0</v>
      </c>
    </row>
    <row r="1607" ht="15.75" customHeight="1">
      <c r="A1607" s="95" t="s">
        <v>9301</v>
      </c>
      <c r="B1607" s="95" t="s">
        <v>101</v>
      </c>
      <c r="C1607" s="96" t="s">
        <v>9302</v>
      </c>
      <c r="D1607" s="95" t="s">
        <v>59</v>
      </c>
      <c r="E1607" s="95" t="s">
        <v>1347</v>
      </c>
      <c r="F1607" s="95" t="s">
        <v>88</v>
      </c>
      <c r="G1607" s="95" t="s">
        <v>858</v>
      </c>
      <c r="H1607" s="95" t="s">
        <v>21</v>
      </c>
      <c r="I1607" s="95" t="s">
        <v>1497</v>
      </c>
      <c r="J1607" s="97">
        <v>46072.60621122685</v>
      </c>
      <c r="K1607" s="95" t="s">
        <v>9303</v>
      </c>
      <c r="L1607" s="96" t="s">
        <v>9304</v>
      </c>
      <c r="M1607" s="95" t="s">
        <v>93</v>
      </c>
      <c r="N1607" s="95" t="s">
        <v>9305</v>
      </c>
      <c r="O1607" s="95" t="s">
        <v>9305</v>
      </c>
      <c r="P1607" s="95" t="s">
        <v>9306</v>
      </c>
      <c r="Q1607" s="98">
        <v>3.0</v>
      </c>
      <c r="R1607" s="97">
        <v>45883.73184027777</v>
      </c>
      <c r="S1607" s="99">
        <v>5704.0</v>
      </c>
      <c r="T1607" s="99">
        <v>1903.0</v>
      </c>
      <c r="U1607" s="99">
        <v>250.0</v>
      </c>
      <c r="V1607" s="99">
        <v>225.0</v>
      </c>
      <c r="W1607" s="99">
        <v>596868.0</v>
      </c>
    </row>
    <row r="1608" ht="15.75" customHeight="1">
      <c r="A1608" s="95" t="s">
        <v>9307</v>
      </c>
      <c r="B1608" s="95" t="s">
        <v>22</v>
      </c>
      <c r="C1608" s="96" t="s">
        <v>9308</v>
      </c>
      <c r="D1608" s="95" t="s">
        <v>168</v>
      </c>
      <c r="E1608" s="95" t="s">
        <v>3021</v>
      </c>
      <c r="F1608" s="95" t="s">
        <v>19</v>
      </c>
      <c r="G1608" s="95" t="s">
        <v>19</v>
      </c>
      <c r="H1608" s="95" t="s">
        <v>21</v>
      </c>
      <c r="I1608" s="95" t="s">
        <v>567</v>
      </c>
      <c r="J1608" s="97">
        <v>45977.67617373843</v>
      </c>
      <c r="K1608" s="95" t="s">
        <v>9309</v>
      </c>
      <c r="L1608" s="95"/>
      <c r="M1608" s="95" t="s">
        <v>17</v>
      </c>
      <c r="N1608" s="95" t="s">
        <v>9310</v>
      </c>
      <c r="O1608" s="95" t="s">
        <v>9310</v>
      </c>
      <c r="P1608" s="95" t="s">
        <v>9311</v>
      </c>
      <c r="Q1608" s="98">
        <v>3.0</v>
      </c>
      <c r="R1608" s="97">
        <v>45753.09314814815</v>
      </c>
      <c r="S1608" s="99">
        <v>4062.0</v>
      </c>
      <c r="T1608" s="99">
        <v>1567.0</v>
      </c>
      <c r="U1608" s="99">
        <v>1.0</v>
      </c>
      <c r="V1608" s="99">
        <v>116.0</v>
      </c>
      <c r="W1608" s="99">
        <v>429498.0</v>
      </c>
    </row>
    <row r="1609" ht="15.75" customHeight="1">
      <c r="A1609" s="95" t="s">
        <v>9312</v>
      </c>
      <c r="B1609" s="95" t="s">
        <v>22</v>
      </c>
      <c r="C1609" s="96" t="s">
        <v>9313</v>
      </c>
      <c r="D1609" s="95" t="s">
        <v>39</v>
      </c>
      <c r="E1609" s="95" t="s">
        <v>614</v>
      </c>
      <c r="F1609" s="95" t="s">
        <v>19</v>
      </c>
      <c r="G1609" s="95" t="s">
        <v>19</v>
      </c>
      <c r="H1609" s="95" t="s">
        <v>21</v>
      </c>
      <c r="I1609" s="95" t="s">
        <v>589</v>
      </c>
      <c r="J1609" s="97">
        <v>45975.6793321412</v>
      </c>
      <c r="K1609" s="96" t="s">
        <v>9314</v>
      </c>
      <c r="L1609" s="96" t="s">
        <v>9315</v>
      </c>
      <c r="M1609" s="95" t="s">
        <v>503</v>
      </c>
      <c r="N1609" s="95" t="s">
        <v>9316</v>
      </c>
      <c r="O1609" s="95" t="s">
        <v>9316</v>
      </c>
      <c r="P1609" s="95" t="s">
        <v>9317</v>
      </c>
      <c r="Q1609" s="98">
        <v>3.0</v>
      </c>
      <c r="R1609" s="97">
        <v>45862.01666666667</v>
      </c>
      <c r="S1609" s="99">
        <v>11430.0</v>
      </c>
      <c r="T1609" s="99">
        <v>9688.0</v>
      </c>
      <c r="U1609" s="99">
        <v>27.0</v>
      </c>
      <c r="V1609" s="99">
        <v>182.0</v>
      </c>
      <c r="W1609" s="99">
        <v>114174.0</v>
      </c>
    </row>
    <row r="1610" ht="15.75" customHeight="1">
      <c r="A1610" s="95" t="s">
        <v>9318</v>
      </c>
      <c r="B1610" s="95" t="s">
        <v>69</v>
      </c>
      <c r="C1610" s="96" t="s">
        <v>9319</v>
      </c>
      <c r="D1610" s="95" t="s">
        <v>49</v>
      </c>
      <c r="E1610" s="95" t="s">
        <v>9320</v>
      </c>
      <c r="F1610" s="95" t="s">
        <v>19</v>
      </c>
      <c r="G1610" s="95" t="s">
        <v>19</v>
      </c>
      <c r="H1610" s="95" t="s">
        <v>21</v>
      </c>
      <c r="I1610" s="95" t="s">
        <v>998</v>
      </c>
      <c r="J1610" s="97">
        <v>46021.50647173611</v>
      </c>
      <c r="K1610" s="95" t="s">
        <v>9321</v>
      </c>
      <c r="L1610" s="96" t="s">
        <v>9322</v>
      </c>
      <c r="M1610" s="95" t="s">
        <v>74</v>
      </c>
      <c r="N1610" s="95" t="s">
        <v>9323</v>
      </c>
      <c r="O1610" s="95" t="s">
        <v>9323</v>
      </c>
      <c r="P1610" s="95" t="s">
        <v>9324</v>
      </c>
      <c r="Q1610" s="98">
        <v>3.0</v>
      </c>
      <c r="R1610" s="97">
        <v>45637.0820949074</v>
      </c>
      <c r="S1610" s="99">
        <v>18856.0</v>
      </c>
      <c r="T1610" s="99">
        <v>24.0</v>
      </c>
      <c r="U1610" s="99">
        <v>3.0</v>
      </c>
      <c r="V1610" s="99">
        <v>43.0</v>
      </c>
      <c r="W1610" s="99">
        <v>107251.0</v>
      </c>
    </row>
    <row r="1611" ht="15.75" customHeight="1">
      <c r="A1611" s="95" t="s">
        <v>9325</v>
      </c>
      <c r="B1611" s="95" t="s">
        <v>22</v>
      </c>
      <c r="C1611" s="96" t="s">
        <v>9326</v>
      </c>
      <c r="D1611" s="95" t="s">
        <v>124</v>
      </c>
      <c r="E1611" s="95" t="s">
        <v>6042</v>
      </c>
      <c r="F1611" s="95" t="s">
        <v>19</v>
      </c>
      <c r="G1611" s="95" t="s">
        <v>588</v>
      </c>
      <c r="H1611" s="95" t="s">
        <v>21</v>
      </c>
      <c r="I1611" s="95" t="s">
        <v>567</v>
      </c>
      <c r="J1611" s="97">
        <v>46021.50500998842</v>
      </c>
      <c r="K1611" s="95" t="s">
        <v>9327</v>
      </c>
      <c r="L1611" s="96" t="s">
        <v>9328</v>
      </c>
      <c r="M1611" s="95" t="s">
        <v>74</v>
      </c>
      <c r="N1611" s="95" t="s">
        <v>9329</v>
      </c>
      <c r="O1611" s="95" t="s">
        <v>9329</v>
      </c>
      <c r="P1611" s="95" t="s">
        <v>9330</v>
      </c>
      <c r="Q1611" s="98">
        <v>3.0</v>
      </c>
      <c r="R1611" s="97">
        <v>45822.61118055556</v>
      </c>
      <c r="S1611" s="99">
        <v>914.0</v>
      </c>
      <c r="T1611" s="99">
        <v>5.0</v>
      </c>
      <c r="U1611" s="99">
        <v>5.0</v>
      </c>
      <c r="V1611" s="99">
        <v>23.0</v>
      </c>
      <c r="W1611" s="99">
        <v>13092.0</v>
      </c>
    </row>
    <row r="1612" ht="15.75" customHeight="1">
      <c r="A1612" s="95" t="s">
        <v>9331</v>
      </c>
      <c r="B1612" s="95" t="s">
        <v>22</v>
      </c>
      <c r="C1612" s="96" t="s">
        <v>9332</v>
      </c>
      <c r="D1612" s="95" t="s">
        <v>124</v>
      </c>
      <c r="E1612" s="95" t="s">
        <v>794</v>
      </c>
      <c r="F1612" s="95" t="s">
        <v>19</v>
      </c>
      <c r="G1612" s="95" t="s">
        <v>19</v>
      </c>
      <c r="H1612" s="95" t="s">
        <v>21</v>
      </c>
      <c r="I1612" s="95" t="s">
        <v>567</v>
      </c>
      <c r="J1612" s="97">
        <v>46021.50647173611</v>
      </c>
      <c r="K1612" s="95" t="s">
        <v>9333</v>
      </c>
      <c r="L1612" s="96" t="s">
        <v>9334</v>
      </c>
      <c r="M1612" s="95" t="s">
        <v>67</v>
      </c>
      <c r="N1612" s="95" t="s">
        <v>9335</v>
      </c>
      <c r="O1612" s="95" t="s">
        <v>9335</v>
      </c>
      <c r="P1612" s="95" t="s">
        <v>9336</v>
      </c>
      <c r="Q1612" s="98">
        <v>3.0</v>
      </c>
      <c r="R1612" s="97">
        <v>45861.72041666666</v>
      </c>
      <c r="S1612" s="99">
        <v>52.0</v>
      </c>
      <c r="T1612" s="99">
        <v>41.0</v>
      </c>
      <c r="U1612" s="99">
        <v>2.0</v>
      </c>
      <c r="V1612" s="99">
        <v>54.0</v>
      </c>
      <c r="W1612" s="99">
        <v>270180.0</v>
      </c>
    </row>
    <row r="1613" ht="15.75" customHeight="1">
      <c r="A1613" s="95" t="s">
        <v>9337</v>
      </c>
      <c r="B1613" s="95" t="s">
        <v>22</v>
      </c>
      <c r="C1613" s="96" t="s">
        <v>9338</v>
      </c>
      <c r="D1613" s="95" t="s">
        <v>124</v>
      </c>
      <c r="E1613" s="95" t="s">
        <v>794</v>
      </c>
      <c r="F1613" s="95" t="s">
        <v>19</v>
      </c>
      <c r="G1613" s="95" t="s">
        <v>19</v>
      </c>
      <c r="H1613" s="95" t="s">
        <v>21</v>
      </c>
      <c r="I1613" s="95" t="s">
        <v>567</v>
      </c>
      <c r="J1613" s="97">
        <v>46021.50647173611</v>
      </c>
      <c r="K1613" s="95" t="s">
        <v>9339</v>
      </c>
      <c r="L1613" s="96" t="s">
        <v>9340</v>
      </c>
      <c r="M1613" s="95" t="s">
        <v>67</v>
      </c>
      <c r="N1613" s="95" t="s">
        <v>9335</v>
      </c>
      <c r="O1613" s="95" t="s">
        <v>9335</v>
      </c>
      <c r="P1613" s="95" t="s">
        <v>9336</v>
      </c>
      <c r="Q1613" s="98">
        <v>3.0</v>
      </c>
      <c r="R1613" s="97">
        <v>45791.78840277778</v>
      </c>
      <c r="S1613" s="99">
        <v>52.0</v>
      </c>
      <c r="T1613" s="99">
        <v>6.0</v>
      </c>
      <c r="U1613" s="99">
        <v>3.0</v>
      </c>
      <c r="V1613" s="99">
        <v>17.0</v>
      </c>
      <c r="W1613" s="99">
        <v>270180.0</v>
      </c>
    </row>
    <row r="1614" ht="15.75" customHeight="1">
      <c r="A1614" s="95" t="s">
        <v>9341</v>
      </c>
      <c r="B1614" s="95" t="s">
        <v>22</v>
      </c>
      <c r="C1614" s="96" t="s">
        <v>9342</v>
      </c>
      <c r="D1614" s="95" t="s">
        <v>124</v>
      </c>
      <c r="E1614" s="95" t="s">
        <v>794</v>
      </c>
      <c r="F1614" s="95" t="s">
        <v>19</v>
      </c>
      <c r="G1614" s="95" t="s">
        <v>19</v>
      </c>
      <c r="H1614" s="95" t="s">
        <v>21</v>
      </c>
      <c r="I1614" s="95" t="s">
        <v>567</v>
      </c>
      <c r="J1614" s="97">
        <v>46021.51458594907</v>
      </c>
      <c r="K1614" s="95" t="s">
        <v>9343</v>
      </c>
      <c r="L1614" s="96" t="s">
        <v>9344</v>
      </c>
      <c r="M1614" s="95" t="s">
        <v>67</v>
      </c>
      <c r="N1614" s="95" t="s">
        <v>9335</v>
      </c>
      <c r="O1614" s="95" t="s">
        <v>9335</v>
      </c>
      <c r="P1614" s="95" t="s">
        <v>9336</v>
      </c>
      <c r="Q1614" s="98">
        <v>3.0</v>
      </c>
      <c r="R1614" s="97">
        <v>45846.985625</v>
      </c>
      <c r="S1614" s="99">
        <v>52.0</v>
      </c>
      <c r="T1614" s="99">
        <v>1376.0</v>
      </c>
      <c r="U1614" s="99">
        <v>7.0</v>
      </c>
      <c r="V1614" s="99">
        <v>32.0</v>
      </c>
      <c r="W1614" s="99">
        <v>270180.0</v>
      </c>
    </row>
    <row r="1615" ht="15.75" customHeight="1">
      <c r="A1615" s="95" t="s">
        <v>9345</v>
      </c>
      <c r="B1615" s="95" t="s">
        <v>22</v>
      </c>
      <c r="C1615" s="96" t="s">
        <v>9346</v>
      </c>
      <c r="D1615" s="95" t="s">
        <v>168</v>
      </c>
      <c r="E1615" s="95" t="s">
        <v>606</v>
      </c>
      <c r="F1615" s="95" t="s">
        <v>19</v>
      </c>
      <c r="G1615" s="95" t="s">
        <v>19</v>
      </c>
      <c r="H1615" s="95" t="s">
        <v>21</v>
      </c>
      <c r="I1615" s="95" t="s">
        <v>589</v>
      </c>
      <c r="J1615" s="97">
        <v>45975.67936400463</v>
      </c>
      <c r="K1615" s="96" t="s">
        <v>9347</v>
      </c>
      <c r="L1615" s="96" t="s">
        <v>9348</v>
      </c>
      <c r="M1615" s="95" t="s">
        <v>17</v>
      </c>
      <c r="N1615" s="95" t="s">
        <v>9349</v>
      </c>
      <c r="O1615" s="95" t="s">
        <v>9349</v>
      </c>
      <c r="P1615" s="95" t="s">
        <v>9350</v>
      </c>
      <c r="Q1615" s="98">
        <v>3.0</v>
      </c>
      <c r="R1615" s="97">
        <v>45793.90072916666</v>
      </c>
      <c r="S1615" s="99">
        <v>981.0</v>
      </c>
      <c r="T1615" s="99">
        <v>6.0</v>
      </c>
      <c r="U1615" s="99">
        <v>4.0</v>
      </c>
      <c r="V1615" s="99">
        <v>119.0</v>
      </c>
      <c r="W1615" s="99">
        <v>94077.0</v>
      </c>
    </row>
    <row r="1616" ht="15.75" customHeight="1">
      <c r="A1616" s="95" t="s">
        <v>9351</v>
      </c>
      <c r="B1616" s="95" t="s">
        <v>131</v>
      </c>
      <c r="C1616" s="96" t="s">
        <v>9352</v>
      </c>
      <c r="D1616" s="95" t="s">
        <v>39</v>
      </c>
      <c r="E1616" s="95" t="s">
        <v>9353</v>
      </c>
      <c r="F1616" s="95" t="s">
        <v>19</v>
      </c>
      <c r="G1616" s="95" t="s">
        <v>19</v>
      </c>
      <c r="H1616" s="95" t="s">
        <v>21</v>
      </c>
      <c r="I1616" s="95" t="s">
        <v>647</v>
      </c>
      <c r="J1616" s="97">
        <v>45975.67930844907</v>
      </c>
      <c r="K1616" s="96" t="s">
        <v>9354</v>
      </c>
      <c r="L1616" s="96" t="s">
        <v>9355</v>
      </c>
      <c r="M1616" s="95" t="s">
        <v>54</v>
      </c>
      <c r="N1616" s="95" t="s">
        <v>9356</v>
      </c>
      <c r="O1616" s="95" t="s">
        <v>9356</v>
      </c>
      <c r="P1616" s="95" t="s">
        <v>9357</v>
      </c>
      <c r="Q1616" s="98">
        <v>3.0</v>
      </c>
      <c r="R1616" s="97">
        <v>45833.71483796297</v>
      </c>
      <c r="S1616" s="99">
        <v>1454.0</v>
      </c>
      <c r="T1616" s="99">
        <v>28.0</v>
      </c>
      <c r="U1616" s="99">
        <v>4.0</v>
      </c>
      <c r="V1616" s="99">
        <v>235.0</v>
      </c>
      <c r="W1616" s="99">
        <v>68467.0</v>
      </c>
    </row>
    <row r="1617" ht="15.75" customHeight="1">
      <c r="A1617" s="95" t="s">
        <v>9358</v>
      </c>
      <c r="B1617" s="95" t="s">
        <v>69</v>
      </c>
      <c r="C1617" s="96" t="s">
        <v>9359</v>
      </c>
      <c r="D1617" s="95" t="s">
        <v>29</v>
      </c>
      <c r="E1617" s="95" t="s">
        <v>3793</v>
      </c>
      <c r="F1617" s="95" t="s">
        <v>88</v>
      </c>
      <c r="G1617" s="95" t="s">
        <v>639</v>
      </c>
      <c r="H1617" s="95" t="s">
        <v>89</v>
      </c>
      <c r="I1617" s="95" t="s">
        <v>640</v>
      </c>
      <c r="J1617" s="97">
        <v>45975.67938763889</v>
      </c>
      <c r="K1617" s="96" t="s">
        <v>9360</v>
      </c>
      <c r="L1617" s="96" t="s">
        <v>9361</v>
      </c>
      <c r="M1617" s="95" t="s">
        <v>74</v>
      </c>
      <c r="N1617" s="95" t="s">
        <v>9362</v>
      </c>
      <c r="O1617" s="95" t="s">
        <v>9362</v>
      </c>
      <c r="P1617" s="95" t="s">
        <v>9363</v>
      </c>
      <c r="Q1617" s="98">
        <v>3.0</v>
      </c>
      <c r="R1617" s="97">
        <v>45797.68270833333</v>
      </c>
      <c r="S1617" s="99">
        <v>4305.0</v>
      </c>
      <c r="T1617" s="99">
        <v>1.0</v>
      </c>
      <c r="U1617" s="99">
        <v>1.0</v>
      </c>
      <c r="V1617" s="99">
        <v>22.0</v>
      </c>
      <c r="W1617" s="99">
        <v>61235.0</v>
      </c>
    </row>
    <row r="1618" ht="15.75" customHeight="1">
      <c r="A1618" s="95" t="s">
        <v>9364</v>
      </c>
      <c r="B1618" s="95" t="s">
        <v>69</v>
      </c>
      <c r="C1618" s="96" t="s">
        <v>9365</v>
      </c>
      <c r="D1618" s="95" t="s">
        <v>20</v>
      </c>
      <c r="E1618" s="95" t="s">
        <v>638</v>
      </c>
      <c r="F1618" s="95" t="s">
        <v>19</v>
      </c>
      <c r="G1618" s="95" t="s">
        <v>19</v>
      </c>
      <c r="H1618" s="95" t="s">
        <v>21</v>
      </c>
      <c r="I1618" s="95" t="s">
        <v>998</v>
      </c>
      <c r="J1618" s="97">
        <v>46021.51458594907</v>
      </c>
      <c r="K1618" s="95" t="s">
        <v>9366</v>
      </c>
      <c r="L1618" s="96" t="s">
        <v>9367</v>
      </c>
      <c r="M1618" s="95" t="s">
        <v>74</v>
      </c>
      <c r="N1618" s="95" t="s">
        <v>9368</v>
      </c>
      <c r="O1618" s="95" t="s">
        <v>9368</v>
      </c>
      <c r="P1618" s="95" t="s">
        <v>9369</v>
      </c>
      <c r="Q1618" s="98">
        <v>3.0</v>
      </c>
      <c r="R1618" s="97">
        <v>45832.35452546296</v>
      </c>
      <c r="S1618" s="99">
        <v>1708.0</v>
      </c>
      <c r="T1618" s="99">
        <v>96.0</v>
      </c>
      <c r="U1618" s="99">
        <v>43.0</v>
      </c>
      <c r="V1618" s="99">
        <v>382.0</v>
      </c>
      <c r="W1618" s="99">
        <v>46868.0</v>
      </c>
    </row>
    <row r="1619" ht="15.75" customHeight="1">
      <c r="A1619" s="95" t="s">
        <v>9370</v>
      </c>
      <c r="B1619" s="95" t="s">
        <v>22</v>
      </c>
      <c r="C1619" s="96" t="s">
        <v>9371</v>
      </c>
      <c r="D1619" s="95" t="s">
        <v>39</v>
      </c>
      <c r="E1619" s="95" t="s">
        <v>614</v>
      </c>
      <c r="F1619" s="95" t="s">
        <v>19</v>
      </c>
      <c r="G1619" s="95" t="s">
        <v>19</v>
      </c>
      <c r="H1619" s="95" t="s">
        <v>21</v>
      </c>
      <c r="I1619" s="95" t="s">
        <v>567</v>
      </c>
      <c r="J1619" s="97">
        <v>46072.52424295139</v>
      </c>
      <c r="K1619" s="95" t="s">
        <v>9372</v>
      </c>
      <c r="L1619" s="96" t="s">
        <v>9373</v>
      </c>
      <c r="M1619" s="95" t="s">
        <v>74</v>
      </c>
      <c r="N1619" s="95" t="s">
        <v>9374</v>
      </c>
      <c r="O1619" s="95" t="s">
        <v>9374</v>
      </c>
      <c r="P1619" s="95" t="s">
        <v>9375</v>
      </c>
      <c r="Q1619" s="98">
        <v>3.0</v>
      </c>
      <c r="R1619" s="97">
        <v>45954.43587962963</v>
      </c>
      <c r="S1619" s="99">
        <v>339.0</v>
      </c>
      <c r="T1619" s="99">
        <v>191.0</v>
      </c>
      <c r="U1619" s="99">
        <v>2.0</v>
      </c>
      <c r="V1619" s="99">
        <v>374.0</v>
      </c>
      <c r="W1619" s="99">
        <v>13846.0</v>
      </c>
    </row>
    <row r="1620" ht="15.75" customHeight="1">
      <c r="A1620" s="95" t="s">
        <v>9376</v>
      </c>
      <c r="B1620" s="95" t="s">
        <v>22</v>
      </c>
      <c r="C1620" s="96" t="s">
        <v>9377</v>
      </c>
      <c r="D1620" s="95" t="s">
        <v>124</v>
      </c>
      <c r="E1620" s="95" t="s">
        <v>794</v>
      </c>
      <c r="F1620" s="95" t="s">
        <v>19</v>
      </c>
      <c r="G1620" s="95" t="s">
        <v>19</v>
      </c>
      <c r="H1620" s="95" t="s">
        <v>21</v>
      </c>
      <c r="I1620" s="95" t="s">
        <v>567</v>
      </c>
      <c r="J1620" s="97">
        <v>46021.50647173611</v>
      </c>
      <c r="K1620" s="95" t="s">
        <v>9378</v>
      </c>
      <c r="L1620" s="96" t="s">
        <v>9379</v>
      </c>
      <c r="M1620" s="95" t="s">
        <v>74</v>
      </c>
      <c r="N1620" s="95" t="s">
        <v>9380</v>
      </c>
      <c r="O1620" s="95" t="s">
        <v>9380</v>
      </c>
      <c r="P1620" s="95" t="s">
        <v>9381</v>
      </c>
      <c r="Q1620" s="98">
        <v>3.0</v>
      </c>
      <c r="R1620" s="97">
        <v>45776.27</v>
      </c>
      <c r="S1620" s="99">
        <v>1143.0</v>
      </c>
      <c r="T1620" s="99">
        <v>21.0</v>
      </c>
      <c r="U1620" s="99">
        <v>1.0</v>
      </c>
      <c r="V1620" s="99">
        <v>206.0</v>
      </c>
      <c r="W1620" s="99">
        <v>326789.0</v>
      </c>
    </row>
    <row r="1621" ht="15.75" customHeight="1">
      <c r="A1621" s="95" t="s">
        <v>9382</v>
      </c>
      <c r="B1621" s="95" t="s">
        <v>22</v>
      </c>
      <c r="C1621" s="96" t="s">
        <v>9383</v>
      </c>
      <c r="D1621" s="95" t="s">
        <v>39</v>
      </c>
      <c r="E1621" s="95" t="s">
        <v>9384</v>
      </c>
      <c r="F1621" s="95" t="s">
        <v>19</v>
      </c>
      <c r="G1621" s="95" t="s">
        <v>19</v>
      </c>
      <c r="H1621" s="95" t="s">
        <v>21</v>
      </c>
      <c r="I1621" s="95" t="s">
        <v>677</v>
      </c>
      <c r="J1621" s="97">
        <v>46021.51458594907</v>
      </c>
      <c r="K1621" s="95" t="s">
        <v>9385</v>
      </c>
      <c r="L1621" s="96" t="s">
        <v>9386</v>
      </c>
      <c r="M1621" s="95" t="s">
        <v>503</v>
      </c>
      <c r="N1621" s="95" t="s">
        <v>9387</v>
      </c>
      <c r="O1621" s="95" t="s">
        <v>9387</v>
      </c>
      <c r="P1621" s="95" t="s">
        <v>9388</v>
      </c>
      <c r="Q1621" s="98">
        <v>3.0</v>
      </c>
      <c r="R1621" s="97">
        <v>45956.23796296296</v>
      </c>
      <c r="S1621" s="99">
        <v>108.0</v>
      </c>
      <c r="T1621" s="99">
        <v>15.0</v>
      </c>
      <c r="U1621" s="99">
        <v>5.0</v>
      </c>
      <c r="V1621" s="99">
        <v>46.0</v>
      </c>
      <c r="W1621" s="99">
        <v>15747.0</v>
      </c>
    </row>
    <row r="1622" ht="15.75" customHeight="1">
      <c r="A1622" s="95" t="s">
        <v>9389</v>
      </c>
      <c r="B1622" s="95" t="s">
        <v>22</v>
      </c>
      <c r="C1622" s="96" t="s">
        <v>9390</v>
      </c>
      <c r="D1622" s="95" t="s">
        <v>39</v>
      </c>
      <c r="E1622" s="95" t="s">
        <v>614</v>
      </c>
      <c r="F1622" s="95" t="s">
        <v>19</v>
      </c>
      <c r="G1622" s="95" t="s">
        <v>1018</v>
      </c>
      <c r="H1622" s="95" t="s">
        <v>21</v>
      </c>
      <c r="I1622" s="95" t="s">
        <v>567</v>
      </c>
      <c r="J1622" s="97">
        <v>46035.76896512732</v>
      </c>
      <c r="K1622" s="95" t="s">
        <v>9391</v>
      </c>
      <c r="L1622" s="96" t="s">
        <v>9392</v>
      </c>
      <c r="M1622" s="95" t="s">
        <v>503</v>
      </c>
      <c r="N1622" s="95" t="s">
        <v>9393</v>
      </c>
      <c r="O1622" s="95" t="s">
        <v>9393</v>
      </c>
      <c r="P1622" s="95" t="s">
        <v>9394</v>
      </c>
      <c r="Q1622" s="98">
        <v>3.0</v>
      </c>
      <c r="R1622" s="97">
        <v>45638.35158564815</v>
      </c>
      <c r="S1622" s="99">
        <v>6385.0</v>
      </c>
      <c r="T1622" s="99">
        <v>12.0</v>
      </c>
      <c r="U1622" s="99">
        <v>14.0</v>
      </c>
      <c r="V1622" s="99">
        <v>53.0</v>
      </c>
      <c r="W1622" s="99">
        <v>381815.0</v>
      </c>
    </row>
    <row r="1623" ht="15.75" customHeight="1">
      <c r="A1623" s="95" t="s">
        <v>9395</v>
      </c>
      <c r="B1623" s="95" t="s">
        <v>69</v>
      </c>
      <c r="C1623" s="96" t="s">
        <v>9396</v>
      </c>
      <c r="D1623" s="95" t="s">
        <v>39</v>
      </c>
      <c r="E1623" s="95" t="s">
        <v>39</v>
      </c>
      <c r="F1623" s="95" t="s">
        <v>88</v>
      </c>
      <c r="G1623" s="95" t="s">
        <v>88</v>
      </c>
      <c r="H1623" s="95" t="s">
        <v>89</v>
      </c>
      <c r="I1623" s="95" t="s">
        <v>640</v>
      </c>
      <c r="J1623" s="97">
        <v>46035.76896512732</v>
      </c>
      <c r="K1623" s="95" t="s">
        <v>9397</v>
      </c>
      <c r="L1623" s="96" t="s">
        <v>9398</v>
      </c>
      <c r="M1623" s="95" t="s">
        <v>503</v>
      </c>
      <c r="N1623" s="95" t="s">
        <v>9393</v>
      </c>
      <c r="O1623" s="95" t="s">
        <v>9393</v>
      </c>
      <c r="P1623" s="95" t="s">
        <v>9394</v>
      </c>
      <c r="Q1623" s="98">
        <v>3.0</v>
      </c>
      <c r="R1623" s="97">
        <v>45840.88939814815</v>
      </c>
      <c r="S1623" s="99">
        <v>6385.0</v>
      </c>
      <c r="T1623" s="99">
        <v>41.0</v>
      </c>
      <c r="U1623" s="99">
        <v>4.0</v>
      </c>
      <c r="V1623" s="99">
        <v>44.0</v>
      </c>
      <c r="W1623" s="99">
        <v>381815.0</v>
      </c>
    </row>
    <row r="1624" ht="15.75" customHeight="1">
      <c r="A1624" s="95" t="s">
        <v>9399</v>
      </c>
      <c r="B1624" s="95" t="s">
        <v>22</v>
      </c>
      <c r="C1624" s="96" t="s">
        <v>9400</v>
      </c>
      <c r="D1624" s="95" t="s">
        <v>548</v>
      </c>
      <c r="E1624" s="95" t="s">
        <v>6351</v>
      </c>
      <c r="F1624" s="95" t="s">
        <v>19</v>
      </c>
      <c r="G1624" s="95" t="s">
        <v>588</v>
      </c>
      <c r="H1624" s="95" t="s">
        <v>21</v>
      </c>
      <c r="I1624" s="95" t="s">
        <v>677</v>
      </c>
      <c r="J1624" s="97">
        <v>45993.7854622338</v>
      </c>
      <c r="K1624" s="96" t="s">
        <v>9401</v>
      </c>
      <c r="L1624" s="96" t="s">
        <v>9402</v>
      </c>
      <c r="M1624" s="95" t="s">
        <v>17</v>
      </c>
      <c r="N1624" s="95" t="s">
        <v>9403</v>
      </c>
      <c r="O1624" s="95" t="s">
        <v>9403</v>
      </c>
      <c r="P1624" s="95" t="s">
        <v>9404</v>
      </c>
      <c r="Q1624" s="98">
        <v>3.0</v>
      </c>
      <c r="R1624" s="97">
        <v>45679.5504050926</v>
      </c>
      <c r="S1624" s="99">
        <v>193.0</v>
      </c>
      <c r="T1624" s="99">
        <v>103.0</v>
      </c>
      <c r="U1624" s="99">
        <v>1.0</v>
      </c>
      <c r="V1624" s="99">
        <v>47.0</v>
      </c>
      <c r="W1624" s="99">
        <v>68853.0</v>
      </c>
    </row>
    <row r="1625" ht="15.75" customHeight="1">
      <c r="A1625" s="95" t="s">
        <v>9405</v>
      </c>
      <c r="B1625" s="95" t="s">
        <v>69</v>
      </c>
      <c r="C1625" s="96" t="s">
        <v>9406</v>
      </c>
      <c r="D1625" s="95" t="s">
        <v>29</v>
      </c>
      <c r="E1625" s="95" t="s">
        <v>598</v>
      </c>
      <c r="F1625" s="95" t="s">
        <v>88</v>
      </c>
      <c r="G1625" s="95" t="s">
        <v>88</v>
      </c>
      <c r="H1625" s="95" t="s">
        <v>89</v>
      </c>
      <c r="I1625" s="95" t="s">
        <v>1984</v>
      </c>
      <c r="J1625" s="97">
        <v>46006.50470166666</v>
      </c>
      <c r="K1625" s="95" t="s">
        <v>9407</v>
      </c>
      <c r="L1625" s="95"/>
      <c r="M1625" s="95" t="s">
        <v>504</v>
      </c>
      <c r="N1625" s="95" t="s">
        <v>9408</v>
      </c>
      <c r="O1625" s="95" t="s">
        <v>9408</v>
      </c>
      <c r="P1625" s="95" t="s">
        <v>9409</v>
      </c>
      <c r="Q1625" s="98">
        <v>3.0</v>
      </c>
      <c r="R1625" s="97">
        <v>45814.31023148148</v>
      </c>
      <c r="S1625" s="99">
        <v>30747.0</v>
      </c>
      <c r="T1625" s="99">
        <v>64.0</v>
      </c>
      <c r="U1625" s="99">
        <v>20.0</v>
      </c>
      <c r="V1625" s="99">
        <v>69.0</v>
      </c>
      <c r="W1625" s="99">
        <v>1689119.0</v>
      </c>
    </row>
    <row r="1626" ht="15.75" customHeight="1">
      <c r="A1626" s="95" t="s">
        <v>9410</v>
      </c>
      <c r="B1626" s="95" t="s">
        <v>101</v>
      </c>
      <c r="C1626" s="96" t="s">
        <v>9411</v>
      </c>
      <c r="D1626" s="95" t="s">
        <v>130</v>
      </c>
      <c r="E1626" s="95" t="s">
        <v>130</v>
      </c>
      <c r="F1626" s="95" t="s">
        <v>19</v>
      </c>
      <c r="G1626" s="95" t="s">
        <v>19</v>
      </c>
      <c r="H1626" s="95" t="s">
        <v>21</v>
      </c>
      <c r="I1626" s="95" t="s">
        <v>607</v>
      </c>
      <c r="J1626" s="97">
        <v>46021.51458594907</v>
      </c>
      <c r="K1626" s="95" t="s">
        <v>9412</v>
      </c>
      <c r="L1626" s="96" t="s">
        <v>9413</v>
      </c>
      <c r="M1626" s="95" t="s">
        <v>54</v>
      </c>
      <c r="N1626" s="95" t="s">
        <v>9414</v>
      </c>
      <c r="O1626" s="95" t="s">
        <v>9414</v>
      </c>
      <c r="P1626" s="95" t="s">
        <v>9415</v>
      </c>
      <c r="Q1626" s="98">
        <v>3.0</v>
      </c>
      <c r="R1626" s="97">
        <v>45757.87609953704</v>
      </c>
      <c r="S1626" s="99">
        <v>131.0</v>
      </c>
      <c r="T1626" s="99">
        <v>60.0</v>
      </c>
      <c r="U1626" s="99">
        <v>16.0</v>
      </c>
      <c r="V1626" s="99">
        <v>597.0</v>
      </c>
      <c r="W1626" s="99">
        <v>26471.0</v>
      </c>
    </row>
    <row r="1627" ht="15.75" customHeight="1">
      <c r="A1627" s="95" t="s">
        <v>9416</v>
      </c>
      <c r="B1627" s="95" t="s">
        <v>22</v>
      </c>
      <c r="C1627" s="96" t="s">
        <v>9417</v>
      </c>
      <c r="D1627" s="95" t="s">
        <v>130</v>
      </c>
      <c r="E1627" s="95" t="s">
        <v>2109</v>
      </c>
      <c r="F1627" s="95" t="s">
        <v>19</v>
      </c>
      <c r="G1627" s="95" t="s">
        <v>19</v>
      </c>
      <c r="H1627" s="95" t="s">
        <v>21</v>
      </c>
      <c r="I1627" s="95" t="s">
        <v>677</v>
      </c>
      <c r="J1627" s="97">
        <v>46021.51458594907</v>
      </c>
      <c r="K1627" s="95" t="s">
        <v>9418</v>
      </c>
      <c r="L1627" s="96" t="s">
        <v>9419</v>
      </c>
      <c r="M1627" s="95" t="s">
        <v>54</v>
      </c>
      <c r="N1627" s="95" t="s">
        <v>9414</v>
      </c>
      <c r="O1627" s="95" t="s">
        <v>9414</v>
      </c>
      <c r="P1627" s="95" t="s">
        <v>9415</v>
      </c>
      <c r="Q1627" s="98">
        <v>3.0</v>
      </c>
      <c r="R1627" s="97">
        <v>45762.94763888889</v>
      </c>
      <c r="S1627" s="99">
        <v>131.0</v>
      </c>
      <c r="T1627" s="99">
        <v>167.0</v>
      </c>
      <c r="U1627" s="99">
        <v>12.0</v>
      </c>
      <c r="V1627" s="99">
        <v>571.0</v>
      </c>
      <c r="W1627" s="99">
        <v>26471.0</v>
      </c>
    </row>
    <row r="1628" ht="15.75" customHeight="1">
      <c r="A1628" s="95" t="s">
        <v>9420</v>
      </c>
      <c r="B1628" s="95" t="s">
        <v>22</v>
      </c>
      <c r="C1628" s="96" t="s">
        <v>9421</v>
      </c>
      <c r="D1628" s="95" t="s">
        <v>168</v>
      </c>
      <c r="E1628" s="95" t="s">
        <v>168</v>
      </c>
      <c r="F1628" s="95" t="s">
        <v>19</v>
      </c>
      <c r="G1628" s="95" t="s">
        <v>19</v>
      </c>
      <c r="H1628" s="95" t="s">
        <v>21</v>
      </c>
      <c r="I1628" s="95" t="s">
        <v>567</v>
      </c>
      <c r="J1628" s="97">
        <v>46069.65910748843</v>
      </c>
      <c r="K1628" s="95" t="s">
        <v>9422</v>
      </c>
      <c r="L1628" s="96" t="s">
        <v>9423</v>
      </c>
      <c r="M1628" s="95" t="s">
        <v>93</v>
      </c>
      <c r="N1628" s="95" t="s">
        <v>9424</v>
      </c>
      <c r="O1628" s="95" t="s">
        <v>9424</v>
      </c>
      <c r="P1628" s="95" t="s">
        <v>9425</v>
      </c>
      <c r="Q1628" s="98">
        <v>3.0</v>
      </c>
      <c r="R1628" s="97">
        <v>46058.91321759259</v>
      </c>
      <c r="S1628" s="99">
        <v>2376.0</v>
      </c>
      <c r="T1628" s="99">
        <v>4060.0</v>
      </c>
      <c r="U1628" s="99">
        <v>28.0</v>
      </c>
      <c r="V1628" s="99">
        <v>298.0</v>
      </c>
      <c r="W1628" s="99">
        <v>238363.0</v>
      </c>
    </row>
    <row r="1629" ht="15.75" customHeight="1">
      <c r="A1629" s="95" t="s">
        <v>9426</v>
      </c>
      <c r="B1629" s="95" t="s">
        <v>22</v>
      </c>
      <c r="C1629" s="96" t="s">
        <v>9427</v>
      </c>
      <c r="D1629" s="95" t="s">
        <v>29</v>
      </c>
      <c r="E1629" s="95" t="s">
        <v>598</v>
      </c>
      <c r="F1629" s="95" t="s">
        <v>19</v>
      </c>
      <c r="G1629" s="95" t="s">
        <v>19</v>
      </c>
      <c r="H1629" s="95" t="s">
        <v>21</v>
      </c>
      <c r="I1629" s="95" t="s">
        <v>567</v>
      </c>
      <c r="J1629" s="97">
        <v>45975.67938763889</v>
      </c>
      <c r="K1629" s="96" t="s">
        <v>9428</v>
      </c>
      <c r="L1629" s="96" t="s">
        <v>9429</v>
      </c>
      <c r="M1629" s="95" t="s">
        <v>74</v>
      </c>
      <c r="N1629" s="95" t="s">
        <v>9430</v>
      </c>
      <c r="O1629" s="95" t="s">
        <v>9430</v>
      </c>
      <c r="P1629" s="95" t="s">
        <v>9431</v>
      </c>
      <c r="Q1629" s="98">
        <v>3.0</v>
      </c>
      <c r="R1629" s="97">
        <v>45629.55236111111</v>
      </c>
      <c r="S1629" s="99">
        <v>93560.0</v>
      </c>
      <c r="T1629" s="99">
        <v>2280.0</v>
      </c>
      <c r="U1629" s="99">
        <v>3.0</v>
      </c>
      <c r="V1629" s="99">
        <v>105.0</v>
      </c>
      <c r="W1629" s="99">
        <v>120785.0</v>
      </c>
    </row>
    <row r="1630" ht="15.75" customHeight="1">
      <c r="A1630" s="95" t="s">
        <v>9432</v>
      </c>
      <c r="B1630" s="95" t="s">
        <v>22</v>
      </c>
      <c r="C1630" s="96" t="s">
        <v>9433</v>
      </c>
      <c r="D1630" s="95" t="s">
        <v>39</v>
      </c>
      <c r="E1630" s="95" t="s">
        <v>960</v>
      </c>
      <c r="F1630" s="95" t="s">
        <v>19</v>
      </c>
      <c r="G1630" s="95" t="s">
        <v>588</v>
      </c>
      <c r="H1630" s="95" t="s">
        <v>21</v>
      </c>
      <c r="I1630" s="95" t="s">
        <v>589</v>
      </c>
      <c r="J1630" s="97">
        <v>46021.50647173611</v>
      </c>
      <c r="K1630" s="95" t="s">
        <v>9434</v>
      </c>
      <c r="L1630" s="96" t="s">
        <v>9435</v>
      </c>
      <c r="M1630" s="95" t="s">
        <v>67</v>
      </c>
      <c r="N1630" s="95" t="s">
        <v>9436</v>
      </c>
      <c r="O1630" s="95" t="s">
        <v>9436</v>
      </c>
      <c r="P1630" s="95" t="s">
        <v>9437</v>
      </c>
      <c r="Q1630" s="98">
        <v>3.0</v>
      </c>
      <c r="R1630" s="97">
        <v>45682.48424768518</v>
      </c>
      <c r="S1630" s="99">
        <v>411.0</v>
      </c>
      <c r="T1630" s="99">
        <v>302.0</v>
      </c>
      <c r="U1630" s="99">
        <v>41.0</v>
      </c>
      <c r="V1630" s="99">
        <v>98.0</v>
      </c>
      <c r="W1630" s="99">
        <v>12140.0</v>
      </c>
    </row>
    <row r="1631" ht="15.75" customHeight="1">
      <c r="A1631" s="95" t="s">
        <v>9438</v>
      </c>
      <c r="B1631" s="95" t="s">
        <v>69</v>
      </c>
      <c r="C1631" s="96" t="s">
        <v>9439</v>
      </c>
      <c r="D1631" s="95" t="s">
        <v>59</v>
      </c>
      <c r="E1631" s="95" t="s">
        <v>738</v>
      </c>
      <c r="F1631" s="95" t="s">
        <v>58</v>
      </c>
      <c r="G1631" s="95" t="s">
        <v>58</v>
      </c>
      <c r="H1631" s="95" t="s">
        <v>77</v>
      </c>
      <c r="I1631" s="95" t="s">
        <v>9440</v>
      </c>
      <c r="J1631" s="97">
        <v>46021.50647173611</v>
      </c>
      <c r="K1631" s="95" t="s">
        <v>9441</v>
      </c>
      <c r="L1631" s="96" t="s">
        <v>9442</v>
      </c>
      <c r="M1631" s="95" t="s">
        <v>67</v>
      </c>
      <c r="N1631" s="95" t="s">
        <v>9436</v>
      </c>
      <c r="O1631" s="95" t="s">
        <v>9436</v>
      </c>
      <c r="P1631" s="95" t="s">
        <v>9437</v>
      </c>
      <c r="Q1631" s="98">
        <v>3.0</v>
      </c>
      <c r="R1631" s="97">
        <v>45703.33694444445</v>
      </c>
      <c r="S1631" s="99">
        <v>411.0</v>
      </c>
      <c r="T1631" s="99">
        <v>394.0</v>
      </c>
      <c r="U1631" s="99">
        <v>20.0</v>
      </c>
      <c r="V1631" s="99">
        <v>294.0</v>
      </c>
      <c r="W1631" s="99">
        <v>12140.0</v>
      </c>
    </row>
    <row r="1632" ht="15.75" customHeight="1">
      <c r="A1632" s="95" t="s">
        <v>9443</v>
      </c>
      <c r="B1632" s="95" t="s">
        <v>22</v>
      </c>
      <c r="C1632" s="96" t="s">
        <v>9444</v>
      </c>
      <c r="D1632" s="95" t="s">
        <v>39</v>
      </c>
      <c r="E1632" s="95" t="s">
        <v>1269</v>
      </c>
      <c r="F1632" s="95" t="s">
        <v>19</v>
      </c>
      <c r="G1632" s="95" t="s">
        <v>19</v>
      </c>
      <c r="H1632" s="95" t="s">
        <v>21</v>
      </c>
      <c r="I1632" s="95" t="s">
        <v>567</v>
      </c>
      <c r="J1632" s="97">
        <v>45975.67938763889</v>
      </c>
      <c r="K1632" s="96" t="s">
        <v>9445</v>
      </c>
      <c r="L1632" s="96" t="s">
        <v>9446</v>
      </c>
      <c r="M1632" s="95" t="s">
        <v>74</v>
      </c>
      <c r="N1632" s="95" t="s">
        <v>9447</v>
      </c>
      <c r="O1632" s="95" t="s">
        <v>9447</v>
      </c>
      <c r="P1632" s="95" t="s">
        <v>9448</v>
      </c>
      <c r="Q1632" s="98">
        <v>3.0</v>
      </c>
      <c r="R1632" s="97">
        <v>45854.73106481481</v>
      </c>
      <c r="S1632" s="99">
        <v>3584.0</v>
      </c>
      <c r="T1632" s="99">
        <v>498.0</v>
      </c>
      <c r="U1632" s="99">
        <v>178.0</v>
      </c>
      <c r="V1632" s="99">
        <v>102.0</v>
      </c>
      <c r="W1632" s="99">
        <v>170357.0</v>
      </c>
    </row>
    <row r="1633" ht="15.75" customHeight="1">
      <c r="A1633" s="95" t="s">
        <v>9449</v>
      </c>
      <c r="B1633" s="95" t="s">
        <v>22</v>
      </c>
      <c r="C1633" s="96" t="s">
        <v>9450</v>
      </c>
      <c r="D1633" s="95" t="s">
        <v>39</v>
      </c>
      <c r="E1633" s="95" t="s">
        <v>1269</v>
      </c>
      <c r="F1633" s="95" t="s">
        <v>19</v>
      </c>
      <c r="G1633" s="95" t="s">
        <v>19</v>
      </c>
      <c r="H1633" s="95" t="s">
        <v>21</v>
      </c>
      <c r="I1633" s="95" t="s">
        <v>567</v>
      </c>
      <c r="J1633" s="97">
        <v>45975.67938763889</v>
      </c>
      <c r="K1633" s="96" t="s">
        <v>9451</v>
      </c>
      <c r="L1633" s="96" t="s">
        <v>9452</v>
      </c>
      <c r="M1633" s="95" t="s">
        <v>74</v>
      </c>
      <c r="N1633" s="95" t="s">
        <v>9447</v>
      </c>
      <c r="O1633" s="95" t="s">
        <v>9447</v>
      </c>
      <c r="P1633" s="95" t="s">
        <v>9448</v>
      </c>
      <c r="Q1633" s="98">
        <v>3.0</v>
      </c>
      <c r="R1633" s="97">
        <v>45742.93622685185</v>
      </c>
      <c r="S1633" s="99">
        <v>3584.0</v>
      </c>
      <c r="T1633" s="99">
        <v>7.0</v>
      </c>
      <c r="U1633" s="99">
        <v>2.0</v>
      </c>
      <c r="V1633" s="99">
        <v>43.0</v>
      </c>
      <c r="W1633" s="99">
        <v>170357.0</v>
      </c>
    </row>
    <row r="1634" ht="15.75" customHeight="1">
      <c r="A1634" s="95" t="s">
        <v>9453</v>
      </c>
      <c r="B1634" s="95" t="s">
        <v>22</v>
      </c>
      <c r="C1634" s="96" t="s">
        <v>9454</v>
      </c>
      <c r="D1634" s="95" t="s">
        <v>29</v>
      </c>
      <c r="E1634" s="95"/>
      <c r="F1634" s="95" t="s">
        <v>19</v>
      </c>
      <c r="G1634" s="95" t="s">
        <v>997</v>
      </c>
      <c r="H1634" s="95" t="s">
        <v>21</v>
      </c>
      <c r="I1634" s="95" t="s">
        <v>677</v>
      </c>
      <c r="J1634" s="97">
        <v>45975.67938763889</v>
      </c>
      <c r="K1634" s="96" t="s">
        <v>9455</v>
      </c>
      <c r="L1634" s="96" t="s">
        <v>9456</v>
      </c>
      <c r="M1634" s="95" t="s">
        <v>74</v>
      </c>
      <c r="N1634" s="95" t="s">
        <v>9447</v>
      </c>
      <c r="O1634" s="95" t="s">
        <v>9447</v>
      </c>
      <c r="P1634" s="95" t="s">
        <v>9448</v>
      </c>
      <c r="Q1634" s="98">
        <v>3.0</v>
      </c>
      <c r="R1634" s="97">
        <v>45834.75541666667</v>
      </c>
      <c r="S1634" s="99">
        <v>3584.0</v>
      </c>
      <c r="T1634" s="99">
        <v>427.0</v>
      </c>
      <c r="U1634" s="99">
        <v>4.0</v>
      </c>
      <c r="V1634" s="99">
        <v>97.0</v>
      </c>
      <c r="W1634" s="99">
        <v>170357.0</v>
      </c>
    </row>
    <row r="1635" ht="15.75" customHeight="1">
      <c r="A1635" s="95" t="s">
        <v>9457</v>
      </c>
      <c r="B1635" s="95" t="s">
        <v>22</v>
      </c>
      <c r="C1635" s="96" t="s">
        <v>9458</v>
      </c>
      <c r="D1635" s="95" t="s">
        <v>39</v>
      </c>
      <c r="E1635" s="95" t="s">
        <v>614</v>
      </c>
      <c r="F1635" s="95" t="s">
        <v>19</v>
      </c>
      <c r="G1635" s="95"/>
      <c r="H1635" s="95" t="s">
        <v>21</v>
      </c>
      <c r="I1635" s="95" t="s">
        <v>567</v>
      </c>
      <c r="J1635" s="97">
        <v>45975.67938763889</v>
      </c>
      <c r="K1635" s="96" t="s">
        <v>9459</v>
      </c>
      <c r="L1635" s="96" t="s">
        <v>9460</v>
      </c>
      <c r="M1635" s="95" t="s">
        <v>74</v>
      </c>
      <c r="N1635" s="95" t="s">
        <v>9447</v>
      </c>
      <c r="O1635" s="95" t="s">
        <v>9447</v>
      </c>
      <c r="P1635" s="95" t="s">
        <v>9448</v>
      </c>
      <c r="Q1635" s="98">
        <v>3.0</v>
      </c>
      <c r="R1635" s="97">
        <v>45831.56945601852</v>
      </c>
      <c r="S1635" s="99">
        <v>3584.0</v>
      </c>
      <c r="T1635" s="99">
        <v>381.0</v>
      </c>
      <c r="U1635" s="99">
        <v>1.0</v>
      </c>
      <c r="V1635" s="99">
        <v>488.0</v>
      </c>
      <c r="W1635" s="99">
        <v>170357.0</v>
      </c>
    </row>
    <row r="1636" ht="15.75" customHeight="1">
      <c r="A1636" s="95" t="s">
        <v>9461</v>
      </c>
      <c r="B1636" s="95" t="s">
        <v>22</v>
      </c>
      <c r="C1636" s="96" t="s">
        <v>9462</v>
      </c>
      <c r="D1636" s="95" t="s">
        <v>29</v>
      </c>
      <c r="E1636" s="95" t="s">
        <v>3335</v>
      </c>
      <c r="F1636" s="95" t="s">
        <v>19</v>
      </c>
      <c r="G1636" s="95" t="s">
        <v>19</v>
      </c>
      <c r="H1636" s="95" t="s">
        <v>21</v>
      </c>
      <c r="I1636" s="95" t="s">
        <v>677</v>
      </c>
      <c r="J1636" s="97">
        <v>46008.62908501158</v>
      </c>
      <c r="K1636" s="96" t="s">
        <v>9463</v>
      </c>
      <c r="L1636" s="96" t="s">
        <v>9464</v>
      </c>
      <c r="M1636" s="95" t="s">
        <v>74</v>
      </c>
      <c r="N1636" s="95" t="s">
        <v>9447</v>
      </c>
      <c r="O1636" s="95" t="s">
        <v>9447</v>
      </c>
      <c r="P1636" s="95" t="s">
        <v>9448</v>
      </c>
      <c r="Q1636" s="98">
        <v>3.0</v>
      </c>
      <c r="R1636" s="97">
        <v>45789.73694444444</v>
      </c>
      <c r="S1636" s="99">
        <v>3584.0</v>
      </c>
      <c r="T1636" s="99">
        <v>384.0</v>
      </c>
      <c r="U1636" s="99">
        <v>6.0</v>
      </c>
      <c r="V1636" s="99">
        <v>919.0</v>
      </c>
      <c r="W1636" s="99">
        <v>170357.0</v>
      </c>
    </row>
    <row r="1637" ht="15.75" customHeight="1">
      <c r="A1637" s="95" t="s">
        <v>9465</v>
      </c>
      <c r="B1637" s="95" t="s">
        <v>22</v>
      </c>
      <c r="C1637" s="96" t="s">
        <v>9466</v>
      </c>
      <c r="D1637" s="95" t="s">
        <v>168</v>
      </c>
      <c r="E1637" s="95" t="s">
        <v>780</v>
      </c>
      <c r="F1637" s="95" t="s">
        <v>19</v>
      </c>
      <c r="G1637" s="95"/>
      <c r="H1637" s="95" t="s">
        <v>21</v>
      </c>
      <c r="I1637" s="95" t="s">
        <v>633</v>
      </c>
      <c r="J1637" s="97">
        <v>46021.4982831713</v>
      </c>
      <c r="K1637" s="95" t="s">
        <v>9467</v>
      </c>
      <c r="L1637" s="96" t="s">
        <v>9468</v>
      </c>
      <c r="M1637" s="95" t="s">
        <v>105</v>
      </c>
      <c r="N1637" s="95" t="s">
        <v>9469</v>
      </c>
      <c r="O1637" s="95" t="s">
        <v>9469</v>
      </c>
      <c r="P1637" s="95" t="s">
        <v>9470</v>
      </c>
      <c r="Q1637" s="98">
        <v>3.0</v>
      </c>
      <c r="R1637" s="97">
        <v>45278.93129629629</v>
      </c>
      <c r="S1637" s="99">
        <v>11447.0</v>
      </c>
      <c r="T1637" s="99">
        <v>2155.0</v>
      </c>
      <c r="U1637" s="99">
        <v>9.0</v>
      </c>
      <c r="V1637" s="99">
        <v>354.0</v>
      </c>
      <c r="W1637" s="99">
        <v>744890.0</v>
      </c>
    </row>
    <row r="1638" ht="15.75" customHeight="1">
      <c r="A1638" s="95" t="s">
        <v>9471</v>
      </c>
      <c r="B1638" s="95" t="s">
        <v>22</v>
      </c>
      <c r="C1638" s="96" t="s">
        <v>9472</v>
      </c>
      <c r="D1638" s="95" t="s">
        <v>68</v>
      </c>
      <c r="E1638" s="95" t="s">
        <v>1901</v>
      </c>
      <c r="F1638" s="95" t="s">
        <v>19</v>
      </c>
      <c r="G1638" s="95" t="s">
        <v>19</v>
      </c>
      <c r="H1638" s="95" t="s">
        <v>21</v>
      </c>
      <c r="I1638" s="95" t="s">
        <v>567</v>
      </c>
      <c r="J1638" s="97">
        <v>45975.67930844907</v>
      </c>
      <c r="K1638" s="96" t="s">
        <v>9473</v>
      </c>
      <c r="L1638" s="96" t="s">
        <v>9474</v>
      </c>
      <c r="M1638" s="95" t="s">
        <v>54</v>
      </c>
      <c r="N1638" s="95" t="s">
        <v>9475</v>
      </c>
      <c r="O1638" s="95" t="s">
        <v>9475</v>
      </c>
      <c r="P1638" s="95" t="s">
        <v>9476</v>
      </c>
      <c r="Q1638" s="98">
        <v>3.0</v>
      </c>
      <c r="R1638" s="97">
        <v>45742.96131944445</v>
      </c>
      <c r="S1638" s="99">
        <v>14226.0</v>
      </c>
      <c r="T1638" s="99">
        <v>10.0</v>
      </c>
      <c r="U1638" s="99">
        <v>1.0</v>
      </c>
      <c r="V1638" s="99">
        <v>68.0</v>
      </c>
      <c r="W1638" s="99">
        <v>33814.0</v>
      </c>
    </row>
    <row r="1639" ht="15.75" customHeight="1">
      <c r="A1639" s="95" t="s">
        <v>9477</v>
      </c>
      <c r="B1639" s="95" t="s">
        <v>22</v>
      </c>
      <c r="C1639" s="96" t="s">
        <v>9478</v>
      </c>
      <c r="D1639" s="95" t="s">
        <v>68</v>
      </c>
      <c r="E1639" s="95" t="s">
        <v>1671</v>
      </c>
      <c r="F1639" s="95" t="s">
        <v>19</v>
      </c>
      <c r="G1639" s="95" t="s">
        <v>19</v>
      </c>
      <c r="H1639" s="95" t="s">
        <v>21</v>
      </c>
      <c r="I1639" s="95" t="s">
        <v>711</v>
      </c>
      <c r="J1639" s="97">
        <v>45993.78544196759</v>
      </c>
      <c r="K1639" s="96" t="s">
        <v>9479</v>
      </c>
      <c r="L1639" s="96" t="s">
        <v>9480</v>
      </c>
      <c r="M1639" s="95" t="s">
        <v>54</v>
      </c>
      <c r="N1639" s="95" t="s">
        <v>9475</v>
      </c>
      <c r="O1639" s="95" t="s">
        <v>9475</v>
      </c>
      <c r="P1639" s="95" t="s">
        <v>9476</v>
      </c>
      <c r="Q1639" s="98">
        <v>3.0</v>
      </c>
      <c r="R1639" s="97">
        <v>45776.8012037037</v>
      </c>
      <c r="S1639" s="99">
        <v>14226.0</v>
      </c>
      <c r="T1639" s="99">
        <v>182.0</v>
      </c>
      <c r="U1639" s="99">
        <v>16.0</v>
      </c>
      <c r="V1639" s="99">
        <v>52.0</v>
      </c>
      <c r="W1639" s="99">
        <v>33814.0</v>
      </c>
    </row>
    <row r="1640" ht="15.75" customHeight="1">
      <c r="A1640" s="95" t="s">
        <v>9481</v>
      </c>
      <c r="B1640" s="95" t="s">
        <v>22</v>
      </c>
      <c r="C1640" s="96" t="s">
        <v>9482</v>
      </c>
      <c r="D1640" s="95" t="s">
        <v>39</v>
      </c>
      <c r="E1640" s="95" t="s">
        <v>39</v>
      </c>
      <c r="F1640" s="95" t="s">
        <v>19</v>
      </c>
      <c r="G1640" s="95" t="s">
        <v>19</v>
      </c>
      <c r="H1640" s="95" t="s">
        <v>21</v>
      </c>
      <c r="I1640" s="95" t="s">
        <v>567</v>
      </c>
      <c r="J1640" s="97">
        <v>46003.09561767361</v>
      </c>
      <c r="K1640" s="95" t="s">
        <v>9483</v>
      </c>
      <c r="L1640" s="96" t="s">
        <v>9484</v>
      </c>
      <c r="M1640" s="95" t="s">
        <v>38</v>
      </c>
      <c r="N1640" s="95" t="s">
        <v>37</v>
      </c>
      <c r="O1640" s="95" t="s">
        <v>37</v>
      </c>
      <c r="P1640" s="95" t="s">
        <v>9485</v>
      </c>
      <c r="Q1640" s="98">
        <v>3.0</v>
      </c>
      <c r="R1640" s="97">
        <v>45838.74454861111</v>
      </c>
      <c r="S1640" s="99">
        <v>1196.0</v>
      </c>
      <c r="T1640" s="99">
        <v>172.0</v>
      </c>
      <c r="U1640" s="99">
        <v>1.0</v>
      </c>
      <c r="V1640" s="99">
        <v>42.0</v>
      </c>
      <c r="W1640" s="99">
        <v>12701.0</v>
      </c>
    </row>
    <row r="1641" ht="15.75" customHeight="1">
      <c r="A1641" s="95" t="s">
        <v>9486</v>
      </c>
      <c r="B1641" s="95" t="s">
        <v>22</v>
      </c>
      <c r="C1641" s="96" t="s">
        <v>9487</v>
      </c>
      <c r="D1641" s="95" t="s">
        <v>130</v>
      </c>
      <c r="E1641" s="95" t="s">
        <v>2109</v>
      </c>
      <c r="F1641" s="95" t="s">
        <v>19</v>
      </c>
      <c r="G1641" s="95" t="s">
        <v>574</v>
      </c>
      <c r="H1641" s="95" t="s">
        <v>21</v>
      </c>
      <c r="I1641" s="95" t="s">
        <v>684</v>
      </c>
      <c r="J1641" s="97">
        <v>46021.51458594907</v>
      </c>
      <c r="K1641" s="95" t="s">
        <v>9488</v>
      </c>
      <c r="L1641" s="96" t="s">
        <v>9489</v>
      </c>
      <c r="M1641" s="95" t="s">
        <v>28</v>
      </c>
      <c r="N1641" s="95" t="s">
        <v>9490</v>
      </c>
      <c r="O1641" s="95" t="s">
        <v>9490</v>
      </c>
      <c r="P1641" s="95" t="s">
        <v>9491</v>
      </c>
      <c r="Q1641" s="98">
        <v>3.0</v>
      </c>
      <c r="R1641" s="97">
        <v>45672.98358796296</v>
      </c>
      <c r="S1641" s="99">
        <v>87.0</v>
      </c>
      <c r="T1641" s="99">
        <v>11.0</v>
      </c>
      <c r="U1641" s="99">
        <v>2.0</v>
      </c>
      <c r="V1641" s="99">
        <v>270.0</v>
      </c>
      <c r="W1641" s="99">
        <v>8958.0</v>
      </c>
    </row>
    <row r="1642" ht="15.75" customHeight="1">
      <c r="A1642" s="95" t="s">
        <v>9492</v>
      </c>
      <c r="B1642" s="95" t="s">
        <v>22</v>
      </c>
      <c r="C1642" s="96" t="s">
        <v>9493</v>
      </c>
      <c r="D1642" s="95" t="s">
        <v>130</v>
      </c>
      <c r="E1642" s="95" t="s">
        <v>1470</v>
      </c>
      <c r="F1642" s="95" t="s">
        <v>19</v>
      </c>
      <c r="G1642" s="95" t="s">
        <v>19</v>
      </c>
      <c r="H1642" s="95" t="s">
        <v>21</v>
      </c>
      <c r="I1642" s="95" t="s">
        <v>567</v>
      </c>
      <c r="J1642" s="97">
        <v>46021.4982831713</v>
      </c>
      <c r="K1642" s="95" t="s">
        <v>9494</v>
      </c>
      <c r="L1642" s="96" t="s">
        <v>9495</v>
      </c>
      <c r="M1642" s="95" t="s">
        <v>54</v>
      </c>
      <c r="N1642" s="95" t="s">
        <v>9496</v>
      </c>
      <c r="O1642" s="95" t="s">
        <v>9496</v>
      </c>
      <c r="P1642" s="95" t="s">
        <v>9497</v>
      </c>
      <c r="Q1642" s="98">
        <v>3.0</v>
      </c>
      <c r="R1642" s="97">
        <v>45622.83078703703</v>
      </c>
      <c r="S1642" s="99">
        <v>751.0</v>
      </c>
      <c r="T1642" s="99">
        <v>733.0</v>
      </c>
      <c r="U1642" s="99">
        <v>2.0</v>
      </c>
      <c r="V1642" s="99">
        <v>40.0</v>
      </c>
      <c r="W1642" s="99">
        <v>126893.0</v>
      </c>
    </row>
    <row r="1643" ht="15.75" customHeight="1">
      <c r="A1643" s="95" t="s">
        <v>9498</v>
      </c>
      <c r="B1643" s="95" t="s">
        <v>157</v>
      </c>
      <c r="C1643" s="96" t="s">
        <v>9499</v>
      </c>
      <c r="D1643" s="95" t="s">
        <v>130</v>
      </c>
      <c r="E1643" s="95" t="s">
        <v>1470</v>
      </c>
      <c r="F1643" s="95" t="s">
        <v>88</v>
      </c>
      <c r="G1643" s="95" t="s">
        <v>88</v>
      </c>
      <c r="H1643" s="95" t="s">
        <v>89</v>
      </c>
      <c r="I1643" s="95" t="s">
        <v>859</v>
      </c>
      <c r="J1643" s="97">
        <v>45978.46070116898</v>
      </c>
      <c r="K1643" s="95" t="s">
        <v>9500</v>
      </c>
      <c r="L1643" s="96" t="s">
        <v>9501</v>
      </c>
      <c r="M1643" s="95" t="s">
        <v>54</v>
      </c>
      <c r="N1643" s="95" t="s">
        <v>9496</v>
      </c>
      <c r="O1643" s="95" t="s">
        <v>9496</v>
      </c>
      <c r="P1643" s="95" t="s">
        <v>9497</v>
      </c>
      <c r="Q1643" s="98">
        <v>3.0</v>
      </c>
      <c r="R1643" s="97">
        <v>45614.79916666666</v>
      </c>
      <c r="S1643" s="99">
        <v>751.0</v>
      </c>
      <c r="T1643" s="99">
        <v>901.0</v>
      </c>
      <c r="U1643" s="99">
        <v>7.0</v>
      </c>
      <c r="V1643" s="99">
        <v>37.0</v>
      </c>
      <c r="W1643" s="99">
        <v>126893.0</v>
      </c>
    </row>
    <row r="1644" ht="15.75" customHeight="1">
      <c r="A1644" s="95" t="s">
        <v>9502</v>
      </c>
      <c r="B1644" s="95" t="s">
        <v>22</v>
      </c>
      <c r="C1644" s="96" t="s">
        <v>9503</v>
      </c>
      <c r="D1644" s="95" t="s">
        <v>130</v>
      </c>
      <c r="E1644" s="95" t="s">
        <v>1470</v>
      </c>
      <c r="F1644" s="95" t="s">
        <v>19</v>
      </c>
      <c r="G1644" s="95" t="s">
        <v>19</v>
      </c>
      <c r="H1644" s="95" t="s">
        <v>21</v>
      </c>
      <c r="I1644" s="95" t="s">
        <v>567</v>
      </c>
      <c r="J1644" s="97">
        <v>46021.4982831713</v>
      </c>
      <c r="K1644" s="95" t="s">
        <v>9504</v>
      </c>
      <c r="L1644" s="96" t="s">
        <v>9505</v>
      </c>
      <c r="M1644" s="95" t="s">
        <v>54</v>
      </c>
      <c r="N1644" s="95" t="s">
        <v>9496</v>
      </c>
      <c r="O1644" s="95" t="s">
        <v>9496</v>
      </c>
      <c r="P1644" s="95" t="s">
        <v>9497</v>
      </c>
      <c r="Q1644" s="98">
        <v>3.0</v>
      </c>
      <c r="R1644" s="97">
        <v>45618.99847222222</v>
      </c>
      <c r="S1644" s="99">
        <v>751.0</v>
      </c>
      <c r="T1644" s="99">
        <v>821.0</v>
      </c>
      <c r="U1644" s="99">
        <v>3.0</v>
      </c>
      <c r="V1644" s="99">
        <v>141.0</v>
      </c>
      <c r="W1644" s="99">
        <v>126893.0</v>
      </c>
    </row>
    <row r="1645" ht="15.75" customHeight="1">
      <c r="A1645" s="95" t="s">
        <v>9506</v>
      </c>
      <c r="B1645" s="95" t="s">
        <v>157</v>
      </c>
      <c r="C1645" s="96" t="s">
        <v>9507</v>
      </c>
      <c r="D1645" s="95" t="s">
        <v>59</v>
      </c>
      <c r="E1645" s="95" t="s">
        <v>1347</v>
      </c>
      <c r="F1645" s="95" t="s">
        <v>58</v>
      </c>
      <c r="G1645" s="95" t="s">
        <v>1450</v>
      </c>
      <c r="H1645" s="95" t="s">
        <v>89</v>
      </c>
      <c r="I1645" s="95" t="s">
        <v>897</v>
      </c>
      <c r="J1645" s="97">
        <v>46021.49338171296</v>
      </c>
      <c r="K1645" s="95" t="s">
        <v>9508</v>
      </c>
      <c r="L1645" s="96" t="s">
        <v>9509</v>
      </c>
      <c r="M1645" s="95" t="s">
        <v>54</v>
      </c>
      <c r="N1645" s="95" t="s">
        <v>9510</v>
      </c>
      <c r="O1645" s="95" t="s">
        <v>9510</v>
      </c>
      <c r="P1645" s="95" t="s">
        <v>9511</v>
      </c>
      <c r="Q1645" s="98">
        <v>3.0</v>
      </c>
      <c r="R1645" s="97">
        <v>45895.97475694444</v>
      </c>
      <c r="S1645" s="99">
        <v>114.0</v>
      </c>
      <c r="T1645" s="99">
        <v>103.0</v>
      </c>
      <c r="U1645" s="99">
        <v>5.0</v>
      </c>
      <c r="V1645" s="99">
        <v>66.0</v>
      </c>
      <c r="W1645" s="99">
        <v>18527.0</v>
      </c>
    </row>
    <row r="1646" ht="15.75" customHeight="1">
      <c r="A1646" s="95" t="s">
        <v>9512</v>
      </c>
      <c r="B1646" s="95" t="s">
        <v>22</v>
      </c>
      <c r="C1646" s="96" t="s">
        <v>9513</v>
      </c>
      <c r="D1646" s="95" t="s">
        <v>59</v>
      </c>
      <c r="E1646" s="95" t="s">
        <v>1347</v>
      </c>
      <c r="F1646" s="95" t="s">
        <v>19</v>
      </c>
      <c r="G1646" s="95" t="s">
        <v>574</v>
      </c>
      <c r="H1646" s="95" t="s">
        <v>21</v>
      </c>
      <c r="I1646" s="95" t="s">
        <v>567</v>
      </c>
      <c r="J1646" s="97">
        <v>46021.49338171296</v>
      </c>
      <c r="K1646" s="95" t="s">
        <v>9514</v>
      </c>
      <c r="L1646" s="96" t="s">
        <v>9515</v>
      </c>
      <c r="M1646" s="95" t="s">
        <v>54</v>
      </c>
      <c r="N1646" s="95" t="s">
        <v>9510</v>
      </c>
      <c r="O1646" s="95" t="s">
        <v>9510</v>
      </c>
      <c r="P1646" s="95" t="s">
        <v>9511</v>
      </c>
      <c r="Q1646" s="98">
        <v>3.0</v>
      </c>
      <c r="R1646" s="97">
        <v>45945.5931712963</v>
      </c>
      <c r="S1646" s="99">
        <v>114.0</v>
      </c>
      <c r="T1646" s="99">
        <v>145.0</v>
      </c>
      <c r="U1646" s="99">
        <v>4.0</v>
      </c>
      <c r="V1646" s="99">
        <v>255.0</v>
      </c>
      <c r="W1646" s="99">
        <v>18527.0</v>
      </c>
    </row>
    <row r="1647" ht="15.75" customHeight="1">
      <c r="A1647" s="95" t="s">
        <v>9516</v>
      </c>
      <c r="B1647" s="95" t="s">
        <v>69</v>
      </c>
      <c r="C1647" s="96" t="s">
        <v>9517</v>
      </c>
      <c r="D1647" s="95" t="s">
        <v>59</v>
      </c>
      <c r="E1647" s="95" t="s">
        <v>1347</v>
      </c>
      <c r="F1647" s="95" t="s">
        <v>88</v>
      </c>
      <c r="G1647" s="95" t="s">
        <v>858</v>
      </c>
      <c r="H1647" s="95" t="s">
        <v>89</v>
      </c>
      <c r="I1647" s="95" t="s">
        <v>640</v>
      </c>
      <c r="J1647" s="97">
        <v>45980.93978717593</v>
      </c>
      <c r="K1647" s="95" t="s">
        <v>9518</v>
      </c>
      <c r="L1647" s="96" t="s">
        <v>9519</v>
      </c>
      <c r="M1647" s="95" t="s">
        <v>54</v>
      </c>
      <c r="N1647" s="95" t="s">
        <v>9510</v>
      </c>
      <c r="O1647" s="95" t="s">
        <v>9510</v>
      </c>
      <c r="P1647" s="95" t="s">
        <v>9511</v>
      </c>
      <c r="Q1647" s="98">
        <v>3.0</v>
      </c>
      <c r="R1647" s="97">
        <v>45895.67008101852</v>
      </c>
      <c r="S1647" s="99">
        <v>114.0</v>
      </c>
      <c r="T1647" s="99">
        <v>134.0</v>
      </c>
      <c r="U1647" s="99">
        <v>3.0</v>
      </c>
      <c r="V1647" s="99">
        <v>133.0</v>
      </c>
      <c r="W1647" s="99">
        <v>18527.0</v>
      </c>
    </row>
    <row r="1648" ht="15.75" customHeight="1">
      <c r="A1648" s="95" t="s">
        <v>9520</v>
      </c>
      <c r="B1648" s="95" t="s">
        <v>22</v>
      </c>
      <c r="C1648" s="96" t="s">
        <v>9521</v>
      </c>
      <c r="D1648" s="95" t="s">
        <v>20</v>
      </c>
      <c r="E1648" s="95" t="s">
        <v>20</v>
      </c>
      <c r="F1648" s="95" t="s">
        <v>19</v>
      </c>
      <c r="G1648" s="95" t="s">
        <v>19</v>
      </c>
      <c r="H1648" s="95" t="s">
        <v>21</v>
      </c>
      <c r="I1648" s="95" t="s">
        <v>567</v>
      </c>
      <c r="J1648" s="97">
        <v>45996.65484809028</v>
      </c>
      <c r="K1648" s="95" t="s">
        <v>9522</v>
      </c>
      <c r="L1648" s="96" t="s">
        <v>9523</v>
      </c>
      <c r="M1648" s="95" t="s">
        <v>105</v>
      </c>
      <c r="N1648" s="95" t="s">
        <v>9524</v>
      </c>
      <c r="O1648" s="95" t="s">
        <v>9524</v>
      </c>
      <c r="P1648" s="95" t="s">
        <v>9525</v>
      </c>
      <c r="Q1648" s="98">
        <v>3.0</v>
      </c>
      <c r="R1648" s="97">
        <v>45874.92450231482</v>
      </c>
      <c r="S1648" s="99">
        <v>2646.0</v>
      </c>
      <c r="T1648" s="99">
        <v>38.0</v>
      </c>
      <c r="U1648" s="99">
        <v>4.0</v>
      </c>
      <c r="V1648" s="99">
        <v>277.0</v>
      </c>
      <c r="W1648" s="99">
        <v>206445.0</v>
      </c>
    </row>
    <row r="1649" ht="15.75" customHeight="1">
      <c r="A1649" s="95" t="s">
        <v>9526</v>
      </c>
      <c r="B1649" s="95" t="s">
        <v>69</v>
      </c>
      <c r="C1649" s="96" t="s">
        <v>9527</v>
      </c>
      <c r="D1649" s="95" t="s">
        <v>20</v>
      </c>
      <c r="E1649" s="95" t="s">
        <v>1991</v>
      </c>
      <c r="F1649" s="95" t="s">
        <v>58</v>
      </c>
      <c r="G1649" s="95" t="s">
        <v>58</v>
      </c>
      <c r="H1649" s="95" t="s">
        <v>77</v>
      </c>
      <c r="I1649" s="95" t="s">
        <v>1572</v>
      </c>
      <c r="J1649" s="97">
        <v>46021.4982831713</v>
      </c>
      <c r="K1649" s="95" t="s">
        <v>9528</v>
      </c>
      <c r="L1649" s="96" t="s">
        <v>9529</v>
      </c>
      <c r="M1649" s="95" t="s">
        <v>105</v>
      </c>
      <c r="N1649" s="95" t="s">
        <v>9530</v>
      </c>
      <c r="O1649" s="95" t="s">
        <v>9530</v>
      </c>
      <c r="P1649" s="95" t="s">
        <v>9531</v>
      </c>
      <c r="Q1649" s="98">
        <v>3.0</v>
      </c>
      <c r="R1649" s="97">
        <v>45888.99835648148</v>
      </c>
      <c r="S1649" s="99">
        <v>1274.0</v>
      </c>
      <c r="T1649" s="99">
        <v>33.0</v>
      </c>
      <c r="U1649" s="99">
        <v>21.0</v>
      </c>
      <c r="V1649" s="99">
        <v>961.0</v>
      </c>
      <c r="W1649" s="99">
        <v>999999.0</v>
      </c>
    </row>
    <row r="1650" ht="15.75" customHeight="1">
      <c r="A1650" s="95" t="s">
        <v>9532</v>
      </c>
      <c r="B1650" s="95" t="s">
        <v>22</v>
      </c>
      <c r="C1650" s="96" t="s">
        <v>9533</v>
      </c>
      <c r="D1650" s="95" t="s">
        <v>39</v>
      </c>
      <c r="E1650" s="95" t="s">
        <v>960</v>
      </c>
      <c r="F1650" s="95" t="s">
        <v>19</v>
      </c>
      <c r="G1650" s="95" t="s">
        <v>19</v>
      </c>
      <c r="H1650" s="95" t="s">
        <v>21</v>
      </c>
      <c r="I1650" s="95" t="s">
        <v>589</v>
      </c>
      <c r="J1650" s="97">
        <v>46021.51458594907</v>
      </c>
      <c r="K1650" s="95" t="s">
        <v>9534</v>
      </c>
      <c r="L1650" s="96" t="s">
        <v>9535</v>
      </c>
      <c r="M1650" s="95" t="s">
        <v>54</v>
      </c>
      <c r="N1650" s="95" t="s">
        <v>9536</v>
      </c>
      <c r="O1650" s="95" t="s">
        <v>9536</v>
      </c>
      <c r="P1650" s="95" t="s">
        <v>9537</v>
      </c>
      <c r="Q1650" s="98">
        <v>3.0</v>
      </c>
      <c r="R1650" s="97">
        <v>45656.35096064815</v>
      </c>
      <c r="S1650" s="99">
        <v>396.0</v>
      </c>
      <c r="T1650" s="99">
        <v>247.0</v>
      </c>
      <c r="U1650" s="99">
        <v>1.0</v>
      </c>
      <c r="V1650" s="99">
        <v>47.0</v>
      </c>
      <c r="W1650" s="99">
        <v>130411.0</v>
      </c>
    </row>
    <row r="1651" ht="15.75" customHeight="1">
      <c r="A1651" s="95" t="s">
        <v>9538</v>
      </c>
      <c r="B1651" s="95" t="s">
        <v>22</v>
      </c>
      <c r="C1651" s="96" t="s">
        <v>9539</v>
      </c>
      <c r="D1651" s="95" t="s">
        <v>59</v>
      </c>
      <c r="E1651" s="95" t="s">
        <v>3394</v>
      </c>
      <c r="F1651" s="95" t="s">
        <v>19</v>
      </c>
      <c r="G1651" s="95" t="s">
        <v>574</v>
      </c>
      <c r="H1651" s="95" t="s">
        <v>21</v>
      </c>
      <c r="I1651" s="95" t="s">
        <v>567</v>
      </c>
      <c r="J1651" s="97">
        <v>46021.50647173611</v>
      </c>
      <c r="K1651" s="95" t="s">
        <v>9540</v>
      </c>
      <c r="L1651" s="96" t="s">
        <v>9541</v>
      </c>
      <c r="M1651" s="95" t="s">
        <v>93</v>
      </c>
      <c r="N1651" s="95" t="s">
        <v>9542</v>
      </c>
      <c r="O1651" s="95" t="s">
        <v>9542</v>
      </c>
      <c r="P1651" s="95" t="s">
        <v>9543</v>
      </c>
      <c r="Q1651" s="98">
        <v>3.0</v>
      </c>
      <c r="R1651" s="97">
        <v>45889.90571759259</v>
      </c>
      <c r="S1651" s="99">
        <v>713.0</v>
      </c>
      <c r="T1651" s="99">
        <v>1.0</v>
      </c>
      <c r="U1651" s="99">
        <v>2.0</v>
      </c>
      <c r="V1651" s="99">
        <v>249.0</v>
      </c>
      <c r="W1651" s="99">
        <v>93346.0</v>
      </c>
    </row>
    <row r="1652" ht="15.75" customHeight="1">
      <c r="A1652" s="95" t="s">
        <v>9544</v>
      </c>
      <c r="B1652" s="95" t="s">
        <v>69</v>
      </c>
      <c r="C1652" s="96" t="s">
        <v>9545</v>
      </c>
      <c r="D1652" s="95" t="s">
        <v>39</v>
      </c>
      <c r="E1652" s="95" t="s">
        <v>614</v>
      </c>
      <c r="F1652" s="95" t="s">
        <v>19</v>
      </c>
      <c r="G1652" s="95" t="s">
        <v>19</v>
      </c>
      <c r="H1652" s="95" t="s">
        <v>21</v>
      </c>
      <c r="I1652" s="95" t="s">
        <v>1044</v>
      </c>
      <c r="J1652" s="97">
        <v>46021.4982831713</v>
      </c>
      <c r="K1652" s="95" t="s">
        <v>9546</v>
      </c>
      <c r="L1652" s="96" t="s">
        <v>9547</v>
      </c>
      <c r="M1652" s="95" t="s">
        <v>74</v>
      </c>
      <c r="N1652" s="95" t="s">
        <v>9548</v>
      </c>
      <c r="O1652" s="95" t="s">
        <v>9548</v>
      </c>
      <c r="P1652" s="95" t="s">
        <v>9549</v>
      </c>
      <c r="Q1652" s="98">
        <v>3.0</v>
      </c>
      <c r="R1652" s="97">
        <v>45810.38697916667</v>
      </c>
      <c r="S1652" s="99">
        <v>340.0</v>
      </c>
      <c r="T1652" s="99">
        <v>115.0</v>
      </c>
      <c r="U1652" s="99">
        <v>4.0</v>
      </c>
      <c r="V1652" s="99">
        <v>258.0</v>
      </c>
      <c r="W1652" s="99">
        <v>188315.0</v>
      </c>
    </row>
    <row r="1653" ht="15.75" customHeight="1">
      <c r="A1653" s="95" t="s">
        <v>9550</v>
      </c>
      <c r="B1653" s="95" t="s">
        <v>22</v>
      </c>
      <c r="C1653" s="96" t="s">
        <v>9551</v>
      </c>
      <c r="D1653" s="95" t="s">
        <v>59</v>
      </c>
      <c r="E1653" s="95" t="s">
        <v>1151</v>
      </c>
      <c r="F1653" s="95" t="s">
        <v>19</v>
      </c>
      <c r="G1653" s="95" t="s">
        <v>19</v>
      </c>
      <c r="H1653" s="95" t="s">
        <v>21</v>
      </c>
      <c r="I1653" s="95" t="s">
        <v>567</v>
      </c>
      <c r="J1653" s="97">
        <v>46021.50647173611</v>
      </c>
      <c r="K1653" s="95" t="s">
        <v>9552</v>
      </c>
      <c r="L1653" s="96" t="s">
        <v>9553</v>
      </c>
      <c r="M1653" s="95" t="s">
        <v>74</v>
      </c>
      <c r="N1653" s="95" t="s">
        <v>9554</v>
      </c>
      <c r="O1653" s="95" t="s">
        <v>9554</v>
      </c>
      <c r="P1653" s="95" t="s">
        <v>9555</v>
      </c>
      <c r="Q1653" s="98">
        <v>3.0</v>
      </c>
      <c r="R1653" s="97">
        <v>45779.66690972223</v>
      </c>
      <c r="S1653" s="99">
        <v>91.0</v>
      </c>
      <c r="T1653" s="99">
        <v>1.0</v>
      </c>
      <c r="U1653" s="99">
        <v>30.0</v>
      </c>
      <c r="V1653" s="99">
        <v>67.0</v>
      </c>
      <c r="W1653" s="99">
        <v>18102.0</v>
      </c>
    </row>
    <row r="1654" ht="15.75" customHeight="1">
      <c r="A1654" s="95" t="s">
        <v>9556</v>
      </c>
      <c r="B1654" s="95" t="s">
        <v>131</v>
      </c>
      <c r="C1654" s="96" t="s">
        <v>9557</v>
      </c>
      <c r="D1654" s="95" t="s">
        <v>68</v>
      </c>
      <c r="E1654" s="95" t="s">
        <v>769</v>
      </c>
      <c r="F1654" s="95" t="s">
        <v>19</v>
      </c>
      <c r="G1654" s="95" t="s">
        <v>19</v>
      </c>
      <c r="H1654" s="95" t="s">
        <v>21</v>
      </c>
      <c r="I1654" s="95" t="s">
        <v>5525</v>
      </c>
      <c r="J1654" s="97">
        <v>45975.67930844907</v>
      </c>
      <c r="K1654" s="96" t="s">
        <v>9558</v>
      </c>
      <c r="L1654" s="96" t="s">
        <v>9559</v>
      </c>
      <c r="M1654" s="95" t="s">
        <v>105</v>
      </c>
      <c r="N1654" s="95" t="s">
        <v>9560</v>
      </c>
      <c r="O1654" s="95" t="s">
        <v>9560</v>
      </c>
      <c r="P1654" s="95" t="s">
        <v>9561</v>
      </c>
      <c r="Q1654" s="98">
        <v>3.0</v>
      </c>
      <c r="R1654" s="97">
        <v>45286.72456018518</v>
      </c>
      <c r="S1654" s="99">
        <v>1086.0</v>
      </c>
      <c r="T1654" s="99">
        <v>138.0</v>
      </c>
      <c r="U1654" s="99">
        <v>3.0</v>
      </c>
      <c r="V1654" s="99">
        <v>342.0</v>
      </c>
      <c r="W1654" s="99">
        <v>11214.0</v>
      </c>
    </row>
    <row r="1655" ht="15.75" customHeight="1">
      <c r="A1655" s="95" t="s">
        <v>9562</v>
      </c>
      <c r="B1655" s="95" t="s">
        <v>22</v>
      </c>
      <c r="C1655" s="96" t="s">
        <v>9563</v>
      </c>
      <c r="D1655" s="95" t="s">
        <v>29</v>
      </c>
      <c r="E1655" s="95" t="s">
        <v>598</v>
      </c>
      <c r="F1655" s="95" t="s">
        <v>19</v>
      </c>
      <c r="G1655" s="95" t="s">
        <v>19</v>
      </c>
      <c r="H1655" s="95" t="s">
        <v>21</v>
      </c>
      <c r="I1655" s="95" t="s">
        <v>567</v>
      </c>
      <c r="J1655" s="97">
        <v>46072.52424295139</v>
      </c>
      <c r="K1655" s="95" t="s">
        <v>9564</v>
      </c>
      <c r="L1655" s="96" t="s">
        <v>9565</v>
      </c>
      <c r="M1655" s="95" t="s">
        <v>74</v>
      </c>
      <c r="N1655" s="95" t="s">
        <v>9566</v>
      </c>
      <c r="O1655" s="95" t="s">
        <v>9566</v>
      </c>
      <c r="P1655" s="95" t="s">
        <v>9567</v>
      </c>
      <c r="Q1655" s="98">
        <v>3.0</v>
      </c>
      <c r="R1655" s="97">
        <v>45823.71828703704</v>
      </c>
      <c r="S1655" s="99">
        <v>92.0</v>
      </c>
      <c r="T1655" s="99">
        <v>10.0</v>
      </c>
      <c r="U1655" s="99">
        <v>1.0</v>
      </c>
      <c r="V1655" s="99">
        <v>36.0</v>
      </c>
      <c r="W1655" s="99">
        <v>2782.0</v>
      </c>
    </row>
    <row r="1656" ht="15.75" customHeight="1">
      <c r="A1656" s="95" t="s">
        <v>9568</v>
      </c>
      <c r="B1656" s="95" t="s">
        <v>22</v>
      </c>
      <c r="C1656" s="96" t="s">
        <v>9569</v>
      </c>
      <c r="D1656" s="95" t="s">
        <v>168</v>
      </c>
      <c r="E1656" s="95" t="s">
        <v>1228</v>
      </c>
      <c r="F1656" s="95" t="s">
        <v>19</v>
      </c>
      <c r="G1656" s="95" t="s">
        <v>19</v>
      </c>
      <c r="H1656" s="95" t="s">
        <v>21</v>
      </c>
      <c r="I1656" s="95" t="s">
        <v>567</v>
      </c>
      <c r="J1656" s="97">
        <v>45993.7854622338</v>
      </c>
      <c r="K1656" s="96" t="s">
        <v>9570</v>
      </c>
      <c r="L1656" s="96" t="s">
        <v>9571</v>
      </c>
      <c r="M1656" s="95" t="s">
        <v>17</v>
      </c>
      <c r="N1656" s="95" t="s">
        <v>9572</v>
      </c>
      <c r="O1656" s="95" t="s">
        <v>9572</v>
      </c>
      <c r="P1656" s="95" t="s">
        <v>9573</v>
      </c>
      <c r="Q1656" s="98">
        <v>3.0</v>
      </c>
      <c r="R1656" s="97">
        <v>45643.86606481481</v>
      </c>
      <c r="S1656" s="99">
        <v>0.0</v>
      </c>
      <c r="T1656" s="99">
        <v>36.0</v>
      </c>
      <c r="U1656" s="99">
        <v>17.0</v>
      </c>
      <c r="V1656" s="99">
        <v>194.0</v>
      </c>
      <c r="W1656" s="99">
        <v>10651.0</v>
      </c>
    </row>
    <row r="1657" ht="15.75" customHeight="1">
      <c r="A1657" s="95" t="s">
        <v>9574</v>
      </c>
      <c r="B1657" s="95" t="s">
        <v>22</v>
      </c>
      <c r="C1657" s="96" t="s">
        <v>9575</v>
      </c>
      <c r="D1657" s="95" t="s">
        <v>168</v>
      </c>
      <c r="E1657" s="95" t="s">
        <v>168</v>
      </c>
      <c r="F1657" s="95" t="s">
        <v>19</v>
      </c>
      <c r="G1657" s="95" t="s">
        <v>19</v>
      </c>
      <c r="H1657" s="95" t="s">
        <v>21</v>
      </c>
      <c r="I1657" s="95" t="s">
        <v>589</v>
      </c>
      <c r="J1657" s="97">
        <v>46021.49338171296</v>
      </c>
      <c r="K1657" s="95" t="s">
        <v>9576</v>
      </c>
      <c r="L1657" s="96" t="s">
        <v>9577</v>
      </c>
      <c r="M1657" s="95" t="s">
        <v>105</v>
      </c>
      <c r="N1657" s="95" t="s">
        <v>9578</v>
      </c>
      <c r="O1657" s="95" t="s">
        <v>9578</v>
      </c>
      <c r="P1657" s="95" t="s">
        <v>9579</v>
      </c>
      <c r="Q1657" s="98">
        <v>3.0</v>
      </c>
      <c r="R1657" s="97">
        <v>45773.60971064815</v>
      </c>
      <c r="S1657" s="99">
        <v>100.0</v>
      </c>
      <c r="T1657" s="99">
        <v>21.0</v>
      </c>
      <c r="U1657" s="99">
        <v>3.0</v>
      </c>
      <c r="V1657" s="99">
        <v>54.0</v>
      </c>
      <c r="W1657" s="99">
        <v>732453.0</v>
      </c>
    </row>
    <row r="1658" ht="15.75" customHeight="1">
      <c r="A1658" s="95" t="s">
        <v>9580</v>
      </c>
      <c r="B1658" s="95" t="s">
        <v>22</v>
      </c>
      <c r="C1658" s="96" t="s">
        <v>9581</v>
      </c>
      <c r="D1658" s="95" t="s">
        <v>39</v>
      </c>
      <c r="E1658" s="95" t="s">
        <v>614</v>
      </c>
      <c r="F1658" s="95" t="s">
        <v>19</v>
      </c>
      <c r="G1658" s="95" t="s">
        <v>19</v>
      </c>
      <c r="H1658" s="95" t="s">
        <v>21</v>
      </c>
      <c r="I1658" s="95" t="s">
        <v>567</v>
      </c>
      <c r="J1658" s="97">
        <v>46021.50500998842</v>
      </c>
      <c r="K1658" s="95" t="s">
        <v>9582</v>
      </c>
      <c r="L1658" s="96" t="s">
        <v>9583</v>
      </c>
      <c r="M1658" s="95" t="s">
        <v>38</v>
      </c>
      <c r="N1658" s="95" t="s">
        <v>9584</v>
      </c>
      <c r="O1658" s="95" t="s">
        <v>9584</v>
      </c>
      <c r="P1658" s="95" t="s">
        <v>9585</v>
      </c>
      <c r="Q1658" s="98">
        <v>3.0</v>
      </c>
      <c r="R1658" s="97">
        <v>45623.99997685185</v>
      </c>
      <c r="S1658" s="99">
        <v>123.0</v>
      </c>
      <c r="T1658" s="99">
        <v>140.0</v>
      </c>
      <c r="U1658" s="99">
        <v>2.0</v>
      </c>
      <c r="V1658" s="99">
        <v>316.0</v>
      </c>
      <c r="W1658" s="99">
        <v>6561.0</v>
      </c>
    </row>
    <row r="1659" ht="15.75" customHeight="1">
      <c r="A1659" s="95" t="s">
        <v>9586</v>
      </c>
      <c r="B1659" s="95" t="s">
        <v>69</v>
      </c>
      <c r="C1659" s="96" t="s">
        <v>9587</v>
      </c>
      <c r="D1659" s="95" t="s">
        <v>39</v>
      </c>
      <c r="E1659" s="95" t="s">
        <v>39</v>
      </c>
      <c r="F1659" s="95" t="s">
        <v>19</v>
      </c>
      <c r="G1659" s="95" t="s">
        <v>19</v>
      </c>
      <c r="H1659" s="95" t="s">
        <v>21</v>
      </c>
      <c r="I1659" s="95" t="s">
        <v>998</v>
      </c>
      <c r="J1659" s="97">
        <v>46003.09592751157</v>
      </c>
      <c r="K1659" s="95" t="s">
        <v>9588</v>
      </c>
      <c r="L1659" s="96" t="s">
        <v>9589</v>
      </c>
      <c r="M1659" s="95" t="s">
        <v>38</v>
      </c>
      <c r="N1659" s="95" t="s">
        <v>9590</v>
      </c>
      <c r="O1659" s="95" t="s">
        <v>9590</v>
      </c>
      <c r="P1659" s="95" t="s">
        <v>9591</v>
      </c>
      <c r="Q1659" s="98">
        <v>3.0</v>
      </c>
      <c r="R1659" s="97">
        <v>45935.85273148148</v>
      </c>
      <c r="S1659" s="99">
        <v>1111.0</v>
      </c>
      <c r="T1659" s="99">
        <v>288.0</v>
      </c>
      <c r="U1659" s="99">
        <v>41.0</v>
      </c>
      <c r="V1659" s="99">
        <v>806.0</v>
      </c>
      <c r="W1659" s="99">
        <v>21635.0</v>
      </c>
    </row>
    <row r="1660" ht="15.75" customHeight="1">
      <c r="A1660" s="95" t="s">
        <v>9592</v>
      </c>
      <c r="B1660" s="95" t="s">
        <v>22</v>
      </c>
      <c r="C1660" s="96" t="s">
        <v>9593</v>
      </c>
      <c r="D1660" s="95" t="s">
        <v>547</v>
      </c>
      <c r="E1660" s="95" t="s">
        <v>547</v>
      </c>
      <c r="F1660" s="95" t="s">
        <v>19</v>
      </c>
      <c r="G1660" s="95" t="s">
        <v>574</v>
      </c>
      <c r="H1660" s="95" t="s">
        <v>21</v>
      </c>
      <c r="I1660" s="95" t="s">
        <v>567</v>
      </c>
      <c r="J1660" s="97">
        <v>46021.49338171296</v>
      </c>
      <c r="K1660" s="95" t="s">
        <v>9594</v>
      </c>
      <c r="L1660" s="96" t="s">
        <v>9595</v>
      </c>
      <c r="M1660" s="95" t="s">
        <v>105</v>
      </c>
      <c r="N1660" s="95" t="s">
        <v>9596</v>
      </c>
      <c r="O1660" s="95" t="s">
        <v>9596</v>
      </c>
      <c r="P1660" s="95" t="s">
        <v>9597</v>
      </c>
      <c r="Q1660" s="98">
        <v>3.0</v>
      </c>
      <c r="R1660" s="97">
        <v>45554.24033564814</v>
      </c>
      <c r="S1660" s="99">
        <v>1326.0</v>
      </c>
      <c r="T1660" s="99">
        <v>92.0</v>
      </c>
      <c r="U1660" s="99">
        <v>2.0</v>
      </c>
      <c r="V1660" s="99">
        <v>201.0</v>
      </c>
      <c r="W1660" s="99">
        <v>177897.0</v>
      </c>
    </row>
    <row r="1661" ht="15.75" customHeight="1">
      <c r="A1661" s="95" t="s">
        <v>9598</v>
      </c>
      <c r="B1661" s="95" t="s">
        <v>22</v>
      </c>
      <c r="C1661" s="96" t="s">
        <v>9599</v>
      </c>
      <c r="D1661" s="95" t="s">
        <v>20</v>
      </c>
      <c r="E1661" s="95" t="s">
        <v>638</v>
      </c>
      <c r="F1661" s="95" t="s">
        <v>19</v>
      </c>
      <c r="G1661" s="95" t="s">
        <v>19</v>
      </c>
      <c r="H1661" s="95" t="s">
        <v>21</v>
      </c>
      <c r="I1661" s="95" t="s">
        <v>567</v>
      </c>
      <c r="J1661" s="97">
        <v>46021.50647173611</v>
      </c>
      <c r="K1661" s="95" t="s">
        <v>9600</v>
      </c>
      <c r="L1661" s="96" t="s">
        <v>9601</v>
      </c>
      <c r="M1661" s="95" t="s">
        <v>74</v>
      </c>
      <c r="N1661" s="95" t="s">
        <v>9602</v>
      </c>
      <c r="O1661" s="95" t="s">
        <v>9602</v>
      </c>
      <c r="P1661" s="95" t="s">
        <v>9603</v>
      </c>
      <c r="Q1661" s="98">
        <v>3.0</v>
      </c>
      <c r="R1661" s="97">
        <v>45853.12296296296</v>
      </c>
      <c r="S1661" s="99">
        <v>331.0</v>
      </c>
      <c r="T1661" s="99">
        <v>350.0</v>
      </c>
      <c r="U1661" s="99">
        <v>11.0</v>
      </c>
      <c r="V1661" s="99">
        <v>246.0</v>
      </c>
      <c r="W1661" s="99">
        <v>30306.0</v>
      </c>
    </row>
    <row r="1662" ht="15.75" customHeight="1">
      <c r="A1662" s="95" t="s">
        <v>9604</v>
      </c>
      <c r="B1662" s="95" t="s">
        <v>101</v>
      </c>
      <c r="C1662" s="96" t="s">
        <v>9605</v>
      </c>
      <c r="D1662" s="95" t="s">
        <v>39</v>
      </c>
      <c r="E1662" s="95" t="s">
        <v>960</v>
      </c>
      <c r="F1662" s="95" t="s">
        <v>19</v>
      </c>
      <c r="G1662" s="95" t="s">
        <v>19</v>
      </c>
      <c r="H1662" s="95" t="s">
        <v>21</v>
      </c>
      <c r="I1662" s="95" t="s">
        <v>745</v>
      </c>
      <c r="J1662" s="97">
        <v>46021.50647173611</v>
      </c>
      <c r="K1662" s="95" t="s">
        <v>9606</v>
      </c>
      <c r="L1662" s="96" t="s">
        <v>9607</v>
      </c>
      <c r="M1662" s="95" t="s">
        <v>74</v>
      </c>
      <c r="N1662" s="95" t="s">
        <v>9602</v>
      </c>
      <c r="O1662" s="95" t="s">
        <v>9602</v>
      </c>
      <c r="P1662" s="95" t="s">
        <v>9603</v>
      </c>
      <c r="Q1662" s="98">
        <v>3.0</v>
      </c>
      <c r="R1662" s="97">
        <v>45748.4644675926</v>
      </c>
      <c r="S1662" s="99">
        <v>331.0</v>
      </c>
      <c r="T1662" s="99">
        <v>26.0</v>
      </c>
      <c r="U1662" s="99">
        <v>7.0</v>
      </c>
      <c r="V1662" s="99">
        <v>344.0</v>
      </c>
      <c r="W1662" s="99">
        <v>30306.0</v>
      </c>
    </row>
    <row r="1663" ht="15.75" customHeight="1">
      <c r="A1663" s="95" t="s">
        <v>9608</v>
      </c>
      <c r="B1663" s="95" t="s">
        <v>69</v>
      </c>
      <c r="C1663" s="96" t="s">
        <v>9609</v>
      </c>
      <c r="D1663" s="95" t="s">
        <v>20</v>
      </c>
      <c r="E1663" s="95" t="s">
        <v>762</v>
      </c>
      <c r="F1663" s="95" t="s">
        <v>19</v>
      </c>
      <c r="G1663" s="95" t="s">
        <v>574</v>
      </c>
      <c r="H1663" s="95" t="s">
        <v>21</v>
      </c>
      <c r="I1663" s="95" t="s">
        <v>998</v>
      </c>
      <c r="J1663" s="97">
        <v>46008.62907388889</v>
      </c>
      <c r="K1663" s="96" t="s">
        <v>9610</v>
      </c>
      <c r="L1663" s="96" t="s">
        <v>9611</v>
      </c>
      <c r="M1663" s="95" t="s">
        <v>67</v>
      </c>
      <c r="N1663" s="95" t="s">
        <v>9612</v>
      </c>
      <c r="O1663" s="95" t="s">
        <v>9612</v>
      </c>
      <c r="P1663" s="95" t="s">
        <v>9613</v>
      </c>
      <c r="Q1663" s="98">
        <v>3.0</v>
      </c>
      <c r="R1663" s="97">
        <v>45788.42923611111</v>
      </c>
      <c r="S1663" s="99">
        <v>413.0</v>
      </c>
      <c r="T1663" s="99">
        <v>48.0</v>
      </c>
      <c r="U1663" s="99">
        <v>18.0</v>
      </c>
      <c r="V1663" s="99">
        <v>67.0</v>
      </c>
      <c r="W1663" s="99">
        <v>3166.0</v>
      </c>
    </row>
    <row r="1664" ht="15.75" customHeight="1">
      <c r="A1664" s="95" t="s">
        <v>9614</v>
      </c>
      <c r="B1664" s="95" t="s">
        <v>22</v>
      </c>
      <c r="C1664" s="96" t="s">
        <v>9615</v>
      </c>
      <c r="D1664" s="95" t="s">
        <v>124</v>
      </c>
      <c r="E1664" s="95" t="s">
        <v>9616</v>
      </c>
      <c r="F1664" s="95" t="s">
        <v>19</v>
      </c>
      <c r="G1664" s="95" t="s">
        <v>19</v>
      </c>
      <c r="H1664" s="95" t="s">
        <v>21</v>
      </c>
      <c r="I1664" s="95" t="s">
        <v>567</v>
      </c>
      <c r="J1664" s="97">
        <v>46021.4982831713</v>
      </c>
      <c r="K1664" s="95" t="s">
        <v>9617</v>
      </c>
      <c r="L1664" s="96" t="s">
        <v>9618</v>
      </c>
      <c r="M1664" s="95" t="s">
        <v>105</v>
      </c>
      <c r="N1664" s="95" t="s">
        <v>9619</v>
      </c>
      <c r="O1664" s="95" t="s">
        <v>9619</v>
      </c>
      <c r="P1664" s="95" t="s">
        <v>9620</v>
      </c>
      <c r="Q1664" s="98">
        <v>3.0</v>
      </c>
      <c r="R1664" s="97">
        <v>45821.57512731481</v>
      </c>
      <c r="S1664" s="99">
        <v>6667.0</v>
      </c>
      <c r="T1664" s="99">
        <v>234.0</v>
      </c>
      <c r="U1664" s="99">
        <v>33.0</v>
      </c>
      <c r="V1664" s="99">
        <v>1132.0</v>
      </c>
      <c r="W1664" s="99">
        <v>110355.0</v>
      </c>
    </row>
    <row r="1665" ht="15.75" customHeight="1">
      <c r="A1665" s="95" t="s">
        <v>9621</v>
      </c>
      <c r="B1665" s="95" t="s">
        <v>22</v>
      </c>
      <c r="C1665" s="96" t="s">
        <v>9622</v>
      </c>
      <c r="D1665" s="95" t="s">
        <v>39</v>
      </c>
      <c r="E1665" s="95" t="s">
        <v>614</v>
      </c>
      <c r="F1665" s="95" t="s">
        <v>19</v>
      </c>
      <c r="G1665" s="95" t="s">
        <v>19</v>
      </c>
      <c r="H1665" s="95" t="s">
        <v>21</v>
      </c>
      <c r="I1665" s="95" t="s">
        <v>589</v>
      </c>
      <c r="J1665" s="97">
        <v>46021.51458594907</v>
      </c>
      <c r="K1665" s="95" t="s">
        <v>9623</v>
      </c>
      <c r="L1665" s="96" t="s">
        <v>9624</v>
      </c>
      <c r="M1665" s="95" t="s">
        <v>28</v>
      </c>
      <c r="N1665" s="95" t="s">
        <v>9625</v>
      </c>
      <c r="O1665" s="95" t="s">
        <v>9625</v>
      </c>
      <c r="P1665" s="95" t="s">
        <v>9626</v>
      </c>
      <c r="Q1665" s="98">
        <v>3.0</v>
      </c>
      <c r="R1665" s="97">
        <v>45904.7709837963</v>
      </c>
      <c r="S1665" s="99">
        <v>1098.0</v>
      </c>
      <c r="T1665" s="99">
        <v>4.0</v>
      </c>
      <c r="U1665" s="99">
        <v>3.0</v>
      </c>
      <c r="V1665" s="99">
        <v>596.0</v>
      </c>
      <c r="W1665" s="99">
        <v>32932.0</v>
      </c>
    </row>
    <row r="1666" ht="15.75" customHeight="1">
      <c r="A1666" s="95" t="s">
        <v>9627</v>
      </c>
      <c r="B1666" s="95" t="s">
        <v>101</v>
      </c>
      <c r="C1666" s="96" t="s">
        <v>9628</v>
      </c>
      <c r="D1666" s="95" t="s">
        <v>168</v>
      </c>
      <c r="E1666" s="95" t="s">
        <v>168</v>
      </c>
      <c r="F1666" s="95" t="s">
        <v>19</v>
      </c>
      <c r="G1666" s="95" t="s">
        <v>588</v>
      </c>
      <c r="H1666" s="95" t="s">
        <v>21</v>
      </c>
      <c r="I1666" s="95" t="s">
        <v>745</v>
      </c>
      <c r="J1666" s="97">
        <v>46011.7338655787</v>
      </c>
      <c r="K1666" s="95" t="s">
        <v>9629</v>
      </c>
      <c r="L1666" s="95"/>
      <c r="M1666" s="95" t="s">
        <v>93</v>
      </c>
      <c r="N1666" s="95" t="s">
        <v>9630</v>
      </c>
      <c r="O1666" s="95" t="s">
        <v>9630</v>
      </c>
      <c r="P1666" s="95" t="s">
        <v>9631</v>
      </c>
      <c r="Q1666" s="98">
        <v>3.0</v>
      </c>
      <c r="R1666" s="97">
        <v>45784.22027777778</v>
      </c>
      <c r="S1666" s="99">
        <v>1574.0</v>
      </c>
      <c r="T1666" s="99">
        <v>4226.0</v>
      </c>
      <c r="U1666" s="99">
        <v>17.0</v>
      </c>
      <c r="V1666" s="99">
        <v>399.0</v>
      </c>
      <c r="W1666" s="99">
        <v>971409.0</v>
      </c>
    </row>
    <row r="1667" ht="15.75" customHeight="1">
      <c r="A1667" s="95" t="s">
        <v>9632</v>
      </c>
      <c r="B1667" s="95" t="s">
        <v>22</v>
      </c>
      <c r="C1667" s="96" t="s">
        <v>9633</v>
      </c>
      <c r="D1667" s="95" t="s">
        <v>39</v>
      </c>
      <c r="E1667" s="95" t="s">
        <v>39</v>
      </c>
      <c r="F1667" s="95" t="s">
        <v>19</v>
      </c>
      <c r="G1667" s="95" t="s">
        <v>19</v>
      </c>
      <c r="H1667" s="95" t="s">
        <v>21</v>
      </c>
      <c r="I1667" s="95" t="s">
        <v>567</v>
      </c>
      <c r="J1667" s="97">
        <v>46057.09172366898</v>
      </c>
      <c r="K1667" s="95" t="s">
        <v>9634</v>
      </c>
      <c r="L1667" s="96" t="s">
        <v>9635</v>
      </c>
      <c r="M1667" s="95" t="s">
        <v>93</v>
      </c>
      <c r="N1667" s="95" t="s">
        <v>9636</v>
      </c>
      <c r="O1667" s="95" t="s">
        <v>9636</v>
      </c>
      <c r="P1667" s="95" t="s">
        <v>9637</v>
      </c>
      <c r="Q1667" s="98">
        <v>3.0</v>
      </c>
      <c r="R1667" s="97">
        <v>45548.85475694444</v>
      </c>
      <c r="S1667" s="99">
        <v>2498.0</v>
      </c>
      <c r="T1667" s="99">
        <v>1.0</v>
      </c>
      <c r="U1667" s="99">
        <v>9.0</v>
      </c>
      <c r="V1667" s="99">
        <v>59.0</v>
      </c>
      <c r="W1667" s="99">
        <v>397389.0</v>
      </c>
    </row>
    <row r="1668" ht="15.75" customHeight="1">
      <c r="A1668" s="95" t="s">
        <v>9638</v>
      </c>
      <c r="B1668" s="95" t="s">
        <v>22</v>
      </c>
      <c r="C1668" s="96" t="s">
        <v>9639</v>
      </c>
      <c r="D1668" s="95" t="s">
        <v>130</v>
      </c>
      <c r="E1668" s="95" t="s">
        <v>130</v>
      </c>
      <c r="F1668" s="95" t="s">
        <v>19</v>
      </c>
      <c r="G1668" s="95" t="s">
        <v>588</v>
      </c>
      <c r="H1668" s="95" t="s">
        <v>21</v>
      </c>
      <c r="I1668" s="95" t="s">
        <v>589</v>
      </c>
      <c r="J1668" s="97">
        <v>45975.67936400463</v>
      </c>
      <c r="K1668" s="96" t="s">
        <v>9640</v>
      </c>
      <c r="L1668" s="95"/>
      <c r="M1668" s="95" t="s">
        <v>17</v>
      </c>
      <c r="N1668" s="95" t="s">
        <v>9641</v>
      </c>
      <c r="O1668" s="95" t="s">
        <v>9641</v>
      </c>
      <c r="P1668" s="95" t="s">
        <v>9642</v>
      </c>
      <c r="Q1668" s="98">
        <v>3.0</v>
      </c>
      <c r="R1668" s="97">
        <v>45814.61446759259</v>
      </c>
      <c r="S1668" s="99">
        <v>2886.0</v>
      </c>
      <c r="T1668" s="99">
        <v>28.0</v>
      </c>
      <c r="U1668" s="99">
        <v>1.0</v>
      </c>
      <c r="V1668" s="99">
        <v>18.0</v>
      </c>
      <c r="W1668" s="99">
        <v>267293.0</v>
      </c>
    </row>
    <row r="1669" ht="15.75" customHeight="1">
      <c r="A1669" s="95" t="s">
        <v>9643</v>
      </c>
      <c r="B1669" s="95" t="s">
        <v>157</v>
      </c>
      <c r="C1669" s="96" t="s">
        <v>9644</v>
      </c>
      <c r="D1669" s="95" t="s">
        <v>124</v>
      </c>
      <c r="E1669" s="95" t="s">
        <v>794</v>
      </c>
      <c r="F1669" s="95" t="s">
        <v>88</v>
      </c>
      <c r="G1669" s="95" t="s">
        <v>88</v>
      </c>
      <c r="H1669" s="95" t="s">
        <v>60</v>
      </c>
      <c r="I1669" s="95" t="s">
        <v>3641</v>
      </c>
      <c r="J1669" s="97">
        <v>45975.67937189815</v>
      </c>
      <c r="K1669" s="96" t="s">
        <v>9645</v>
      </c>
      <c r="L1669" s="96" t="s">
        <v>9646</v>
      </c>
      <c r="M1669" s="95" t="s">
        <v>67</v>
      </c>
      <c r="N1669" s="95" t="s">
        <v>9647</v>
      </c>
      <c r="O1669" s="95" t="s">
        <v>9647</v>
      </c>
      <c r="P1669" s="95" t="s">
        <v>9648</v>
      </c>
      <c r="Q1669" s="98">
        <v>3.0</v>
      </c>
      <c r="R1669" s="97">
        <v>45906.7824537037</v>
      </c>
      <c r="S1669" s="99">
        <v>336.0</v>
      </c>
      <c r="T1669" s="99">
        <v>1482.0</v>
      </c>
      <c r="U1669" s="99">
        <v>21.0</v>
      </c>
      <c r="V1669" s="99">
        <v>146.0</v>
      </c>
      <c r="W1669" s="99">
        <v>286115.0</v>
      </c>
    </row>
    <row r="1670" ht="15.75" customHeight="1">
      <c r="A1670" s="95" t="s">
        <v>9649</v>
      </c>
      <c r="B1670" s="95" t="s">
        <v>22</v>
      </c>
      <c r="C1670" s="96" t="s">
        <v>9650</v>
      </c>
      <c r="D1670" s="95" t="s">
        <v>59</v>
      </c>
      <c r="E1670" s="95" t="s">
        <v>738</v>
      </c>
      <c r="F1670" s="95" t="s">
        <v>19</v>
      </c>
      <c r="G1670" s="95" t="s">
        <v>19</v>
      </c>
      <c r="H1670" s="95" t="s">
        <v>21</v>
      </c>
      <c r="I1670" s="95" t="s">
        <v>567</v>
      </c>
      <c r="J1670" s="97">
        <v>46021.51458594907</v>
      </c>
      <c r="K1670" s="95" t="s">
        <v>9651</v>
      </c>
      <c r="L1670" s="96" t="s">
        <v>9652</v>
      </c>
      <c r="M1670" s="95" t="s">
        <v>54</v>
      </c>
      <c r="N1670" s="95" t="s">
        <v>9653</v>
      </c>
      <c r="O1670" s="95" t="s">
        <v>9653</v>
      </c>
      <c r="P1670" s="95" t="s">
        <v>9654</v>
      </c>
      <c r="Q1670" s="98">
        <v>3.0</v>
      </c>
      <c r="R1670" s="97">
        <v>45815.90755787037</v>
      </c>
      <c r="S1670" s="99">
        <v>1224.0</v>
      </c>
      <c r="T1670" s="99">
        <v>57.0</v>
      </c>
      <c r="U1670" s="99">
        <v>6.0</v>
      </c>
      <c r="V1670" s="99">
        <v>158.0</v>
      </c>
      <c r="W1670" s="99">
        <v>18596.0</v>
      </c>
    </row>
    <row r="1671" ht="15.75" customHeight="1">
      <c r="A1671" s="95" t="s">
        <v>9655</v>
      </c>
      <c r="B1671" s="95" t="s">
        <v>22</v>
      </c>
      <c r="C1671" s="96" t="s">
        <v>9656</v>
      </c>
      <c r="D1671" s="95" t="s">
        <v>39</v>
      </c>
      <c r="E1671" s="95" t="s">
        <v>960</v>
      </c>
      <c r="F1671" s="95" t="s">
        <v>19</v>
      </c>
      <c r="G1671" s="95" t="s">
        <v>19</v>
      </c>
      <c r="H1671" s="95" t="s">
        <v>21</v>
      </c>
      <c r="I1671" s="95" t="s">
        <v>567</v>
      </c>
      <c r="J1671" s="97">
        <v>46021.51458594907</v>
      </c>
      <c r="K1671" s="95" t="s">
        <v>9657</v>
      </c>
      <c r="L1671" s="96" t="s">
        <v>9658</v>
      </c>
      <c r="M1671" s="95" t="s">
        <v>54</v>
      </c>
      <c r="N1671" s="95" t="s">
        <v>9659</v>
      </c>
      <c r="O1671" s="95" t="s">
        <v>9659</v>
      </c>
      <c r="P1671" s="95" t="s">
        <v>9660</v>
      </c>
      <c r="Q1671" s="98">
        <v>3.0</v>
      </c>
      <c r="R1671" s="97">
        <v>45869.63353009259</v>
      </c>
      <c r="S1671" s="99">
        <v>195.0</v>
      </c>
      <c r="T1671" s="99">
        <v>63.0</v>
      </c>
      <c r="U1671" s="99">
        <v>6.0</v>
      </c>
      <c r="V1671" s="99">
        <v>245.0</v>
      </c>
      <c r="W1671" s="99">
        <v>28542.0</v>
      </c>
    </row>
    <row r="1672" ht="15.75" customHeight="1">
      <c r="A1672" s="95" t="s">
        <v>9661</v>
      </c>
      <c r="B1672" s="95" t="s">
        <v>131</v>
      </c>
      <c r="C1672" s="96" t="s">
        <v>9662</v>
      </c>
      <c r="D1672" s="95" t="s">
        <v>29</v>
      </c>
      <c r="E1672" s="95" t="s">
        <v>29</v>
      </c>
      <c r="F1672" s="95" t="s">
        <v>58</v>
      </c>
      <c r="G1672" s="95" t="s">
        <v>5617</v>
      </c>
      <c r="H1672" s="95" t="s">
        <v>89</v>
      </c>
      <c r="I1672" s="95" t="s">
        <v>9663</v>
      </c>
      <c r="J1672" s="97">
        <v>46069.66275371527</v>
      </c>
      <c r="K1672" s="95" t="s">
        <v>9664</v>
      </c>
      <c r="L1672" s="96" t="s">
        <v>9665</v>
      </c>
      <c r="M1672" s="95" t="s">
        <v>74</v>
      </c>
      <c r="N1672" s="95" t="s">
        <v>9666</v>
      </c>
      <c r="O1672" s="95" t="s">
        <v>9666</v>
      </c>
      <c r="P1672" s="95" t="s">
        <v>9667</v>
      </c>
      <c r="Q1672" s="98">
        <v>3.0</v>
      </c>
      <c r="R1672" s="97">
        <v>46015.94460648148</v>
      </c>
      <c r="S1672" s="99">
        <v>3316.0</v>
      </c>
      <c r="T1672" s="99">
        <v>90.0</v>
      </c>
      <c r="U1672" s="99">
        <v>9.0</v>
      </c>
      <c r="V1672" s="99">
        <v>68.0</v>
      </c>
      <c r="W1672" s="99">
        <v>5096.0</v>
      </c>
    </row>
    <row r="1673" ht="15.75" customHeight="1">
      <c r="A1673" s="95" t="s">
        <v>9668</v>
      </c>
      <c r="B1673" s="95" t="s">
        <v>22</v>
      </c>
      <c r="C1673" s="96" t="s">
        <v>9669</v>
      </c>
      <c r="D1673" s="95" t="s">
        <v>49</v>
      </c>
      <c r="E1673" s="95" t="s">
        <v>1082</v>
      </c>
      <c r="F1673" s="95" t="s">
        <v>19</v>
      </c>
      <c r="G1673" s="95" t="s">
        <v>19</v>
      </c>
      <c r="H1673" s="95" t="s">
        <v>21</v>
      </c>
      <c r="I1673" s="95" t="s">
        <v>684</v>
      </c>
      <c r="J1673" s="97">
        <v>46021.51458594907</v>
      </c>
      <c r="K1673" s="95" t="s">
        <v>9670</v>
      </c>
      <c r="L1673" s="96" t="s">
        <v>9671</v>
      </c>
      <c r="M1673" s="95" t="s">
        <v>74</v>
      </c>
      <c r="N1673" s="95" t="s">
        <v>9672</v>
      </c>
      <c r="O1673" s="95" t="s">
        <v>9672</v>
      </c>
      <c r="P1673" s="95" t="s">
        <v>9673</v>
      </c>
      <c r="Q1673" s="98">
        <v>3.0</v>
      </c>
      <c r="R1673" s="97">
        <v>45873.46076388889</v>
      </c>
      <c r="S1673" s="99">
        <v>252.0</v>
      </c>
      <c r="T1673" s="99">
        <v>26.0</v>
      </c>
      <c r="U1673" s="99">
        <v>1.0</v>
      </c>
      <c r="V1673" s="99">
        <v>79.0</v>
      </c>
      <c r="W1673" s="99">
        <v>56175.0</v>
      </c>
    </row>
    <row r="1674" ht="15.75" customHeight="1">
      <c r="A1674" s="95" t="s">
        <v>9674</v>
      </c>
      <c r="B1674" s="95" t="s">
        <v>22</v>
      </c>
      <c r="C1674" s="96" t="s">
        <v>9675</v>
      </c>
      <c r="D1674" s="95" t="s">
        <v>20</v>
      </c>
      <c r="E1674" s="95" t="s">
        <v>1991</v>
      </c>
      <c r="F1674" s="95" t="s">
        <v>19</v>
      </c>
      <c r="G1674" s="95" t="s">
        <v>588</v>
      </c>
      <c r="H1674" s="95" t="s">
        <v>21</v>
      </c>
      <c r="I1674" s="95" t="s">
        <v>589</v>
      </c>
      <c r="J1674" s="97">
        <v>45993.7854622338</v>
      </c>
      <c r="K1674" s="96" t="s">
        <v>9676</v>
      </c>
      <c r="L1674" s="96" t="s">
        <v>9677</v>
      </c>
      <c r="M1674" s="95" t="s">
        <v>17</v>
      </c>
      <c r="N1674" s="95" t="s">
        <v>9678</v>
      </c>
      <c r="O1674" s="95" t="s">
        <v>9678</v>
      </c>
      <c r="P1674" s="95" t="s">
        <v>9679</v>
      </c>
      <c r="Q1674" s="98">
        <v>3.0</v>
      </c>
      <c r="R1674" s="97">
        <v>45650.51459490741</v>
      </c>
      <c r="S1674" s="99">
        <v>167.0</v>
      </c>
      <c r="T1674" s="99">
        <v>140.0</v>
      </c>
      <c r="U1674" s="99">
        <v>12.0</v>
      </c>
      <c r="V1674" s="99">
        <v>336.0</v>
      </c>
      <c r="W1674" s="99">
        <v>14281.0</v>
      </c>
    </row>
    <row r="1675" ht="15.75" customHeight="1">
      <c r="A1675" s="95" t="s">
        <v>9680</v>
      </c>
      <c r="B1675" s="95" t="s">
        <v>22</v>
      </c>
      <c r="C1675" s="96" t="s">
        <v>9681</v>
      </c>
      <c r="D1675" s="95" t="s">
        <v>20</v>
      </c>
      <c r="E1675" s="95" t="s">
        <v>8776</v>
      </c>
      <c r="F1675" s="95" t="s">
        <v>19</v>
      </c>
      <c r="G1675" s="95" t="s">
        <v>1427</v>
      </c>
      <c r="H1675" s="95" t="s">
        <v>21</v>
      </c>
      <c r="I1675" s="95" t="s">
        <v>633</v>
      </c>
      <c r="J1675" s="97">
        <v>46008.62905829861</v>
      </c>
      <c r="K1675" s="96" t="s">
        <v>9682</v>
      </c>
      <c r="L1675" s="96" t="s">
        <v>9683</v>
      </c>
      <c r="M1675" s="95" t="s">
        <v>17</v>
      </c>
      <c r="N1675" s="95" t="s">
        <v>9684</v>
      </c>
      <c r="O1675" s="95" t="s">
        <v>9684</v>
      </c>
      <c r="P1675" s="95" t="s">
        <v>9685</v>
      </c>
      <c r="Q1675" s="98">
        <v>3.0</v>
      </c>
      <c r="R1675" s="97">
        <v>45775.92189814815</v>
      </c>
      <c r="S1675" s="99">
        <v>2357.0</v>
      </c>
      <c r="T1675" s="99">
        <v>507.0</v>
      </c>
      <c r="U1675" s="99">
        <v>47.0</v>
      </c>
      <c r="V1675" s="99">
        <v>257.0</v>
      </c>
      <c r="W1675" s="99">
        <v>19183.0</v>
      </c>
    </row>
    <row r="1676" ht="15.75" customHeight="1">
      <c r="A1676" s="95" t="s">
        <v>9686</v>
      </c>
      <c r="B1676" s="95" t="s">
        <v>131</v>
      </c>
      <c r="C1676" s="96" t="s">
        <v>9687</v>
      </c>
      <c r="D1676" s="95" t="s">
        <v>59</v>
      </c>
      <c r="E1676" s="95" t="s">
        <v>3394</v>
      </c>
      <c r="F1676" s="95" t="s">
        <v>58</v>
      </c>
      <c r="G1676" s="95" t="s">
        <v>58</v>
      </c>
      <c r="H1676" s="95" t="s">
        <v>60</v>
      </c>
      <c r="I1676" s="95" t="s">
        <v>8512</v>
      </c>
      <c r="J1676" s="97">
        <v>46021.49338171296</v>
      </c>
      <c r="K1676" s="95" t="s">
        <v>9688</v>
      </c>
      <c r="L1676" s="96" t="s">
        <v>9689</v>
      </c>
      <c r="M1676" s="95" t="s">
        <v>38</v>
      </c>
      <c r="N1676" s="95" t="s">
        <v>9690</v>
      </c>
      <c r="O1676" s="95" t="s">
        <v>9690</v>
      </c>
      <c r="P1676" s="95" t="s">
        <v>9691</v>
      </c>
      <c r="Q1676" s="98">
        <v>3.0</v>
      </c>
      <c r="R1676" s="97">
        <v>45784.55545138889</v>
      </c>
      <c r="S1676" s="99">
        <v>455.0</v>
      </c>
      <c r="T1676" s="99">
        <v>55.0</v>
      </c>
      <c r="U1676" s="99">
        <v>182.0</v>
      </c>
      <c r="V1676" s="99">
        <v>324.0</v>
      </c>
      <c r="W1676" s="99">
        <v>56960.0</v>
      </c>
    </row>
    <row r="1677" ht="15.75" customHeight="1">
      <c r="A1677" s="95" t="s">
        <v>9692</v>
      </c>
      <c r="B1677" s="95" t="s">
        <v>22</v>
      </c>
      <c r="C1677" s="96" t="s">
        <v>9693</v>
      </c>
      <c r="D1677" s="95" t="s">
        <v>39</v>
      </c>
      <c r="E1677" s="95" t="s">
        <v>39</v>
      </c>
      <c r="F1677" s="95" t="s">
        <v>19</v>
      </c>
      <c r="G1677" s="95" t="s">
        <v>574</v>
      </c>
      <c r="H1677" s="95" t="s">
        <v>21</v>
      </c>
      <c r="I1677" s="95" t="s">
        <v>589</v>
      </c>
      <c r="J1677" s="97">
        <v>45993.79076445602</v>
      </c>
      <c r="K1677" s="96" t="s">
        <v>9694</v>
      </c>
      <c r="L1677" s="95"/>
      <c r="M1677" s="95" t="s">
        <v>74</v>
      </c>
      <c r="N1677" s="95" t="s">
        <v>9695</v>
      </c>
      <c r="O1677" s="95" t="s">
        <v>9695</v>
      </c>
      <c r="P1677" s="95" t="s">
        <v>9696</v>
      </c>
      <c r="Q1677" s="98">
        <v>3.0</v>
      </c>
      <c r="R1677" s="97">
        <v>45763.34841435185</v>
      </c>
      <c r="S1677" s="99">
        <v>10780.0</v>
      </c>
      <c r="T1677" s="99">
        <v>2964.0</v>
      </c>
      <c r="U1677" s="99">
        <v>17.0</v>
      </c>
      <c r="V1677" s="99">
        <v>49.0</v>
      </c>
      <c r="W1677" s="99">
        <v>158353.0</v>
      </c>
    </row>
    <row r="1678" ht="15.75" customHeight="1">
      <c r="A1678" s="95" t="s">
        <v>9697</v>
      </c>
      <c r="B1678" s="95" t="s">
        <v>22</v>
      </c>
      <c r="C1678" s="96" t="s">
        <v>9698</v>
      </c>
      <c r="D1678" s="95" t="s">
        <v>39</v>
      </c>
      <c r="E1678" s="95" t="s">
        <v>39</v>
      </c>
      <c r="F1678" s="95" t="s">
        <v>19</v>
      </c>
      <c r="G1678" s="95" t="s">
        <v>19</v>
      </c>
      <c r="H1678" s="95" t="s">
        <v>21</v>
      </c>
      <c r="I1678" s="95" t="s">
        <v>589</v>
      </c>
      <c r="J1678" s="97">
        <v>45975.67939547454</v>
      </c>
      <c r="K1678" s="96" t="s">
        <v>9699</v>
      </c>
      <c r="L1678" s="95"/>
      <c r="M1678" s="95" t="s">
        <v>74</v>
      </c>
      <c r="N1678" s="95" t="s">
        <v>9695</v>
      </c>
      <c r="O1678" s="95" t="s">
        <v>9695</v>
      </c>
      <c r="P1678" s="95" t="s">
        <v>9696</v>
      </c>
      <c r="Q1678" s="98">
        <v>3.0</v>
      </c>
      <c r="R1678" s="97">
        <v>45653.42887731481</v>
      </c>
      <c r="S1678" s="99">
        <v>10780.0</v>
      </c>
      <c r="T1678" s="99">
        <v>2499.0</v>
      </c>
      <c r="U1678" s="99">
        <v>9.0</v>
      </c>
      <c r="V1678" s="99">
        <v>67.0</v>
      </c>
      <c r="W1678" s="99">
        <v>158353.0</v>
      </c>
    </row>
    <row r="1679" ht="15.75" customHeight="1">
      <c r="A1679" s="95" t="s">
        <v>9700</v>
      </c>
      <c r="B1679" s="95" t="s">
        <v>22</v>
      </c>
      <c r="C1679" s="96" t="s">
        <v>9701</v>
      </c>
      <c r="D1679" s="95" t="s">
        <v>39</v>
      </c>
      <c r="E1679" s="95" t="s">
        <v>39</v>
      </c>
      <c r="F1679" s="95" t="s">
        <v>19</v>
      </c>
      <c r="G1679" s="95" t="s">
        <v>19</v>
      </c>
      <c r="H1679" s="95" t="s">
        <v>21</v>
      </c>
      <c r="I1679" s="95" t="s">
        <v>9702</v>
      </c>
      <c r="J1679" s="97">
        <v>45975.67939547454</v>
      </c>
      <c r="K1679" s="96" t="s">
        <v>9703</v>
      </c>
      <c r="L1679" s="95"/>
      <c r="M1679" s="95" t="s">
        <v>74</v>
      </c>
      <c r="N1679" s="95" t="s">
        <v>9695</v>
      </c>
      <c r="O1679" s="95" t="s">
        <v>9695</v>
      </c>
      <c r="P1679" s="95" t="s">
        <v>9696</v>
      </c>
      <c r="Q1679" s="98">
        <v>3.0</v>
      </c>
      <c r="R1679" s="97">
        <v>45795.37094907407</v>
      </c>
      <c r="S1679" s="99">
        <v>10780.0</v>
      </c>
      <c r="T1679" s="99">
        <v>3459.0</v>
      </c>
      <c r="U1679" s="99">
        <v>10.0</v>
      </c>
      <c r="V1679" s="99">
        <v>157.0</v>
      </c>
      <c r="W1679" s="99">
        <v>158353.0</v>
      </c>
    </row>
    <row r="1680" ht="15.75" customHeight="1">
      <c r="A1680" s="95" t="s">
        <v>9704</v>
      </c>
      <c r="B1680" s="95" t="s">
        <v>101</v>
      </c>
      <c r="C1680" s="96" t="s">
        <v>9705</v>
      </c>
      <c r="D1680" s="95" t="s">
        <v>39</v>
      </c>
      <c r="E1680" s="95" t="s">
        <v>39</v>
      </c>
      <c r="F1680" s="95" t="s">
        <v>19</v>
      </c>
      <c r="G1680" s="95" t="s">
        <v>19</v>
      </c>
      <c r="H1680" s="95" t="s">
        <v>21</v>
      </c>
      <c r="I1680" s="95" t="s">
        <v>890</v>
      </c>
      <c r="J1680" s="97">
        <v>45975.67939547454</v>
      </c>
      <c r="K1680" s="96" t="s">
        <v>9706</v>
      </c>
      <c r="L1680" s="95"/>
      <c r="M1680" s="95" t="s">
        <v>74</v>
      </c>
      <c r="N1680" s="95" t="s">
        <v>9695</v>
      </c>
      <c r="O1680" s="95" t="s">
        <v>9695</v>
      </c>
      <c r="P1680" s="95" t="s">
        <v>9696</v>
      </c>
      <c r="Q1680" s="98">
        <v>3.0</v>
      </c>
      <c r="R1680" s="97">
        <v>45781.35199074074</v>
      </c>
      <c r="S1680" s="99">
        <v>10780.0</v>
      </c>
      <c r="T1680" s="99">
        <v>3249.0</v>
      </c>
      <c r="U1680" s="99">
        <v>4.0</v>
      </c>
      <c r="V1680" s="99">
        <v>69.0</v>
      </c>
      <c r="W1680" s="99">
        <v>158353.0</v>
      </c>
    </row>
    <row r="1681" ht="15.75" customHeight="1">
      <c r="A1681" s="95" t="s">
        <v>9707</v>
      </c>
      <c r="B1681" s="95" t="s">
        <v>22</v>
      </c>
      <c r="C1681" s="96" t="s">
        <v>9708</v>
      </c>
      <c r="D1681" s="95" t="s">
        <v>39</v>
      </c>
      <c r="E1681" s="95" t="s">
        <v>39</v>
      </c>
      <c r="F1681" s="95" t="s">
        <v>19</v>
      </c>
      <c r="G1681" s="95" t="s">
        <v>19</v>
      </c>
      <c r="H1681" s="95" t="s">
        <v>21</v>
      </c>
      <c r="I1681" s="95" t="s">
        <v>9702</v>
      </c>
      <c r="J1681" s="97">
        <v>45993.79076452546</v>
      </c>
      <c r="K1681" s="96" t="s">
        <v>9709</v>
      </c>
      <c r="L1681" s="95"/>
      <c r="M1681" s="95" t="s">
        <v>74</v>
      </c>
      <c r="N1681" s="95" t="s">
        <v>9695</v>
      </c>
      <c r="O1681" s="95" t="s">
        <v>9695</v>
      </c>
      <c r="P1681" s="95" t="s">
        <v>9696</v>
      </c>
      <c r="Q1681" s="98">
        <v>3.0</v>
      </c>
      <c r="R1681" s="97">
        <v>45792.4916087963</v>
      </c>
      <c r="S1681" s="99">
        <v>10780.0</v>
      </c>
      <c r="T1681" s="99">
        <v>3427.0</v>
      </c>
      <c r="U1681" s="99">
        <v>8.0</v>
      </c>
      <c r="V1681" s="99">
        <v>69.0</v>
      </c>
      <c r="W1681" s="99">
        <v>158353.0</v>
      </c>
    </row>
    <row r="1682" ht="15.75" customHeight="1">
      <c r="A1682" s="95" t="s">
        <v>9710</v>
      </c>
      <c r="B1682" s="95" t="s">
        <v>22</v>
      </c>
      <c r="C1682" s="96" t="s">
        <v>9711</v>
      </c>
      <c r="D1682" s="95" t="s">
        <v>39</v>
      </c>
      <c r="E1682" s="95" t="s">
        <v>39</v>
      </c>
      <c r="F1682" s="95" t="s">
        <v>19</v>
      </c>
      <c r="G1682" s="95" t="s">
        <v>19</v>
      </c>
      <c r="H1682" s="95" t="s">
        <v>21</v>
      </c>
      <c r="I1682" s="95" t="s">
        <v>567</v>
      </c>
      <c r="J1682" s="97">
        <v>45993.7854622338</v>
      </c>
      <c r="K1682" s="96" t="s">
        <v>9712</v>
      </c>
      <c r="L1682" s="96" t="s">
        <v>9713</v>
      </c>
      <c r="M1682" s="95" t="s">
        <v>17</v>
      </c>
      <c r="N1682" s="95" t="s">
        <v>9714</v>
      </c>
      <c r="O1682" s="95" t="s">
        <v>9714</v>
      </c>
      <c r="P1682" s="95" t="s">
        <v>9715</v>
      </c>
      <c r="Q1682" s="98">
        <v>3.0</v>
      </c>
      <c r="R1682" s="97">
        <v>45622.08064814815</v>
      </c>
      <c r="S1682" s="99">
        <v>2942.0</v>
      </c>
      <c r="T1682" s="99">
        <v>121.0</v>
      </c>
      <c r="U1682" s="99">
        <v>4.0</v>
      </c>
      <c r="V1682" s="99">
        <v>27.0</v>
      </c>
      <c r="W1682" s="99">
        <v>4044.0</v>
      </c>
    </row>
    <row r="1683" ht="15.75" customHeight="1">
      <c r="A1683" s="95" t="s">
        <v>9716</v>
      </c>
      <c r="B1683" s="95" t="s">
        <v>157</v>
      </c>
      <c r="C1683" s="96" t="s">
        <v>9717</v>
      </c>
      <c r="D1683" s="95" t="s">
        <v>20</v>
      </c>
      <c r="E1683" s="95" t="s">
        <v>1991</v>
      </c>
      <c r="F1683" s="95" t="s">
        <v>88</v>
      </c>
      <c r="G1683" s="95" t="s">
        <v>88</v>
      </c>
      <c r="H1683" s="95" t="s">
        <v>89</v>
      </c>
      <c r="I1683" s="95" t="s">
        <v>897</v>
      </c>
      <c r="J1683" s="97">
        <v>45975.67937189815</v>
      </c>
      <c r="K1683" s="96" t="s">
        <v>9718</v>
      </c>
      <c r="L1683" s="96" t="s">
        <v>9719</v>
      </c>
      <c r="M1683" s="95" t="s">
        <v>38</v>
      </c>
      <c r="N1683" s="95" t="s">
        <v>9720</v>
      </c>
      <c r="O1683" s="95" t="s">
        <v>9720</v>
      </c>
      <c r="P1683" s="95" t="s">
        <v>9721</v>
      </c>
      <c r="Q1683" s="98">
        <v>3.0</v>
      </c>
      <c r="R1683" s="97">
        <v>45847.77248842592</v>
      </c>
      <c r="S1683" s="99">
        <v>13592.0</v>
      </c>
      <c r="T1683" s="99">
        <v>517.0</v>
      </c>
      <c r="U1683" s="99">
        <v>3.0</v>
      </c>
      <c r="V1683" s="99">
        <v>81.0</v>
      </c>
      <c r="W1683" s="99">
        <v>281514.0</v>
      </c>
    </row>
    <row r="1684" ht="15.75" customHeight="1">
      <c r="A1684" s="95" t="s">
        <v>9722</v>
      </c>
      <c r="B1684" s="95" t="s">
        <v>22</v>
      </c>
      <c r="C1684" s="96" t="s">
        <v>9723</v>
      </c>
      <c r="D1684" s="95" t="s">
        <v>168</v>
      </c>
      <c r="E1684" s="95" t="s">
        <v>3021</v>
      </c>
      <c r="F1684" s="95" t="s">
        <v>19</v>
      </c>
      <c r="G1684" s="95" t="s">
        <v>19</v>
      </c>
      <c r="H1684" s="95" t="s">
        <v>21</v>
      </c>
      <c r="I1684" s="95" t="s">
        <v>567</v>
      </c>
      <c r="J1684" s="97">
        <v>46003.09592751157</v>
      </c>
      <c r="K1684" s="95" t="s">
        <v>9724</v>
      </c>
      <c r="L1684" s="96" t="s">
        <v>9725</v>
      </c>
      <c r="M1684" s="95" t="s">
        <v>38</v>
      </c>
      <c r="N1684" s="95" t="s">
        <v>9726</v>
      </c>
      <c r="O1684" s="95" t="s">
        <v>9726</v>
      </c>
      <c r="P1684" s="95" t="s">
        <v>9727</v>
      </c>
      <c r="Q1684" s="98">
        <v>3.0</v>
      </c>
      <c r="R1684" s="97">
        <v>45618.68927083333</v>
      </c>
      <c r="S1684" s="99">
        <v>1818.0</v>
      </c>
      <c r="T1684" s="99">
        <v>195.0</v>
      </c>
      <c r="U1684" s="99">
        <v>6.0</v>
      </c>
      <c r="V1684" s="99">
        <v>61.0</v>
      </c>
      <c r="W1684" s="99">
        <v>95758.0</v>
      </c>
    </row>
    <row r="1685" ht="15.75" customHeight="1">
      <c r="A1685" s="95" t="s">
        <v>9728</v>
      </c>
      <c r="B1685" s="95" t="s">
        <v>101</v>
      </c>
      <c r="C1685" s="96" t="s">
        <v>9729</v>
      </c>
      <c r="D1685" s="95" t="s">
        <v>59</v>
      </c>
      <c r="E1685" s="95" t="s">
        <v>738</v>
      </c>
      <c r="F1685" s="95" t="s">
        <v>19</v>
      </c>
      <c r="G1685" s="95" t="s">
        <v>19</v>
      </c>
      <c r="H1685" s="95" t="s">
        <v>21</v>
      </c>
      <c r="I1685" s="95" t="s">
        <v>955</v>
      </c>
      <c r="J1685" s="97">
        <v>45978.45940983796</v>
      </c>
      <c r="K1685" s="95" t="s">
        <v>9730</v>
      </c>
      <c r="L1685" s="96" t="s">
        <v>9731</v>
      </c>
      <c r="M1685" s="95" t="s">
        <v>38</v>
      </c>
      <c r="N1685" s="95" t="s">
        <v>9732</v>
      </c>
      <c r="O1685" s="95" t="s">
        <v>9732</v>
      </c>
      <c r="P1685" s="95" t="s">
        <v>9733</v>
      </c>
      <c r="Q1685" s="98">
        <v>3.0</v>
      </c>
      <c r="R1685" s="97">
        <v>45765.94960648148</v>
      </c>
      <c r="S1685" s="99">
        <v>1457.0</v>
      </c>
      <c r="T1685" s="99">
        <v>318.0</v>
      </c>
      <c r="U1685" s="99">
        <v>2.0</v>
      </c>
      <c r="V1685" s="99">
        <v>221.0</v>
      </c>
      <c r="W1685" s="99">
        <v>126449.0</v>
      </c>
    </row>
    <row r="1686" ht="15.75" customHeight="1">
      <c r="A1686" s="95" t="s">
        <v>9734</v>
      </c>
      <c r="B1686" s="95" t="s">
        <v>22</v>
      </c>
      <c r="C1686" s="96" t="s">
        <v>9735</v>
      </c>
      <c r="D1686" s="95" t="s">
        <v>59</v>
      </c>
      <c r="E1686" s="95" t="s">
        <v>1826</v>
      </c>
      <c r="F1686" s="95" t="s">
        <v>19</v>
      </c>
      <c r="G1686" s="95" t="s">
        <v>588</v>
      </c>
      <c r="H1686" s="95" t="s">
        <v>21</v>
      </c>
      <c r="I1686" s="95" t="s">
        <v>589</v>
      </c>
      <c r="J1686" s="97">
        <v>45975.67930844907</v>
      </c>
      <c r="K1686" s="96" t="s">
        <v>9736</v>
      </c>
      <c r="L1686" s="96" t="s">
        <v>9737</v>
      </c>
      <c r="M1686" s="95" t="s">
        <v>54</v>
      </c>
      <c r="N1686" s="95" t="s">
        <v>9738</v>
      </c>
      <c r="O1686" s="95" t="s">
        <v>9738</v>
      </c>
      <c r="P1686" s="95" t="s">
        <v>9739</v>
      </c>
      <c r="Q1686" s="98">
        <v>3.0</v>
      </c>
      <c r="R1686" s="97">
        <v>45908.39172453704</v>
      </c>
      <c r="S1686" s="99">
        <v>57488.0</v>
      </c>
      <c r="T1686" s="99">
        <v>50.0</v>
      </c>
      <c r="U1686" s="99">
        <v>9.0</v>
      </c>
      <c r="V1686" s="99">
        <v>27.0</v>
      </c>
      <c r="W1686" s="99">
        <v>338383.0</v>
      </c>
    </row>
    <row r="1687" ht="15.75" customHeight="1">
      <c r="A1687" s="95" t="s">
        <v>9740</v>
      </c>
      <c r="B1687" s="95" t="s">
        <v>22</v>
      </c>
      <c r="C1687" s="96" t="s">
        <v>9741</v>
      </c>
      <c r="D1687" s="95" t="s">
        <v>59</v>
      </c>
      <c r="E1687" s="95" t="s">
        <v>9742</v>
      </c>
      <c r="F1687" s="95" t="s">
        <v>88</v>
      </c>
      <c r="G1687" s="95" t="s">
        <v>858</v>
      </c>
      <c r="H1687" s="95" t="s">
        <v>21</v>
      </c>
      <c r="I1687" s="95" t="s">
        <v>589</v>
      </c>
      <c r="J1687" s="97">
        <v>45975.67930844907</v>
      </c>
      <c r="K1687" s="96" t="s">
        <v>9743</v>
      </c>
      <c r="L1687" s="96" t="s">
        <v>9744</v>
      </c>
      <c r="M1687" s="95" t="s">
        <v>54</v>
      </c>
      <c r="N1687" s="95" t="s">
        <v>9738</v>
      </c>
      <c r="O1687" s="95" t="s">
        <v>9738</v>
      </c>
      <c r="P1687" s="95" t="s">
        <v>9739</v>
      </c>
      <c r="Q1687" s="98">
        <v>3.0</v>
      </c>
      <c r="R1687" s="97">
        <v>45639.40181712963</v>
      </c>
      <c r="S1687" s="99">
        <v>57488.0</v>
      </c>
      <c r="T1687" s="99">
        <v>1.0</v>
      </c>
      <c r="U1687" s="99">
        <v>1.0</v>
      </c>
      <c r="V1687" s="99">
        <v>17.0</v>
      </c>
      <c r="W1687" s="99">
        <v>338383.0</v>
      </c>
    </row>
    <row r="1688" ht="15.75" customHeight="1">
      <c r="A1688" s="95" t="s">
        <v>9745</v>
      </c>
      <c r="B1688" s="95" t="s">
        <v>22</v>
      </c>
      <c r="C1688" s="96" t="s">
        <v>9746</v>
      </c>
      <c r="D1688" s="95" t="s">
        <v>59</v>
      </c>
      <c r="E1688" s="95" t="s">
        <v>1826</v>
      </c>
      <c r="F1688" s="95" t="s">
        <v>19</v>
      </c>
      <c r="G1688" s="95" t="s">
        <v>19</v>
      </c>
      <c r="H1688" s="95" t="s">
        <v>21</v>
      </c>
      <c r="I1688" s="95" t="s">
        <v>677</v>
      </c>
      <c r="J1688" s="97">
        <v>45975.67930844907</v>
      </c>
      <c r="K1688" s="96" t="s">
        <v>9747</v>
      </c>
      <c r="L1688" s="96" t="s">
        <v>9748</v>
      </c>
      <c r="M1688" s="95" t="s">
        <v>54</v>
      </c>
      <c r="N1688" s="95" t="s">
        <v>9738</v>
      </c>
      <c r="O1688" s="95" t="s">
        <v>9738</v>
      </c>
      <c r="P1688" s="95" t="s">
        <v>9739</v>
      </c>
      <c r="Q1688" s="98">
        <v>3.0</v>
      </c>
      <c r="R1688" s="97">
        <v>45756.34033564815</v>
      </c>
      <c r="S1688" s="99">
        <v>57488.0</v>
      </c>
      <c r="T1688" s="99">
        <v>218.0</v>
      </c>
      <c r="U1688" s="99">
        <v>1.0</v>
      </c>
      <c r="V1688" s="99">
        <v>138.0</v>
      </c>
      <c r="W1688" s="99">
        <v>338383.0</v>
      </c>
    </row>
    <row r="1689" ht="15.75" customHeight="1">
      <c r="A1689" s="95" t="s">
        <v>9749</v>
      </c>
      <c r="B1689" s="95" t="s">
        <v>22</v>
      </c>
      <c r="C1689" s="96" t="s">
        <v>9750</v>
      </c>
      <c r="D1689" s="95" t="s">
        <v>39</v>
      </c>
      <c r="E1689" s="95" t="s">
        <v>718</v>
      </c>
      <c r="F1689" s="95" t="s">
        <v>19</v>
      </c>
      <c r="G1689" s="95" t="s">
        <v>574</v>
      </c>
      <c r="H1689" s="95" t="s">
        <v>21</v>
      </c>
      <c r="I1689" s="95" t="s">
        <v>567</v>
      </c>
      <c r="J1689" s="97">
        <v>45977.6722819213</v>
      </c>
      <c r="K1689" s="95" t="s">
        <v>9751</v>
      </c>
      <c r="L1689" s="96" t="s">
        <v>9752</v>
      </c>
      <c r="M1689" s="95" t="s">
        <v>17</v>
      </c>
      <c r="N1689" s="95" t="s">
        <v>9753</v>
      </c>
      <c r="O1689" s="95" t="s">
        <v>9753</v>
      </c>
      <c r="P1689" s="95" t="s">
        <v>9754</v>
      </c>
      <c r="Q1689" s="98">
        <v>3.0</v>
      </c>
      <c r="R1689" s="97">
        <v>45869.58028935185</v>
      </c>
      <c r="S1689" s="99">
        <v>1461.0</v>
      </c>
      <c r="T1689" s="99">
        <v>38.0</v>
      </c>
      <c r="U1689" s="99">
        <v>6.0</v>
      </c>
      <c r="V1689" s="99">
        <v>33.0</v>
      </c>
      <c r="W1689" s="99">
        <v>117877.0</v>
      </c>
    </row>
    <row r="1690" ht="15.75" customHeight="1">
      <c r="A1690" s="95" t="s">
        <v>9755</v>
      </c>
      <c r="B1690" s="95" t="s">
        <v>22</v>
      </c>
      <c r="C1690" s="96" t="s">
        <v>9756</v>
      </c>
      <c r="D1690" s="95" t="s">
        <v>124</v>
      </c>
      <c r="E1690" s="95" t="s">
        <v>124</v>
      </c>
      <c r="F1690" s="95" t="s">
        <v>19</v>
      </c>
      <c r="G1690" s="95" t="s">
        <v>19</v>
      </c>
      <c r="H1690" s="95" t="s">
        <v>21</v>
      </c>
      <c r="I1690" s="95" t="s">
        <v>677</v>
      </c>
      <c r="J1690" s="97">
        <v>45975.67930055556</v>
      </c>
      <c r="K1690" s="96" t="s">
        <v>9757</v>
      </c>
      <c r="L1690" s="96" t="s">
        <v>9758</v>
      </c>
      <c r="M1690" s="95" t="s">
        <v>105</v>
      </c>
      <c r="N1690" s="95" t="s">
        <v>9759</v>
      </c>
      <c r="O1690" s="95" t="s">
        <v>9759</v>
      </c>
      <c r="P1690" s="95" t="s">
        <v>9760</v>
      </c>
      <c r="Q1690" s="98">
        <v>3.0</v>
      </c>
      <c r="R1690" s="97">
        <v>45726.71361111111</v>
      </c>
      <c r="S1690" s="99">
        <v>13770.0</v>
      </c>
      <c r="T1690" s="99">
        <v>394.0</v>
      </c>
      <c r="U1690" s="99">
        <v>1.0</v>
      </c>
      <c r="V1690" s="99">
        <v>39.0</v>
      </c>
      <c r="W1690" s="99">
        <v>249198.0</v>
      </c>
    </row>
    <row r="1691" ht="15.75" customHeight="1">
      <c r="A1691" s="95" t="s">
        <v>9761</v>
      </c>
      <c r="B1691" s="95" t="s">
        <v>22</v>
      </c>
      <c r="C1691" s="96" t="s">
        <v>9762</v>
      </c>
      <c r="D1691" s="95" t="s">
        <v>39</v>
      </c>
      <c r="E1691" s="95" t="s">
        <v>39</v>
      </c>
      <c r="F1691" s="95" t="s">
        <v>19</v>
      </c>
      <c r="G1691" s="95" t="s">
        <v>19</v>
      </c>
      <c r="H1691" s="95" t="s">
        <v>21</v>
      </c>
      <c r="I1691" s="95" t="s">
        <v>567</v>
      </c>
      <c r="J1691" s="97">
        <v>45975.67936400463</v>
      </c>
      <c r="K1691" s="96" t="s">
        <v>9763</v>
      </c>
      <c r="L1691" s="95"/>
      <c r="M1691" s="95" t="s">
        <v>17</v>
      </c>
      <c r="N1691" s="95" t="s">
        <v>9764</v>
      </c>
      <c r="O1691" s="95" t="s">
        <v>9764</v>
      </c>
      <c r="P1691" s="95" t="s">
        <v>9765</v>
      </c>
      <c r="Q1691" s="98">
        <v>3.0</v>
      </c>
      <c r="R1691" s="97">
        <v>45688.72256944444</v>
      </c>
      <c r="S1691" s="99">
        <v>0.0</v>
      </c>
      <c r="T1691" s="99">
        <v>218.0</v>
      </c>
      <c r="U1691" s="99">
        <v>1.0</v>
      </c>
      <c r="V1691" s="99">
        <v>384.0</v>
      </c>
      <c r="W1691" s="99">
        <v>20199.0</v>
      </c>
    </row>
    <row r="1692" ht="15.75" customHeight="1">
      <c r="A1692" s="95" t="s">
        <v>9766</v>
      </c>
      <c r="B1692" s="95" t="s">
        <v>22</v>
      </c>
      <c r="C1692" s="96" t="s">
        <v>9767</v>
      </c>
      <c r="D1692" s="95" t="s">
        <v>124</v>
      </c>
      <c r="E1692" s="95" t="s">
        <v>2158</v>
      </c>
      <c r="F1692" s="95" t="s">
        <v>58</v>
      </c>
      <c r="G1692" s="95" t="s">
        <v>58</v>
      </c>
      <c r="H1692" s="95" t="s">
        <v>21</v>
      </c>
      <c r="I1692" s="95" t="s">
        <v>567</v>
      </c>
      <c r="J1692" s="97">
        <v>46021.55417763889</v>
      </c>
      <c r="K1692" s="95" t="s">
        <v>9768</v>
      </c>
      <c r="L1692" s="96" t="s">
        <v>9769</v>
      </c>
      <c r="M1692" s="95" t="s">
        <v>74</v>
      </c>
      <c r="N1692" s="95" t="s">
        <v>9770</v>
      </c>
      <c r="O1692" s="95" t="s">
        <v>9770</v>
      </c>
      <c r="P1692" s="95" t="s">
        <v>9771</v>
      </c>
      <c r="Q1692" s="98">
        <v>3.0</v>
      </c>
      <c r="R1692" s="97">
        <v>45881.43916666666</v>
      </c>
      <c r="S1692" s="99">
        <v>954.0</v>
      </c>
      <c r="T1692" s="99">
        <v>2.0</v>
      </c>
      <c r="U1692" s="99">
        <v>2.0</v>
      </c>
      <c r="V1692" s="99">
        <v>105.0</v>
      </c>
      <c r="W1692" s="99">
        <v>999999.0</v>
      </c>
    </row>
    <row r="1693" ht="15.75" customHeight="1">
      <c r="A1693" s="95" t="s">
        <v>9772</v>
      </c>
      <c r="B1693" s="95" t="s">
        <v>22</v>
      </c>
      <c r="C1693" s="96" t="s">
        <v>9773</v>
      </c>
      <c r="D1693" s="95" t="s">
        <v>49</v>
      </c>
      <c r="E1693" s="95" t="s">
        <v>49</v>
      </c>
      <c r="F1693" s="95" t="s">
        <v>19</v>
      </c>
      <c r="G1693" s="95" t="s">
        <v>574</v>
      </c>
      <c r="H1693" s="95" t="s">
        <v>21</v>
      </c>
      <c r="I1693" s="95" t="s">
        <v>567</v>
      </c>
      <c r="J1693" s="97">
        <v>45993.78544196759</v>
      </c>
      <c r="K1693" s="96" t="s">
        <v>9774</v>
      </c>
      <c r="L1693" s="96" t="s">
        <v>9775</v>
      </c>
      <c r="M1693" s="95" t="s">
        <v>93</v>
      </c>
      <c r="N1693" s="95" t="s">
        <v>9776</v>
      </c>
      <c r="O1693" s="95" t="s">
        <v>9776</v>
      </c>
      <c r="P1693" s="95" t="s">
        <v>9777</v>
      </c>
      <c r="Q1693" s="98">
        <v>3.0</v>
      </c>
      <c r="R1693" s="97">
        <v>45881.28825231481</v>
      </c>
      <c r="S1693" s="99">
        <v>4029.0</v>
      </c>
      <c r="T1693" s="99">
        <v>6.0</v>
      </c>
      <c r="U1693" s="99">
        <v>1.0</v>
      </c>
      <c r="V1693" s="99">
        <v>78.0</v>
      </c>
      <c r="W1693" s="99">
        <v>203720.0</v>
      </c>
    </row>
    <row r="1694" ht="15.75" customHeight="1">
      <c r="A1694" s="95" t="s">
        <v>9778</v>
      </c>
      <c r="B1694" s="95" t="s">
        <v>22</v>
      </c>
      <c r="C1694" s="96" t="s">
        <v>9779</v>
      </c>
      <c r="D1694" s="95" t="s">
        <v>59</v>
      </c>
      <c r="E1694" s="95" t="s">
        <v>1826</v>
      </c>
      <c r="F1694" s="95" t="s">
        <v>19</v>
      </c>
      <c r="G1694" s="95" t="s">
        <v>19</v>
      </c>
      <c r="H1694" s="95" t="s">
        <v>21</v>
      </c>
      <c r="I1694" s="95" t="s">
        <v>589</v>
      </c>
      <c r="J1694" s="97">
        <v>46021.51514563657</v>
      </c>
      <c r="K1694" s="95" t="s">
        <v>9780</v>
      </c>
      <c r="L1694" s="96" t="s">
        <v>9781</v>
      </c>
      <c r="M1694" s="95" t="s">
        <v>54</v>
      </c>
      <c r="N1694" s="95" t="s">
        <v>9782</v>
      </c>
      <c r="O1694" s="95" t="s">
        <v>9782</v>
      </c>
      <c r="P1694" s="95" t="s">
        <v>9783</v>
      </c>
      <c r="Q1694" s="98">
        <v>3.0</v>
      </c>
      <c r="R1694" s="97">
        <v>45832.46965277778</v>
      </c>
      <c r="S1694" s="99">
        <v>202.0</v>
      </c>
      <c r="T1694" s="99">
        <v>260.0</v>
      </c>
      <c r="U1694" s="99">
        <v>7.0</v>
      </c>
      <c r="V1694" s="99">
        <v>159.0</v>
      </c>
      <c r="W1694" s="99">
        <v>19847.0</v>
      </c>
    </row>
    <row r="1695" ht="15.75" customHeight="1">
      <c r="A1695" s="95" t="s">
        <v>9784</v>
      </c>
      <c r="B1695" s="95" t="s">
        <v>22</v>
      </c>
      <c r="C1695" s="96" t="s">
        <v>9785</v>
      </c>
      <c r="D1695" s="95" t="s">
        <v>29</v>
      </c>
      <c r="E1695" s="95" t="s">
        <v>29</v>
      </c>
      <c r="F1695" s="95" t="s">
        <v>19</v>
      </c>
      <c r="G1695" s="95" t="s">
        <v>19</v>
      </c>
      <c r="H1695" s="95" t="s">
        <v>21</v>
      </c>
      <c r="I1695" s="95" t="s">
        <v>567</v>
      </c>
      <c r="J1695" s="97">
        <v>45975.67939547454</v>
      </c>
      <c r="K1695" s="96" t="s">
        <v>9786</v>
      </c>
      <c r="L1695" s="96" t="s">
        <v>9787</v>
      </c>
      <c r="M1695" s="95" t="s">
        <v>74</v>
      </c>
      <c r="N1695" s="95" t="s">
        <v>9788</v>
      </c>
      <c r="O1695" s="95" t="s">
        <v>9788</v>
      </c>
      <c r="P1695" s="95" t="s">
        <v>9789</v>
      </c>
      <c r="Q1695" s="98">
        <v>3.0</v>
      </c>
      <c r="R1695" s="97">
        <v>45698.01288194444</v>
      </c>
      <c r="S1695" s="99">
        <v>39553.0</v>
      </c>
      <c r="T1695" s="99">
        <v>20.0</v>
      </c>
      <c r="U1695" s="99">
        <v>3.0</v>
      </c>
      <c r="V1695" s="99">
        <v>305.0</v>
      </c>
      <c r="W1695" s="99">
        <v>98776.0</v>
      </c>
    </row>
    <row r="1696" ht="15.75" customHeight="1">
      <c r="A1696" s="95" t="s">
        <v>9790</v>
      </c>
      <c r="B1696" s="95" t="s">
        <v>22</v>
      </c>
      <c r="C1696" s="96" t="s">
        <v>9791</v>
      </c>
      <c r="D1696" s="95" t="s">
        <v>29</v>
      </c>
      <c r="E1696" s="95"/>
      <c r="F1696" s="95" t="s">
        <v>19</v>
      </c>
      <c r="G1696" s="95" t="s">
        <v>19</v>
      </c>
      <c r="H1696" s="95" t="s">
        <v>21</v>
      </c>
      <c r="I1696" s="95" t="s">
        <v>567</v>
      </c>
      <c r="J1696" s="97">
        <v>46035.76896512732</v>
      </c>
      <c r="K1696" s="95" t="s">
        <v>9792</v>
      </c>
      <c r="L1696" s="96" t="s">
        <v>9793</v>
      </c>
      <c r="M1696" s="95" t="s">
        <v>503</v>
      </c>
      <c r="N1696" s="95" t="s">
        <v>9794</v>
      </c>
      <c r="O1696" s="95" t="s">
        <v>9794</v>
      </c>
      <c r="P1696" s="95" t="s">
        <v>9795</v>
      </c>
      <c r="Q1696" s="98">
        <v>3.0</v>
      </c>
      <c r="R1696" s="97">
        <v>45928.42467592593</v>
      </c>
      <c r="S1696" s="99">
        <v>5775.0</v>
      </c>
      <c r="T1696" s="99">
        <v>53.0</v>
      </c>
      <c r="U1696" s="99">
        <v>2.0</v>
      </c>
      <c r="V1696" s="99">
        <v>26.0</v>
      </c>
      <c r="W1696" s="99">
        <v>211601.0</v>
      </c>
    </row>
    <row r="1697" ht="15.75" customHeight="1">
      <c r="A1697" s="95" t="s">
        <v>9796</v>
      </c>
      <c r="B1697" s="95" t="s">
        <v>157</v>
      </c>
      <c r="C1697" s="96" t="s">
        <v>9797</v>
      </c>
      <c r="D1697" s="95" t="s">
        <v>49</v>
      </c>
      <c r="E1697" s="95" t="s">
        <v>9798</v>
      </c>
      <c r="F1697" s="95" t="s">
        <v>88</v>
      </c>
      <c r="G1697" s="95" t="s">
        <v>88</v>
      </c>
      <c r="H1697" s="95" t="s">
        <v>89</v>
      </c>
      <c r="I1697" s="95" t="s">
        <v>859</v>
      </c>
      <c r="J1697" s="97">
        <v>46021.4982831713</v>
      </c>
      <c r="K1697" s="95" t="s">
        <v>9799</v>
      </c>
      <c r="L1697" s="96" t="s">
        <v>9800</v>
      </c>
      <c r="M1697" s="95" t="s">
        <v>54</v>
      </c>
      <c r="N1697" s="95" t="s">
        <v>9801</v>
      </c>
      <c r="O1697" s="95" t="s">
        <v>9801</v>
      </c>
      <c r="P1697" s="95" t="s">
        <v>9802</v>
      </c>
      <c r="Q1697" s="98">
        <v>3.0</v>
      </c>
      <c r="R1697" s="97">
        <v>45856.65415509259</v>
      </c>
      <c r="S1697" s="99">
        <v>1084.0</v>
      </c>
      <c r="T1697" s="99">
        <v>465.0</v>
      </c>
      <c r="U1697" s="99">
        <v>11.0</v>
      </c>
      <c r="V1697" s="99">
        <v>50.0</v>
      </c>
      <c r="W1697" s="99">
        <v>999999.0</v>
      </c>
    </row>
    <row r="1698" ht="15.75" customHeight="1">
      <c r="A1698" s="95" t="s">
        <v>9803</v>
      </c>
      <c r="B1698" s="95" t="s">
        <v>22</v>
      </c>
      <c r="C1698" s="96" t="s">
        <v>9804</v>
      </c>
      <c r="D1698" s="95" t="s">
        <v>20</v>
      </c>
      <c r="E1698" s="95" t="s">
        <v>638</v>
      </c>
      <c r="F1698" s="95" t="s">
        <v>19</v>
      </c>
      <c r="G1698" s="95" t="s">
        <v>19</v>
      </c>
      <c r="H1698" s="95" t="s">
        <v>21</v>
      </c>
      <c r="I1698" s="95" t="s">
        <v>567</v>
      </c>
      <c r="J1698" s="97">
        <v>46021.50663001157</v>
      </c>
      <c r="K1698" s="95" t="s">
        <v>9805</v>
      </c>
      <c r="L1698" s="96" t="s">
        <v>9806</v>
      </c>
      <c r="M1698" s="95" t="s">
        <v>74</v>
      </c>
      <c r="N1698" s="95" t="s">
        <v>9807</v>
      </c>
      <c r="O1698" s="95" t="s">
        <v>9807</v>
      </c>
      <c r="P1698" s="95" t="s">
        <v>9808</v>
      </c>
      <c r="Q1698" s="98">
        <v>3.0</v>
      </c>
      <c r="R1698" s="97">
        <v>45790.11887731482</v>
      </c>
      <c r="S1698" s="99">
        <v>579.0</v>
      </c>
      <c r="T1698" s="99">
        <v>53.0</v>
      </c>
      <c r="U1698" s="99">
        <v>5.0</v>
      </c>
      <c r="V1698" s="99">
        <v>371.0</v>
      </c>
      <c r="W1698" s="99">
        <v>192822.0</v>
      </c>
    </row>
    <row r="1699" ht="15.75" customHeight="1">
      <c r="A1699" s="95" t="s">
        <v>9809</v>
      </c>
      <c r="B1699" s="95" t="s">
        <v>22</v>
      </c>
      <c r="C1699" s="96" t="s">
        <v>9810</v>
      </c>
      <c r="D1699" s="95" t="s">
        <v>124</v>
      </c>
      <c r="E1699" s="95" t="s">
        <v>9811</v>
      </c>
      <c r="F1699" s="95" t="s">
        <v>19</v>
      </c>
      <c r="G1699" s="95" t="s">
        <v>997</v>
      </c>
      <c r="H1699" s="95" t="s">
        <v>21</v>
      </c>
      <c r="I1699" s="95" t="s">
        <v>684</v>
      </c>
      <c r="J1699" s="97">
        <v>46021.50663001157</v>
      </c>
      <c r="K1699" s="95" t="s">
        <v>9812</v>
      </c>
      <c r="L1699" s="96" t="s">
        <v>9813</v>
      </c>
      <c r="M1699" s="95" t="s">
        <v>74</v>
      </c>
      <c r="N1699" s="95" t="s">
        <v>9807</v>
      </c>
      <c r="O1699" s="95" t="s">
        <v>9807</v>
      </c>
      <c r="P1699" s="95" t="s">
        <v>9808</v>
      </c>
      <c r="Q1699" s="98">
        <v>3.0</v>
      </c>
      <c r="R1699" s="97">
        <v>45860.48712962963</v>
      </c>
      <c r="S1699" s="99">
        <v>579.0</v>
      </c>
      <c r="T1699" s="99">
        <v>326.0</v>
      </c>
      <c r="U1699" s="99">
        <v>6.0</v>
      </c>
      <c r="V1699" s="99">
        <v>23.0</v>
      </c>
      <c r="W1699" s="99">
        <v>192822.0</v>
      </c>
    </row>
    <row r="1700" ht="15.75" customHeight="1">
      <c r="A1700" s="95" t="s">
        <v>9814</v>
      </c>
      <c r="B1700" s="95" t="s">
        <v>22</v>
      </c>
      <c r="C1700" s="96" t="s">
        <v>9815</v>
      </c>
      <c r="D1700" s="95" t="s">
        <v>39</v>
      </c>
      <c r="E1700" s="95" t="s">
        <v>697</v>
      </c>
      <c r="F1700" s="95" t="s">
        <v>19</v>
      </c>
      <c r="G1700" s="95" t="s">
        <v>19</v>
      </c>
      <c r="H1700" s="95" t="s">
        <v>21</v>
      </c>
      <c r="I1700" s="95" t="s">
        <v>567</v>
      </c>
      <c r="J1700" s="97">
        <v>46021.4982831713</v>
      </c>
      <c r="K1700" s="95" t="s">
        <v>9816</v>
      </c>
      <c r="L1700" s="96" t="s">
        <v>9817</v>
      </c>
      <c r="M1700" s="95" t="s">
        <v>105</v>
      </c>
      <c r="N1700" s="95" t="s">
        <v>9818</v>
      </c>
      <c r="O1700" s="95" t="s">
        <v>9818</v>
      </c>
      <c r="P1700" s="95" t="s">
        <v>9819</v>
      </c>
      <c r="Q1700" s="98">
        <v>3.0</v>
      </c>
      <c r="R1700" s="97">
        <v>45783.33671296296</v>
      </c>
      <c r="S1700" s="99">
        <v>133.0</v>
      </c>
      <c r="T1700" s="99">
        <v>19.0</v>
      </c>
      <c r="U1700" s="99">
        <v>12.0</v>
      </c>
      <c r="V1700" s="99">
        <v>1275.0</v>
      </c>
      <c r="W1700" s="99">
        <v>15866.0</v>
      </c>
    </row>
    <row r="1701" ht="15.75" customHeight="1">
      <c r="A1701" s="95" t="s">
        <v>9820</v>
      </c>
      <c r="B1701" s="95" t="s">
        <v>22</v>
      </c>
      <c r="C1701" s="96" t="s">
        <v>9821</v>
      </c>
      <c r="D1701" s="95" t="s">
        <v>124</v>
      </c>
      <c r="E1701" s="95" t="s">
        <v>4929</v>
      </c>
      <c r="F1701" s="95" t="s">
        <v>19</v>
      </c>
      <c r="G1701" s="95" t="s">
        <v>19</v>
      </c>
      <c r="H1701" s="95" t="s">
        <v>21</v>
      </c>
      <c r="I1701" s="95" t="s">
        <v>567</v>
      </c>
      <c r="J1701" s="97">
        <v>46021.4982831713</v>
      </c>
      <c r="K1701" s="95" t="s">
        <v>9822</v>
      </c>
      <c r="L1701" s="96" t="s">
        <v>9823</v>
      </c>
      <c r="M1701" s="95" t="s">
        <v>54</v>
      </c>
      <c r="N1701" s="95" t="s">
        <v>9824</v>
      </c>
      <c r="O1701" s="95" t="s">
        <v>9824</v>
      </c>
      <c r="P1701" s="95" t="s">
        <v>9825</v>
      </c>
      <c r="Q1701" s="98">
        <v>3.0</v>
      </c>
      <c r="R1701" s="97">
        <v>45622.68039351852</v>
      </c>
      <c r="S1701" s="99">
        <v>209.0</v>
      </c>
      <c r="T1701" s="99">
        <v>507.0</v>
      </c>
      <c r="U1701" s="99">
        <v>29.0</v>
      </c>
      <c r="V1701" s="99">
        <v>1150.0</v>
      </c>
      <c r="W1701" s="99">
        <v>77508.0</v>
      </c>
    </row>
    <row r="1702" ht="15.75" customHeight="1">
      <c r="A1702" s="95" t="s">
        <v>9826</v>
      </c>
      <c r="B1702" s="95" t="s">
        <v>101</v>
      </c>
      <c r="C1702" s="96" t="s">
        <v>9827</v>
      </c>
      <c r="D1702" s="95" t="s">
        <v>130</v>
      </c>
      <c r="E1702" s="95" t="s">
        <v>130</v>
      </c>
      <c r="F1702" s="95" t="s">
        <v>19</v>
      </c>
      <c r="G1702" s="95" t="s">
        <v>19</v>
      </c>
      <c r="H1702" s="95" t="s">
        <v>21</v>
      </c>
      <c r="I1702" s="95" t="s">
        <v>2990</v>
      </c>
      <c r="J1702" s="97">
        <v>45993.7854622338</v>
      </c>
      <c r="K1702" s="96" t="s">
        <v>9828</v>
      </c>
      <c r="L1702" s="95"/>
      <c r="M1702" s="95" t="s">
        <v>17</v>
      </c>
      <c r="N1702" s="95" t="s">
        <v>9829</v>
      </c>
      <c r="O1702" s="95" t="s">
        <v>9829</v>
      </c>
      <c r="P1702" s="95" t="s">
        <v>9830</v>
      </c>
      <c r="Q1702" s="98">
        <v>3.0</v>
      </c>
      <c r="R1702" s="97">
        <v>45703.8637962963</v>
      </c>
      <c r="S1702" s="99">
        <v>747.0</v>
      </c>
      <c r="T1702" s="99">
        <v>41.0</v>
      </c>
      <c r="U1702" s="99">
        <v>3.0</v>
      </c>
      <c r="V1702" s="99">
        <v>29.0</v>
      </c>
      <c r="W1702" s="99">
        <v>126430.0</v>
      </c>
    </row>
    <row r="1703" ht="15.75" customHeight="1">
      <c r="A1703" s="95" t="s">
        <v>9831</v>
      </c>
      <c r="B1703" s="95" t="s">
        <v>69</v>
      </c>
      <c r="C1703" s="96" t="s">
        <v>9832</v>
      </c>
      <c r="D1703" s="95" t="s">
        <v>130</v>
      </c>
      <c r="E1703" s="95" t="s">
        <v>2109</v>
      </c>
      <c r="F1703" s="95" t="s">
        <v>19</v>
      </c>
      <c r="G1703" s="95" t="s">
        <v>574</v>
      </c>
      <c r="H1703" s="95" t="s">
        <v>21</v>
      </c>
      <c r="I1703" s="95" t="s">
        <v>998</v>
      </c>
      <c r="J1703" s="97">
        <v>45993.7854622338</v>
      </c>
      <c r="K1703" s="96" t="s">
        <v>9833</v>
      </c>
      <c r="L1703" s="95"/>
      <c r="M1703" s="95" t="s">
        <v>17</v>
      </c>
      <c r="N1703" s="95" t="s">
        <v>9829</v>
      </c>
      <c r="O1703" s="95" t="s">
        <v>9829</v>
      </c>
      <c r="P1703" s="95" t="s">
        <v>9830</v>
      </c>
      <c r="Q1703" s="98">
        <v>3.0</v>
      </c>
      <c r="R1703" s="97">
        <v>45695.52578703704</v>
      </c>
      <c r="S1703" s="99">
        <v>747.0</v>
      </c>
      <c r="T1703" s="99">
        <v>11.0</v>
      </c>
      <c r="U1703" s="99">
        <v>2.0</v>
      </c>
      <c r="V1703" s="99">
        <v>51.0</v>
      </c>
      <c r="W1703" s="99">
        <v>126430.0</v>
      </c>
    </row>
    <row r="1704" ht="15.75" customHeight="1">
      <c r="A1704" s="95" t="s">
        <v>9834</v>
      </c>
      <c r="B1704" s="95" t="s">
        <v>22</v>
      </c>
      <c r="C1704" s="96" t="s">
        <v>9835</v>
      </c>
      <c r="D1704" s="95" t="s">
        <v>39</v>
      </c>
      <c r="E1704" s="95" t="s">
        <v>39</v>
      </c>
      <c r="F1704" s="95" t="s">
        <v>19</v>
      </c>
      <c r="G1704" s="95" t="s">
        <v>19</v>
      </c>
      <c r="H1704" s="95" t="s">
        <v>21</v>
      </c>
      <c r="I1704" s="95" t="s">
        <v>567</v>
      </c>
      <c r="J1704" s="97">
        <v>45975.67932418981</v>
      </c>
      <c r="K1704" s="96" t="s">
        <v>9836</v>
      </c>
      <c r="L1704" s="96" t="s">
        <v>9837</v>
      </c>
      <c r="M1704" s="95" t="s">
        <v>93</v>
      </c>
      <c r="N1704" s="95" t="s">
        <v>9838</v>
      </c>
      <c r="O1704" s="95" t="s">
        <v>9838</v>
      </c>
      <c r="P1704" s="95" t="s">
        <v>9839</v>
      </c>
      <c r="Q1704" s="98">
        <v>3.0</v>
      </c>
      <c r="R1704" s="97">
        <v>44736.69449074074</v>
      </c>
      <c r="S1704" s="99">
        <v>4005.0</v>
      </c>
      <c r="T1704" s="99">
        <v>215.0</v>
      </c>
      <c r="U1704" s="99">
        <v>1.0</v>
      </c>
      <c r="V1704" s="99">
        <v>159.0</v>
      </c>
      <c r="W1704" s="99">
        <v>57193.0</v>
      </c>
    </row>
    <row r="1705" ht="15.75" customHeight="1">
      <c r="A1705" s="95" t="s">
        <v>9840</v>
      </c>
      <c r="B1705" s="95" t="s">
        <v>22</v>
      </c>
      <c r="C1705" s="96" t="s">
        <v>9841</v>
      </c>
      <c r="D1705" s="95" t="s">
        <v>39</v>
      </c>
      <c r="E1705" s="95" t="s">
        <v>39</v>
      </c>
      <c r="F1705" s="95" t="s">
        <v>19</v>
      </c>
      <c r="G1705" s="95" t="s">
        <v>19</v>
      </c>
      <c r="H1705" s="95" t="s">
        <v>21</v>
      </c>
      <c r="I1705" s="95" t="s">
        <v>567</v>
      </c>
      <c r="J1705" s="97">
        <v>46069.65910748843</v>
      </c>
      <c r="K1705" s="95" t="s">
        <v>9842</v>
      </c>
      <c r="L1705" s="96" t="s">
        <v>9843</v>
      </c>
      <c r="M1705" s="95" t="s">
        <v>93</v>
      </c>
      <c r="N1705" s="95" t="s">
        <v>9838</v>
      </c>
      <c r="O1705" s="95" t="s">
        <v>9838</v>
      </c>
      <c r="P1705" s="95" t="s">
        <v>9839</v>
      </c>
      <c r="Q1705" s="98">
        <v>3.0</v>
      </c>
      <c r="R1705" s="97">
        <v>46058.8472800926</v>
      </c>
      <c r="S1705" s="99">
        <v>4005.0</v>
      </c>
      <c r="T1705" s="99">
        <v>14.0</v>
      </c>
      <c r="U1705" s="99">
        <v>2.0</v>
      </c>
      <c r="V1705" s="99">
        <v>185.0</v>
      </c>
      <c r="W1705" s="99">
        <v>57193.0</v>
      </c>
    </row>
    <row r="1706" ht="15.75" customHeight="1">
      <c r="A1706" s="95" t="s">
        <v>9844</v>
      </c>
      <c r="B1706" s="95" t="s">
        <v>22</v>
      </c>
      <c r="C1706" s="96" t="s">
        <v>9845</v>
      </c>
      <c r="D1706" s="95" t="s">
        <v>20</v>
      </c>
      <c r="E1706" s="95" t="s">
        <v>20</v>
      </c>
      <c r="F1706" s="95" t="s">
        <v>19</v>
      </c>
      <c r="G1706" s="95" t="s">
        <v>588</v>
      </c>
      <c r="H1706" s="95" t="s">
        <v>21</v>
      </c>
      <c r="I1706" s="95" t="s">
        <v>677</v>
      </c>
      <c r="J1706" s="97">
        <v>46008.6290649537</v>
      </c>
      <c r="K1706" s="96" t="s">
        <v>9846</v>
      </c>
      <c r="L1706" s="96" t="s">
        <v>9847</v>
      </c>
      <c r="M1706" s="95" t="s">
        <v>17</v>
      </c>
      <c r="N1706" s="95" t="s">
        <v>9848</v>
      </c>
      <c r="O1706" s="95" t="s">
        <v>9848</v>
      </c>
      <c r="P1706" s="95" t="s">
        <v>9849</v>
      </c>
      <c r="Q1706" s="98">
        <v>3.0</v>
      </c>
      <c r="R1706" s="97">
        <v>45800.36927083333</v>
      </c>
      <c r="S1706" s="99">
        <v>17710.0</v>
      </c>
      <c r="T1706" s="99">
        <v>23.0</v>
      </c>
      <c r="U1706" s="99">
        <v>4.0</v>
      </c>
      <c r="V1706" s="99">
        <v>255.0</v>
      </c>
      <c r="W1706" s="99">
        <v>71267.0</v>
      </c>
    </row>
    <row r="1707" ht="15.75" customHeight="1">
      <c r="A1707" s="95" t="s">
        <v>9850</v>
      </c>
      <c r="B1707" s="95" t="s">
        <v>22</v>
      </c>
      <c r="C1707" s="96" t="s">
        <v>9851</v>
      </c>
      <c r="D1707" s="95" t="s">
        <v>124</v>
      </c>
      <c r="E1707" s="95" t="s">
        <v>9852</v>
      </c>
      <c r="F1707" s="95" t="s">
        <v>19</v>
      </c>
      <c r="G1707" s="95" t="s">
        <v>19</v>
      </c>
      <c r="H1707" s="95" t="s">
        <v>21</v>
      </c>
      <c r="I1707" s="95" t="s">
        <v>589</v>
      </c>
      <c r="J1707" s="97">
        <v>46021.51514563657</v>
      </c>
      <c r="K1707" s="95" t="s">
        <v>9853</v>
      </c>
      <c r="L1707" s="96" t="s">
        <v>9854</v>
      </c>
      <c r="M1707" s="95" t="s">
        <v>54</v>
      </c>
      <c r="N1707" s="95" t="s">
        <v>9855</v>
      </c>
      <c r="O1707" s="95" t="s">
        <v>9855</v>
      </c>
      <c r="P1707" s="95" t="s">
        <v>9856</v>
      </c>
      <c r="Q1707" s="98">
        <v>3.0</v>
      </c>
      <c r="R1707" s="97">
        <v>45722.13515046296</v>
      </c>
      <c r="S1707" s="99">
        <v>378.0</v>
      </c>
      <c r="T1707" s="99">
        <v>273.0</v>
      </c>
      <c r="U1707" s="99">
        <v>8.0</v>
      </c>
      <c r="V1707" s="99">
        <v>58.0</v>
      </c>
      <c r="W1707" s="99">
        <v>5517527.0</v>
      </c>
    </row>
    <row r="1708" ht="15.75" customHeight="1">
      <c r="A1708" s="95" t="s">
        <v>9857</v>
      </c>
      <c r="B1708" s="95" t="s">
        <v>22</v>
      </c>
      <c r="C1708" s="96" t="s">
        <v>9858</v>
      </c>
      <c r="D1708" s="95" t="s">
        <v>39</v>
      </c>
      <c r="E1708" s="95" t="s">
        <v>39</v>
      </c>
      <c r="F1708" s="95" t="s">
        <v>19</v>
      </c>
      <c r="G1708" s="95" t="s">
        <v>588</v>
      </c>
      <c r="H1708" s="95" t="s">
        <v>21</v>
      </c>
      <c r="I1708" s="95" t="s">
        <v>684</v>
      </c>
      <c r="J1708" s="97">
        <v>46003.09592751157</v>
      </c>
      <c r="K1708" s="95" t="s">
        <v>9859</v>
      </c>
      <c r="L1708" s="96" t="s">
        <v>9860</v>
      </c>
      <c r="M1708" s="95" t="s">
        <v>38</v>
      </c>
      <c r="N1708" s="95" t="s">
        <v>9861</v>
      </c>
      <c r="O1708" s="95" t="s">
        <v>9861</v>
      </c>
      <c r="P1708" s="95" t="s">
        <v>9862</v>
      </c>
      <c r="Q1708" s="98">
        <v>3.0</v>
      </c>
      <c r="R1708" s="97">
        <v>45903.21802083333</v>
      </c>
      <c r="S1708" s="99">
        <v>1039.0</v>
      </c>
      <c r="T1708" s="99">
        <v>152.0</v>
      </c>
      <c r="U1708" s="99">
        <v>6.0</v>
      </c>
      <c r="V1708" s="99">
        <v>255.0</v>
      </c>
      <c r="W1708" s="99">
        <v>61623.0</v>
      </c>
    </row>
    <row r="1709" ht="15.75" customHeight="1">
      <c r="A1709" s="95" t="s">
        <v>9863</v>
      </c>
      <c r="B1709" s="95" t="s">
        <v>69</v>
      </c>
      <c r="C1709" s="96" t="s">
        <v>9864</v>
      </c>
      <c r="D1709" s="95" t="s">
        <v>39</v>
      </c>
      <c r="E1709" s="95" t="s">
        <v>39</v>
      </c>
      <c r="F1709" s="95" t="s">
        <v>19</v>
      </c>
      <c r="G1709" s="95" t="s">
        <v>574</v>
      </c>
      <c r="H1709" s="95" t="s">
        <v>21</v>
      </c>
      <c r="I1709" s="95" t="s">
        <v>719</v>
      </c>
      <c r="J1709" s="97">
        <v>46003.09592751157</v>
      </c>
      <c r="K1709" s="95" t="s">
        <v>9865</v>
      </c>
      <c r="L1709" s="96" t="s">
        <v>9866</v>
      </c>
      <c r="M1709" s="95" t="s">
        <v>38</v>
      </c>
      <c r="N1709" s="95" t="s">
        <v>9861</v>
      </c>
      <c r="O1709" s="95" t="s">
        <v>9861</v>
      </c>
      <c r="P1709" s="95" t="s">
        <v>9862</v>
      </c>
      <c r="Q1709" s="98">
        <v>3.0</v>
      </c>
      <c r="R1709" s="97">
        <v>45903.27694444444</v>
      </c>
      <c r="S1709" s="99">
        <v>1039.0</v>
      </c>
      <c r="T1709" s="99">
        <v>158.0</v>
      </c>
      <c r="U1709" s="99">
        <v>7.0</v>
      </c>
      <c r="V1709" s="99">
        <v>298.0</v>
      </c>
      <c r="W1709" s="99">
        <v>61623.0</v>
      </c>
    </row>
    <row r="1710" ht="15.75" customHeight="1">
      <c r="A1710" s="95" t="s">
        <v>9867</v>
      </c>
      <c r="B1710" s="95" t="s">
        <v>22</v>
      </c>
      <c r="C1710" s="96" t="s">
        <v>9868</v>
      </c>
      <c r="D1710" s="95" t="s">
        <v>20</v>
      </c>
      <c r="E1710" s="95" t="s">
        <v>1991</v>
      </c>
      <c r="F1710" s="95" t="s">
        <v>19</v>
      </c>
      <c r="G1710" s="95" t="s">
        <v>19</v>
      </c>
      <c r="H1710" s="95" t="s">
        <v>21</v>
      </c>
      <c r="I1710" s="95" t="s">
        <v>567</v>
      </c>
      <c r="J1710" s="97">
        <v>46008.62906493055</v>
      </c>
      <c r="K1710" s="96" t="s">
        <v>9869</v>
      </c>
      <c r="L1710" s="96" t="s">
        <v>9870</v>
      </c>
      <c r="M1710" s="95" t="s">
        <v>17</v>
      </c>
      <c r="N1710" s="95" t="s">
        <v>9871</v>
      </c>
      <c r="O1710" s="95" t="s">
        <v>9871</v>
      </c>
      <c r="P1710" s="95" t="s">
        <v>9872</v>
      </c>
      <c r="Q1710" s="98">
        <v>3.0</v>
      </c>
      <c r="R1710" s="97">
        <v>45779.64771990741</v>
      </c>
      <c r="S1710" s="99">
        <v>9195.0</v>
      </c>
      <c r="T1710" s="99">
        <v>798.0</v>
      </c>
      <c r="U1710" s="99">
        <v>1675.0</v>
      </c>
      <c r="V1710" s="99">
        <v>179.0</v>
      </c>
      <c r="W1710" s="99">
        <v>866274.0</v>
      </c>
    </row>
    <row r="1711" ht="15.75" customHeight="1">
      <c r="A1711" s="95" t="s">
        <v>9873</v>
      </c>
      <c r="B1711" s="95" t="s">
        <v>22</v>
      </c>
      <c r="C1711" s="96" t="s">
        <v>9874</v>
      </c>
      <c r="D1711" s="95" t="s">
        <v>20</v>
      </c>
      <c r="E1711" s="95" t="s">
        <v>1991</v>
      </c>
      <c r="F1711" s="95" t="s">
        <v>19</v>
      </c>
      <c r="G1711" s="95" t="s">
        <v>19</v>
      </c>
      <c r="H1711" s="95" t="s">
        <v>21</v>
      </c>
      <c r="I1711" s="95" t="s">
        <v>589</v>
      </c>
      <c r="J1711" s="97">
        <v>45975.67936400463</v>
      </c>
      <c r="K1711" s="96" t="s">
        <v>9875</v>
      </c>
      <c r="L1711" s="96" t="s">
        <v>9876</v>
      </c>
      <c r="M1711" s="95" t="s">
        <v>17</v>
      </c>
      <c r="N1711" s="95" t="s">
        <v>9871</v>
      </c>
      <c r="O1711" s="95" t="s">
        <v>9871</v>
      </c>
      <c r="P1711" s="95" t="s">
        <v>9872</v>
      </c>
      <c r="Q1711" s="98">
        <v>3.0</v>
      </c>
      <c r="R1711" s="97">
        <v>45752.33140046296</v>
      </c>
      <c r="S1711" s="99">
        <v>9195.0</v>
      </c>
      <c r="T1711" s="99">
        <v>97.0</v>
      </c>
      <c r="U1711" s="99">
        <v>3.0</v>
      </c>
      <c r="V1711" s="99">
        <v>116.0</v>
      </c>
      <c r="W1711" s="99">
        <v>866274.0</v>
      </c>
    </row>
    <row r="1712" ht="15.75" customHeight="1">
      <c r="A1712" s="95" t="s">
        <v>9877</v>
      </c>
      <c r="B1712" s="95" t="s">
        <v>22</v>
      </c>
      <c r="C1712" s="96" t="s">
        <v>9878</v>
      </c>
      <c r="D1712" s="95" t="s">
        <v>20</v>
      </c>
      <c r="E1712" s="95" t="s">
        <v>1991</v>
      </c>
      <c r="F1712" s="95" t="s">
        <v>19</v>
      </c>
      <c r="G1712" s="95" t="s">
        <v>19</v>
      </c>
      <c r="H1712" s="95" t="s">
        <v>21</v>
      </c>
      <c r="I1712" s="95" t="s">
        <v>567</v>
      </c>
      <c r="J1712" s="97">
        <v>45975.67936400463</v>
      </c>
      <c r="K1712" s="96" t="s">
        <v>9879</v>
      </c>
      <c r="L1712" s="96" t="s">
        <v>9880</v>
      </c>
      <c r="M1712" s="95" t="s">
        <v>17</v>
      </c>
      <c r="N1712" s="95" t="s">
        <v>9871</v>
      </c>
      <c r="O1712" s="95" t="s">
        <v>9871</v>
      </c>
      <c r="P1712" s="95" t="s">
        <v>9872</v>
      </c>
      <c r="Q1712" s="98">
        <v>3.0</v>
      </c>
      <c r="R1712" s="97">
        <v>45724.69861111111</v>
      </c>
      <c r="S1712" s="99">
        <v>9195.0</v>
      </c>
      <c r="T1712" s="99">
        <v>16.0</v>
      </c>
      <c r="U1712" s="99">
        <v>17.0</v>
      </c>
      <c r="V1712" s="99">
        <v>249.0</v>
      </c>
      <c r="W1712" s="99">
        <v>866274.0</v>
      </c>
    </row>
    <row r="1713" ht="15.75" customHeight="1">
      <c r="A1713" s="95" t="s">
        <v>9881</v>
      </c>
      <c r="B1713" s="95" t="s">
        <v>22</v>
      </c>
      <c r="C1713" s="96" t="s">
        <v>9882</v>
      </c>
      <c r="D1713" s="95" t="s">
        <v>29</v>
      </c>
      <c r="E1713" s="95" t="s">
        <v>598</v>
      </c>
      <c r="F1713" s="95" t="s">
        <v>19</v>
      </c>
      <c r="G1713" s="95" t="s">
        <v>1018</v>
      </c>
      <c r="H1713" s="95" t="s">
        <v>21</v>
      </c>
      <c r="I1713" s="95" t="s">
        <v>677</v>
      </c>
      <c r="J1713" s="97">
        <v>45975.67937972222</v>
      </c>
      <c r="K1713" s="96" t="s">
        <v>9883</v>
      </c>
      <c r="L1713" s="96" t="s">
        <v>9884</v>
      </c>
      <c r="M1713" s="95" t="s">
        <v>74</v>
      </c>
      <c r="N1713" s="95" t="s">
        <v>9885</v>
      </c>
      <c r="O1713" s="95" t="s">
        <v>9885</v>
      </c>
      <c r="P1713" s="95" t="s">
        <v>9886</v>
      </c>
      <c r="Q1713" s="98">
        <v>3.0</v>
      </c>
      <c r="R1713" s="97">
        <v>45840.0790162037</v>
      </c>
      <c r="S1713" s="99">
        <v>3754.0</v>
      </c>
      <c r="T1713" s="99">
        <v>13.0</v>
      </c>
      <c r="U1713" s="99">
        <v>1.0</v>
      </c>
      <c r="V1713" s="99">
        <v>56.0</v>
      </c>
      <c r="W1713" s="99">
        <v>99357.0</v>
      </c>
    </row>
    <row r="1714" ht="15.75" customHeight="1">
      <c r="A1714" s="95" t="s">
        <v>9887</v>
      </c>
      <c r="B1714" s="95" t="s">
        <v>157</v>
      </c>
      <c r="C1714" s="96" t="s">
        <v>9888</v>
      </c>
      <c r="D1714" s="95" t="s">
        <v>29</v>
      </c>
      <c r="E1714" s="95" t="s">
        <v>598</v>
      </c>
      <c r="F1714" s="95" t="s">
        <v>88</v>
      </c>
      <c r="G1714" s="95" t="s">
        <v>858</v>
      </c>
      <c r="H1714" s="95" t="s">
        <v>89</v>
      </c>
      <c r="I1714" s="95" t="s">
        <v>966</v>
      </c>
      <c r="J1714" s="97">
        <v>45982.02299525463</v>
      </c>
      <c r="K1714" s="95" t="s">
        <v>9889</v>
      </c>
      <c r="L1714" s="96" t="s">
        <v>9890</v>
      </c>
      <c r="M1714" s="95" t="s">
        <v>74</v>
      </c>
      <c r="N1714" s="95" t="s">
        <v>9891</v>
      </c>
      <c r="O1714" s="95" t="s">
        <v>9891</v>
      </c>
      <c r="P1714" s="95" t="s">
        <v>9892</v>
      </c>
      <c r="Q1714" s="98">
        <v>3.0</v>
      </c>
      <c r="R1714" s="97">
        <v>45944.34899305556</v>
      </c>
      <c r="S1714" s="99">
        <v>18604.0</v>
      </c>
      <c r="T1714" s="99">
        <v>14.0</v>
      </c>
      <c r="U1714" s="99">
        <v>1.0</v>
      </c>
      <c r="V1714" s="99">
        <v>88.0</v>
      </c>
      <c r="W1714" s="99">
        <v>102325.0</v>
      </c>
    </row>
    <row r="1715" ht="15.75" customHeight="1">
      <c r="A1715" s="95" t="s">
        <v>9893</v>
      </c>
      <c r="B1715" s="95" t="s">
        <v>22</v>
      </c>
      <c r="C1715" s="96" t="s">
        <v>9894</v>
      </c>
      <c r="D1715" s="95" t="s">
        <v>124</v>
      </c>
      <c r="E1715" s="95" t="s">
        <v>124</v>
      </c>
      <c r="F1715" s="95" t="s">
        <v>19</v>
      </c>
      <c r="G1715" s="95" t="s">
        <v>19</v>
      </c>
      <c r="H1715" s="95" t="s">
        <v>21</v>
      </c>
      <c r="I1715" s="95" t="s">
        <v>567</v>
      </c>
      <c r="J1715" s="97">
        <v>46021.50663001157</v>
      </c>
      <c r="K1715" s="95" t="s">
        <v>9895</v>
      </c>
      <c r="L1715" s="96" t="s">
        <v>9896</v>
      </c>
      <c r="M1715" s="95" t="s">
        <v>74</v>
      </c>
      <c r="N1715" s="95" t="s">
        <v>9897</v>
      </c>
      <c r="O1715" s="95" t="s">
        <v>9897</v>
      </c>
      <c r="P1715" s="95" t="s">
        <v>9898</v>
      </c>
      <c r="Q1715" s="98">
        <v>3.0</v>
      </c>
      <c r="R1715" s="97">
        <v>45843.68476851852</v>
      </c>
      <c r="S1715" s="99">
        <v>566.0</v>
      </c>
      <c r="T1715" s="99">
        <v>15.0</v>
      </c>
      <c r="U1715" s="99">
        <v>6.0</v>
      </c>
      <c r="V1715" s="99">
        <v>110.0</v>
      </c>
      <c r="W1715" s="99">
        <v>7200.0</v>
      </c>
    </row>
    <row r="1716" ht="15.75" customHeight="1">
      <c r="A1716" s="95" t="s">
        <v>9899</v>
      </c>
      <c r="B1716" s="95" t="s">
        <v>69</v>
      </c>
      <c r="C1716" s="96" t="s">
        <v>9900</v>
      </c>
      <c r="D1716" s="95" t="s">
        <v>168</v>
      </c>
      <c r="E1716" s="95" t="s">
        <v>780</v>
      </c>
      <c r="F1716" s="95" t="s">
        <v>19</v>
      </c>
      <c r="G1716" s="95" t="s">
        <v>574</v>
      </c>
      <c r="H1716" s="95" t="s">
        <v>77</v>
      </c>
      <c r="I1716" s="95" t="s">
        <v>9901</v>
      </c>
      <c r="J1716" s="97">
        <v>46003.09131208334</v>
      </c>
      <c r="K1716" s="95" t="s">
        <v>9902</v>
      </c>
      <c r="L1716" s="96" t="s">
        <v>9903</v>
      </c>
      <c r="M1716" s="95" t="s">
        <v>105</v>
      </c>
      <c r="N1716" s="95" t="s">
        <v>9904</v>
      </c>
      <c r="O1716" s="95" t="s">
        <v>9904</v>
      </c>
      <c r="P1716" s="95" t="s">
        <v>9905</v>
      </c>
      <c r="Q1716" s="98">
        <v>3.0</v>
      </c>
      <c r="R1716" s="97">
        <v>45646.41649305556</v>
      </c>
      <c r="S1716" s="99">
        <v>101.0</v>
      </c>
      <c r="T1716" s="99">
        <v>2438.0</v>
      </c>
      <c r="U1716" s="99">
        <v>1.0</v>
      </c>
      <c r="V1716" s="99">
        <v>3839.0</v>
      </c>
      <c r="W1716" s="99">
        <v>99108.0</v>
      </c>
    </row>
    <row r="1717" ht="15.75" customHeight="1">
      <c r="A1717" s="95" t="s">
        <v>9906</v>
      </c>
      <c r="B1717" s="95" t="s">
        <v>69</v>
      </c>
      <c r="C1717" s="96" t="s">
        <v>9907</v>
      </c>
      <c r="D1717" s="95" t="s">
        <v>59</v>
      </c>
      <c r="E1717" s="95" t="s">
        <v>59</v>
      </c>
      <c r="F1717" s="95" t="s">
        <v>88</v>
      </c>
      <c r="G1717" s="95" t="s">
        <v>88</v>
      </c>
      <c r="H1717" s="95" t="s">
        <v>89</v>
      </c>
      <c r="I1717" s="95" t="s">
        <v>640</v>
      </c>
      <c r="J1717" s="97">
        <v>45993.78544196759</v>
      </c>
      <c r="K1717" s="96" t="s">
        <v>9908</v>
      </c>
      <c r="L1717" s="96" t="s">
        <v>9909</v>
      </c>
      <c r="M1717" s="95" t="s">
        <v>54</v>
      </c>
      <c r="N1717" s="95" t="s">
        <v>9910</v>
      </c>
      <c r="O1717" s="95" t="s">
        <v>9910</v>
      </c>
      <c r="P1717" s="95" t="s">
        <v>9911</v>
      </c>
      <c r="Q1717" s="98">
        <v>3.0</v>
      </c>
      <c r="R1717" s="97">
        <v>45867.8978587963</v>
      </c>
      <c r="S1717" s="99">
        <v>77.0</v>
      </c>
      <c r="T1717" s="99">
        <v>15.0</v>
      </c>
      <c r="U1717" s="99">
        <v>1.0</v>
      </c>
      <c r="V1717" s="99">
        <v>45.0</v>
      </c>
      <c r="W1717" s="99">
        <v>39755.0</v>
      </c>
    </row>
    <row r="1718" ht="15.75" customHeight="1">
      <c r="A1718" s="95" t="s">
        <v>9912</v>
      </c>
      <c r="B1718" s="95" t="s">
        <v>22</v>
      </c>
      <c r="C1718" s="96" t="s">
        <v>9913</v>
      </c>
      <c r="D1718" s="95" t="s">
        <v>59</v>
      </c>
      <c r="E1718" s="95" t="s">
        <v>9914</v>
      </c>
      <c r="F1718" s="95" t="s">
        <v>19</v>
      </c>
      <c r="G1718" s="95" t="s">
        <v>19</v>
      </c>
      <c r="H1718" s="95" t="s">
        <v>21</v>
      </c>
      <c r="I1718" s="95" t="s">
        <v>9702</v>
      </c>
      <c r="J1718" s="97">
        <v>46080.66232241898</v>
      </c>
      <c r="K1718" s="95" t="s">
        <v>9915</v>
      </c>
      <c r="L1718" s="96" t="s">
        <v>9916</v>
      </c>
      <c r="M1718" s="95" t="s">
        <v>93</v>
      </c>
      <c r="N1718" s="95" t="s">
        <v>9917</v>
      </c>
      <c r="O1718" s="95" t="s">
        <v>9917</v>
      </c>
      <c r="P1718" s="95" t="s">
        <v>9918</v>
      </c>
      <c r="Q1718" s="98">
        <v>3.0</v>
      </c>
      <c r="R1718" s="97">
        <v>45944.59462962963</v>
      </c>
      <c r="S1718" s="99">
        <v>58.0</v>
      </c>
      <c r="T1718" s="99">
        <v>224.0</v>
      </c>
      <c r="U1718" s="99">
        <v>22.0</v>
      </c>
      <c r="V1718" s="99">
        <v>257.0</v>
      </c>
      <c r="W1718" s="99">
        <v>43165.0</v>
      </c>
    </row>
    <row r="1719" ht="15.75" customHeight="1">
      <c r="A1719" s="95" t="s">
        <v>9919</v>
      </c>
      <c r="B1719" s="95" t="s">
        <v>22</v>
      </c>
      <c r="C1719" s="96" t="s">
        <v>9920</v>
      </c>
      <c r="D1719" s="95" t="s">
        <v>124</v>
      </c>
      <c r="E1719" s="95" t="s">
        <v>794</v>
      </c>
      <c r="F1719" s="95" t="s">
        <v>19</v>
      </c>
      <c r="G1719" s="95" t="s">
        <v>19</v>
      </c>
      <c r="H1719" s="95" t="s">
        <v>21</v>
      </c>
      <c r="I1719" s="95" t="s">
        <v>567</v>
      </c>
      <c r="J1719" s="97">
        <v>46021.51514563657</v>
      </c>
      <c r="K1719" s="95" t="s">
        <v>9921</v>
      </c>
      <c r="L1719" s="96" t="s">
        <v>9922</v>
      </c>
      <c r="M1719" s="95" t="s">
        <v>93</v>
      </c>
      <c r="N1719" s="95" t="s">
        <v>9923</v>
      </c>
      <c r="O1719" s="95" t="s">
        <v>9923</v>
      </c>
      <c r="P1719" s="95" t="s">
        <v>9924</v>
      </c>
      <c r="Q1719" s="98">
        <v>3.0</v>
      </c>
      <c r="R1719" s="97">
        <v>45799.35207175926</v>
      </c>
      <c r="S1719" s="99">
        <v>283.0</v>
      </c>
      <c r="T1719" s="99">
        <v>4222.0</v>
      </c>
      <c r="U1719" s="99">
        <v>70.0</v>
      </c>
      <c r="V1719" s="99">
        <v>237.0</v>
      </c>
      <c r="W1719" s="99">
        <v>162058.0</v>
      </c>
    </row>
    <row r="1720" ht="15.75" customHeight="1">
      <c r="A1720" s="95" t="s">
        <v>9925</v>
      </c>
      <c r="B1720" s="95" t="s">
        <v>69</v>
      </c>
      <c r="C1720" s="96" t="s">
        <v>9926</v>
      </c>
      <c r="D1720" s="95" t="s">
        <v>124</v>
      </c>
      <c r="E1720" s="95" t="s">
        <v>1731</v>
      </c>
      <c r="F1720" s="95" t="s">
        <v>88</v>
      </c>
      <c r="G1720" s="95"/>
      <c r="H1720" s="95" t="s">
        <v>60</v>
      </c>
      <c r="I1720" s="95" t="s">
        <v>2410</v>
      </c>
      <c r="J1720" s="97">
        <v>46017.67764628472</v>
      </c>
      <c r="K1720" s="95" t="s">
        <v>9927</v>
      </c>
      <c r="L1720" s="96" t="s">
        <v>9928</v>
      </c>
      <c r="M1720" s="95" t="s">
        <v>503</v>
      </c>
      <c r="N1720" s="95" t="s">
        <v>9929</v>
      </c>
      <c r="O1720" s="95" t="s">
        <v>9929</v>
      </c>
      <c r="P1720" s="95" t="s">
        <v>9930</v>
      </c>
      <c r="Q1720" s="98">
        <v>3.0</v>
      </c>
      <c r="R1720" s="97">
        <v>45832.59398148148</v>
      </c>
      <c r="S1720" s="99">
        <v>40923.0</v>
      </c>
      <c r="T1720" s="99">
        <v>28.0</v>
      </c>
      <c r="U1720" s="99">
        <v>21.0</v>
      </c>
      <c r="V1720" s="99">
        <v>604.0</v>
      </c>
      <c r="W1720" s="99">
        <v>192711.0</v>
      </c>
    </row>
    <row r="1721" ht="15.75" customHeight="1">
      <c r="A1721" s="95" t="s">
        <v>9931</v>
      </c>
      <c r="B1721" s="95" t="s">
        <v>22</v>
      </c>
      <c r="C1721" s="96" t="s">
        <v>9932</v>
      </c>
      <c r="D1721" s="95" t="s">
        <v>39</v>
      </c>
      <c r="E1721" s="95" t="s">
        <v>39</v>
      </c>
      <c r="F1721" s="95" t="s">
        <v>19</v>
      </c>
      <c r="G1721" s="95" t="s">
        <v>19</v>
      </c>
      <c r="H1721" s="95" t="s">
        <v>21</v>
      </c>
      <c r="I1721" s="95" t="s">
        <v>567</v>
      </c>
      <c r="J1721" s="97">
        <v>46075.71582396991</v>
      </c>
      <c r="K1721" s="95" t="s">
        <v>9933</v>
      </c>
      <c r="L1721" s="96" t="s">
        <v>9934</v>
      </c>
      <c r="M1721" s="95" t="s">
        <v>93</v>
      </c>
      <c r="N1721" s="95" t="s">
        <v>9935</v>
      </c>
      <c r="O1721" s="95" t="s">
        <v>9935</v>
      </c>
      <c r="P1721" s="95" t="s">
        <v>9936</v>
      </c>
      <c r="Q1721" s="98">
        <v>3.0</v>
      </c>
      <c r="R1721" s="97">
        <v>45887.38427083333</v>
      </c>
      <c r="S1721" s="99">
        <v>430.0</v>
      </c>
      <c r="T1721" s="99">
        <v>14.0</v>
      </c>
      <c r="U1721" s="99">
        <v>5.0</v>
      </c>
      <c r="V1721" s="99">
        <v>492.0</v>
      </c>
      <c r="W1721" s="95"/>
    </row>
    <row r="1722" ht="15.75" customHeight="1">
      <c r="A1722" s="95" t="s">
        <v>9937</v>
      </c>
      <c r="B1722" s="95" t="s">
        <v>101</v>
      </c>
      <c r="C1722" s="96" t="s">
        <v>9938</v>
      </c>
      <c r="D1722" s="95" t="s">
        <v>124</v>
      </c>
      <c r="E1722" s="95" t="s">
        <v>794</v>
      </c>
      <c r="F1722" s="95" t="s">
        <v>19</v>
      </c>
      <c r="G1722" s="95" t="s">
        <v>19</v>
      </c>
      <c r="H1722" s="95" t="s">
        <v>21</v>
      </c>
      <c r="I1722" s="95" t="s">
        <v>1589</v>
      </c>
      <c r="J1722" s="97">
        <v>46072.52424295139</v>
      </c>
      <c r="K1722" s="95" t="s">
        <v>9939</v>
      </c>
      <c r="L1722" s="96" t="s">
        <v>9940</v>
      </c>
      <c r="M1722" s="95" t="s">
        <v>74</v>
      </c>
      <c r="N1722" s="95" t="s">
        <v>9941</v>
      </c>
      <c r="O1722" s="95" t="s">
        <v>9941</v>
      </c>
      <c r="P1722" s="95" t="s">
        <v>9942</v>
      </c>
      <c r="Q1722" s="98">
        <v>3.0</v>
      </c>
      <c r="R1722" s="97">
        <v>45910.85079861111</v>
      </c>
      <c r="S1722" s="99">
        <v>101.0</v>
      </c>
      <c r="T1722" s="99">
        <v>4271.0</v>
      </c>
      <c r="U1722" s="99">
        <v>1.0</v>
      </c>
      <c r="V1722" s="99">
        <v>120.0</v>
      </c>
      <c r="W1722" s="95"/>
    </row>
    <row r="1723" ht="15.75" customHeight="1">
      <c r="A1723" s="95" t="s">
        <v>9943</v>
      </c>
      <c r="B1723" s="95" t="s">
        <v>22</v>
      </c>
      <c r="C1723" s="96" t="s">
        <v>9944</v>
      </c>
      <c r="D1723" s="95" t="s">
        <v>29</v>
      </c>
      <c r="E1723" s="95" t="s">
        <v>29</v>
      </c>
      <c r="F1723" s="95" t="s">
        <v>19</v>
      </c>
      <c r="G1723" s="95" t="s">
        <v>19</v>
      </c>
      <c r="H1723" s="95" t="s">
        <v>21</v>
      </c>
      <c r="I1723" s="95" t="s">
        <v>567</v>
      </c>
      <c r="J1723" s="97">
        <v>46021.50663001157</v>
      </c>
      <c r="K1723" s="95" t="s">
        <v>9945</v>
      </c>
      <c r="L1723" s="96" t="s">
        <v>9946</v>
      </c>
      <c r="M1723" s="95" t="s">
        <v>93</v>
      </c>
      <c r="N1723" s="95" t="s">
        <v>9947</v>
      </c>
      <c r="O1723" s="95" t="s">
        <v>9947</v>
      </c>
      <c r="P1723" s="95" t="s">
        <v>9948</v>
      </c>
      <c r="Q1723" s="98">
        <v>3.0</v>
      </c>
      <c r="R1723" s="97">
        <v>45786.32378472222</v>
      </c>
      <c r="S1723" s="99">
        <v>731.0</v>
      </c>
      <c r="T1723" s="99">
        <v>4253.0</v>
      </c>
      <c r="U1723" s="99">
        <v>3.0</v>
      </c>
      <c r="V1723" s="99">
        <v>408.0</v>
      </c>
      <c r="W1723" s="99">
        <v>363059.0</v>
      </c>
    </row>
    <row r="1724" ht="15.75" customHeight="1">
      <c r="A1724" s="95" t="s">
        <v>9949</v>
      </c>
      <c r="B1724" s="95" t="s">
        <v>22</v>
      </c>
      <c r="C1724" s="96" t="s">
        <v>9950</v>
      </c>
      <c r="D1724" s="95" t="s">
        <v>29</v>
      </c>
      <c r="E1724" s="95" t="s">
        <v>29</v>
      </c>
      <c r="F1724" s="95" t="s">
        <v>19</v>
      </c>
      <c r="G1724" s="95" t="s">
        <v>574</v>
      </c>
      <c r="H1724" s="95" t="s">
        <v>21</v>
      </c>
      <c r="I1724" s="95" t="s">
        <v>567</v>
      </c>
      <c r="J1724" s="97">
        <v>45975.67932418981</v>
      </c>
      <c r="K1724" s="96" t="s">
        <v>9951</v>
      </c>
      <c r="L1724" s="96" t="s">
        <v>9952</v>
      </c>
      <c r="M1724" s="95" t="s">
        <v>93</v>
      </c>
      <c r="N1724" s="95" t="s">
        <v>9947</v>
      </c>
      <c r="O1724" s="95" t="s">
        <v>9947</v>
      </c>
      <c r="P1724" s="95" t="s">
        <v>9948</v>
      </c>
      <c r="Q1724" s="98">
        <v>3.0</v>
      </c>
      <c r="R1724" s="97">
        <v>45912.49793981481</v>
      </c>
      <c r="S1724" s="99">
        <v>731.0</v>
      </c>
      <c r="T1724" s="99">
        <v>426.0</v>
      </c>
      <c r="U1724" s="99">
        <v>7.0</v>
      </c>
      <c r="V1724" s="99">
        <v>184.0</v>
      </c>
      <c r="W1724" s="99">
        <v>363059.0</v>
      </c>
    </row>
    <row r="1725" ht="15.75" customHeight="1">
      <c r="A1725" s="95" t="s">
        <v>9953</v>
      </c>
      <c r="B1725" s="95" t="s">
        <v>22</v>
      </c>
      <c r="C1725" s="96" t="s">
        <v>9954</v>
      </c>
      <c r="D1725" s="95" t="s">
        <v>29</v>
      </c>
      <c r="E1725" s="95" t="s">
        <v>598</v>
      </c>
      <c r="F1725" s="95" t="s">
        <v>19</v>
      </c>
      <c r="G1725" s="95" t="s">
        <v>19</v>
      </c>
      <c r="H1725" s="95" t="s">
        <v>21</v>
      </c>
      <c r="I1725" s="95" t="s">
        <v>567</v>
      </c>
      <c r="J1725" s="97">
        <v>46021.51514563657</v>
      </c>
      <c r="K1725" s="95" t="s">
        <v>9955</v>
      </c>
      <c r="L1725" s="96" t="s">
        <v>9956</v>
      </c>
      <c r="M1725" s="95" t="s">
        <v>93</v>
      </c>
      <c r="N1725" s="95" t="s">
        <v>9947</v>
      </c>
      <c r="O1725" s="95" t="s">
        <v>9947</v>
      </c>
      <c r="P1725" s="95" t="s">
        <v>9948</v>
      </c>
      <c r="Q1725" s="98">
        <v>3.0</v>
      </c>
      <c r="R1725" s="97">
        <v>45888.26834490741</v>
      </c>
      <c r="S1725" s="99">
        <v>731.0</v>
      </c>
      <c r="T1725" s="99">
        <v>4707.0</v>
      </c>
      <c r="U1725" s="99">
        <v>8.0</v>
      </c>
      <c r="V1725" s="99">
        <v>308.0</v>
      </c>
      <c r="W1725" s="99">
        <v>363059.0</v>
      </c>
    </row>
    <row r="1726" ht="15.75" customHeight="1">
      <c r="A1726" s="95" t="s">
        <v>9957</v>
      </c>
      <c r="B1726" s="95" t="s">
        <v>22</v>
      </c>
      <c r="C1726" s="96" t="s">
        <v>9958</v>
      </c>
      <c r="D1726" s="95" t="s">
        <v>29</v>
      </c>
      <c r="E1726" s="95" t="s">
        <v>29</v>
      </c>
      <c r="F1726" s="95" t="s">
        <v>19</v>
      </c>
      <c r="G1726" s="95" t="s">
        <v>19</v>
      </c>
      <c r="H1726" s="95" t="s">
        <v>21</v>
      </c>
      <c r="I1726" s="95" t="s">
        <v>567</v>
      </c>
      <c r="J1726" s="97">
        <v>46069.65910748843</v>
      </c>
      <c r="K1726" s="95" t="s">
        <v>9959</v>
      </c>
      <c r="L1726" s="96" t="s">
        <v>9960</v>
      </c>
      <c r="M1726" s="95" t="s">
        <v>93</v>
      </c>
      <c r="N1726" s="95" t="s">
        <v>9947</v>
      </c>
      <c r="O1726" s="95" t="s">
        <v>9947</v>
      </c>
      <c r="P1726" s="95" t="s">
        <v>9948</v>
      </c>
      <c r="Q1726" s="98">
        <v>3.0</v>
      </c>
      <c r="R1726" s="97">
        <v>46058.42905092592</v>
      </c>
      <c r="S1726" s="99">
        <v>731.0</v>
      </c>
      <c r="T1726" s="99">
        <v>5386.0</v>
      </c>
      <c r="U1726" s="99">
        <v>26.0</v>
      </c>
      <c r="V1726" s="99">
        <v>272.0</v>
      </c>
      <c r="W1726" s="99">
        <v>363059.0</v>
      </c>
    </row>
    <row r="1727" ht="15.75" customHeight="1">
      <c r="A1727" s="95" t="s">
        <v>9961</v>
      </c>
      <c r="B1727" s="95" t="s">
        <v>22</v>
      </c>
      <c r="C1727" s="96" t="s">
        <v>9962</v>
      </c>
      <c r="D1727" s="95" t="s">
        <v>29</v>
      </c>
      <c r="E1727" s="95" t="s">
        <v>29</v>
      </c>
      <c r="F1727" s="95" t="s">
        <v>19</v>
      </c>
      <c r="G1727" s="95" t="s">
        <v>19</v>
      </c>
      <c r="H1727" s="95" t="s">
        <v>21</v>
      </c>
      <c r="I1727" s="95" t="s">
        <v>567</v>
      </c>
      <c r="J1727" s="97">
        <v>46072.60621122685</v>
      </c>
      <c r="K1727" s="95" t="s">
        <v>9963</v>
      </c>
      <c r="L1727" s="96" t="s">
        <v>9964</v>
      </c>
      <c r="M1727" s="95" t="s">
        <v>93</v>
      </c>
      <c r="N1727" s="95" t="s">
        <v>9965</v>
      </c>
      <c r="O1727" s="95" t="s">
        <v>9965</v>
      </c>
      <c r="P1727" s="95" t="s">
        <v>9966</v>
      </c>
      <c r="Q1727" s="98">
        <v>3.0</v>
      </c>
      <c r="R1727" s="97">
        <v>45688.57851851852</v>
      </c>
      <c r="S1727" s="99">
        <v>963.0</v>
      </c>
      <c r="T1727" s="99">
        <v>489.0</v>
      </c>
      <c r="U1727" s="99">
        <v>4.0</v>
      </c>
      <c r="V1727" s="99">
        <v>133.0</v>
      </c>
      <c r="W1727" s="99">
        <v>100979.0</v>
      </c>
    </row>
    <row r="1728" ht="15.75" customHeight="1">
      <c r="A1728" s="95" t="s">
        <v>9967</v>
      </c>
      <c r="B1728" s="95" t="s">
        <v>22</v>
      </c>
      <c r="C1728" s="96" t="s">
        <v>9968</v>
      </c>
      <c r="D1728" s="95" t="s">
        <v>29</v>
      </c>
      <c r="E1728" s="95" t="s">
        <v>29</v>
      </c>
      <c r="F1728" s="95" t="s">
        <v>19</v>
      </c>
      <c r="G1728" s="95" t="s">
        <v>19</v>
      </c>
      <c r="H1728" s="95" t="s">
        <v>21</v>
      </c>
      <c r="I1728" s="95" t="s">
        <v>567</v>
      </c>
      <c r="J1728" s="97">
        <v>46069.66372851852</v>
      </c>
      <c r="K1728" s="95" t="s">
        <v>9969</v>
      </c>
      <c r="L1728" s="96" t="s">
        <v>9970</v>
      </c>
      <c r="M1728" s="95" t="s">
        <v>503</v>
      </c>
      <c r="N1728" s="95" t="s">
        <v>9971</v>
      </c>
      <c r="O1728" s="95" t="s">
        <v>9971</v>
      </c>
      <c r="P1728" s="95" t="s">
        <v>9972</v>
      </c>
      <c r="Q1728" s="98">
        <v>3.0</v>
      </c>
      <c r="R1728" s="97">
        <v>45603.45438657407</v>
      </c>
      <c r="S1728" s="99">
        <v>554.0</v>
      </c>
      <c r="T1728" s="99">
        <v>84.0</v>
      </c>
      <c r="U1728" s="99">
        <v>12.0</v>
      </c>
      <c r="V1728" s="99">
        <v>142.0</v>
      </c>
      <c r="W1728" s="99">
        <v>289781.0</v>
      </c>
    </row>
    <row r="1729" ht="15.75" customHeight="1">
      <c r="A1729" s="95" t="s">
        <v>9973</v>
      </c>
      <c r="B1729" s="95" t="s">
        <v>131</v>
      </c>
      <c r="C1729" s="96" t="s">
        <v>9974</v>
      </c>
      <c r="D1729" s="95" t="s">
        <v>29</v>
      </c>
      <c r="E1729" s="95" t="s">
        <v>29</v>
      </c>
      <c r="F1729" s="95" t="s">
        <v>19</v>
      </c>
      <c r="G1729" s="95" t="s">
        <v>574</v>
      </c>
      <c r="H1729" s="95" t="s">
        <v>60</v>
      </c>
      <c r="I1729" s="95" t="s">
        <v>4481</v>
      </c>
      <c r="J1729" s="97">
        <v>46069.66372851852</v>
      </c>
      <c r="K1729" s="95" t="s">
        <v>9975</v>
      </c>
      <c r="L1729" s="96" t="s">
        <v>9976</v>
      </c>
      <c r="M1729" s="95" t="s">
        <v>503</v>
      </c>
      <c r="N1729" s="95" t="s">
        <v>9971</v>
      </c>
      <c r="O1729" s="95" t="s">
        <v>9971</v>
      </c>
      <c r="P1729" s="95" t="s">
        <v>9972</v>
      </c>
      <c r="Q1729" s="98">
        <v>3.0</v>
      </c>
      <c r="R1729" s="97">
        <v>45707.38746527778</v>
      </c>
      <c r="S1729" s="99">
        <v>554.0</v>
      </c>
      <c r="T1729" s="99">
        <v>38.0</v>
      </c>
      <c r="U1729" s="99">
        <v>8.0</v>
      </c>
      <c r="V1729" s="99">
        <v>64.0</v>
      </c>
      <c r="W1729" s="99">
        <v>289781.0</v>
      </c>
    </row>
    <row r="1730" ht="15.75" customHeight="1">
      <c r="A1730" s="95" t="s">
        <v>9977</v>
      </c>
      <c r="B1730" s="95" t="s">
        <v>22</v>
      </c>
      <c r="C1730" s="96" t="s">
        <v>9978</v>
      </c>
      <c r="D1730" s="95" t="s">
        <v>39</v>
      </c>
      <c r="E1730" s="95" t="s">
        <v>1269</v>
      </c>
      <c r="F1730" s="95" t="s">
        <v>19</v>
      </c>
      <c r="G1730" s="95" t="s">
        <v>574</v>
      </c>
      <c r="H1730" s="95" t="s">
        <v>21</v>
      </c>
      <c r="I1730" s="95" t="s">
        <v>567</v>
      </c>
      <c r="J1730" s="97">
        <v>46008.62906496528</v>
      </c>
      <c r="K1730" s="96" t="s">
        <v>9979</v>
      </c>
      <c r="L1730" s="96" t="s">
        <v>9980</v>
      </c>
      <c r="M1730" s="95" t="s">
        <v>17</v>
      </c>
      <c r="N1730" s="95" t="s">
        <v>9981</v>
      </c>
      <c r="O1730" s="95" t="s">
        <v>9981</v>
      </c>
      <c r="P1730" s="95" t="s">
        <v>9982</v>
      </c>
      <c r="Q1730" s="98">
        <v>3.0</v>
      </c>
      <c r="R1730" s="97">
        <v>45751.8244212963</v>
      </c>
      <c r="S1730" s="99">
        <v>1763.0</v>
      </c>
      <c r="T1730" s="99">
        <v>3654.0</v>
      </c>
      <c r="U1730" s="99">
        <v>22.0</v>
      </c>
      <c r="V1730" s="99">
        <v>284.0</v>
      </c>
      <c r="W1730" s="99">
        <v>1302751.0</v>
      </c>
    </row>
    <row r="1731" ht="15.75" customHeight="1">
      <c r="A1731" s="95" t="s">
        <v>9983</v>
      </c>
      <c r="B1731" s="95" t="s">
        <v>22</v>
      </c>
      <c r="C1731" s="96" t="s">
        <v>9984</v>
      </c>
      <c r="D1731" s="95" t="s">
        <v>39</v>
      </c>
      <c r="E1731" s="95" t="s">
        <v>39</v>
      </c>
      <c r="F1731" s="95" t="s">
        <v>19</v>
      </c>
      <c r="G1731" s="95" t="s">
        <v>19</v>
      </c>
      <c r="H1731" s="95" t="s">
        <v>21</v>
      </c>
      <c r="I1731" s="95" t="s">
        <v>589</v>
      </c>
      <c r="J1731" s="97">
        <v>45975.67936400463</v>
      </c>
      <c r="K1731" s="96" t="s">
        <v>9985</v>
      </c>
      <c r="L1731" s="96" t="s">
        <v>9986</v>
      </c>
      <c r="M1731" s="95" t="s">
        <v>17</v>
      </c>
      <c r="N1731" s="95" t="s">
        <v>9981</v>
      </c>
      <c r="O1731" s="95" t="s">
        <v>9981</v>
      </c>
      <c r="P1731" s="95" t="s">
        <v>9982</v>
      </c>
      <c r="Q1731" s="98">
        <v>3.0</v>
      </c>
      <c r="R1731" s="97">
        <v>45752.35980324074</v>
      </c>
      <c r="S1731" s="99">
        <v>1763.0</v>
      </c>
      <c r="T1731" s="99">
        <v>3675.0</v>
      </c>
      <c r="U1731" s="99">
        <v>15.0</v>
      </c>
      <c r="V1731" s="99">
        <v>127.0</v>
      </c>
      <c r="W1731" s="99">
        <v>1302751.0</v>
      </c>
    </row>
    <row r="1732" ht="15.75" customHeight="1">
      <c r="A1732" s="95" t="s">
        <v>9987</v>
      </c>
      <c r="B1732" s="95" t="s">
        <v>22</v>
      </c>
      <c r="C1732" s="96" t="s">
        <v>9988</v>
      </c>
      <c r="D1732" s="95" t="s">
        <v>39</v>
      </c>
      <c r="E1732" s="95" t="s">
        <v>39</v>
      </c>
      <c r="F1732" s="95" t="s">
        <v>19</v>
      </c>
      <c r="G1732" s="95" t="s">
        <v>19</v>
      </c>
      <c r="H1732" s="95" t="s">
        <v>21</v>
      </c>
      <c r="I1732" s="95" t="s">
        <v>677</v>
      </c>
      <c r="J1732" s="97">
        <v>45975.67936400463</v>
      </c>
      <c r="K1732" s="96" t="s">
        <v>9989</v>
      </c>
      <c r="L1732" s="96" t="s">
        <v>9990</v>
      </c>
      <c r="M1732" s="95" t="s">
        <v>17</v>
      </c>
      <c r="N1732" s="95" t="s">
        <v>9981</v>
      </c>
      <c r="O1732" s="95" t="s">
        <v>9981</v>
      </c>
      <c r="P1732" s="95" t="s">
        <v>9982</v>
      </c>
      <c r="Q1732" s="98">
        <v>3.0</v>
      </c>
      <c r="R1732" s="97">
        <v>45818.77491898148</v>
      </c>
      <c r="S1732" s="99">
        <v>1763.0</v>
      </c>
      <c r="T1732" s="99">
        <v>4230.0</v>
      </c>
      <c r="U1732" s="99">
        <v>22.0</v>
      </c>
      <c r="V1732" s="99">
        <v>291.0</v>
      </c>
      <c r="W1732" s="99">
        <v>1302751.0</v>
      </c>
    </row>
    <row r="1733" ht="15.75" customHeight="1">
      <c r="A1733" s="95" t="s">
        <v>9991</v>
      </c>
      <c r="B1733" s="95" t="s">
        <v>22</v>
      </c>
      <c r="C1733" s="96" t="s">
        <v>9992</v>
      </c>
      <c r="D1733" s="95" t="s">
        <v>168</v>
      </c>
      <c r="E1733" s="95" t="s">
        <v>780</v>
      </c>
      <c r="F1733" s="95" t="s">
        <v>19</v>
      </c>
      <c r="G1733" s="95" t="s">
        <v>588</v>
      </c>
      <c r="H1733" s="95" t="s">
        <v>21</v>
      </c>
      <c r="I1733" s="95" t="s">
        <v>1866</v>
      </c>
      <c r="J1733" s="97">
        <v>45975.67936400463</v>
      </c>
      <c r="K1733" s="96" t="s">
        <v>9993</v>
      </c>
      <c r="L1733" s="96" t="s">
        <v>9994</v>
      </c>
      <c r="M1733" s="95" t="s">
        <v>17</v>
      </c>
      <c r="N1733" s="95" t="s">
        <v>9981</v>
      </c>
      <c r="O1733" s="95" t="s">
        <v>9981</v>
      </c>
      <c r="P1733" s="95" t="s">
        <v>9982</v>
      </c>
      <c r="Q1733" s="98">
        <v>3.0</v>
      </c>
      <c r="R1733" s="97">
        <v>45875.69668981482</v>
      </c>
      <c r="S1733" s="99">
        <v>1763.0</v>
      </c>
      <c r="T1733" s="99">
        <v>5137.0</v>
      </c>
      <c r="U1733" s="99">
        <v>20.0</v>
      </c>
      <c r="V1733" s="99">
        <v>123.0</v>
      </c>
      <c r="W1733" s="99">
        <v>1302751.0</v>
      </c>
    </row>
    <row r="1734" ht="15.75" customHeight="1">
      <c r="A1734" s="95" t="s">
        <v>9995</v>
      </c>
      <c r="B1734" s="95" t="s">
        <v>101</v>
      </c>
      <c r="C1734" s="96" t="s">
        <v>9996</v>
      </c>
      <c r="D1734" s="95" t="s">
        <v>39</v>
      </c>
      <c r="E1734" s="95" t="s">
        <v>39</v>
      </c>
      <c r="F1734" s="95" t="s">
        <v>19</v>
      </c>
      <c r="G1734" s="95" t="s">
        <v>19</v>
      </c>
      <c r="H1734" s="95" t="s">
        <v>21</v>
      </c>
      <c r="I1734" s="95" t="s">
        <v>955</v>
      </c>
      <c r="J1734" s="97">
        <v>45975.67936400463</v>
      </c>
      <c r="K1734" s="96" t="s">
        <v>9997</v>
      </c>
      <c r="L1734" s="96" t="s">
        <v>9998</v>
      </c>
      <c r="M1734" s="95" t="s">
        <v>17</v>
      </c>
      <c r="N1734" s="95" t="s">
        <v>9981</v>
      </c>
      <c r="O1734" s="95" t="s">
        <v>9981</v>
      </c>
      <c r="P1734" s="95" t="s">
        <v>9982</v>
      </c>
      <c r="Q1734" s="98">
        <v>3.0</v>
      </c>
      <c r="R1734" s="97">
        <v>45833.11337962963</v>
      </c>
      <c r="S1734" s="99">
        <v>1763.0</v>
      </c>
      <c r="T1734" s="99">
        <v>4560.0</v>
      </c>
      <c r="U1734" s="99">
        <v>29.0</v>
      </c>
      <c r="V1734" s="99">
        <v>630.0</v>
      </c>
      <c r="W1734" s="99">
        <v>1302751.0</v>
      </c>
    </row>
    <row r="1735" ht="15.75" customHeight="1">
      <c r="A1735" s="95" t="s">
        <v>9999</v>
      </c>
      <c r="B1735" s="95" t="s">
        <v>22</v>
      </c>
      <c r="C1735" s="96" t="s">
        <v>10000</v>
      </c>
      <c r="D1735" s="95" t="s">
        <v>168</v>
      </c>
      <c r="E1735" s="95" t="s">
        <v>780</v>
      </c>
      <c r="F1735" s="95" t="s">
        <v>19</v>
      </c>
      <c r="G1735" s="95" t="s">
        <v>574</v>
      </c>
      <c r="H1735" s="95" t="s">
        <v>21</v>
      </c>
      <c r="I1735" s="95" t="s">
        <v>589</v>
      </c>
      <c r="J1735" s="97">
        <v>45975.67936400463</v>
      </c>
      <c r="K1735" s="96" t="s">
        <v>10001</v>
      </c>
      <c r="L1735" s="96" t="s">
        <v>10002</v>
      </c>
      <c r="M1735" s="95" t="s">
        <v>17</v>
      </c>
      <c r="N1735" s="95" t="s">
        <v>9981</v>
      </c>
      <c r="O1735" s="95" t="s">
        <v>9981</v>
      </c>
      <c r="P1735" s="95" t="s">
        <v>9982</v>
      </c>
      <c r="Q1735" s="98">
        <v>3.0</v>
      </c>
      <c r="R1735" s="97">
        <v>45824.94751157407</v>
      </c>
      <c r="S1735" s="99">
        <v>1763.0</v>
      </c>
      <c r="T1735" s="99">
        <v>4346.0</v>
      </c>
      <c r="U1735" s="99">
        <v>25.0</v>
      </c>
      <c r="V1735" s="99">
        <v>152.0</v>
      </c>
      <c r="W1735" s="99">
        <v>1302751.0</v>
      </c>
    </row>
    <row r="1736" ht="15.75" customHeight="1">
      <c r="A1736" s="95" t="s">
        <v>10003</v>
      </c>
      <c r="B1736" s="95" t="s">
        <v>22</v>
      </c>
      <c r="C1736" s="96" t="s">
        <v>10004</v>
      </c>
      <c r="D1736" s="95" t="s">
        <v>39</v>
      </c>
      <c r="E1736" s="95" t="s">
        <v>39</v>
      </c>
      <c r="F1736" s="95" t="s">
        <v>19</v>
      </c>
      <c r="G1736" s="95" t="s">
        <v>19</v>
      </c>
      <c r="H1736" s="95" t="s">
        <v>21</v>
      </c>
      <c r="I1736" s="95" t="s">
        <v>567</v>
      </c>
      <c r="J1736" s="97">
        <v>46008.62906496528</v>
      </c>
      <c r="K1736" s="96" t="s">
        <v>10005</v>
      </c>
      <c r="L1736" s="96" t="s">
        <v>10006</v>
      </c>
      <c r="M1736" s="95" t="s">
        <v>17</v>
      </c>
      <c r="N1736" s="95" t="s">
        <v>9981</v>
      </c>
      <c r="O1736" s="95" t="s">
        <v>9981</v>
      </c>
      <c r="P1736" s="95" t="s">
        <v>9982</v>
      </c>
      <c r="Q1736" s="98">
        <v>3.0</v>
      </c>
      <c r="R1736" s="97">
        <v>45795.8635300926</v>
      </c>
      <c r="S1736" s="99">
        <v>1763.0</v>
      </c>
      <c r="T1736" s="99">
        <v>3889.0</v>
      </c>
      <c r="U1736" s="99">
        <v>42.0</v>
      </c>
      <c r="V1736" s="99">
        <v>542.0</v>
      </c>
      <c r="W1736" s="99">
        <v>1302751.0</v>
      </c>
    </row>
    <row r="1737" ht="15.75" customHeight="1">
      <c r="A1737" s="95" t="s">
        <v>10007</v>
      </c>
      <c r="B1737" s="95" t="s">
        <v>69</v>
      </c>
      <c r="C1737" s="96" t="s">
        <v>10008</v>
      </c>
      <c r="D1737" s="95" t="s">
        <v>39</v>
      </c>
      <c r="E1737" s="95" t="s">
        <v>39</v>
      </c>
      <c r="F1737" s="95" t="s">
        <v>19</v>
      </c>
      <c r="G1737" s="95" t="s">
        <v>19</v>
      </c>
      <c r="H1737" s="95" t="s">
        <v>21</v>
      </c>
      <c r="I1737" s="95" t="s">
        <v>719</v>
      </c>
      <c r="J1737" s="97">
        <v>46021.51514563657</v>
      </c>
      <c r="K1737" s="95" t="s">
        <v>10009</v>
      </c>
      <c r="L1737" s="96" t="s">
        <v>10010</v>
      </c>
      <c r="M1737" s="95" t="s">
        <v>93</v>
      </c>
      <c r="N1737" s="95" t="s">
        <v>10011</v>
      </c>
      <c r="O1737" s="95" t="s">
        <v>10011</v>
      </c>
      <c r="P1737" s="95" t="s">
        <v>10012</v>
      </c>
      <c r="Q1737" s="98">
        <v>3.0</v>
      </c>
      <c r="R1737" s="97">
        <v>45780.32631944444</v>
      </c>
      <c r="S1737" s="99">
        <v>70.0</v>
      </c>
      <c r="T1737" s="99">
        <v>43.0</v>
      </c>
      <c r="U1737" s="99">
        <v>4.0</v>
      </c>
      <c r="V1737" s="99">
        <v>210.0</v>
      </c>
      <c r="W1737" s="99">
        <v>79124.0</v>
      </c>
    </row>
    <row r="1738" ht="15.75" customHeight="1">
      <c r="A1738" s="95" t="s">
        <v>10013</v>
      </c>
      <c r="B1738" s="95" t="s">
        <v>22</v>
      </c>
      <c r="C1738" s="96" t="s">
        <v>10014</v>
      </c>
      <c r="D1738" s="95" t="s">
        <v>547</v>
      </c>
      <c r="E1738" s="95" t="s">
        <v>710</v>
      </c>
      <c r="F1738" s="95" t="s">
        <v>19</v>
      </c>
      <c r="G1738" s="95" t="s">
        <v>19</v>
      </c>
      <c r="H1738" s="95" t="s">
        <v>21</v>
      </c>
      <c r="I1738" s="95" t="s">
        <v>567</v>
      </c>
      <c r="J1738" s="97">
        <v>46021.49951997685</v>
      </c>
      <c r="K1738" s="95" t="s">
        <v>10015</v>
      </c>
      <c r="L1738" s="96" t="s">
        <v>10016</v>
      </c>
      <c r="M1738" s="95" t="s">
        <v>28</v>
      </c>
      <c r="N1738" s="95" t="s">
        <v>10017</v>
      </c>
      <c r="O1738" s="95" t="s">
        <v>10017</v>
      </c>
      <c r="P1738" s="95" t="s">
        <v>10018</v>
      </c>
      <c r="Q1738" s="98">
        <v>3.0</v>
      </c>
      <c r="R1738" s="97">
        <v>45843.73320601852</v>
      </c>
      <c r="S1738" s="99">
        <v>317.0</v>
      </c>
      <c r="T1738" s="99">
        <v>116.0</v>
      </c>
      <c r="U1738" s="99">
        <v>12.0</v>
      </c>
      <c r="V1738" s="99">
        <v>217.0</v>
      </c>
      <c r="W1738" s="99">
        <v>274638.0</v>
      </c>
    </row>
    <row r="1739" ht="15.75" customHeight="1">
      <c r="A1739" s="95" t="s">
        <v>10019</v>
      </c>
      <c r="B1739" s="95" t="s">
        <v>22</v>
      </c>
      <c r="C1739" s="96" t="s">
        <v>10020</v>
      </c>
      <c r="D1739" s="95" t="s">
        <v>20</v>
      </c>
      <c r="E1739" s="95" t="s">
        <v>20</v>
      </c>
      <c r="F1739" s="95" t="s">
        <v>19</v>
      </c>
      <c r="G1739" s="95" t="s">
        <v>19</v>
      </c>
      <c r="H1739" s="95" t="s">
        <v>21</v>
      </c>
      <c r="I1739" s="95" t="s">
        <v>567</v>
      </c>
      <c r="J1739" s="97">
        <v>45980.93902726852</v>
      </c>
      <c r="K1739" s="96" t="s">
        <v>10021</v>
      </c>
      <c r="L1739" s="96" t="s">
        <v>10022</v>
      </c>
      <c r="M1739" s="95" t="s">
        <v>17</v>
      </c>
      <c r="N1739" s="95" t="s">
        <v>10023</v>
      </c>
      <c r="O1739" s="95" t="s">
        <v>10023</v>
      </c>
      <c r="P1739" s="95" t="s">
        <v>10024</v>
      </c>
      <c r="Q1739" s="98">
        <v>3.0</v>
      </c>
      <c r="R1739" s="97">
        <v>45824.56134259259</v>
      </c>
      <c r="S1739" s="99">
        <v>132.0</v>
      </c>
      <c r="T1739" s="99">
        <v>33.0</v>
      </c>
      <c r="U1739" s="99">
        <v>17.0</v>
      </c>
      <c r="V1739" s="99">
        <v>201.0</v>
      </c>
      <c r="W1739" s="99">
        <v>34156.0</v>
      </c>
    </row>
    <row r="1740" ht="15.75" customHeight="1">
      <c r="A1740" s="95" t="s">
        <v>10025</v>
      </c>
      <c r="B1740" s="95" t="s">
        <v>22</v>
      </c>
      <c r="C1740" s="96" t="s">
        <v>10026</v>
      </c>
      <c r="D1740" s="95" t="s">
        <v>547</v>
      </c>
      <c r="E1740" s="95" t="s">
        <v>2202</v>
      </c>
      <c r="F1740" s="95" t="s">
        <v>19</v>
      </c>
      <c r="G1740" s="95" t="s">
        <v>19</v>
      </c>
      <c r="H1740" s="95" t="s">
        <v>21</v>
      </c>
      <c r="I1740" s="95" t="s">
        <v>567</v>
      </c>
      <c r="J1740" s="97">
        <v>45975.67936400463</v>
      </c>
      <c r="K1740" s="96" t="s">
        <v>10027</v>
      </c>
      <c r="L1740" s="95"/>
      <c r="M1740" s="95" t="s">
        <v>17</v>
      </c>
      <c r="N1740" s="95" t="s">
        <v>10028</v>
      </c>
      <c r="O1740" s="95" t="s">
        <v>10028</v>
      </c>
      <c r="P1740" s="95" t="s">
        <v>10029</v>
      </c>
      <c r="Q1740" s="98">
        <v>3.0</v>
      </c>
      <c r="R1740" s="97">
        <v>45599.87287037037</v>
      </c>
      <c r="S1740" s="99">
        <v>10252.0</v>
      </c>
      <c r="T1740" s="99">
        <v>212.0</v>
      </c>
      <c r="U1740" s="99">
        <v>1.0</v>
      </c>
      <c r="V1740" s="99">
        <v>87.0</v>
      </c>
      <c r="W1740" s="99">
        <v>141238.0</v>
      </c>
    </row>
    <row r="1741" ht="15.75" customHeight="1">
      <c r="A1741" s="95" t="s">
        <v>10030</v>
      </c>
      <c r="B1741" s="95" t="s">
        <v>101</v>
      </c>
      <c r="C1741" s="96" t="s">
        <v>10031</v>
      </c>
      <c r="D1741" s="95" t="s">
        <v>39</v>
      </c>
      <c r="E1741" s="95" t="s">
        <v>614</v>
      </c>
      <c r="F1741" s="95" t="s">
        <v>19</v>
      </c>
      <c r="G1741" s="95" t="s">
        <v>19</v>
      </c>
      <c r="H1741" s="95" t="s">
        <v>21</v>
      </c>
      <c r="I1741" s="95" t="s">
        <v>1589</v>
      </c>
      <c r="J1741" s="97">
        <v>46021.50500998842</v>
      </c>
      <c r="K1741" s="95" t="s">
        <v>10032</v>
      </c>
      <c r="L1741" s="96" t="s">
        <v>10033</v>
      </c>
      <c r="M1741" s="95" t="s">
        <v>54</v>
      </c>
      <c r="N1741" s="95" t="s">
        <v>10034</v>
      </c>
      <c r="O1741" s="95" t="s">
        <v>10034</v>
      </c>
      <c r="P1741" s="95" t="s">
        <v>10035</v>
      </c>
      <c r="Q1741" s="98">
        <v>3.0</v>
      </c>
      <c r="R1741" s="97">
        <v>45756.87655092592</v>
      </c>
      <c r="S1741" s="99">
        <v>542.0</v>
      </c>
      <c r="T1741" s="99">
        <v>103.0</v>
      </c>
      <c r="U1741" s="99">
        <v>25.0</v>
      </c>
      <c r="V1741" s="99">
        <v>15.0</v>
      </c>
      <c r="W1741" s="99">
        <v>27142.0</v>
      </c>
    </row>
    <row r="1742" ht="15.75" customHeight="1">
      <c r="A1742" s="95" t="s">
        <v>10036</v>
      </c>
      <c r="B1742" s="95" t="s">
        <v>131</v>
      </c>
      <c r="C1742" s="96" t="s">
        <v>10037</v>
      </c>
      <c r="D1742" s="95" t="s">
        <v>39</v>
      </c>
      <c r="E1742" s="95" t="s">
        <v>39</v>
      </c>
      <c r="F1742" s="95" t="s">
        <v>58</v>
      </c>
      <c r="G1742" s="95" t="s">
        <v>1450</v>
      </c>
      <c r="H1742" s="95" t="s">
        <v>21</v>
      </c>
      <c r="I1742" s="95" t="s">
        <v>647</v>
      </c>
      <c r="J1742" s="97">
        <v>45975.67932418981</v>
      </c>
      <c r="K1742" s="96" t="s">
        <v>10038</v>
      </c>
      <c r="L1742" s="96" t="s">
        <v>10039</v>
      </c>
      <c r="M1742" s="95" t="s">
        <v>54</v>
      </c>
      <c r="N1742" s="95" t="s">
        <v>10040</v>
      </c>
      <c r="O1742" s="95" t="s">
        <v>10040</v>
      </c>
      <c r="P1742" s="95" t="s">
        <v>10041</v>
      </c>
      <c r="Q1742" s="98">
        <v>3.0</v>
      </c>
      <c r="R1742" s="97">
        <v>45677.84344907408</v>
      </c>
      <c r="S1742" s="99">
        <v>6842.0</v>
      </c>
      <c r="T1742" s="99">
        <v>32.0</v>
      </c>
      <c r="U1742" s="99">
        <v>9.0</v>
      </c>
      <c r="V1742" s="99">
        <v>393.0</v>
      </c>
      <c r="W1742" s="99">
        <v>22384.0</v>
      </c>
    </row>
    <row r="1743" ht="15.75" customHeight="1">
      <c r="A1743" s="95" t="s">
        <v>10042</v>
      </c>
      <c r="B1743" s="95" t="s">
        <v>22</v>
      </c>
      <c r="C1743" s="96" t="s">
        <v>10043</v>
      </c>
      <c r="D1743" s="95" t="s">
        <v>20</v>
      </c>
      <c r="E1743" s="95" t="s">
        <v>762</v>
      </c>
      <c r="F1743" s="95" t="s">
        <v>19</v>
      </c>
      <c r="G1743" s="95" t="s">
        <v>19</v>
      </c>
      <c r="H1743" s="95" t="s">
        <v>21</v>
      </c>
      <c r="I1743" s="95" t="s">
        <v>589</v>
      </c>
      <c r="J1743" s="97">
        <v>45975.67937972222</v>
      </c>
      <c r="K1743" s="96" t="s">
        <v>10044</v>
      </c>
      <c r="L1743" s="96" t="s">
        <v>10045</v>
      </c>
      <c r="M1743" s="95" t="s">
        <v>74</v>
      </c>
      <c r="N1743" s="95" t="s">
        <v>10046</v>
      </c>
      <c r="O1743" s="95" t="s">
        <v>10046</v>
      </c>
      <c r="P1743" s="95" t="s">
        <v>10047</v>
      </c>
      <c r="Q1743" s="98">
        <v>3.0</v>
      </c>
      <c r="R1743" s="97">
        <v>45615.71212962963</v>
      </c>
      <c r="S1743" s="99">
        <v>21841.0</v>
      </c>
      <c r="T1743" s="99">
        <v>94.0</v>
      </c>
      <c r="U1743" s="99">
        <v>11.0</v>
      </c>
      <c r="V1743" s="99">
        <v>57.0</v>
      </c>
      <c r="W1743" s="99">
        <v>459807.0</v>
      </c>
    </row>
    <row r="1744" ht="15.75" customHeight="1">
      <c r="A1744" s="95" t="s">
        <v>10048</v>
      </c>
      <c r="B1744" s="95" t="s">
        <v>22</v>
      </c>
      <c r="C1744" s="96" t="s">
        <v>10049</v>
      </c>
      <c r="D1744" s="95" t="s">
        <v>20</v>
      </c>
      <c r="E1744" s="95" t="s">
        <v>762</v>
      </c>
      <c r="F1744" s="95" t="s">
        <v>19</v>
      </c>
      <c r="G1744" s="95" t="s">
        <v>588</v>
      </c>
      <c r="H1744" s="95" t="s">
        <v>21</v>
      </c>
      <c r="I1744" s="95" t="s">
        <v>589</v>
      </c>
      <c r="J1744" s="97">
        <v>45975.67937972222</v>
      </c>
      <c r="K1744" s="96" t="s">
        <v>10050</v>
      </c>
      <c r="L1744" s="96" t="s">
        <v>10051</v>
      </c>
      <c r="M1744" s="95" t="s">
        <v>74</v>
      </c>
      <c r="N1744" s="95" t="s">
        <v>10046</v>
      </c>
      <c r="O1744" s="95" t="s">
        <v>10046</v>
      </c>
      <c r="P1744" s="95" t="s">
        <v>10047</v>
      </c>
      <c r="Q1744" s="98">
        <v>3.0</v>
      </c>
      <c r="R1744" s="97">
        <v>45953.53596064815</v>
      </c>
      <c r="S1744" s="99">
        <v>21841.0</v>
      </c>
      <c r="T1744" s="99">
        <v>42.0</v>
      </c>
      <c r="U1744" s="99">
        <v>10.0</v>
      </c>
      <c r="V1744" s="99">
        <v>140.0</v>
      </c>
      <c r="W1744" s="99">
        <v>459807.0</v>
      </c>
    </row>
    <row r="1745" ht="15.75" customHeight="1">
      <c r="A1745" s="95" t="s">
        <v>10052</v>
      </c>
      <c r="B1745" s="95" t="s">
        <v>22</v>
      </c>
      <c r="C1745" s="96" t="s">
        <v>10053</v>
      </c>
      <c r="D1745" s="95" t="s">
        <v>20</v>
      </c>
      <c r="E1745" s="95" t="s">
        <v>762</v>
      </c>
      <c r="F1745" s="95" t="s">
        <v>19</v>
      </c>
      <c r="G1745" s="95" t="s">
        <v>588</v>
      </c>
      <c r="H1745" s="95" t="s">
        <v>21</v>
      </c>
      <c r="I1745" s="95" t="s">
        <v>567</v>
      </c>
      <c r="J1745" s="97">
        <v>45975.67937972222</v>
      </c>
      <c r="K1745" s="96" t="s">
        <v>10054</v>
      </c>
      <c r="L1745" s="96" t="s">
        <v>10055</v>
      </c>
      <c r="M1745" s="95" t="s">
        <v>74</v>
      </c>
      <c r="N1745" s="95" t="s">
        <v>10046</v>
      </c>
      <c r="O1745" s="95" t="s">
        <v>10046</v>
      </c>
      <c r="P1745" s="95" t="s">
        <v>10047</v>
      </c>
      <c r="Q1745" s="98">
        <v>3.0</v>
      </c>
      <c r="R1745" s="97">
        <v>45673.65493055555</v>
      </c>
      <c r="S1745" s="99">
        <v>21841.0</v>
      </c>
      <c r="T1745" s="99">
        <v>173.0</v>
      </c>
      <c r="U1745" s="99">
        <v>19.0</v>
      </c>
      <c r="V1745" s="99">
        <v>361.0</v>
      </c>
      <c r="W1745" s="99">
        <v>459807.0</v>
      </c>
    </row>
    <row r="1746" ht="15.75" customHeight="1">
      <c r="A1746" s="95" t="s">
        <v>10056</v>
      </c>
      <c r="B1746" s="95" t="s">
        <v>22</v>
      </c>
      <c r="C1746" s="96" t="s">
        <v>10057</v>
      </c>
      <c r="D1746" s="95" t="s">
        <v>20</v>
      </c>
      <c r="E1746" s="95" t="s">
        <v>638</v>
      </c>
      <c r="F1746" s="95" t="s">
        <v>19</v>
      </c>
      <c r="G1746" s="95" t="s">
        <v>19</v>
      </c>
      <c r="H1746" s="95" t="s">
        <v>21</v>
      </c>
      <c r="I1746" s="95" t="s">
        <v>567</v>
      </c>
      <c r="J1746" s="97">
        <v>46056.93492375</v>
      </c>
      <c r="K1746" s="95" t="s">
        <v>10058</v>
      </c>
      <c r="L1746" s="96" t="s">
        <v>10059</v>
      </c>
      <c r="M1746" s="95" t="s">
        <v>74</v>
      </c>
      <c r="N1746" s="95" t="s">
        <v>10046</v>
      </c>
      <c r="O1746" s="95" t="s">
        <v>10046</v>
      </c>
      <c r="P1746" s="95" t="s">
        <v>10047</v>
      </c>
      <c r="Q1746" s="98">
        <v>3.0</v>
      </c>
      <c r="R1746" s="97">
        <v>45950.60166666667</v>
      </c>
      <c r="S1746" s="99">
        <v>21841.0</v>
      </c>
      <c r="T1746" s="99">
        <v>40.0</v>
      </c>
      <c r="U1746" s="99">
        <v>14.0</v>
      </c>
      <c r="V1746" s="99">
        <v>207.0</v>
      </c>
      <c r="W1746" s="99">
        <v>459807.0</v>
      </c>
    </row>
    <row r="1747" ht="15.75" customHeight="1">
      <c r="A1747" s="95" t="s">
        <v>10060</v>
      </c>
      <c r="B1747" s="95" t="s">
        <v>101</v>
      </c>
      <c r="C1747" s="96" t="s">
        <v>10061</v>
      </c>
      <c r="D1747" s="95" t="s">
        <v>20</v>
      </c>
      <c r="E1747" s="95" t="s">
        <v>632</v>
      </c>
      <c r="F1747" s="95" t="s">
        <v>19</v>
      </c>
      <c r="G1747" s="95" t="s">
        <v>574</v>
      </c>
      <c r="H1747" s="95" t="s">
        <v>21</v>
      </c>
      <c r="I1747" s="95" t="s">
        <v>10062</v>
      </c>
      <c r="J1747" s="97">
        <v>46021.50663001157</v>
      </c>
      <c r="K1747" s="95" t="s">
        <v>10063</v>
      </c>
      <c r="L1747" s="96" t="s">
        <v>10064</v>
      </c>
      <c r="M1747" s="95" t="s">
        <v>74</v>
      </c>
      <c r="N1747" s="95" t="s">
        <v>10065</v>
      </c>
      <c r="O1747" s="95" t="s">
        <v>10065</v>
      </c>
      <c r="P1747" s="95" t="s">
        <v>10066</v>
      </c>
      <c r="Q1747" s="98">
        <v>3.0</v>
      </c>
      <c r="R1747" s="97">
        <v>45884.00150462963</v>
      </c>
      <c r="S1747" s="99">
        <v>286.0</v>
      </c>
      <c r="T1747" s="99">
        <v>8.0</v>
      </c>
      <c r="U1747" s="99">
        <v>7.0</v>
      </c>
      <c r="V1747" s="99">
        <v>230.0</v>
      </c>
      <c r="W1747" s="99">
        <v>101488.0</v>
      </c>
    </row>
    <row r="1748" ht="15.75" customHeight="1">
      <c r="A1748" s="95" t="s">
        <v>10067</v>
      </c>
      <c r="B1748" s="95" t="s">
        <v>131</v>
      </c>
      <c r="C1748" s="96" t="s">
        <v>10068</v>
      </c>
      <c r="D1748" s="95" t="s">
        <v>124</v>
      </c>
      <c r="E1748" s="95" t="s">
        <v>625</v>
      </c>
      <c r="F1748" s="95" t="s">
        <v>58</v>
      </c>
      <c r="G1748" s="95" t="s">
        <v>58</v>
      </c>
      <c r="H1748" s="95" t="s">
        <v>60</v>
      </c>
      <c r="I1748" s="95" t="s">
        <v>795</v>
      </c>
      <c r="J1748" s="97">
        <v>46021.50500998842</v>
      </c>
      <c r="K1748" s="95" t="s">
        <v>10069</v>
      </c>
      <c r="L1748" s="96" t="s">
        <v>10070</v>
      </c>
      <c r="M1748" s="95" t="s">
        <v>74</v>
      </c>
      <c r="N1748" s="95" t="s">
        <v>10065</v>
      </c>
      <c r="O1748" s="95" t="s">
        <v>10065</v>
      </c>
      <c r="P1748" s="95" t="s">
        <v>10066</v>
      </c>
      <c r="Q1748" s="98">
        <v>3.0</v>
      </c>
      <c r="R1748" s="97">
        <v>45901.5270949074</v>
      </c>
      <c r="S1748" s="99">
        <v>286.0</v>
      </c>
      <c r="T1748" s="99">
        <v>816.0</v>
      </c>
      <c r="U1748" s="99">
        <v>21.0</v>
      </c>
      <c r="V1748" s="99">
        <v>4714.0</v>
      </c>
      <c r="W1748" s="99">
        <v>101488.0</v>
      </c>
    </row>
    <row r="1749" ht="15.75" customHeight="1">
      <c r="A1749" s="95" t="s">
        <v>10071</v>
      </c>
      <c r="B1749" s="95" t="s">
        <v>22</v>
      </c>
      <c r="C1749" s="96" t="s">
        <v>10072</v>
      </c>
      <c r="D1749" s="95" t="s">
        <v>39</v>
      </c>
      <c r="E1749" s="95" t="s">
        <v>697</v>
      </c>
      <c r="F1749" s="95" t="s">
        <v>19</v>
      </c>
      <c r="G1749" s="95" t="s">
        <v>19</v>
      </c>
      <c r="H1749" s="95" t="s">
        <v>21</v>
      </c>
      <c r="I1749" s="95" t="s">
        <v>567</v>
      </c>
      <c r="J1749" s="97">
        <v>46021.49951997685</v>
      </c>
      <c r="K1749" s="95" t="s">
        <v>10073</v>
      </c>
      <c r="L1749" s="96" t="s">
        <v>10074</v>
      </c>
      <c r="M1749" s="95" t="s">
        <v>105</v>
      </c>
      <c r="N1749" s="95" t="s">
        <v>10075</v>
      </c>
      <c r="O1749" s="95" t="s">
        <v>10075</v>
      </c>
      <c r="P1749" s="95" t="s">
        <v>10076</v>
      </c>
      <c r="Q1749" s="98">
        <v>3.0</v>
      </c>
      <c r="R1749" s="97">
        <v>45525.65775462963</v>
      </c>
      <c r="S1749" s="99">
        <v>377.0</v>
      </c>
      <c r="T1749" s="99">
        <v>113.0</v>
      </c>
      <c r="U1749" s="99">
        <v>2.0</v>
      </c>
      <c r="V1749" s="99">
        <v>184.0</v>
      </c>
      <c r="W1749" s="99">
        <v>48236.0</v>
      </c>
    </row>
    <row r="1750" ht="15.75" customHeight="1">
      <c r="A1750" s="95" t="s">
        <v>10077</v>
      </c>
      <c r="B1750" s="95" t="s">
        <v>157</v>
      </c>
      <c r="C1750" s="96" t="s">
        <v>10078</v>
      </c>
      <c r="D1750" s="95" t="s">
        <v>39</v>
      </c>
      <c r="E1750" s="95" t="s">
        <v>8064</v>
      </c>
      <c r="F1750" s="95" t="s">
        <v>88</v>
      </c>
      <c r="G1750" s="95" t="s">
        <v>88</v>
      </c>
      <c r="H1750" s="95" t="s">
        <v>89</v>
      </c>
      <c r="I1750" s="95" t="s">
        <v>859</v>
      </c>
      <c r="J1750" s="97">
        <v>45975.67930055556</v>
      </c>
      <c r="K1750" s="96" t="s">
        <v>10079</v>
      </c>
      <c r="L1750" s="96" t="s">
        <v>10080</v>
      </c>
      <c r="M1750" s="95" t="s">
        <v>105</v>
      </c>
      <c r="N1750" s="95" t="s">
        <v>10075</v>
      </c>
      <c r="O1750" s="95" t="s">
        <v>10075</v>
      </c>
      <c r="P1750" s="95" t="s">
        <v>10076</v>
      </c>
      <c r="Q1750" s="98">
        <v>3.0</v>
      </c>
      <c r="R1750" s="97">
        <v>45333.77274305555</v>
      </c>
      <c r="S1750" s="99">
        <v>377.0</v>
      </c>
      <c r="T1750" s="99">
        <v>101.0</v>
      </c>
      <c r="U1750" s="99">
        <v>3.0</v>
      </c>
      <c r="V1750" s="99">
        <v>80.0</v>
      </c>
      <c r="W1750" s="99">
        <v>48236.0</v>
      </c>
    </row>
    <row r="1751" ht="15.75" customHeight="1">
      <c r="A1751" s="95" t="s">
        <v>10081</v>
      </c>
      <c r="B1751" s="95" t="s">
        <v>157</v>
      </c>
      <c r="C1751" s="96" t="s">
        <v>10082</v>
      </c>
      <c r="D1751" s="95" t="s">
        <v>20</v>
      </c>
      <c r="E1751" s="95" t="s">
        <v>20</v>
      </c>
      <c r="F1751" s="95" t="s">
        <v>88</v>
      </c>
      <c r="G1751" s="95" t="s">
        <v>858</v>
      </c>
      <c r="H1751" s="95" t="s">
        <v>89</v>
      </c>
      <c r="I1751" s="95" t="s">
        <v>859</v>
      </c>
      <c r="J1751" s="97">
        <v>45975.67937189815</v>
      </c>
      <c r="K1751" s="96" t="s">
        <v>10083</v>
      </c>
      <c r="L1751" s="96" t="s">
        <v>10084</v>
      </c>
      <c r="M1751" s="95" t="s">
        <v>67</v>
      </c>
      <c r="N1751" s="95" t="s">
        <v>10085</v>
      </c>
      <c r="O1751" s="95" t="s">
        <v>10085</v>
      </c>
      <c r="P1751" s="95" t="s">
        <v>10086</v>
      </c>
      <c r="Q1751" s="98">
        <v>3.0</v>
      </c>
      <c r="R1751" s="97">
        <v>45950.53883101852</v>
      </c>
      <c r="S1751" s="99">
        <v>209.0</v>
      </c>
      <c r="T1751" s="99">
        <v>1529.0</v>
      </c>
      <c r="U1751" s="99">
        <v>4.0</v>
      </c>
      <c r="V1751" s="99">
        <v>530.0</v>
      </c>
      <c r="W1751" s="99">
        <v>200643.0</v>
      </c>
    </row>
    <row r="1752" ht="15.75" customHeight="1">
      <c r="A1752" s="95" t="s">
        <v>10087</v>
      </c>
      <c r="B1752" s="95" t="s">
        <v>22</v>
      </c>
      <c r="C1752" s="96" t="s">
        <v>10088</v>
      </c>
      <c r="D1752" s="95" t="s">
        <v>20</v>
      </c>
      <c r="E1752" s="95" t="s">
        <v>638</v>
      </c>
      <c r="F1752" s="95" t="s">
        <v>19</v>
      </c>
      <c r="G1752" s="95" t="s">
        <v>588</v>
      </c>
      <c r="H1752" s="95" t="s">
        <v>21</v>
      </c>
      <c r="I1752" s="95" t="s">
        <v>677</v>
      </c>
      <c r="J1752" s="97">
        <v>46021.51514563657</v>
      </c>
      <c r="K1752" s="95" t="s">
        <v>10089</v>
      </c>
      <c r="L1752" s="96" t="s">
        <v>10090</v>
      </c>
      <c r="M1752" s="95" t="s">
        <v>67</v>
      </c>
      <c r="N1752" s="95" t="s">
        <v>10085</v>
      </c>
      <c r="O1752" s="95" t="s">
        <v>10085</v>
      </c>
      <c r="P1752" s="95" t="s">
        <v>10086</v>
      </c>
      <c r="Q1752" s="98">
        <v>3.0</v>
      </c>
      <c r="R1752" s="97">
        <v>45903.74215277778</v>
      </c>
      <c r="S1752" s="99">
        <v>209.0</v>
      </c>
      <c r="T1752" s="99">
        <v>1405.0</v>
      </c>
      <c r="U1752" s="99">
        <v>48.0</v>
      </c>
      <c r="V1752" s="99">
        <v>513.0</v>
      </c>
      <c r="W1752" s="99">
        <v>200643.0</v>
      </c>
    </row>
    <row r="1753" ht="15.75" customHeight="1">
      <c r="A1753" s="95" t="s">
        <v>10091</v>
      </c>
      <c r="B1753" s="95" t="s">
        <v>101</v>
      </c>
      <c r="C1753" s="96" t="s">
        <v>10092</v>
      </c>
      <c r="D1753" s="95" t="s">
        <v>59</v>
      </c>
      <c r="E1753" s="95" t="s">
        <v>1347</v>
      </c>
      <c r="F1753" s="95" t="s">
        <v>19</v>
      </c>
      <c r="G1753" s="95" t="s">
        <v>19</v>
      </c>
      <c r="H1753" s="95" t="s">
        <v>21</v>
      </c>
      <c r="I1753" s="95" t="s">
        <v>607</v>
      </c>
      <c r="J1753" s="97">
        <v>45975.67931630787</v>
      </c>
      <c r="K1753" s="96" t="s">
        <v>10093</v>
      </c>
      <c r="L1753" s="96" t="s">
        <v>10094</v>
      </c>
      <c r="M1753" s="95" t="s">
        <v>54</v>
      </c>
      <c r="N1753" s="95" t="s">
        <v>10095</v>
      </c>
      <c r="O1753" s="95" t="s">
        <v>10095</v>
      </c>
      <c r="P1753" s="95" t="s">
        <v>10096</v>
      </c>
      <c r="Q1753" s="98">
        <v>3.0</v>
      </c>
      <c r="R1753" s="97">
        <v>45601.66152777777</v>
      </c>
      <c r="S1753" s="99">
        <v>15293.0</v>
      </c>
      <c r="T1753" s="99">
        <v>16.0</v>
      </c>
      <c r="U1753" s="99">
        <v>2.0</v>
      </c>
      <c r="V1753" s="99">
        <v>165.0</v>
      </c>
      <c r="W1753" s="99">
        <v>1719492.0</v>
      </c>
    </row>
    <row r="1754" ht="15.75" customHeight="1">
      <c r="A1754" s="95" t="s">
        <v>10097</v>
      </c>
      <c r="B1754" s="95" t="s">
        <v>22</v>
      </c>
      <c r="C1754" s="96" t="s">
        <v>10098</v>
      </c>
      <c r="D1754" s="95" t="s">
        <v>39</v>
      </c>
      <c r="E1754" s="95" t="s">
        <v>39</v>
      </c>
      <c r="F1754" s="95" t="s">
        <v>19</v>
      </c>
      <c r="G1754" s="95" t="s">
        <v>19</v>
      </c>
      <c r="H1754" s="95" t="s">
        <v>21</v>
      </c>
      <c r="I1754" s="95" t="s">
        <v>567</v>
      </c>
      <c r="J1754" s="97">
        <v>46011.60168425926</v>
      </c>
      <c r="K1754" s="95" t="s">
        <v>10099</v>
      </c>
      <c r="L1754" s="96" t="s">
        <v>10100</v>
      </c>
      <c r="M1754" s="95" t="s">
        <v>38</v>
      </c>
      <c r="N1754" s="95" t="s">
        <v>10101</v>
      </c>
      <c r="O1754" s="95" t="s">
        <v>10101</v>
      </c>
      <c r="P1754" s="95" t="s">
        <v>10102</v>
      </c>
      <c r="Q1754" s="98">
        <v>3.0</v>
      </c>
      <c r="R1754" s="97">
        <v>45968.00667824074</v>
      </c>
      <c r="S1754" s="99">
        <v>328.0</v>
      </c>
      <c r="T1754" s="99">
        <v>170.0</v>
      </c>
      <c r="U1754" s="99">
        <v>20.0</v>
      </c>
      <c r="V1754" s="99">
        <v>164.0</v>
      </c>
      <c r="W1754" s="99">
        <v>1145748.0</v>
      </c>
    </row>
    <row r="1755" ht="15.75" customHeight="1">
      <c r="A1755" s="95" t="s">
        <v>10103</v>
      </c>
      <c r="B1755" s="95" t="s">
        <v>22</v>
      </c>
      <c r="C1755" s="96" t="s">
        <v>10104</v>
      </c>
      <c r="D1755" s="95" t="s">
        <v>29</v>
      </c>
      <c r="E1755" s="95" t="s">
        <v>598</v>
      </c>
      <c r="F1755" s="95" t="s">
        <v>19</v>
      </c>
      <c r="G1755" s="95" t="s">
        <v>19</v>
      </c>
      <c r="H1755" s="95" t="s">
        <v>21</v>
      </c>
      <c r="I1755" s="95" t="s">
        <v>677</v>
      </c>
      <c r="J1755" s="97">
        <v>45975.67937972222</v>
      </c>
      <c r="K1755" s="96" t="s">
        <v>10105</v>
      </c>
      <c r="L1755" s="96" t="s">
        <v>10106</v>
      </c>
      <c r="M1755" s="95" t="s">
        <v>74</v>
      </c>
      <c r="N1755" s="95" t="s">
        <v>10107</v>
      </c>
      <c r="O1755" s="95" t="s">
        <v>10107</v>
      </c>
      <c r="P1755" s="95" t="s">
        <v>10108</v>
      </c>
      <c r="Q1755" s="98">
        <v>3.0</v>
      </c>
      <c r="R1755" s="97">
        <v>45595.34237268518</v>
      </c>
      <c r="S1755" s="99">
        <v>78166.0</v>
      </c>
      <c r="T1755" s="99">
        <v>27.0</v>
      </c>
      <c r="U1755" s="99">
        <v>4.0</v>
      </c>
      <c r="V1755" s="99">
        <v>62.0</v>
      </c>
      <c r="W1755" s="99">
        <v>101808.0</v>
      </c>
    </row>
    <row r="1756" ht="15.75" customHeight="1">
      <c r="A1756" s="95" t="s">
        <v>10109</v>
      </c>
      <c r="B1756" s="95" t="s">
        <v>101</v>
      </c>
      <c r="C1756" s="96" t="s">
        <v>10110</v>
      </c>
      <c r="D1756" s="95" t="s">
        <v>29</v>
      </c>
      <c r="E1756" s="95" t="s">
        <v>598</v>
      </c>
      <c r="F1756" s="95" t="s">
        <v>19</v>
      </c>
      <c r="G1756" s="95" t="s">
        <v>1427</v>
      </c>
      <c r="H1756" s="95" t="s">
        <v>21</v>
      </c>
      <c r="I1756" s="95" t="s">
        <v>3028</v>
      </c>
      <c r="J1756" s="97">
        <v>46056.93466189815</v>
      </c>
      <c r="K1756" s="95" t="s">
        <v>10111</v>
      </c>
      <c r="L1756" s="95"/>
      <c r="M1756" s="95" t="s">
        <v>74</v>
      </c>
      <c r="N1756" s="95" t="s">
        <v>10107</v>
      </c>
      <c r="O1756" s="95" t="s">
        <v>10107</v>
      </c>
      <c r="P1756" s="95" t="s">
        <v>10108</v>
      </c>
      <c r="Q1756" s="98">
        <v>3.0</v>
      </c>
      <c r="R1756" s="97">
        <v>45952.35083333333</v>
      </c>
      <c r="S1756" s="99">
        <v>78166.0</v>
      </c>
      <c r="T1756" s="99">
        <v>648.0</v>
      </c>
      <c r="U1756" s="99">
        <v>9.0</v>
      </c>
      <c r="V1756" s="99">
        <v>24.0</v>
      </c>
      <c r="W1756" s="99">
        <v>101808.0</v>
      </c>
    </row>
    <row r="1757" ht="15.75" customHeight="1">
      <c r="A1757" s="95" t="s">
        <v>10112</v>
      </c>
      <c r="B1757" s="95" t="s">
        <v>69</v>
      </c>
      <c r="C1757" s="96" t="s">
        <v>10113</v>
      </c>
      <c r="D1757" s="95" t="s">
        <v>39</v>
      </c>
      <c r="E1757" s="95" t="s">
        <v>39</v>
      </c>
      <c r="F1757" s="95" t="s">
        <v>88</v>
      </c>
      <c r="G1757" s="95" t="s">
        <v>88</v>
      </c>
      <c r="H1757" s="95" t="s">
        <v>89</v>
      </c>
      <c r="I1757" s="95" t="s">
        <v>5444</v>
      </c>
      <c r="J1757" s="97">
        <v>46056.93466189815</v>
      </c>
      <c r="K1757" s="95" t="s">
        <v>10114</v>
      </c>
      <c r="L1757" s="95"/>
      <c r="M1757" s="95" t="s">
        <v>74</v>
      </c>
      <c r="N1757" s="95" t="s">
        <v>10115</v>
      </c>
      <c r="O1757" s="95" t="s">
        <v>10115</v>
      </c>
      <c r="P1757" s="95" t="s">
        <v>10116</v>
      </c>
      <c r="Q1757" s="98">
        <v>3.0</v>
      </c>
      <c r="R1757" s="97">
        <v>45783.62042824074</v>
      </c>
      <c r="S1757" s="99">
        <v>15957.0</v>
      </c>
      <c r="T1757" s="99">
        <v>84.0</v>
      </c>
      <c r="U1757" s="99">
        <v>1.0</v>
      </c>
      <c r="V1757" s="99">
        <v>0.0</v>
      </c>
      <c r="W1757" s="99">
        <v>147022.0</v>
      </c>
    </row>
    <row r="1758" ht="15.75" customHeight="1">
      <c r="A1758" s="95" t="s">
        <v>10117</v>
      </c>
      <c r="B1758" s="95" t="s">
        <v>22</v>
      </c>
      <c r="C1758" s="96" t="s">
        <v>10118</v>
      </c>
      <c r="D1758" s="95" t="s">
        <v>59</v>
      </c>
      <c r="E1758" s="95" t="s">
        <v>10119</v>
      </c>
      <c r="F1758" s="95" t="s">
        <v>19</v>
      </c>
      <c r="G1758" s="95" t="s">
        <v>19</v>
      </c>
      <c r="H1758" s="95" t="s">
        <v>21</v>
      </c>
      <c r="I1758" s="95" t="s">
        <v>677</v>
      </c>
      <c r="J1758" s="97">
        <v>45975.67930844907</v>
      </c>
      <c r="K1758" s="96" t="s">
        <v>10120</v>
      </c>
      <c r="L1758" s="96" t="s">
        <v>10121</v>
      </c>
      <c r="M1758" s="95" t="s">
        <v>54</v>
      </c>
      <c r="N1758" s="95" t="s">
        <v>10122</v>
      </c>
      <c r="O1758" s="95" t="s">
        <v>10122</v>
      </c>
      <c r="P1758" s="95" t="s">
        <v>10123</v>
      </c>
      <c r="Q1758" s="98">
        <v>3.0</v>
      </c>
      <c r="R1758" s="97">
        <v>45924.07193287037</v>
      </c>
      <c r="S1758" s="99">
        <v>5049.0</v>
      </c>
      <c r="T1758" s="99">
        <v>46.0</v>
      </c>
      <c r="U1758" s="99">
        <v>2.0</v>
      </c>
      <c r="V1758" s="99">
        <v>411.0</v>
      </c>
      <c r="W1758" s="99">
        <v>321677.0</v>
      </c>
    </row>
    <row r="1759" ht="15.75" customHeight="1">
      <c r="A1759" s="95" t="s">
        <v>10124</v>
      </c>
      <c r="B1759" s="95" t="s">
        <v>101</v>
      </c>
      <c r="C1759" s="96" t="s">
        <v>10125</v>
      </c>
      <c r="D1759" s="95" t="s">
        <v>59</v>
      </c>
      <c r="E1759" s="95" t="s">
        <v>10126</v>
      </c>
      <c r="F1759" s="95" t="s">
        <v>19</v>
      </c>
      <c r="G1759" s="95" t="s">
        <v>19</v>
      </c>
      <c r="H1759" s="95" t="s">
        <v>21</v>
      </c>
      <c r="I1759" s="95" t="s">
        <v>2990</v>
      </c>
      <c r="J1759" s="97">
        <v>45993.78544196759</v>
      </c>
      <c r="K1759" s="96" t="s">
        <v>10127</v>
      </c>
      <c r="L1759" s="96" t="s">
        <v>10128</v>
      </c>
      <c r="M1759" s="95" t="s">
        <v>54</v>
      </c>
      <c r="N1759" s="95" t="s">
        <v>10122</v>
      </c>
      <c r="O1759" s="95" t="s">
        <v>10122</v>
      </c>
      <c r="P1759" s="95" t="s">
        <v>10123</v>
      </c>
      <c r="Q1759" s="98">
        <v>3.0</v>
      </c>
      <c r="R1759" s="97">
        <v>45652.57112268519</v>
      </c>
      <c r="S1759" s="99">
        <v>5049.0</v>
      </c>
      <c r="T1759" s="99">
        <v>503.0</v>
      </c>
      <c r="U1759" s="99">
        <v>20.0</v>
      </c>
      <c r="V1759" s="99">
        <v>573.0</v>
      </c>
      <c r="W1759" s="99">
        <v>321677.0</v>
      </c>
    </row>
    <row r="1760" ht="15.75" customHeight="1">
      <c r="A1760" s="95" t="s">
        <v>10129</v>
      </c>
      <c r="B1760" s="95" t="s">
        <v>22</v>
      </c>
      <c r="C1760" s="96" t="s">
        <v>10130</v>
      </c>
      <c r="D1760" s="95" t="s">
        <v>29</v>
      </c>
      <c r="E1760" s="95" t="s">
        <v>598</v>
      </c>
      <c r="F1760" s="95" t="s">
        <v>19</v>
      </c>
      <c r="G1760" s="95" t="s">
        <v>19</v>
      </c>
      <c r="H1760" s="95" t="s">
        <v>21</v>
      </c>
      <c r="I1760" s="95" t="s">
        <v>567</v>
      </c>
      <c r="J1760" s="97">
        <v>45977.6722819213</v>
      </c>
      <c r="K1760" s="95" t="s">
        <v>10131</v>
      </c>
      <c r="L1760" s="96" t="s">
        <v>10132</v>
      </c>
      <c r="M1760" s="95" t="s">
        <v>17</v>
      </c>
      <c r="N1760" s="95" t="s">
        <v>10133</v>
      </c>
      <c r="O1760" s="95" t="s">
        <v>10133</v>
      </c>
      <c r="P1760" s="95" t="s">
        <v>10134</v>
      </c>
      <c r="Q1760" s="98">
        <v>3.0</v>
      </c>
      <c r="R1760" s="97">
        <v>45692.73869212963</v>
      </c>
      <c r="S1760" s="99">
        <v>382.0</v>
      </c>
      <c r="T1760" s="99">
        <v>17.0</v>
      </c>
      <c r="U1760" s="99">
        <v>17.0</v>
      </c>
      <c r="V1760" s="99">
        <v>323.0</v>
      </c>
      <c r="W1760" s="99">
        <v>4996.0</v>
      </c>
    </row>
    <row r="1761" ht="15.75" customHeight="1">
      <c r="A1761" s="95" t="s">
        <v>10135</v>
      </c>
      <c r="B1761" s="95" t="s">
        <v>69</v>
      </c>
      <c r="C1761" s="96" t="s">
        <v>10136</v>
      </c>
      <c r="D1761" s="95" t="s">
        <v>20</v>
      </c>
      <c r="E1761" s="95" t="s">
        <v>638</v>
      </c>
      <c r="F1761" s="95" t="s">
        <v>19</v>
      </c>
      <c r="G1761" s="95" t="s">
        <v>19</v>
      </c>
      <c r="H1761" s="95" t="s">
        <v>21</v>
      </c>
      <c r="I1761" s="95" t="s">
        <v>998</v>
      </c>
      <c r="J1761" s="97">
        <v>46006.66496347222</v>
      </c>
      <c r="K1761" s="95" t="s">
        <v>10137</v>
      </c>
      <c r="L1761" s="96" t="s">
        <v>10138</v>
      </c>
      <c r="M1761" s="95" t="s">
        <v>74</v>
      </c>
      <c r="N1761" s="95" t="s">
        <v>10139</v>
      </c>
      <c r="O1761" s="95" t="s">
        <v>10139</v>
      </c>
      <c r="P1761" s="95" t="s">
        <v>10140</v>
      </c>
      <c r="Q1761" s="98">
        <v>3.0</v>
      </c>
      <c r="R1761" s="97">
        <v>45950.85869212963</v>
      </c>
      <c r="S1761" s="99">
        <v>5954.0</v>
      </c>
      <c r="T1761" s="99">
        <v>11.0</v>
      </c>
      <c r="U1761" s="99">
        <v>8.0</v>
      </c>
      <c r="V1761" s="99">
        <v>400.0</v>
      </c>
      <c r="W1761" s="99">
        <v>327973.0</v>
      </c>
    </row>
    <row r="1762" ht="15.75" customHeight="1">
      <c r="A1762" s="95" t="s">
        <v>10141</v>
      </c>
      <c r="B1762" s="95" t="s">
        <v>131</v>
      </c>
      <c r="C1762" s="96" t="s">
        <v>10142</v>
      </c>
      <c r="D1762" s="95" t="s">
        <v>39</v>
      </c>
      <c r="E1762" s="95" t="s">
        <v>39</v>
      </c>
      <c r="F1762" s="95" t="s">
        <v>58</v>
      </c>
      <c r="G1762" s="95" t="s">
        <v>4690</v>
      </c>
      <c r="H1762" s="95" t="s">
        <v>136</v>
      </c>
      <c r="I1762" s="95" t="s">
        <v>10143</v>
      </c>
      <c r="J1762" s="97">
        <v>46076.63199695602</v>
      </c>
      <c r="K1762" s="95" t="s">
        <v>10144</v>
      </c>
      <c r="L1762" s="96" t="s">
        <v>10145</v>
      </c>
      <c r="M1762" s="95" t="s">
        <v>74</v>
      </c>
      <c r="N1762" s="95" t="s">
        <v>10146</v>
      </c>
      <c r="O1762" s="95" t="s">
        <v>10146</v>
      </c>
      <c r="P1762" s="95" t="s">
        <v>10147</v>
      </c>
      <c r="Q1762" s="98">
        <v>3.0</v>
      </c>
      <c r="R1762" s="97">
        <v>45960.67482638889</v>
      </c>
      <c r="S1762" s="99">
        <v>634.0</v>
      </c>
      <c r="T1762" s="99">
        <v>113.0</v>
      </c>
      <c r="U1762" s="99">
        <v>4.0</v>
      </c>
      <c r="V1762" s="99">
        <v>16.0</v>
      </c>
      <c r="W1762" s="99">
        <v>940964.0</v>
      </c>
    </row>
    <row r="1763" ht="15.75" customHeight="1">
      <c r="A1763" s="95" t="s">
        <v>10148</v>
      </c>
      <c r="B1763" s="95" t="s">
        <v>22</v>
      </c>
      <c r="C1763" s="96" t="s">
        <v>10149</v>
      </c>
      <c r="D1763" s="95" t="s">
        <v>20</v>
      </c>
      <c r="E1763" s="95" t="s">
        <v>638</v>
      </c>
      <c r="F1763" s="95" t="s">
        <v>19</v>
      </c>
      <c r="G1763" s="95" t="s">
        <v>19</v>
      </c>
      <c r="H1763" s="95" t="s">
        <v>21</v>
      </c>
      <c r="I1763" s="95" t="s">
        <v>567</v>
      </c>
      <c r="J1763" s="97">
        <v>46072.52424295139</v>
      </c>
      <c r="K1763" s="95" t="s">
        <v>10150</v>
      </c>
      <c r="L1763" s="96" t="s">
        <v>10151</v>
      </c>
      <c r="M1763" s="95" t="s">
        <v>74</v>
      </c>
      <c r="N1763" s="95" t="s">
        <v>10146</v>
      </c>
      <c r="O1763" s="95" t="s">
        <v>10146</v>
      </c>
      <c r="P1763" s="95" t="s">
        <v>10147</v>
      </c>
      <c r="Q1763" s="98">
        <v>3.0</v>
      </c>
      <c r="R1763" s="97">
        <v>45956.49335648148</v>
      </c>
      <c r="S1763" s="99">
        <v>634.0</v>
      </c>
      <c r="T1763" s="99">
        <v>87.0</v>
      </c>
      <c r="U1763" s="99">
        <v>7.0</v>
      </c>
      <c r="V1763" s="99">
        <v>297.0</v>
      </c>
      <c r="W1763" s="99">
        <v>940964.0</v>
      </c>
    </row>
    <row r="1764" ht="15.75" customHeight="1">
      <c r="A1764" s="95" t="s">
        <v>10152</v>
      </c>
      <c r="B1764" s="95" t="s">
        <v>22</v>
      </c>
      <c r="C1764" s="96" t="s">
        <v>10153</v>
      </c>
      <c r="D1764" s="95" t="s">
        <v>39</v>
      </c>
      <c r="E1764" s="95" t="s">
        <v>1201</v>
      </c>
      <c r="F1764" s="95" t="s">
        <v>19</v>
      </c>
      <c r="G1764" s="95" t="s">
        <v>19</v>
      </c>
      <c r="H1764" s="95" t="s">
        <v>21</v>
      </c>
      <c r="I1764" s="95" t="s">
        <v>677</v>
      </c>
      <c r="J1764" s="97">
        <v>46072.52424295139</v>
      </c>
      <c r="K1764" s="95" t="s">
        <v>10154</v>
      </c>
      <c r="L1764" s="96" t="s">
        <v>10155</v>
      </c>
      <c r="M1764" s="95" t="s">
        <v>74</v>
      </c>
      <c r="N1764" s="95" t="s">
        <v>10146</v>
      </c>
      <c r="O1764" s="95" t="s">
        <v>10146</v>
      </c>
      <c r="P1764" s="95" t="s">
        <v>10147</v>
      </c>
      <c r="Q1764" s="98">
        <v>3.0</v>
      </c>
      <c r="R1764" s="97">
        <v>45956.99232638889</v>
      </c>
      <c r="S1764" s="99">
        <v>634.0</v>
      </c>
      <c r="T1764" s="99">
        <v>68.0</v>
      </c>
      <c r="U1764" s="99">
        <v>20.0</v>
      </c>
      <c r="V1764" s="99">
        <v>531.0</v>
      </c>
      <c r="W1764" s="99">
        <v>940964.0</v>
      </c>
    </row>
    <row r="1765" ht="15.75" customHeight="1">
      <c r="A1765" s="95" t="s">
        <v>10156</v>
      </c>
      <c r="B1765" s="95" t="s">
        <v>22</v>
      </c>
      <c r="C1765" s="96" t="s">
        <v>10157</v>
      </c>
      <c r="D1765" s="95" t="s">
        <v>49</v>
      </c>
      <c r="E1765" s="95" t="s">
        <v>1082</v>
      </c>
      <c r="F1765" s="95" t="s">
        <v>19</v>
      </c>
      <c r="G1765" s="95" t="s">
        <v>19</v>
      </c>
      <c r="H1765" s="95" t="s">
        <v>21</v>
      </c>
      <c r="I1765" s="95" t="s">
        <v>567</v>
      </c>
      <c r="J1765" s="97">
        <v>45975.67936400463</v>
      </c>
      <c r="K1765" s="96" t="s">
        <v>10158</v>
      </c>
      <c r="L1765" s="96" t="s">
        <v>10159</v>
      </c>
      <c r="M1765" s="95" t="s">
        <v>17</v>
      </c>
      <c r="N1765" s="95" t="s">
        <v>10160</v>
      </c>
      <c r="O1765" s="95" t="s">
        <v>10160</v>
      </c>
      <c r="P1765" s="95" t="s">
        <v>10161</v>
      </c>
      <c r="Q1765" s="98">
        <v>3.0</v>
      </c>
      <c r="R1765" s="97">
        <v>45653.840625</v>
      </c>
      <c r="S1765" s="99">
        <v>5126.0</v>
      </c>
      <c r="T1765" s="99">
        <v>64.0</v>
      </c>
      <c r="U1765" s="99">
        <v>14.0</v>
      </c>
      <c r="V1765" s="99">
        <v>40.0</v>
      </c>
      <c r="W1765" s="99">
        <v>91885.0</v>
      </c>
    </row>
    <row r="1766" ht="15.75" customHeight="1">
      <c r="A1766" s="95" t="s">
        <v>10162</v>
      </c>
      <c r="B1766" s="95" t="s">
        <v>131</v>
      </c>
      <c r="C1766" s="96" t="s">
        <v>10163</v>
      </c>
      <c r="D1766" s="95" t="s">
        <v>547</v>
      </c>
      <c r="E1766" s="95" t="s">
        <v>547</v>
      </c>
      <c r="F1766" s="95" t="s">
        <v>19</v>
      </c>
      <c r="G1766" s="95" t="s">
        <v>574</v>
      </c>
      <c r="H1766" s="95" t="s">
        <v>60</v>
      </c>
      <c r="I1766" s="95" t="s">
        <v>1354</v>
      </c>
      <c r="J1766" s="97">
        <v>45975.67936400463</v>
      </c>
      <c r="K1766" s="96" t="s">
        <v>10164</v>
      </c>
      <c r="L1766" s="96" t="s">
        <v>10165</v>
      </c>
      <c r="M1766" s="95" t="s">
        <v>17</v>
      </c>
      <c r="N1766" s="95" t="s">
        <v>10166</v>
      </c>
      <c r="O1766" s="95" t="s">
        <v>10166</v>
      </c>
      <c r="P1766" s="95" t="s">
        <v>10167</v>
      </c>
      <c r="Q1766" s="98">
        <v>3.0</v>
      </c>
      <c r="R1766" s="97">
        <v>45603.72469907408</v>
      </c>
      <c r="S1766" s="99">
        <v>89.0</v>
      </c>
      <c r="T1766" s="99">
        <v>2.0</v>
      </c>
      <c r="U1766" s="99">
        <v>2.0</v>
      </c>
      <c r="V1766" s="99">
        <v>548.0</v>
      </c>
      <c r="W1766" s="99">
        <v>7105.0</v>
      </c>
    </row>
    <row r="1767" ht="15.75" customHeight="1">
      <c r="A1767" s="95" t="s">
        <v>10168</v>
      </c>
      <c r="B1767" s="95" t="s">
        <v>22</v>
      </c>
      <c r="C1767" s="96" t="s">
        <v>10169</v>
      </c>
      <c r="D1767" s="95" t="s">
        <v>49</v>
      </c>
      <c r="E1767" s="95" t="s">
        <v>49</v>
      </c>
      <c r="F1767" s="95" t="s">
        <v>19</v>
      </c>
      <c r="G1767" s="95" t="s">
        <v>574</v>
      </c>
      <c r="H1767" s="95" t="s">
        <v>21</v>
      </c>
      <c r="I1767" s="95" t="s">
        <v>567</v>
      </c>
      <c r="J1767" s="97">
        <v>46021.51514563657</v>
      </c>
      <c r="K1767" s="95" t="s">
        <v>10170</v>
      </c>
      <c r="L1767" s="96" t="s">
        <v>10171</v>
      </c>
      <c r="M1767" s="95" t="s">
        <v>74</v>
      </c>
      <c r="N1767" s="95" t="s">
        <v>10172</v>
      </c>
      <c r="O1767" s="95" t="s">
        <v>10172</v>
      </c>
      <c r="P1767" s="95" t="s">
        <v>10173</v>
      </c>
      <c r="Q1767" s="98">
        <v>3.0</v>
      </c>
      <c r="R1767" s="97">
        <v>45693.51724537037</v>
      </c>
      <c r="S1767" s="99">
        <v>190.0</v>
      </c>
      <c r="T1767" s="99">
        <v>20.0</v>
      </c>
      <c r="U1767" s="99">
        <v>5.0</v>
      </c>
      <c r="V1767" s="99">
        <v>282.0</v>
      </c>
      <c r="W1767" s="99">
        <v>51370.0</v>
      </c>
    </row>
    <row r="1768" ht="15.75" customHeight="1">
      <c r="A1768" s="95" t="s">
        <v>10174</v>
      </c>
      <c r="B1768" s="95" t="s">
        <v>22</v>
      </c>
      <c r="C1768" s="96" t="s">
        <v>10175</v>
      </c>
      <c r="D1768" s="95" t="s">
        <v>59</v>
      </c>
      <c r="E1768" s="95" t="s">
        <v>1873</v>
      </c>
      <c r="F1768" s="95" t="s">
        <v>19</v>
      </c>
      <c r="G1768" s="95" t="s">
        <v>19</v>
      </c>
      <c r="H1768" s="95" t="s">
        <v>21</v>
      </c>
      <c r="I1768" s="95" t="s">
        <v>567</v>
      </c>
      <c r="J1768" s="97">
        <v>46021.51061192129</v>
      </c>
      <c r="K1768" s="95" t="s">
        <v>10176</v>
      </c>
      <c r="L1768" s="96" t="s">
        <v>10177</v>
      </c>
      <c r="M1768" s="95" t="s">
        <v>93</v>
      </c>
      <c r="N1768" s="95" t="s">
        <v>10178</v>
      </c>
      <c r="O1768" s="95" t="s">
        <v>10178</v>
      </c>
      <c r="P1768" s="95" t="s">
        <v>10179</v>
      </c>
      <c r="Q1768" s="98">
        <v>3.0</v>
      </c>
      <c r="R1768" s="97">
        <v>45942.45832175926</v>
      </c>
      <c r="S1768" s="99">
        <v>105.0</v>
      </c>
      <c r="T1768" s="99">
        <v>47.0</v>
      </c>
      <c r="U1768" s="99">
        <v>3.0</v>
      </c>
      <c r="V1768" s="99">
        <v>95.0</v>
      </c>
      <c r="W1768" s="99">
        <v>52379.0</v>
      </c>
    </row>
    <row r="1769" ht="15.75" customHeight="1">
      <c r="A1769" s="95" t="s">
        <v>10180</v>
      </c>
      <c r="B1769" s="95" t="s">
        <v>22</v>
      </c>
      <c r="C1769" s="96" t="s">
        <v>10181</v>
      </c>
      <c r="D1769" s="95" t="s">
        <v>59</v>
      </c>
      <c r="E1769" s="95" t="s">
        <v>1873</v>
      </c>
      <c r="F1769" s="95" t="s">
        <v>19</v>
      </c>
      <c r="G1769" s="95" t="s">
        <v>19</v>
      </c>
      <c r="H1769" s="95" t="s">
        <v>21</v>
      </c>
      <c r="I1769" s="95" t="s">
        <v>567</v>
      </c>
      <c r="J1769" s="97">
        <v>45978.45865711806</v>
      </c>
      <c r="K1769" s="95" t="s">
        <v>10182</v>
      </c>
      <c r="L1769" s="96" t="s">
        <v>10183</v>
      </c>
      <c r="M1769" s="95" t="s">
        <v>105</v>
      </c>
      <c r="N1769" s="95" t="s">
        <v>10184</v>
      </c>
      <c r="O1769" s="95" t="s">
        <v>10184</v>
      </c>
      <c r="P1769" s="95" t="s">
        <v>10185</v>
      </c>
      <c r="Q1769" s="98">
        <v>3.0</v>
      </c>
      <c r="R1769" s="97">
        <v>45887.39289351852</v>
      </c>
      <c r="S1769" s="99">
        <v>10265.0</v>
      </c>
      <c r="T1769" s="99">
        <v>30.0</v>
      </c>
      <c r="U1769" s="99">
        <v>1.0</v>
      </c>
      <c r="V1769" s="99">
        <v>219.0</v>
      </c>
      <c r="W1769" s="99">
        <v>217557.0</v>
      </c>
    </row>
    <row r="1770" ht="15.75" customHeight="1">
      <c r="A1770" s="95" t="s">
        <v>10186</v>
      </c>
      <c r="B1770" s="95" t="s">
        <v>22</v>
      </c>
      <c r="C1770" s="96" t="s">
        <v>10187</v>
      </c>
      <c r="D1770" s="95" t="s">
        <v>124</v>
      </c>
      <c r="E1770" s="95" t="s">
        <v>1731</v>
      </c>
      <c r="F1770" s="95" t="s">
        <v>19</v>
      </c>
      <c r="G1770" s="95" t="s">
        <v>19</v>
      </c>
      <c r="H1770" s="95" t="s">
        <v>21</v>
      </c>
      <c r="I1770" s="95" t="s">
        <v>567</v>
      </c>
      <c r="J1770" s="97">
        <v>45975.67937972222</v>
      </c>
      <c r="K1770" s="96" t="s">
        <v>10188</v>
      </c>
      <c r="L1770" s="96" t="s">
        <v>10189</v>
      </c>
      <c r="M1770" s="95" t="s">
        <v>38</v>
      </c>
      <c r="N1770" s="95" t="s">
        <v>10190</v>
      </c>
      <c r="O1770" s="95" t="s">
        <v>10190</v>
      </c>
      <c r="P1770" s="95" t="s">
        <v>10191</v>
      </c>
      <c r="Q1770" s="98">
        <v>3.0</v>
      </c>
      <c r="R1770" s="97">
        <v>45833.02664351852</v>
      </c>
      <c r="S1770" s="99">
        <v>232.0</v>
      </c>
      <c r="T1770" s="99">
        <v>59.0</v>
      </c>
      <c r="U1770" s="99">
        <v>3.0</v>
      </c>
      <c r="V1770" s="99">
        <v>238.0</v>
      </c>
      <c r="W1770" s="99">
        <v>64766.0</v>
      </c>
    </row>
    <row r="1771" ht="15.75" customHeight="1">
      <c r="A1771" s="95" t="s">
        <v>10192</v>
      </c>
      <c r="B1771" s="95" t="s">
        <v>22</v>
      </c>
      <c r="C1771" s="96" t="s">
        <v>10193</v>
      </c>
      <c r="D1771" s="95" t="s">
        <v>168</v>
      </c>
      <c r="E1771" s="95" t="s">
        <v>168</v>
      </c>
      <c r="F1771" s="95" t="s">
        <v>19</v>
      </c>
      <c r="G1771" s="95" t="s">
        <v>19</v>
      </c>
      <c r="H1771" s="95" t="s">
        <v>21</v>
      </c>
      <c r="I1771" s="95" t="s">
        <v>589</v>
      </c>
      <c r="J1771" s="97">
        <v>45975.67936400463</v>
      </c>
      <c r="K1771" s="96" t="s">
        <v>10194</v>
      </c>
      <c r="L1771" s="96" t="s">
        <v>10195</v>
      </c>
      <c r="M1771" s="95" t="s">
        <v>17</v>
      </c>
      <c r="N1771" s="95" t="s">
        <v>10196</v>
      </c>
      <c r="O1771" s="95" t="s">
        <v>10196</v>
      </c>
      <c r="P1771" s="95" t="s">
        <v>10197</v>
      </c>
      <c r="Q1771" s="98">
        <v>3.0</v>
      </c>
      <c r="R1771" s="97">
        <v>45666.4961574074</v>
      </c>
      <c r="S1771" s="99">
        <v>63.0</v>
      </c>
      <c r="T1771" s="99">
        <v>89.0</v>
      </c>
      <c r="U1771" s="99">
        <v>4.0</v>
      </c>
      <c r="V1771" s="99">
        <v>49.0</v>
      </c>
      <c r="W1771" s="99">
        <v>7197.0</v>
      </c>
    </row>
    <row r="1772" ht="15.75" customHeight="1">
      <c r="A1772" s="95" t="s">
        <v>10198</v>
      </c>
      <c r="B1772" s="95" t="s">
        <v>22</v>
      </c>
      <c r="C1772" s="96" t="s">
        <v>10199</v>
      </c>
      <c r="D1772" s="95" t="s">
        <v>39</v>
      </c>
      <c r="E1772" s="95" t="s">
        <v>614</v>
      </c>
      <c r="F1772" s="95" t="s">
        <v>19</v>
      </c>
      <c r="G1772" s="95" t="s">
        <v>588</v>
      </c>
      <c r="H1772" s="95" t="s">
        <v>21</v>
      </c>
      <c r="I1772" s="95" t="s">
        <v>589</v>
      </c>
      <c r="J1772" s="97">
        <v>46021.50500998842</v>
      </c>
      <c r="K1772" s="95" t="s">
        <v>10200</v>
      </c>
      <c r="L1772" s="96" t="s">
        <v>10201</v>
      </c>
      <c r="M1772" s="95" t="s">
        <v>67</v>
      </c>
      <c r="N1772" s="95" t="s">
        <v>10202</v>
      </c>
      <c r="O1772" s="95" t="s">
        <v>10202</v>
      </c>
      <c r="P1772" s="95" t="s">
        <v>10203</v>
      </c>
      <c r="Q1772" s="98">
        <v>3.0</v>
      </c>
      <c r="R1772" s="97">
        <v>45692.41282407408</v>
      </c>
      <c r="S1772" s="99">
        <v>364.0</v>
      </c>
      <c r="T1772" s="99">
        <v>59.0</v>
      </c>
      <c r="U1772" s="99">
        <v>7.0</v>
      </c>
      <c r="V1772" s="99">
        <v>57.0</v>
      </c>
      <c r="W1772" s="99">
        <v>6974.0</v>
      </c>
    </row>
    <row r="1773" ht="15.75" customHeight="1">
      <c r="A1773" s="95" t="s">
        <v>10204</v>
      </c>
      <c r="B1773" s="95" t="s">
        <v>22</v>
      </c>
      <c r="C1773" s="96" t="s">
        <v>10205</v>
      </c>
      <c r="D1773" s="95" t="s">
        <v>168</v>
      </c>
      <c r="E1773" s="95" t="s">
        <v>606</v>
      </c>
      <c r="F1773" s="95" t="s">
        <v>19</v>
      </c>
      <c r="G1773" s="95" t="s">
        <v>588</v>
      </c>
      <c r="H1773" s="95" t="s">
        <v>21</v>
      </c>
      <c r="I1773" s="95" t="s">
        <v>589</v>
      </c>
      <c r="J1773" s="97">
        <v>45975.67928111111</v>
      </c>
      <c r="K1773" s="96" t="s">
        <v>10206</v>
      </c>
      <c r="L1773" s="95"/>
      <c r="M1773" s="95" t="s">
        <v>105</v>
      </c>
      <c r="N1773" s="95" t="s">
        <v>10207</v>
      </c>
      <c r="O1773" s="95" t="s">
        <v>10207</v>
      </c>
      <c r="P1773" s="95" t="s">
        <v>10208</v>
      </c>
      <c r="Q1773" s="98">
        <v>3.0</v>
      </c>
      <c r="R1773" s="97">
        <v>45277.97217592593</v>
      </c>
      <c r="S1773" s="99">
        <v>170.0</v>
      </c>
      <c r="T1773" s="99">
        <v>199.0</v>
      </c>
      <c r="U1773" s="99">
        <v>1.0</v>
      </c>
      <c r="V1773" s="99">
        <v>230.0</v>
      </c>
      <c r="W1773" s="99">
        <v>999999.0</v>
      </c>
    </row>
    <row r="1774" ht="15.75" customHeight="1">
      <c r="A1774" s="95" t="s">
        <v>10209</v>
      </c>
      <c r="B1774" s="95" t="s">
        <v>22</v>
      </c>
      <c r="C1774" s="96" t="s">
        <v>10210</v>
      </c>
      <c r="D1774" s="95" t="s">
        <v>168</v>
      </c>
      <c r="E1774" s="95" t="s">
        <v>606</v>
      </c>
      <c r="F1774" s="95" t="s">
        <v>19</v>
      </c>
      <c r="G1774" s="95" t="s">
        <v>19</v>
      </c>
      <c r="H1774" s="95" t="s">
        <v>21</v>
      </c>
      <c r="I1774" s="95" t="s">
        <v>567</v>
      </c>
      <c r="J1774" s="97">
        <v>45975.67928111111</v>
      </c>
      <c r="K1774" s="96" t="s">
        <v>10211</v>
      </c>
      <c r="L1774" s="96" t="s">
        <v>10212</v>
      </c>
      <c r="M1774" s="95" t="s">
        <v>105</v>
      </c>
      <c r="N1774" s="95" t="s">
        <v>10207</v>
      </c>
      <c r="O1774" s="95" t="s">
        <v>10207</v>
      </c>
      <c r="P1774" s="95" t="s">
        <v>10208</v>
      </c>
      <c r="Q1774" s="98">
        <v>3.0</v>
      </c>
      <c r="R1774" s="97">
        <v>45274.8544212963</v>
      </c>
      <c r="S1774" s="99">
        <v>170.0</v>
      </c>
      <c r="T1774" s="99">
        <v>190.0</v>
      </c>
      <c r="U1774" s="99">
        <v>7.0</v>
      </c>
      <c r="V1774" s="99">
        <v>641.0</v>
      </c>
      <c r="W1774" s="99">
        <v>999999.0</v>
      </c>
    </row>
    <row r="1775" ht="15.75" customHeight="1">
      <c r="A1775" s="95" t="s">
        <v>10213</v>
      </c>
      <c r="B1775" s="95" t="s">
        <v>22</v>
      </c>
      <c r="C1775" s="96" t="s">
        <v>10214</v>
      </c>
      <c r="D1775" s="95" t="s">
        <v>29</v>
      </c>
      <c r="E1775" s="95" t="s">
        <v>29</v>
      </c>
      <c r="F1775" s="95" t="s">
        <v>19</v>
      </c>
      <c r="G1775" s="95" t="s">
        <v>19</v>
      </c>
      <c r="H1775" s="95" t="s">
        <v>21</v>
      </c>
      <c r="I1775" s="95" t="s">
        <v>677</v>
      </c>
      <c r="J1775" s="97">
        <v>46021.50517908565</v>
      </c>
      <c r="K1775" s="95" t="s">
        <v>10215</v>
      </c>
      <c r="L1775" s="96" t="s">
        <v>10216</v>
      </c>
      <c r="M1775" s="95" t="s">
        <v>93</v>
      </c>
      <c r="N1775" s="95" t="s">
        <v>10217</v>
      </c>
      <c r="O1775" s="95" t="s">
        <v>10217</v>
      </c>
      <c r="P1775" s="95" t="s">
        <v>10218</v>
      </c>
      <c r="Q1775" s="98">
        <v>3.0</v>
      </c>
      <c r="R1775" s="97">
        <v>45771.58230324074</v>
      </c>
      <c r="S1775" s="99">
        <v>495.0</v>
      </c>
      <c r="T1775" s="99">
        <v>96.0</v>
      </c>
      <c r="U1775" s="99">
        <v>1.0</v>
      </c>
      <c r="V1775" s="99">
        <v>84.0</v>
      </c>
      <c r="W1775" s="99">
        <v>6967.0</v>
      </c>
    </row>
    <row r="1776" ht="15.75" customHeight="1">
      <c r="A1776" s="95" t="s">
        <v>10219</v>
      </c>
      <c r="B1776" s="95" t="s">
        <v>101</v>
      </c>
      <c r="C1776" s="96" t="s">
        <v>10220</v>
      </c>
      <c r="D1776" s="95" t="s">
        <v>124</v>
      </c>
      <c r="E1776" s="95" t="s">
        <v>2158</v>
      </c>
      <c r="F1776" s="95" t="s">
        <v>19</v>
      </c>
      <c r="G1776" s="95" t="s">
        <v>19</v>
      </c>
      <c r="H1776" s="95" t="s">
        <v>21</v>
      </c>
      <c r="I1776" s="95" t="s">
        <v>745</v>
      </c>
      <c r="J1776" s="97">
        <v>46021.49951997685</v>
      </c>
      <c r="K1776" s="95" t="s">
        <v>10221</v>
      </c>
      <c r="L1776" s="96" t="s">
        <v>10222</v>
      </c>
      <c r="M1776" s="95" t="s">
        <v>38</v>
      </c>
      <c r="N1776" s="95" t="s">
        <v>10223</v>
      </c>
      <c r="O1776" s="95" t="s">
        <v>10223</v>
      </c>
      <c r="P1776" s="95" t="s">
        <v>10224</v>
      </c>
      <c r="Q1776" s="98">
        <v>3.0</v>
      </c>
      <c r="R1776" s="97">
        <v>45789.31703703704</v>
      </c>
      <c r="S1776" s="99">
        <v>413.0</v>
      </c>
      <c r="T1776" s="99">
        <v>38.0</v>
      </c>
      <c r="U1776" s="99">
        <v>1.0</v>
      </c>
      <c r="V1776" s="99">
        <v>402.0</v>
      </c>
      <c r="W1776" s="99">
        <v>75270.0</v>
      </c>
    </row>
    <row r="1777" ht="15.75" customHeight="1">
      <c r="A1777" s="95" t="s">
        <v>10225</v>
      </c>
      <c r="B1777" s="95" t="s">
        <v>101</v>
      </c>
      <c r="C1777" s="96" t="s">
        <v>10226</v>
      </c>
      <c r="D1777" s="95" t="s">
        <v>68</v>
      </c>
      <c r="E1777" s="95" t="s">
        <v>769</v>
      </c>
      <c r="F1777" s="95" t="s">
        <v>19</v>
      </c>
      <c r="G1777" s="95" t="s">
        <v>588</v>
      </c>
      <c r="H1777" s="95" t="s">
        <v>21</v>
      </c>
      <c r="I1777" s="95" t="s">
        <v>607</v>
      </c>
      <c r="J1777" s="97">
        <v>46021.50517908565</v>
      </c>
      <c r="K1777" s="95" t="s">
        <v>10227</v>
      </c>
      <c r="L1777" s="96" t="s">
        <v>10228</v>
      </c>
      <c r="M1777" s="95" t="s">
        <v>74</v>
      </c>
      <c r="N1777" s="95" t="s">
        <v>10229</v>
      </c>
      <c r="O1777" s="95" t="s">
        <v>10229</v>
      </c>
      <c r="P1777" s="95" t="s">
        <v>10230</v>
      </c>
      <c r="Q1777" s="98">
        <v>3.0</v>
      </c>
      <c r="R1777" s="97">
        <v>45923.19357638889</v>
      </c>
      <c r="S1777" s="99">
        <v>117.0</v>
      </c>
      <c r="T1777" s="99">
        <v>64.0</v>
      </c>
      <c r="U1777" s="99">
        <v>6.0</v>
      </c>
      <c r="V1777" s="99">
        <v>85.0</v>
      </c>
      <c r="W1777" s="99">
        <v>4682.0</v>
      </c>
    </row>
    <row r="1778" ht="15.75" customHeight="1">
      <c r="A1778" s="95" t="s">
        <v>10231</v>
      </c>
      <c r="B1778" s="95" t="s">
        <v>22</v>
      </c>
      <c r="C1778" s="96" t="s">
        <v>10232</v>
      </c>
      <c r="D1778" s="95" t="s">
        <v>39</v>
      </c>
      <c r="E1778" s="95" t="s">
        <v>10233</v>
      </c>
      <c r="F1778" s="95" t="s">
        <v>19</v>
      </c>
      <c r="G1778" s="95" t="s">
        <v>19</v>
      </c>
      <c r="H1778" s="95" t="s">
        <v>21</v>
      </c>
      <c r="I1778" s="95" t="s">
        <v>567</v>
      </c>
      <c r="J1778" s="97">
        <v>46003.09131208334</v>
      </c>
      <c r="K1778" s="95" t="s">
        <v>10234</v>
      </c>
      <c r="L1778" s="96" t="s">
        <v>10235</v>
      </c>
      <c r="M1778" s="95" t="s">
        <v>105</v>
      </c>
      <c r="N1778" s="95" t="s">
        <v>10236</v>
      </c>
      <c r="O1778" s="95" t="s">
        <v>10236</v>
      </c>
      <c r="P1778" s="95" t="s">
        <v>10237</v>
      </c>
      <c r="Q1778" s="98">
        <v>3.0</v>
      </c>
      <c r="R1778" s="97">
        <v>45711.72135416666</v>
      </c>
      <c r="S1778" s="99">
        <v>73.0</v>
      </c>
      <c r="T1778" s="99">
        <v>368.0</v>
      </c>
      <c r="U1778" s="99">
        <v>1.0</v>
      </c>
      <c r="V1778" s="99">
        <v>173.0</v>
      </c>
      <c r="W1778" s="99">
        <v>48122.0</v>
      </c>
    </row>
    <row r="1779" ht="15.75" customHeight="1">
      <c r="A1779" s="95" t="s">
        <v>10238</v>
      </c>
      <c r="B1779" s="95" t="s">
        <v>22</v>
      </c>
      <c r="C1779" s="96" t="s">
        <v>10239</v>
      </c>
      <c r="D1779" s="95" t="s">
        <v>68</v>
      </c>
      <c r="E1779" s="95" t="s">
        <v>68</v>
      </c>
      <c r="F1779" s="95" t="s">
        <v>19</v>
      </c>
      <c r="G1779" s="95" t="s">
        <v>574</v>
      </c>
      <c r="H1779" s="95" t="s">
        <v>21</v>
      </c>
      <c r="I1779" s="95" t="s">
        <v>567</v>
      </c>
      <c r="J1779" s="97">
        <v>46021.50517908565</v>
      </c>
      <c r="K1779" s="95" t="s">
        <v>10240</v>
      </c>
      <c r="L1779" s="96" t="s">
        <v>10241</v>
      </c>
      <c r="M1779" s="95" t="s">
        <v>93</v>
      </c>
      <c r="N1779" s="95" t="s">
        <v>10242</v>
      </c>
      <c r="O1779" s="95" t="s">
        <v>10242</v>
      </c>
      <c r="P1779" s="95" t="s">
        <v>10243</v>
      </c>
      <c r="Q1779" s="98">
        <v>3.0</v>
      </c>
      <c r="R1779" s="97">
        <v>45776.57825231482</v>
      </c>
      <c r="S1779" s="99">
        <v>58.0</v>
      </c>
      <c r="T1779" s="99">
        <v>1053.0</v>
      </c>
      <c r="U1779" s="99">
        <v>1.0</v>
      </c>
      <c r="V1779" s="99">
        <v>404.0</v>
      </c>
      <c r="W1779" s="99">
        <v>42313.0</v>
      </c>
    </row>
    <row r="1780" ht="15.75" customHeight="1">
      <c r="A1780" s="95" t="s">
        <v>10244</v>
      </c>
      <c r="B1780" s="95" t="s">
        <v>22</v>
      </c>
      <c r="C1780" s="96" t="s">
        <v>10245</v>
      </c>
      <c r="D1780" s="95" t="s">
        <v>68</v>
      </c>
      <c r="E1780" s="95" t="s">
        <v>68</v>
      </c>
      <c r="F1780" s="95" t="s">
        <v>19</v>
      </c>
      <c r="G1780" s="95" t="s">
        <v>574</v>
      </c>
      <c r="H1780" s="95" t="s">
        <v>21</v>
      </c>
      <c r="I1780" s="95" t="s">
        <v>567</v>
      </c>
      <c r="J1780" s="97">
        <v>46021.50517908565</v>
      </c>
      <c r="K1780" s="95" t="s">
        <v>10246</v>
      </c>
      <c r="L1780" s="96" t="s">
        <v>10247</v>
      </c>
      <c r="M1780" s="95" t="s">
        <v>93</v>
      </c>
      <c r="N1780" s="95" t="s">
        <v>10242</v>
      </c>
      <c r="O1780" s="95" t="s">
        <v>10242</v>
      </c>
      <c r="P1780" s="95" t="s">
        <v>10243</v>
      </c>
      <c r="Q1780" s="98">
        <v>3.0</v>
      </c>
      <c r="R1780" s="97">
        <v>45680.38092592593</v>
      </c>
      <c r="S1780" s="99">
        <v>58.0</v>
      </c>
      <c r="T1780" s="99">
        <v>550.0</v>
      </c>
      <c r="U1780" s="99">
        <v>11.0</v>
      </c>
      <c r="V1780" s="99">
        <v>241.0</v>
      </c>
      <c r="W1780" s="99">
        <v>42313.0</v>
      </c>
    </row>
    <row r="1781" ht="15.75" customHeight="1">
      <c r="A1781" s="95" t="s">
        <v>10248</v>
      </c>
      <c r="B1781" s="95" t="s">
        <v>22</v>
      </c>
      <c r="C1781" s="96" t="s">
        <v>10249</v>
      </c>
      <c r="D1781" s="95" t="s">
        <v>130</v>
      </c>
      <c r="E1781" s="95" t="s">
        <v>917</v>
      </c>
      <c r="F1781" s="95" t="s">
        <v>88</v>
      </c>
      <c r="G1781" s="95" t="s">
        <v>88</v>
      </c>
      <c r="H1781" s="95" t="s">
        <v>21</v>
      </c>
      <c r="I1781" s="95" t="s">
        <v>567</v>
      </c>
      <c r="J1781" s="97">
        <v>45978.46070116898</v>
      </c>
      <c r="K1781" s="95" t="s">
        <v>10250</v>
      </c>
      <c r="L1781" s="96" t="s">
        <v>10251</v>
      </c>
      <c r="M1781" s="95" t="s">
        <v>54</v>
      </c>
      <c r="N1781" s="95" t="s">
        <v>10252</v>
      </c>
      <c r="O1781" s="95" t="s">
        <v>10252</v>
      </c>
      <c r="P1781" s="95" t="s">
        <v>10253</v>
      </c>
      <c r="Q1781" s="98">
        <v>3.0</v>
      </c>
      <c r="R1781" s="97">
        <v>45894.66197916667</v>
      </c>
      <c r="S1781" s="99">
        <v>934.0</v>
      </c>
      <c r="T1781" s="99">
        <v>22.0</v>
      </c>
      <c r="U1781" s="99">
        <v>4.0</v>
      </c>
      <c r="V1781" s="99">
        <v>42.0</v>
      </c>
      <c r="W1781" s="99">
        <v>85067.0</v>
      </c>
    </row>
    <row r="1782" ht="15.75" customHeight="1">
      <c r="A1782" s="95" t="s">
        <v>10254</v>
      </c>
      <c r="B1782" s="95" t="s">
        <v>22</v>
      </c>
      <c r="C1782" s="96" t="s">
        <v>10255</v>
      </c>
      <c r="D1782" s="95" t="s">
        <v>39</v>
      </c>
      <c r="E1782" s="95" t="s">
        <v>39</v>
      </c>
      <c r="F1782" s="95" t="s">
        <v>19</v>
      </c>
      <c r="G1782" s="95" t="s">
        <v>19</v>
      </c>
      <c r="H1782" s="95" t="s">
        <v>21</v>
      </c>
      <c r="I1782" s="95" t="s">
        <v>567</v>
      </c>
      <c r="J1782" s="97">
        <v>46021.51606228009</v>
      </c>
      <c r="K1782" s="95" t="s">
        <v>10256</v>
      </c>
      <c r="L1782" s="96" t="s">
        <v>10257</v>
      </c>
      <c r="M1782" s="95" t="s">
        <v>93</v>
      </c>
      <c r="N1782" s="95" t="s">
        <v>10258</v>
      </c>
      <c r="O1782" s="95" t="s">
        <v>10258</v>
      </c>
      <c r="P1782" s="95" t="s">
        <v>10259</v>
      </c>
      <c r="Q1782" s="98">
        <v>3.0</v>
      </c>
      <c r="R1782" s="97">
        <v>45856.49353009259</v>
      </c>
      <c r="S1782" s="99">
        <v>66.0</v>
      </c>
      <c r="T1782" s="99">
        <v>1941.0</v>
      </c>
      <c r="U1782" s="99">
        <v>169.0</v>
      </c>
      <c r="V1782" s="99">
        <v>157.0</v>
      </c>
      <c r="W1782" s="99">
        <v>3571194.0</v>
      </c>
    </row>
    <row r="1783" ht="15.75" customHeight="1">
      <c r="A1783" s="95" t="s">
        <v>10260</v>
      </c>
      <c r="B1783" s="95" t="s">
        <v>22</v>
      </c>
      <c r="C1783" s="96" t="s">
        <v>10261</v>
      </c>
      <c r="D1783" s="95" t="s">
        <v>39</v>
      </c>
      <c r="E1783" s="95" t="s">
        <v>10262</v>
      </c>
      <c r="F1783" s="95" t="s">
        <v>19</v>
      </c>
      <c r="G1783" s="95" t="s">
        <v>19</v>
      </c>
      <c r="H1783" s="95" t="s">
        <v>21</v>
      </c>
      <c r="I1783" s="95" t="s">
        <v>567</v>
      </c>
      <c r="J1783" s="97">
        <v>45975.67936400463</v>
      </c>
      <c r="K1783" s="96" t="s">
        <v>10263</v>
      </c>
      <c r="L1783" s="96" t="s">
        <v>10264</v>
      </c>
      <c r="M1783" s="95" t="s">
        <v>17</v>
      </c>
      <c r="N1783" s="95" t="s">
        <v>10265</v>
      </c>
      <c r="O1783" s="95" t="s">
        <v>10265</v>
      </c>
      <c r="P1783" s="95" t="s">
        <v>10266</v>
      </c>
      <c r="Q1783" s="98">
        <v>3.0</v>
      </c>
      <c r="R1783" s="97">
        <v>45911.69054398148</v>
      </c>
      <c r="S1783" s="99">
        <v>94.0</v>
      </c>
      <c r="T1783" s="99">
        <v>108.0</v>
      </c>
      <c r="U1783" s="99">
        <v>2.0</v>
      </c>
      <c r="V1783" s="99">
        <v>685.0</v>
      </c>
      <c r="W1783" s="99">
        <v>51121.0</v>
      </c>
    </row>
    <row r="1784" ht="15.75" customHeight="1">
      <c r="A1784" s="95" t="s">
        <v>10267</v>
      </c>
      <c r="B1784" s="95" t="s">
        <v>22</v>
      </c>
      <c r="C1784" s="96" t="s">
        <v>10268</v>
      </c>
      <c r="D1784" s="95" t="s">
        <v>49</v>
      </c>
      <c r="E1784" s="95" t="s">
        <v>1082</v>
      </c>
      <c r="F1784" s="95" t="s">
        <v>19</v>
      </c>
      <c r="G1784" s="95" t="s">
        <v>19</v>
      </c>
      <c r="H1784" s="95" t="s">
        <v>21</v>
      </c>
      <c r="I1784" s="95" t="s">
        <v>567</v>
      </c>
      <c r="J1784" s="97">
        <v>46008.62906497685</v>
      </c>
      <c r="K1784" s="96" t="s">
        <v>10269</v>
      </c>
      <c r="L1784" s="96" t="s">
        <v>10270</v>
      </c>
      <c r="M1784" s="95" t="s">
        <v>17</v>
      </c>
      <c r="N1784" s="95" t="s">
        <v>10271</v>
      </c>
      <c r="O1784" s="95" t="s">
        <v>10271</v>
      </c>
      <c r="P1784" s="95" t="s">
        <v>10272</v>
      </c>
      <c r="Q1784" s="98">
        <v>3.0</v>
      </c>
      <c r="R1784" s="97">
        <v>45714.87487268518</v>
      </c>
      <c r="S1784" s="99">
        <v>221.0</v>
      </c>
      <c r="T1784" s="99">
        <v>56.0</v>
      </c>
      <c r="U1784" s="99">
        <v>4.0</v>
      </c>
      <c r="V1784" s="99">
        <v>94.0</v>
      </c>
      <c r="W1784" s="99">
        <v>48689.0</v>
      </c>
    </row>
    <row r="1785" ht="15.75" customHeight="1">
      <c r="A1785" s="95" t="s">
        <v>10273</v>
      </c>
      <c r="B1785" s="95" t="s">
        <v>131</v>
      </c>
      <c r="C1785" s="96" t="s">
        <v>10274</v>
      </c>
      <c r="D1785" s="95" t="s">
        <v>29</v>
      </c>
      <c r="E1785" s="95" t="s">
        <v>29</v>
      </c>
      <c r="F1785" s="95" t="s">
        <v>19</v>
      </c>
      <c r="G1785" s="95" t="s">
        <v>574</v>
      </c>
      <c r="H1785" s="95" t="s">
        <v>21</v>
      </c>
      <c r="I1785" s="95" t="s">
        <v>2428</v>
      </c>
      <c r="J1785" s="97">
        <v>46021.50677472222</v>
      </c>
      <c r="K1785" s="95" t="s">
        <v>10275</v>
      </c>
      <c r="L1785" s="96" t="s">
        <v>10276</v>
      </c>
      <c r="M1785" s="95" t="s">
        <v>74</v>
      </c>
      <c r="N1785" s="95" t="s">
        <v>10277</v>
      </c>
      <c r="O1785" s="95" t="s">
        <v>10277</v>
      </c>
      <c r="P1785" s="95" t="s">
        <v>10278</v>
      </c>
      <c r="Q1785" s="98">
        <v>3.0</v>
      </c>
      <c r="R1785" s="97">
        <v>45609.99049768518</v>
      </c>
      <c r="S1785" s="99">
        <v>946.0</v>
      </c>
      <c r="T1785" s="99">
        <v>8.0</v>
      </c>
      <c r="U1785" s="99">
        <v>2.0</v>
      </c>
      <c r="V1785" s="99">
        <v>103.0</v>
      </c>
      <c r="W1785" s="99">
        <v>310390.0</v>
      </c>
    </row>
    <row r="1786" ht="15.75" customHeight="1">
      <c r="A1786" s="95" t="s">
        <v>10279</v>
      </c>
      <c r="B1786" s="95" t="s">
        <v>69</v>
      </c>
      <c r="C1786" s="96" t="s">
        <v>10280</v>
      </c>
      <c r="D1786" s="95" t="s">
        <v>39</v>
      </c>
      <c r="E1786" s="95" t="s">
        <v>39</v>
      </c>
      <c r="F1786" s="95" t="s">
        <v>88</v>
      </c>
      <c r="G1786" s="95" t="s">
        <v>639</v>
      </c>
      <c r="H1786" s="95" t="s">
        <v>89</v>
      </c>
      <c r="I1786" s="95" t="s">
        <v>5444</v>
      </c>
      <c r="J1786" s="97">
        <v>46072.52424295139</v>
      </c>
      <c r="K1786" s="95" t="s">
        <v>10281</v>
      </c>
      <c r="L1786" s="96" t="s">
        <v>10282</v>
      </c>
      <c r="M1786" s="95" t="s">
        <v>74</v>
      </c>
      <c r="N1786" s="95" t="s">
        <v>10283</v>
      </c>
      <c r="O1786" s="95" t="s">
        <v>10283</v>
      </c>
      <c r="P1786" s="95" t="s">
        <v>10284</v>
      </c>
      <c r="Q1786" s="98">
        <v>3.0</v>
      </c>
      <c r="R1786" s="97">
        <v>45842.67489583333</v>
      </c>
      <c r="S1786" s="99">
        <v>21919.0</v>
      </c>
      <c r="T1786" s="99">
        <v>17.0</v>
      </c>
      <c r="U1786" s="99">
        <v>2.0</v>
      </c>
      <c r="V1786" s="99">
        <v>26.0</v>
      </c>
      <c r="W1786" s="99">
        <v>79402.0</v>
      </c>
    </row>
    <row r="1787" ht="15.75" customHeight="1">
      <c r="A1787" s="95" t="s">
        <v>10285</v>
      </c>
      <c r="B1787" s="95" t="s">
        <v>22</v>
      </c>
      <c r="C1787" s="96" t="s">
        <v>10286</v>
      </c>
      <c r="D1787" s="95" t="s">
        <v>39</v>
      </c>
      <c r="E1787" s="95" t="s">
        <v>614</v>
      </c>
      <c r="F1787" s="95" t="s">
        <v>19</v>
      </c>
      <c r="G1787" s="95" t="s">
        <v>19</v>
      </c>
      <c r="H1787" s="95" t="s">
        <v>21</v>
      </c>
      <c r="I1787" s="95" t="s">
        <v>567</v>
      </c>
      <c r="J1787" s="97">
        <v>46021.49951997685</v>
      </c>
      <c r="K1787" s="95" t="s">
        <v>10287</v>
      </c>
      <c r="L1787" s="96" t="s">
        <v>10288</v>
      </c>
      <c r="M1787" s="95" t="s">
        <v>54</v>
      </c>
      <c r="N1787" s="95" t="s">
        <v>10289</v>
      </c>
      <c r="O1787" s="95" t="s">
        <v>10289</v>
      </c>
      <c r="P1787" s="95" t="s">
        <v>10290</v>
      </c>
      <c r="Q1787" s="98">
        <v>3.0</v>
      </c>
      <c r="R1787" s="97">
        <v>45765.37387731481</v>
      </c>
      <c r="S1787" s="99">
        <v>393.0</v>
      </c>
      <c r="T1787" s="99">
        <v>39.0</v>
      </c>
      <c r="U1787" s="99">
        <v>3.0</v>
      </c>
      <c r="V1787" s="99">
        <v>118.0</v>
      </c>
      <c r="W1787" s="99">
        <v>19880.0</v>
      </c>
    </row>
    <row r="1788" ht="15.75" customHeight="1">
      <c r="A1788" s="95" t="s">
        <v>10291</v>
      </c>
      <c r="B1788" s="95" t="s">
        <v>131</v>
      </c>
      <c r="C1788" s="96" t="s">
        <v>10292</v>
      </c>
      <c r="D1788" s="95" t="s">
        <v>124</v>
      </c>
      <c r="E1788" s="95" t="s">
        <v>3531</v>
      </c>
      <c r="F1788" s="95" t="s">
        <v>19</v>
      </c>
      <c r="G1788" s="95" t="s">
        <v>19</v>
      </c>
      <c r="H1788" s="95" t="s">
        <v>21</v>
      </c>
      <c r="I1788" s="95" t="s">
        <v>5525</v>
      </c>
      <c r="J1788" s="97">
        <v>46021.51606228009</v>
      </c>
      <c r="K1788" s="95" t="s">
        <v>10293</v>
      </c>
      <c r="L1788" s="96" t="s">
        <v>10294</v>
      </c>
      <c r="M1788" s="95" t="s">
        <v>74</v>
      </c>
      <c r="N1788" s="95" t="s">
        <v>10295</v>
      </c>
      <c r="O1788" s="95" t="s">
        <v>10295</v>
      </c>
      <c r="P1788" s="95" t="s">
        <v>10296</v>
      </c>
      <c r="Q1788" s="98">
        <v>3.0</v>
      </c>
      <c r="R1788" s="97">
        <v>45947.98387731481</v>
      </c>
      <c r="S1788" s="99">
        <v>319.0</v>
      </c>
      <c r="T1788" s="99">
        <v>33.0</v>
      </c>
      <c r="U1788" s="99">
        <v>8.0</v>
      </c>
      <c r="V1788" s="99">
        <v>196.0</v>
      </c>
      <c r="W1788" s="99">
        <v>223628.0</v>
      </c>
    </row>
    <row r="1789" ht="15.75" customHeight="1">
      <c r="A1789" s="95" t="s">
        <v>10297</v>
      </c>
      <c r="B1789" s="95" t="s">
        <v>22</v>
      </c>
      <c r="C1789" s="96" t="s">
        <v>10298</v>
      </c>
      <c r="D1789" s="95" t="s">
        <v>20</v>
      </c>
      <c r="E1789" s="95" t="s">
        <v>638</v>
      </c>
      <c r="F1789" s="95" t="s">
        <v>19</v>
      </c>
      <c r="G1789" s="95" t="s">
        <v>19</v>
      </c>
      <c r="H1789" s="95" t="s">
        <v>21</v>
      </c>
      <c r="I1789" s="95" t="s">
        <v>589</v>
      </c>
      <c r="J1789" s="97">
        <v>46021.50677472222</v>
      </c>
      <c r="K1789" s="95" t="s">
        <v>10299</v>
      </c>
      <c r="L1789" s="96" t="s">
        <v>10300</v>
      </c>
      <c r="M1789" s="95" t="s">
        <v>67</v>
      </c>
      <c r="N1789" s="95" t="s">
        <v>10301</v>
      </c>
      <c r="O1789" s="95" t="s">
        <v>10301</v>
      </c>
      <c r="P1789" s="95" t="s">
        <v>10302</v>
      </c>
      <c r="Q1789" s="98">
        <v>3.0</v>
      </c>
      <c r="R1789" s="97">
        <v>45829.55565972222</v>
      </c>
      <c r="S1789" s="99">
        <v>1004.0</v>
      </c>
      <c r="T1789" s="99">
        <v>58.0</v>
      </c>
      <c r="U1789" s="99">
        <v>5.0</v>
      </c>
      <c r="V1789" s="99">
        <v>81.0</v>
      </c>
      <c r="W1789" s="99">
        <v>8258.0</v>
      </c>
    </row>
    <row r="1790" ht="15.75" customHeight="1">
      <c r="A1790" s="95" t="s">
        <v>10303</v>
      </c>
      <c r="B1790" s="95" t="s">
        <v>22</v>
      </c>
      <c r="C1790" s="96" t="s">
        <v>10304</v>
      </c>
      <c r="D1790" s="95" t="s">
        <v>39</v>
      </c>
      <c r="E1790" s="95" t="s">
        <v>39</v>
      </c>
      <c r="F1790" s="95" t="s">
        <v>19</v>
      </c>
      <c r="G1790" s="95" t="s">
        <v>574</v>
      </c>
      <c r="H1790" s="95" t="s">
        <v>21</v>
      </c>
      <c r="I1790" s="95" t="s">
        <v>677</v>
      </c>
      <c r="J1790" s="97">
        <v>46021.50677472222</v>
      </c>
      <c r="K1790" s="95" t="s">
        <v>10305</v>
      </c>
      <c r="L1790" s="96" t="s">
        <v>10306</v>
      </c>
      <c r="M1790" s="95" t="s">
        <v>67</v>
      </c>
      <c r="N1790" s="95" t="s">
        <v>10307</v>
      </c>
      <c r="O1790" s="95" t="s">
        <v>10307</v>
      </c>
      <c r="P1790" s="95" t="s">
        <v>10308</v>
      </c>
      <c r="Q1790" s="98">
        <v>3.0</v>
      </c>
      <c r="R1790" s="97">
        <v>45632.48717592593</v>
      </c>
      <c r="S1790" s="99">
        <v>330.0</v>
      </c>
      <c r="T1790" s="99">
        <v>639.0</v>
      </c>
      <c r="U1790" s="99">
        <v>29.0</v>
      </c>
      <c r="V1790" s="99">
        <v>126.0</v>
      </c>
      <c r="W1790" s="99">
        <v>4459.0</v>
      </c>
    </row>
    <row r="1791" ht="15.75" customHeight="1">
      <c r="A1791" s="95" t="s">
        <v>10309</v>
      </c>
      <c r="B1791" s="95" t="s">
        <v>22</v>
      </c>
      <c r="C1791" s="96" t="s">
        <v>10310</v>
      </c>
      <c r="D1791" s="95" t="s">
        <v>59</v>
      </c>
      <c r="E1791" s="95" t="s">
        <v>738</v>
      </c>
      <c r="F1791" s="95" t="s">
        <v>19</v>
      </c>
      <c r="G1791" s="95" t="s">
        <v>19</v>
      </c>
      <c r="H1791" s="95" t="s">
        <v>21</v>
      </c>
      <c r="I1791" s="95" t="s">
        <v>567</v>
      </c>
      <c r="J1791" s="97">
        <v>46021.51606228009</v>
      </c>
      <c r="K1791" s="95" t="s">
        <v>10311</v>
      </c>
      <c r="L1791" s="96" t="s">
        <v>10312</v>
      </c>
      <c r="M1791" s="95" t="s">
        <v>54</v>
      </c>
      <c r="N1791" s="95" t="s">
        <v>10313</v>
      </c>
      <c r="O1791" s="95" t="s">
        <v>10313</v>
      </c>
      <c r="P1791" s="95" t="s">
        <v>10314</v>
      </c>
      <c r="Q1791" s="98">
        <v>3.0</v>
      </c>
      <c r="R1791" s="97">
        <v>45876.83217592593</v>
      </c>
      <c r="S1791" s="99">
        <v>1529.0</v>
      </c>
      <c r="T1791" s="99">
        <v>116.0</v>
      </c>
      <c r="U1791" s="99">
        <v>4.0</v>
      </c>
      <c r="V1791" s="99">
        <v>188.0</v>
      </c>
      <c r="W1791" s="99">
        <v>15042.0</v>
      </c>
    </row>
    <row r="1792" ht="15.75" customHeight="1">
      <c r="A1792" s="95" t="s">
        <v>10315</v>
      </c>
      <c r="B1792" s="95" t="s">
        <v>101</v>
      </c>
      <c r="C1792" s="96" t="s">
        <v>10316</v>
      </c>
      <c r="D1792" s="95" t="s">
        <v>39</v>
      </c>
      <c r="E1792" s="95" t="s">
        <v>39</v>
      </c>
      <c r="F1792" s="95" t="s">
        <v>19</v>
      </c>
      <c r="G1792" s="95" t="s">
        <v>19</v>
      </c>
      <c r="H1792" s="95" t="s">
        <v>21</v>
      </c>
      <c r="I1792" s="95" t="s">
        <v>1589</v>
      </c>
      <c r="J1792" s="97">
        <v>46021.49951997685</v>
      </c>
      <c r="K1792" s="95" t="s">
        <v>10317</v>
      </c>
      <c r="L1792" s="96" t="s">
        <v>10318</v>
      </c>
      <c r="M1792" s="95" t="s">
        <v>54</v>
      </c>
      <c r="N1792" s="95" t="s">
        <v>10319</v>
      </c>
      <c r="O1792" s="95" t="s">
        <v>10319</v>
      </c>
      <c r="P1792" s="95" t="s">
        <v>10320</v>
      </c>
      <c r="Q1792" s="98">
        <v>3.0</v>
      </c>
      <c r="R1792" s="97">
        <v>45694.2009375</v>
      </c>
      <c r="S1792" s="99">
        <v>134.0</v>
      </c>
      <c r="T1792" s="99">
        <v>27.0</v>
      </c>
      <c r="U1792" s="99">
        <v>3.0</v>
      </c>
      <c r="V1792" s="99">
        <v>66.0</v>
      </c>
      <c r="W1792" s="99">
        <v>121768.0</v>
      </c>
    </row>
    <row r="1793" ht="15.75" customHeight="1">
      <c r="A1793" s="95" t="s">
        <v>10321</v>
      </c>
      <c r="B1793" s="95" t="s">
        <v>22</v>
      </c>
      <c r="C1793" s="96" t="s">
        <v>10322</v>
      </c>
      <c r="D1793" s="95" t="s">
        <v>59</v>
      </c>
      <c r="E1793" s="95" t="s">
        <v>59</v>
      </c>
      <c r="F1793" s="95" t="s">
        <v>19</v>
      </c>
      <c r="G1793" s="95" t="s">
        <v>19</v>
      </c>
      <c r="H1793" s="95" t="s">
        <v>21</v>
      </c>
      <c r="I1793" s="95" t="s">
        <v>567</v>
      </c>
      <c r="J1793" s="97">
        <v>45975.67936400463</v>
      </c>
      <c r="K1793" s="96" t="s">
        <v>10323</v>
      </c>
      <c r="L1793" s="96" t="s">
        <v>10324</v>
      </c>
      <c r="M1793" s="95" t="s">
        <v>67</v>
      </c>
      <c r="N1793" s="95" t="s">
        <v>10325</v>
      </c>
      <c r="O1793" s="95" t="s">
        <v>10325</v>
      </c>
      <c r="P1793" s="95" t="s">
        <v>10326</v>
      </c>
      <c r="Q1793" s="98">
        <v>3.0</v>
      </c>
      <c r="R1793" s="97">
        <v>45834.64130787037</v>
      </c>
      <c r="S1793" s="99">
        <v>3190.0</v>
      </c>
      <c r="T1793" s="99">
        <v>149.0</v>
      </c>
      <c r="U1793" s="99">
        <v>12.0</v>
      </c>
      <c r="V1793" s="99">
        <v>73.0</v>
      </c>
      <c r="W1793" s="99">
        <v>46261.0</v>
      </c>
    </row>
    <row r="1794" ht="15.75" customHeight="1">
      <c r="A1794" s="95" t="s">
        <v>10327</v>
      </c>
      <c r="B1794" s="95" t="s">
        <v>101</v>
      </c>
      <c r="C1794" s="96" t="s">
        <v>10328</v>
      </c>
      <c r="D1794" s="95" t="s">
        <v>39</v>
      </c>
      <c r="E1794" s="95" t="s">
        <v>9384</v>
      </c>
      <c r="F1794" s="95" t="s">
        <v>19</v>
      </c>
      <c r="G1794" s="95" t="s">
        <v>1427</v>
      </c>
      <c r="H1794" s="95" t="s">
        <v>21</v>
      </c>
      <c r="I1794" s="95" t="s">
        <v>955</v>
      </c>
      <c r="J1794" s="97">
        <v>46021.51606228009</v>
      </c>
      <c r="K1794" s="95" t="s">
        <v>10329</v>
      </c>
      <c r="L1794" s="96" t="s">
        <v>10330</v>
      </c>
      <c r="M1794" s="95" t="s">
        <v>54</v>
      </c>
      <c r="N1794" s="95" t="s">
        <v>10331</v>
      </c>
      <c r="O1794" s="95" t="s">
        <v>10331</v>
      </c>
      <c r="P1794" s="95" t="s">
        <v>10332</v>
      </c>
      <c r="Q1794" s="98">
        <v>3.0</v>
      </c>
      <c r="R1794" s="97">
        <v>45898.16322916667</v>
      </c>
      <c r="S1794" s="99">
        <v>280.0</v>
      </c>
      <c r="T1794" s="99">
        <v>77.0</v>
      </c>
      <c r="U1794" s="99">
        <v>6.0</v>
      </c>
      <c r="V1794" s="99">
        <v>136.0</v>
      </c>
      <c r="W1794" s="99">
        <v>18716.0</v>
      </c>
    </row>
    <row r="1795" ht="15.75" customHeight="1">
      <c r="A1795" s="95" t="s">
        <v>10333</v>
      </c>
      <c r="B1795" s="95" t="s">
        <v>69</v>
      </c>
      <c r="C1795" s="96" t="s">
        <v>10334</v>
      </c>
      <c r="D1795" s="95" t="s">
        <v>59</v>
      </c>
      <c r="E1795" s="95" t="s">
        <v>59</v>
      </c>
      <c r="F1795" s="95" t="s">
        <v>58</v>
      </c>
      <c r="G1795" s="95" t="s">
        <v>1450</v>
      </c>
      <c r="H1795" s="95" t="s">
        <v>77</v>
      </c>
      <c r="I1795" s="95" t="s">
        <v>5296</v>
      </c>
      <c r="J1795" s="97">
        <v>46021.51606228009</v>
      </c>
      <c r="K1795" s="95" t="s">
        <v>10335</v>
      </c>
      <c r="L1795" s="96" t="s">
        <v>10336</v>
      </c>
      <c r="M1795" s="95" t="s">
        <v>54</v>
      </c>
      <c r="N1795" s="95" t="s">
        <v>10337</v>
      </c>
      <c r="O1795" s="95" t="s">
        <v>10337</v>
      </c>
      <c r="P1795" s="95" t="s">
        <v>10338</v>
      </c>
      <c r="Q1795" s="98">
        <v>3.0</v>
      </c>
      <c r="R1795" s="97">
        <v>45789.44063657407</v>
      </c>
      <c r="S1795" s="99">
        <v>392.0</v>
      </c>
      <c r="T1795" s="99">
        <v>489.0</v>
      </c>
      <c r="U1795" s="99">
        <v>6.0</v>
      </c>
      <c r="V1795" s="99">
        <v>1150.0</v>
      </c>
      <c r="W1795" s="99">
        <v>21560.0</v>
      </c>
    </row>
    <row r="1796" ht="15.75" customHeight="1">
      <c r="A1796" s="95" t="s">
        <v>10339</v>
      </c>
      <c r="B1796" s="95" t="s">
        <v>22</v>
      </c>
      <c r="C1796" s="96" t="s">
        <v>10340</v>
      </c>
      <c r="D1796" s="95" t="s">
        <v>39</v>
      </c>
      <c r="E1796" s="95" t="s">
        <v>614</v>
      </c>
      <c r="F1796" s="95" t="s">
        <v>19</v>
      </c>
      <c r="G1796" s="95" t="s">
        <v>19</v>
      </c>
      <c r="H1796" s="95" t="s">
        <v>21</v>
      </c>
      <c r="I1796" s="95" t="s">
        <v>677</v>
      </c>
      <c r="J1796" s="97">
        <v>46057.09267251157</v>
      </c>
      <c r="K1796" s="95" t="s">
        <v>10341</v>
      </c>
      <c r="L1796" s="96" t="s">
        <v>10342</v>
      </c>
      <c r="M1796" s="95" t="s">
        <v>93</v>
      </c>
      <c r="N1796" s="95" t="s">
        <v>10343</v>
      </c>
      <c r="O1796" s="95" t="s">
        <v>10343</v>
      </c>
      <c r="P1796" s="95" t="s">
        <v>10344</v>
      </c>
      <c r="Q1796" s="98">
        <v>3.0</v>
      </c>
      <c r="R1796" s="97">
        <v>43630.51094907407</v>
      </c>
      <c r="S1796" s="99">
        <v>2016.0</v>
      </c>
      <c r="T1796" s="99">
        <v>593.0</v>
      </c>
      <c r="U1796" s="99">
        <v>17.0</v>
      </c>
      <c r="V1796" s="99">
        <v>166.0</v>
      </c>
      <c r="W1796" s="99">
        <v>261558.0</v>
      </c>
    </row>
    <row r="1797" ht="15.75" customHeight="1">
      <c r="A1797" s="95" t="s">
        <v>10345</v>
      </c>
      <c r="B1797" s="95" t="s">
        <v>69</v>
      </c>
      <c r="C1797" s="96" t="s">
        <v>10346</v>
      </c>
      <c r="D1797" s="95" t="s">
        <v>29</v>
      </c>
      <c r="E1797" s="95" t="s">
        <v>598</v>
      </c>
      <c r="F1797" s="95" t="s">
        <v>58</v>
      </c>
      <c r="G1797" s="95" t="s">
        <v>2409</v>
      </c>
      <c r="H1797" s="95" t="s">
        <v>89</v>
      </c>
      <c r="I1797" s="95" t="s">
        <v>640</v>
      </c>
      <c r="J1797" s="97">
        <v>46069.65910748843</v>
      </c>
      <c r="K1797" s="95" t="s">
        <v>10347</v>
      </c>
      <c r="L1797" s="96" t="s">
        <v>10348</v>
      </c>
      <c r="M1797" s="95" t="s">
        <v>93</v>
      </c>
      <c r="N1797" s="95" t="s">
        <v>10343</v>
      </c>
      <c r="O1797" s="95" t="s">
        <v>10343</v>
      </c>
      <c r="P1797" s="95" t="s">
        <v>10344</v>
      </c>
      <c r="Q1797" s="98">
        <v>3.0</v>
      </c>
      <c r="R1797" s="97">
        <v>46007.64612268518</v>
      </c>
      <c r="S1797" s="99">
        <v>2016.0</v>
      </c>
      <c r="T1797" s="99">
        <v>1130.0</v>
      </c>
      <c r="U1797" s="99">
        <v>2.0</v>
      </c>
      <c r="V1797" s="99">
        <v>160.0</v>
      </c>
      <c r="W1797" s="99">
        <v>261558.0</v>
      </c>
    </row>
    <row r="1798" ht="15.75" customHeight="1">
      <c r="A1798" s="95" t="s">
        <v>10349</v>
      </c>
      <c r="B1798" s="95" t="s">
        <v>101</v>
      </c>
      <c r="C1798" s="96" t="s">
        <v>10350</v>
      </c>
      <c r="D1798" s="95" t="s">
        <v>29</v>
      </c>
      <c r="E1798" s="95" t="s">
        <v>29</v>
      </c>
      <c r="F1798" s="95" t="s">
        <v>19</v>
      </c>
      <c r="G1798" s="95" t="s">
        <v>574</v>
      </c>
      <c r="H1798" s="95" t="s">
        <v>21</v>
      </c>
      <c r="I1798" s="95" t="s">
        <v>607</v>
      </c>
      <c r="J1798" s="97">
        <v>46021.51606228009</v>
      </c>
      <c r="K1798" s="95" t="s">
        <v>10351</v>
      </c>
      <c r="L1798" s="96" t="s">
        <v>10352</v>
      </c>
      <c r="M1798" s="95" t="s">
        <v>74</v>
      </c>
      <c r="N1798" s="95" t="s">
        <v>10353</v>
      </c>
      <c r="O1798" s="95" t="s">
        <v>10353</v>
      </c>
      <c r="P1798" s="95" t="s">
        <v>10354</v>
      </c>
      <c r="Q1798" s="98">
        <v>3.0</v>
      </c>
      <c r="R1798" s="97">
        <v>45878.07059027778</v>
      </c>
      <c r="S1798" s="99">
        <v>841.0</v>
      </c>
      <c r="T1798" s="99">
        <v>228.0</v>
      </c>
      <c r="U1798" s="99">
        <v>9.0</v>
      </c>
      <c r="V1798" s="99">
        <v>319.0</v>
      </c>
      <c r="W1798" s="99">
        <v>85698.0</v>
      </c>
    </row>
    <row r="1799" ht="15.75" customHeight="1">
      <c r="A1799" s="95" t="s">
        <v>10355</v>
      </c>
      <c r="B1799" s="95" t="s">
        <v>69</v>
      </c>
      <c r="C1799" s="96" t="s">
        <v>10356</v>
      </c>
      <c r="D1799" s="95" t="s">
        <v>168</v>
      </c>
      <c r="E1799" s="95" t="s">
        <v>1228</v>
      </c>
      <c r="F1799" s="95" t="s">
        <v>88</v>
      </c>
      <c r="G1799" s="95" t="s">
        <v>639</v>
      </c>
      <c r="H1799" s="95" t="s">
        <v>89</v>
      </c>
      <c r="I1799" s="95" t="s">
        <v>640</v>
      </c>
      <c r="J1799" s="97">
        <v>45977.14386478009</v>
      </c>
      <c r="K1799" s="95" t="s">
        <v>10357</v>
      </c>
      <c r="L1799" s="96" t="s">
        <v>10358</v>
      </c>
      <c r="M1799" s="95" t="s">
        <v>17</v>
      </c>
      <c r="N1799" s="95" t="s">
        <v>10359</v>
      </c>
      <c r="O1799" s="95" t="s">
        <v>10359</v>
      </c>
      <c r="P1799" s="95" t="s">
        <v>10360</v>
      </c>
      <c r="Q1799" s="98">
        <v>3.0</v>
      </c>
      <c r="R1799" s="97">
        <v>45855.54174768519</v>
      </c>
      <c r="S1799" s="99">
        <v>234.0</v>
      </c>
      <c r="T1799" s="99">
        <v>21.0</v>
      </c>
      <c r="U1799" s="99">
        <v>54.0</v>
      </c>
      <c r="V1799" s="99">
        <v>40.0</v>
      </c>
      <c r="W1799" s="99">
        <v>14167.0</v>
      </c>
    </row>
    <row r="1800" ht="15.75" customHeight="1">
      <c r="A1800" s="95" t="s">
        <v>10361</v>
      </c>
      <c r="B1800" s="95" t="s">
        <v>22</v>
      </c>
      <c r="C1800" s="96" t="s">
        <v>10362</v>
      </c>
      <c r="D1800" s="95" t="s">
        <v>168</v>
      </c>
      <c r="E1800" s="95" t="s">
        <v>1228</v>
      </c>
      <c r="F1800" s="95" t="s">
        <v>19</v>
      </c>
      <c r="G1800" s="95" t="s">
        <v>19</v>
      </c>
      <c r="H1800" s="95" t="s">
        <v>21</v>
      </c>
      <c r="I1800" s="95" t="s">
        <v>567</v>
      </c>
      <c r="J1800" s="97">
        <v>46008.62906494213</v>
      </c>
      <c r="K1800" s="96" t="s">
        <v>10363</v>
      </c>
      <c r="L1800" s="96" t="s">
        <v>10364</v>
      </c>
      <c r="M1800" s="95" t="s">
        <v>17</v>
      </c>
      <c r="N1800" s="95" t="s">
        <v>10359</v>
      </c>
      <c r="O1800" s="95" t="s">
        <v>10359</v>
      </c>
      <c r="P1800" s="95" t="s">
        <v>10360</v>
      </c>
      <c r="Q1800" s="98">
        <v>3.0</v>
      </c>
      <c r="R1800" s="97">
        <v>45629.93248842593</v>
      </c>
      <c r="S1800" s="99">
        <v>234.0</v>
      </c>
      <c r="T1800" s="99">
        <v>121.0</v>
      </c>
      <c r="U1800" s="99">
        <v>31.0</v>
      </c>
      <c r="V1800" s="99">
        <v>344.0</v>
      </c>
      <c r="W1800" s="99">
        <v>14167.0</v>
      </c>
    </row>
    <row r="1801" ht="15.75" customHeight="1">
      <c r="A1801" s="95" t="s">
        <v>10365</v>
      </c>
      <c r="B1801" s="95" t="s">
        <v>22</v>
      </c>
      <c r="C1801" s="96" t="s">
        <v>10366</v>
      </c>
      <c r="D1801" s="95" t="s">
        <v>68</v>
      </c>
      <c r="E1801" s="95" t="s">
        <v>1901</v>
      </c>
      <c r="F1801" s="95" t="s">
        <v>19</v>
      </c>
      <c r="G1801" s="95" t="s">
        <v>19</v>
      </c>
      <c r="H1801" s="95" t="s">
        <v>21</v>
      </c>
      <c r="I1801" s="95" t="s">
        <v>567</v>
      </c>
      <c r="J1801" s="97">
        <v>46021.51606228009</v>
      </c>
      <c r="K1801" s="95" t="s">
        <v>10367</v>
      </c>
      <c r="L1801" s="96" t="s">
        <v>10368</v>
      </c>
      <c r="M1801" s="95" t="s">
        <v>105</v>
      </c>
      <c r="N1801" s="95" t="s">
        <v>10369</v>
      </c>
      <c r="O1801" s="95" t="s">
        <v>10369</v>
      </c>
      <c r="P1801" s="95" t="s">
        <v>10370</v>
      </c>
      <c r="Q1801" s="98">
        <v>3.0</v>
      </c>
      <c r="R1801" s="97">
        <v>45421.50876157408</v>
      </c>
      <c r="S1801" s="99">
        <v>69.0</v>
      </c>
      <c r="T1801" s="99">
        <v>32.0</v>
      </c>
      <c r="U1801" s="99">
        <v>1.0</v>
      </c>
      <c r="V1801" s="99">
        <v>44.0</v>
      </c>
      <c r="W1801" s="99">
        <v>223398.0</v>
      </c>
    </row>
    <row r="1802" ht="15.75" customHeight="1">
      <c r="A1802" s="95" t="s">
        <v>10371</v>
      </c>
      <c r="B1802" s="95" t="s">
        <v>69</v>
      </c>
      <c r="C1802" s="96" t="s">
        <v>10372</v>
      </c>
      <c r="D1802" s="95" t="s">
        <v>124</v>
      </c>
      <c r="E1802" s="95" t="s">
        <v>2195</v>
      </c>
      <c r="F1802" s="95" t="s">
        <v>19</v>
      </c>
      <c r="G1802" s="95" t="s">
        <v>574</v>
      </c>
      <c r="H1802" s="95" t="s">
        <v>21</v>
      </c>
      <c r="I1802" s="95" t="s">
        <v>10373</v>
      </c>
      <c r="J1802" s="97">
        <v>46008.62896543981</v>
      </c>
      <c r="K1802" s="96" t="s">
        <v>10374</v>
      </c>
      <c r="L1802" s="96" t="s">
        <v>10375</v>
      </c>
      <c r="M1802" s="95" t="s">
        <v>54</v>
      </c>
      <c r="N1802" s="95" t="s">
        <v>10376</v>
      </c>
      <c r="O1802" s="95" t="s">
        <v>10376</v>
      </c>
      <c r="P1802" s="95" t="s">
        <v>10377</v>
      </c>
      <c r="Q1802" s="98">
        <v>3.0</v>
      </c>
      <c r="R1802" s="97">
        <v>45615.67721064815</v>
      </c>
      <c r="S1802" s="99">
        <v>0.0</v>
      </c>
      <c r="T1802" s="99">
        <v>71.0</v>
      </c>
      <c r="U1802" s="99">
        <v>8.0</v>
      </c>
      <c r="V1802" s="99">
        <v>650.0</v>
      </c>
      <c r="W1802" s="99">
        <v>13250.0</v>
      </c>
    </row>
    <row r="1803" ht="15.75" customHeight="1">
      <c r="A1803" s="95" t="s">
        <v>10378</v>
      </c>
      <c r="B1803" s="95" t="s">
        <v>101</v>
      </c>
      <c r="C1803" s="96" t="s">
        <v>10379</v>
      </c>
      <c r="D1803" s="95" t="s">
        <v>59</v>
      </c>
      <c r="E1803" s="95" t="s">
        <v>738</v>
      </c>
      <c r="F1803" s="95" t="s">
        <v>19</v>
      </c>
      <c r="G1803" s="95" t="s">
        <v>19</v>
      </c>
      <c r="H1803" s="95" t="s">
        <v>21</v>
      </c>
      <c r="I1803" s="95" t="s">
        <v>955</v>
      </c>
      <c r="J1803" s="97">
        <v>45975.67930055556</v>
      </c>
      <c r="K1803" s="96" t="s">
        <v>10380</v>
      </c>
      <c r="L1803" s="96" t="s">
        <v>10381</v>
      </c>
      <c r="M1803" s="95" t="s">
        <v>105</v>
      </c>
      <c r="N1803" s="95" t="s">
        <v>10382</v>
      </c>
      <c r="O1803" s="95" t="s">
        <v>10382</v>
      </c>
      <c r="P1803" s="95" t="s">
        <v>10383</v>
      </c>
      <c r="Q1803" s="98">
        <v>3.0</v>
      </c>
      <c r="R1803" s="97">
        <v>45824.56841435185</v>
      </c>
      <c r="S1803" s="99">
        <v>2145.0</v>
      </c>
      <c r="T1803" s="99">
        <v>51.0</v>
      </c>
      <c r="U1803" s="99">
        <v>1.0</v>
      </c>
      <c r="V1803" s="99">
        <v>135.0</v>
      </c>
      <c r="W1803" s="99">
        <v>633699.0</v>
      </c>
    </row>
    <row r="1804" ht="15.75" customHeight="1">
      <c r="A1804" s="95" t="s">
        <v>10384</v>
      </c>
      <c r="B1804" s="95" t="s">
        <v>22</v>
      </c>
      <c r="C1804" s="96" t="s">
        <v>10385</v>
      </c>
      <c r="D1804" s="95" t="s">
        <v>49</v>
      </c>
      <c r="E1804" s="95" t="s">
        <v>948</v>
      </c>
      <c r="F1804" s="95" t="s">
        <v>19</v>
      </c>
      <c r="G1804" s="95" t="s">
        <v>19</v>
      </c>
      <c r="H1804" s="95" t="s">
        <v>21</v>
      </c>
      <c r="I1804" s="95" t="s">
        <v>567</v>
      </c>
      <c r="J1804" s="97">
        <v>46021.49951997685</v>
      </c>
      <c r="K1804" s="95" t="s">
        <v>10386</v>
      </c>
      <c r="L1804" s="96" t="s">
        <v>10387</v>
      </c>
      <c r="M1804" s="95" t="s">
        <v>54</v>
      </c>
      <c r="N1804" s="95" t="s">
        <v>10388</v>
      </c>
      <c r="O1804" s="95" t="s">
        <v>10388</v>
      </c>
      <c r="P1804" s="95" t="s">
        <v>10389</v>
      </c>
      <c r="Q1804" s="98">
        <v>3.0</v>
      </c>
      <c r="R1804" s="97">
        <v>45719.8628587963</v>
      </c>
      <c r="S1804" s="99">
        <v>193.0</v>
      </c>
      <c r="T1804" s="99">
        <v>787.0</v>
      </c>
      <c r="U1804" s="99">
        <v>15.0</v>
      </c>
      <c r="V1804" s="99">
        <v>342.0</v>
      </c>
      <c r="W1804" s="99">
        <v>485710.0</v>
      </c>
    </row>
    <row r="1805" ht="15.75" customHeight="1">
      <c r="A1805" s="95" t="s">
        <v>10390</v>
      </c>
      <c r="B1805" s="95" t="s">
        <v>22</v>
      </c>
      <c r="C1805" s="96" t="s">
        <v>10391</v>
      </c>
      <c r="D1805" s="95" t="s">
        <v>49</v>
      </c>
      <c r="E1805" s="95" t="s">
        <v>49</v>
      </c>
      <c r="F1805" s="95" t="s">
        <v>19</v>
      </c>
      <c r="G1805" s="95" t="s">
        <v>19</v>
      </c>
      <c r="H1805" s="95" t="s">
        <v>21</v>
      </c>
      <c r="I1805" s="95" t="s">
        <v>677</v>
      </c>
      <c r="J1805" s="97">
        <v>46021.49951997685</v>
      </c>
      <c r="K1805" s="95" t="s">
        <v>10392</v>
      </c>
      <c r="L1805" s="96" t="s">
        <v>10393</v>
      </c>
      <c r="M1805" s="95" t="s">
        <v>54</v>
      </c>
      <c r="N1805" s="95" t="s">
        <v>10388</v>
      </c>
      <c r="O1805" s="95" t="s">
        <v>10388</v>
      </c>
      <c r="P1805" s="95" t="s">
        <v>10389</v>
      </c>
      <c r="Q1805" s="98">
        <v>3.0</v>
      </c>
      <c r="R1805" s="97">
        <v>45686.02914351852</v>
      </c>
      <c r="S1805" s="99">
        <v>193.0</v>
      </c>
      <c r="T1805" s="99">
        <v>3190.0</v>
      </c>
      <c r="U1805" s="99">
        <v>24.0</v>
      </c>
      <c r="V1805" s="99">
        <v>604.0</v>
      </c>
      <c r="W1805" s="99">
        <v>485710.0</v>
      </c>
    </row>
    <row r="1806" ht="15.75" customHeight="1">
      <c r="A1806" s="95" t="s">
        <v>10394</v>
      </c>
      <c r="B1806" s="95" t="s">
        <v>157</v>
      </c>
      <c r="C1806" s="96" t="s">
        <v>10395</v>
      </c>
      <c r="D1806" s="95" t="s">
        <v>49</v>
      </c>
      <c r="E1806" s="95" t="s">
        <v>948</v>
      </c>
      <c r="F1806" s="95" t="s">
        <v>88</v>
      </c>
      <c r="G1806" s="95" t="s">
        <v>88</v>
      </c>
      <c r="H1806" s="95" t="s">
        <v>89</v>
      </c>
      <c r="I1806" s="95" t="s">
        <v>859</v>
      </c>
      <c r="J1806" s="97">
        <v>45980.93987125</v>
      </c>
      <c r="K1806" s="95" t="s">
        <v>10396</v>
      </c>
      <c r="L1806" s="96" t="s">
        <v>10397</v>
      </c>
      <c r="M1806" s="95" t="s">
        <v>54</v>
      </c>
      <c r="N1806" s="95" t="s">
        <v>10388</v>
      </c>
      <c r="O1806" s="95" t="s">
        <v>10388</v>
      </c>
      <c r="P1806" s="95" t="s">
        <v>10389</v>
      </c>
      <c r="Q1806" s="98">
        <v>3.0</v>
      </c>
      <c r="R1806" s="97">
        <v>45638.31498842593</v>
      </c>
      <c r="S1806" s="99">
        <v>193.0</v>
      </c>
      <c r="T1806" s="99">
        <v>368.0</v>
      </c>
      <c r="U1806" s="99">
        <v>21.0</v>
      </c>
      <c r="V1806" s="99">
        <v>88.0</v>
      </c>
      <c r="W1806" s="99">
        <v>485710.0</v>
      </c>
    </row>
    <row r="1807" ht="15.75" customHeight="1">
      <c r="A1807" s="95" t="s">
        <v>10398</v>
      </c>
      <c r="B1807" s="95" t="s">
        <v>131</v>
      </c>
      <c r="C1807" s="96" t="s">
        <v>10399</v>
      </c>
      <c r="D1807" s="95" t="s">
        <v>49</v>
      </c>
      <c r="E1807" s="95" t="s">
        <v>948</v>
      </c>
      <c r="F1807" s="95" t="s">
        <v>19</v>
      </c>
      <c r="G1807" s="95" t="s">
        <v>574</v>
      </c>
      <c r="H1807" s="95" t="s">
        <v>21</v>
      </c>
      <c r="I1807" s="95" t="s">
        <v>5525</v>
      </c>
      <c r="J1807" s="97">
        <v>46021.50677472222</v>
      </c>
      <c r="K1807" s="95" t="s">
        <v>10400</v>
      </c>
      <c r="L1807" s="96" t="s">
        <v>10401</v>
      </c>
      <c r="M1807" s="95" t="s">
        <v>54</v>
      </c>
      <c r="N1807" s="95" t="s">
        <v>10388</v>
      </c>
      <c r="O1807" s="95" t="s">
        <v>10388</v>
      </c>
      <c r="P1807" s="95" t="s">
        <v>10389</v>
      </c>
      <c r="Q1807" s="98">
        <v>3.0</v>
      </c>
      <c r="R1807" s="97">
        <v>45891.65515046296</v>
      </c>
      <c r="S1807" s="99">
        <v>193.0</v>
      </c>
      <c r="T1807" s="99">
        <v>4.0</v>
      </c>
      <c r="U1807" s="99">
        <v>10.0</v>
      </c>
      <c r="V1807" s="99">
        <v>90.0</v>
      </c>
      <c r="W1807" s="99">
        <v>485710.0</v>
      </c>
    </row>
    <row r="1808" ht="15.75" customHeight="1">
      <c r="A1808" s="95" t="s">
        <v>10402</v>
      </c>
      <c r="B1808" s="95" t="s">
        <v>101</v>
      </c>
      <c r="C1808" s="96" t="s">
        <v>10403</v>
      </c>
      <c r="D1808" s="95" t="s">
        <v>49</v>
      </c>
      <c r="E1808" s="95" t="s">
        <v>948</v>
      </c>
      <c r="F1808" s="95" t="s">
        <v>19</v>
      </c>
      <c r="G1808" s="95" t="s">
        <v>19</v>
      </c>
      <c r="H1808" s="95" t="s">
        <v>21</v>
      </c>
      <c r="I1808" s="95" t="s">
        <v>781</v>
      </c>
      <c r="J1808" s="97">
        <v>46021.50677472222</v>
      </c>
      <c r="K1808" s="95" t="s">
        <v>10404</v>
      </c>
      <c r="L1808" s="96" t="s">
        <v>10405</v>
      </c>
      <c r="M1808" s="95" t="s">
        <v>54</v>
      </c>
      <c r="N1808" s="95" t="s">
        <v>10388</v>
      </c>
      <c r="O1808" s="95" t="s">
        <v>10388</v>
      </c>
      <c r="P1808" s="95" t="s">
        <v>10389</v>
      </c>
      <c r="Q1808" s="98">
        <v>3.0</v>
      </c>
      <c r="R1808" s="97">
        <v>45756.63896990741</v>
      </c>
      <c r="S1808" s="99">
        <v>193.0</v>
      </c>
      <c r="T1808" s="99">
        <v>45.0</v>
      </c>
      <c r="U1808" s="99">
        <v>37.0</v>
      </c>
      <c r="V1808" s="99">
        <v>524.0</v>
      </c>
      <c r="W1808" s="99">
        <v>485710.0</v>
      </c>
    </row>
    <row r="1809" ht="15.75" customHeight="1">
      <c r="A1809" s="95" t="s">
        <v>10406</v>
      </c>
      <c r="B1809" s="95" t="s">
        <v>22</v>
      </c>
      <c r="C1809" s="96" t="s">
        <v>10407</v>
      </c>
      <c r="D1809" s="95" t="s">
        <v>49</v>
      </c>
      <c r="E1809" s="95" t="s">
        <v>948</v>
      </c>
      <c r="F1809" s="95" t="s">
        <v>19</v>
      </c>
      <c r="G1809" s="95" t="s">
        <v>19</v>
      </c>
      <c r="H1809" s="95" t="s">
        <v>21</v>
      </c>
      <c r="I1809" s="95" t="s">
        <v>567</v>
      </c>
      <c r="J1809" s="97">
        <v>46021.51606228009</v>
      </c>
      <c r="K1809" s="95" t="s">
        <v>10408</v>
      </c>
      <c r="L1809" s="96" t="s">
        <v>10409</v>
      </c>
      <c r="M1809" s="95" t="s">
        <v>54</v>
      </c>
      <c r="N1809" s="95" t="s">
        <v>10388</v>
      </c>
      <c r="O1809" s="95" t="s">
        <v>10388</v>
      </c>
      <c r="P1809" s="95" t="s">
        <v>10389</v>
      </c>
      <c r="Q1809" s="98">
        <v>3.0</v>
      </c>
      <c r="R1809" s="97">
        <v>45695.85434027778</v>
      </c>
      <c r="S1809" s="99">
        <v>193.0</v>
      </c>
      <c r="T1809" s="99">
        <v>3.0</v>
      </c>
      <c r="U1809" s="99">
        <v>2.0</v>
      </c>
      <c r="V1809" s="99">
        <v>1724.0</v>
      </c>
      <c r="W1809" s="99">
        <v>485710.0</v>
      </c>
    </row>
    <row r="1810" ht="15.75" customHeight="1">
      <c r="A1810" s="95" t="s">
        <v>10410</v>
      </c>
      <c r="B1810" s="95" t="s">
        <v>131</v>
      </c>
      <c r="C1810" s="96" t="s">
        <v>10411</v>
      </c>
      <c r="D1810" s="95" t="s">
        <v>49</v>
      </c>
      <c r="E1810" s="95" t="s">
        <v>1082</v>
      </c>
      <c r="F1810" s="95" t="s">
        <v>19</v>
      </c>
      <c r="G1810" s="95" t="s">
        <v>574</v>
      </c>
      <c r="H1810" s="95" t="s">
        <v>60</v>
      </c>
      <c r="I1810" s="95" t="s">
        <v>10412</v>
      </c>
      <c r="J1810" s="97">
        <v>46021.49964371528</v>
      </c>
      <c r="K1810" s="95" t="s">
        <v>10413</v>
      </c>
      <c r="L1810" s="96" t="s">
        <v>10414</v>
      </c>
      <c r="M1810" s="95" t="s">
        <v>74</v>
      </c>
      <c r="N1810" s="95" t="s">
        <v>10415</v>
      </c>
      <c r="O1810" s="95" t="s">
        <v>10415</v>
      </c>
      <c r="P1810" s="95" t="s">
        <v>10416</v>
      </c>
      <c r="Q1810" s="98">
        <v>3.0</v>
      </c>
      <c r="R1810" s="97">
        <v>45726.81173611111</v>
      </c>
      <c r="S1810" s="99">
        <v>63.0</v>
      </c>
      <c r="T1810" s="99">
        <v>3.0</v>
      </c>
      <c r="U1810" s="99">
        <v>41.0</v>
      </c>
      <c r="V1810" s="99">
        <v>138.0</v>
      </c>
      <c r="W1810" s="99">
        <v>155332.0</v>
      </c>
    </row>
    <row r="1811" ht="15.75" customHeight="1">
      <c r="A1811" s="95" t="s">
        <v>10417</v>
      </c>
      <c r="B1811" s="95" t="s">
        <v>131</v>
      </c>
      <c r="C1811" s="96" t="s">
        <v>10418</v>
      </c>
      <c r="D1811" s="95" t="s">
        <v>68</v>
      </c>
      <c r="E1811" s="95" t="s">
        <v>5770</v>
      </c>
      <c r="F1811" s="95" t="s">
        <v>19</v>
      </c>
      <c r="G1811" s="95" t="s">
        <v>3850</v>
      </c>
      <c r="H1811" s="95" t="s">
        <v>21</v>
      </c>
      <c r="I1811" s="95" t="s">
        <v>10419</v>
      </c>
      <c r="J1811" s="97">
        <v>46008.62896716435</v>
      </c>
      <c r="K1811" s="96" t="s">
        <v>10420</v>
      </c>
      <c r="L1811" s="96" t="s">
        <v>10421</v>
      </c>
      <c r="M1811" s="95" t="s">
        <v>54</v>
      </c>
      <c r="N1811" s="95" t="s">
        <v>10422</v>
      </c>
      <c r="O1811" s="95" t="s">
        <v>10422</v>
      </c>
      <c r="P1811" s="95" t="s">
        <v>10423</v>
      </c>
      <c r="Q1811" s="98">
        <v>3.0</v>
      </c>
      <c r="R1811" s="97">
        <v>45600.44782407407</v>
      </c>
      <c r="S1811" s="99">
        <v>12107.0</v>
      </c>
      <c r="T1811" s="99">
        <v>4577.0</v>
      </c>
      <c r="U1811" s="99">
        <v>29.0</v>
      </c>
      <c r="V1811" s="99">
        <v>742.0</v>
      </c>
      <c r="W1811" s="99">
        <v>999999.0</v>
      </c>
    </row>
    <row r="1812" ht="15.75" customHeight="1">
      <c r="A1812" s="95" t="s">
        <v>10424</v>
      </c>
      <c r="B1812" s="95" t="s">
        <v>22</v>
      </c>
      <c r="C1812" s="96" t="s">
        <v>10425</v>
      </c>
      <c r="D1812" s="95" t="s">
        <v>68</v>
      </c>
      <c r="E1812" s="95" t="s">
        <v>769</v>
      </c>
      <c r="F1812" s="95" t="s">
        <v>19</v>
      </c>
      <c r="G1812" s="95" t="s">
        <v>19</v>
      </c>
      <c r="H1812" s="95" t="s">
        <v>21</v>
      </c>
      <c r="I1812" s="95" t="s">
        <v>677</v>
      </c>
      <c r="J1812" s="97">
        <v>45975.67937189815</v>
      </c>
      <c r="K1812" s="96" t="s">
        <v>10426</v>
      </c>
      <c r="L1812" s="96" t="s">
        <v>10427</v>
      </c>
      <c r="M1812" s="95" t="s">
        <v>38</v>
      </c>
      <c r="N1812" s="95" t="s">
        <v>10428</v>
      </c>
      <c r="O1812" s="95" t="s">
        <v>10428</v>
      </c>
      <c r="P1812" s="95" t="s">
        <v>10429</v>
      </c>
      <c r="Q1812" s="98">
        <v>3.0</v>
      </c>
      <c r="R1812" s="97">
        <v>45603.23303240741</v>
      </c>
      <c r="S1812" s="99">
        <v>3400.0</v>
      </c>
      <c r="T1812" s="99">
        <v>14.0</v>
      </c>
      <c r="U1812" s="99">
        <v>6.0</v>
      </c>
      <c r="V1812" s="99">
        <v>114.0</v>
      </c>
      <c r="W1812" s="99">
        <v>59043.0</v>
      </c>
    </row>
    <row r="1813" ht="15.75" customHeight="1">
      <c r="A1813" s="95" t="s">
        <v>10430</v>
      </c>
      <c r="B1813" s="95" t="s">
        <v>22</v>
      </c>
      <c r="C1813" s="96" t="s">
        <v>10431</v>
      </c>
      <c r="D1813" s="95" t="s">
        <v>68</v>
      </c>
      <c r="E1813" s="95" t="s">
        <v>769</v>
      </c>
      <c r="F1813" s="95" t="s">
        <v>19</v>
      </c>
      <c r="G1813" s="95" t="s">
        <v>19</v>
      </c>
      <c r="H1813" s="95" t="s">
        <v>21</v>
      </c>
      <c r="I1813" s="95" t="s">
        <v>677</v>
      </c>
      <c r="J1813" s="97">
        <v>45975.67937189815</v>
      </c>
      <c r="K1813" s="96" t="s">
        <v>10432</v>
      </c>
      <c r="L1813" s="96" t="s">
        <v>10433</v>
      </c>
      <c r="M1813" s="95" t="s">
        <v>38</v>
      </c>
      <c r="N1813" s="95" t="s">
        <v>10428</v>
      </c>
      <c r="O1813" s="95" t="s">
        <v>10428</v>
      </c>
      <c r="P1813" s="95" t="s">
        <v>10429</v>
      </c>
      <c r="Q1813" s="98">
        <v>3.0</v>
      </c>
      <c r="R1813" s="97">
        <v>45764.14543981481</v>
      </c>
      <c r="S1813" s="99">
        <v>3400.0</v>
      </c>
      <c r="T1813" s="99">
        <v>62.0</v>
      </c>
      <c r="U1813" s="99">
        <v>3.0</v>
      </c>
      <c r="V1813" s="99">
        <v>233.0</v>
      </c>
      <c r="W1813" s="99">
        <v>59043.0</v>
      </c>
    </row>
    <row r="1814" ht="15.75" customHeight="1">
      <c r="A1814" s="95" t="s">
        <v>10434</v>
      </c>
      <c r="B1814" s="95" t="s">
        <v>22</v>
      </c>
      <c r="C1814" s="96" t="s">
        <v>10435</v>
      </c>
      <c r="D1814" s="95" t="s">
        <v>68</v>
      </c>
      <c r="E1814" s="95" t="s">
        <v>769</v>
      </c>
      <c r="F1814" s="95" t="s">
        <v>19</v>
      </c>
      <c r="G1814" s="95" t="s">
        <v>19</v>
      </c>
      <c r="H1814" s="95" t="s">
        <v>21</v>
      </c>
      <c r="I1814" s="95" t="s">
        <v>677</v>
      </c>
      <c r="J1814" s="97">
        <v>45996.65484809028</v>
      </c>
      <c r="K1814" s="95" t="s">
        <v>10436</v>
      </c>
      <c r="L1814" s="95"/>
      <c r="M1814" s="95" t="s">
        <v>38</v>
      </c>
      <c r="N1814" s="95" t="s">
        <v>10428</v>
      </c>
      <c r="O1814" s="95" t="s">
        <v>10428</v>
      </c>
      <c r="P1814" s="95" t="s">
        <v>10429</v>
      </c>
      <c r="Q1814" s="98">
        <v>3.0</v>
      </c>
      <c r="R1814" s="97">
        <v>45645.15318287037</v>
      </c>
      <c r="S1814" s="99">
        <v>3400.0</v>
      </c>
      <c r="T1814" s="99">
        <v>38.0</v>
      </c>
      <c r="U1814" s="99">
        <v>2.0</v>
      </c>
      <c r="V1814" s="99">
        <v>236.0</v>
      </c>
      <c r="W1814" s="99">
        <v>59043.0</v>
      </c>
    </row>
    <row r="1815" ht="15.75" customHeight="1">
      <c r="A1815" s="95" t="s">
        <v>47</v>
      </c>
      <c r="B1815" s="95" t="s">
        <v>22</v>
      </c>
      <c r="C1815" s="96" t="s">
        <v>52</v>
      </c>
      <c r="D1815" s="95" t="s">
        <v>49</v>
      </c>
      <c r="E1815" s="95" t="s">
        <v>581</v>
      </c>
      <c r="F1815" s="95" t="s">
        <v>19</v>
      </c>
      <c r="G1815" s="95" t="s">
        <v>588</v>
      </c>
      <c r="H1815" s="95" t="s">
        <v>21</v>
      </c>
      <c r="I1815" s="95" t="s">
        <v>589</v>
      </c>
      <c r="J1815" s="97">
        <v>45994.72077487269</v>
      </c>
      <c r="K1815" s="96" t="s">
        <v>51</v>
      </c>
      <c r="L1815" s="96" t="s">
        <v>50</v>
      </c>
      <c r="M1815" s="95" t="s">
        <v>38</v>
      </c>
      <c r="N1815" s="95" t="s">
        <v>48</v>
      </c>
      <c r="O1815" s="95" t="s">
        <v>48</v>
      </c>
      <c r="P1815" s="95" t="s">
        <v>584</v>
      </c>
      <c r="Q1815" s="98">
        <v>2.0</v>
      </c>
      <c r="R1815" s="97">
        <v>45849.80325231481</v>
      </c>
      <c r="S1815" s="99">
        <v>705.0</v>
      </c>
      <c r="T1815" s="99">
        <v>1842.0</v>
      </c>
      <c r="U1815" s="99">
        <v>2.0</v>
      </c>
      <c r="V1815" s="99">
        <v>63.0</v>
      </c>
      <c r="W1815" s="99">
        <v>102459.0</v>
      </c>
    </row>
    <row r="1816" ht="15.75" customHeight="1">
      <c r="A1816" s="95" t="s">
        <v>10437</v>
      </c>
      <c r="B1816" s="95" t="s">
        <v>131</v>
      </c>
      <c r="C1816" s="96" t="s">
        <v>10438</v>
      </c>
      <c r="D1816" s="95" t="s">
        <v>39</v>
      </c>
      <c r="E1816" s="95" t="s">
        <v>1201</v>
      </c>
      <c r="F1816" s="95" t="s">
        <v>19</v>
      </c>
      <c r="G1816" s="95" t="s">
        <v>19</v>
      </c>
      <c r="H1816" s="95" t="s">
        <v>60</v>
      </c>
      <c r="I1816" s="95" t="s">
        <v>1354</v>
      </c>
      <c r="J1816" s="97">
        <v>46021.49287208333</v>
      </c>
      <c r="K1816" s="95" t="s">
        <v>10439</v>
      </c>
      <c r="L1816" s="96" t="s">
        <v>10440</v>
      </c>
      <c r="M1816" s="95" t="s">
        <v>28</v>
      </c>
      <c r="N1816" s="95" t="s">
        <v>643</v>
      </c>
      <c r="O1816" s="95" t="s">
        <v>643</v>
      </c>
      <c r="P1816" s="95" t="s">
        <v>644</v>
      </c>
      <c r="Q1816" s="98">
        <v>2.0</v>
      </c>
      <c r="R1816" s="97">
        <v>45869.68561342593</v>
      </c>
      <c r="S1816" s="99">
        <v>209.0</v>
      </c>
      <c r="T1816" s="99">
        <v>238.0</v>
      </c>
      <c r="U1816" s="99">
        <v>9.0</v>
      </c>
      <c r="V1816" s="99">
        <v>17.0</v>
      </c>
      <c r="W1816" s="99">
        <v>15259.0</v>
      </c>
    </row>
    <row r="1817" ht="15.75" customHeight="1">
      <c r="A1817" s="95" t="s">
        <v>10441</v>
      </c>
      <c r="B1817" s="95" t="s">
        <v>22</v>
      </c>
      <c r="C1817" s="96" t="s">
        <v>10442</v>
      </c>
      <c r="D1817" s="95" t="s">
        <v>20</v>
      </c>
      <c r="E1817" s="95" t="s">
        <v>762</v>
      </c>
      <c r="F1817" s="95" t="s">
        <v>19</v>
      </c>
      <c r="G1817" s="95" t="s">
        <v>19</v>
      </c>
      <c r="H1817" s="95" t="s">
        <v>21</v>
      </c>
      <c r="I1817" s="95" t="s">
        <v>567</v>
      </c>
      <c r="J1817" s="97">
        <v>45978.4619984375</v>
      </c>
      <c r="K1817" s="95" t="s">
        <v>10443</v>
      </c>
      <c r="L1817" s="96" t="s">
        <v>10444</v>
      </c>
      <c r="M1817" s="95" t="s">
        <v>17</v>
      </c>
      <c r="N1817" s="95" t="s">
        <v>668</v>
      </c>
      <c r="O1817" s="95" t="s">
        <v>668</v>
      </c>
      <c r="P1817" s="95" t="s">
        <v>669</v>
      </c>
      <c r="Q1817" s="98">
        <v>2.0</v>
      </c>
      <c r="R1817" s="97">
        <v>45889.60940972222</v>
      </c>
      <c r="S1817" s="99">
        <v>1615.0</v>
      </c>
      <c r="T1817" s="99">
        <v>49.0</v>
      </c>
      <c r="U1817" s="99">
        <v>1.0</v>
      </c>
      <c r="V1817" s="99">
        <v>34.0</v>
      </c>
      <c r="W1817" s="99">
        <v>31302.0</v>
      </c>
    </row>
    <row r="1818" ht="15.75" customHeight="1">
      <c r="A1818" s="95" t="s">
        <v>10445</v>
      </c>
      <c r="B1818" s="95" t="s">
        <v>22</v>
      </c>
      <c r="C1818" s="96" t="s">
        <v>10446</v>
      </c>
      <c r="D1818" s="95" t="s">
        <v>29</v>
      </c>
      <c r="E1818" s="95" t="s">
        <v>29</v>
      </c>
      <c r="F1818" s="95" t="s">
        <v>19</v>
      </c>
      <c r="G1818" s="95" t="s">
        <v>19</v>
      </c>
      <c r="H1818" s="95" t="s">
        <v>21</v>
      </c>
      <c r="I1818" s="95" t="s">
        <v>589</v>
      </c>
      <c r="J1818" s="97">
        <v>45975.67928111111</v>
      </c>
      <c r="K1818" s="96" t="s">
        <v>10447</v>
      </c>
      <c r="L1818" s="96" t="s">
        <v>10448</v>
      </c>
      <c r="M1818" s="95" t="s">
        <v>28</v>
      </c>
      <c r="N1818" s="95" t="s">
        <v>10449</v>
      </c>
      <c r="O1818" s="95" t="s">
        <v>10449</v>
      </c>
      <c r="P1818" s="95" t="s">
        <v>10450</v>
      </c>
      <c r="Q1818" s="98">
        <v>2.0</v>
      </c>
      <c r="R1818" s="97">
        <v>45912.04922453704</v>
      </c>
      <c r="S1818" s="99">
        <v>13888.0</v>
      </c>
      <c r="T1818" s="99">
        <v>12.0</v>
      </c>
      <c r="U1818" s="99">
        <v>15.0</v>
      </c>
      <c r="V1818" s="99">
        <v>70.0</v>
      </c>
      <c r="W1818" s="99">
        <v>999999.0</v>
      </c>
    </row>
    <row r="1819" ht="15.75" customHeight="1">
      <c r="A1819" s="95" t="s">
        <v>10451</v>
      </c>
      <c r="B1819" s="95" t="s">
        <v>22</v>
      </c>
      <c r="C1819" s="96" t="s">
        <v>10452</v>
      </c>
      <c r="D1819" s="95" t="s">
        <v>547</v>
      </c>
      <c r="E1819" s="95" t="s">
        <v>2202</v>
      </c>
      <c r="F1819" s="95" t="s">
        <v>19</v>
      </c>
      <c r="G1819" s="95" t="s">
        <v>574</v>
      </c>
      <c r="H1819" s="95" t="s">
        <v>21</v>
      </c>
      <c r="I1819" s="95" t="s">
        <v>567</v>
      </c>
      <c r="J1819" s="97">
        <v>46021.49354603009</v>
      </c>
      <c r="K1819" s="95" t="s">
        <v>10453</v>
      </c>
      <c r="L1819" s="96" t="s">
        <v>10454</v>
      </c>
      <c r="M1819" s="95" t="s">
        <v>105</v>
      </c>
      <c r="N1819" s="95" t="s">
        <v>10455</v>
      </c>
      <c r="O1819" s="95" t="s">
        <v>10455</v>
      </c>
      <c r="P1819" s="95" t="s">
        <v>10456</v>
      </c>
      <c r="Q1819" s="98">
        <v>2.0</v>
      </c>
      <c r="R1819" s="97">
        <v>45574.44291666667</v>
      </c>
      <c r="S1819" s="99">
        <v>311.0</v>
      </c>
      <c r="T1819" s="99">
        <v>7.0</v>
      </c>
      <c r="U1819" s="99">
        <v>1.0</v>
      </c>
      <c r="V1819" s="99">
        <v>56.0</v>
      </c>
      <c r="W1819" s="99">
        <v>440290.0</v>
      </c>
    </row>
    <row r="1820" ht="15.75" customHeight="1">
      <c r="A1820" s="95" t="s">
        <v>10457</v>
      </c>
      <c r="B1820" s="95" t="s">
        <v>101</v>
      </c>
      <c r="C1820" s="96" t="s">
        <v>10458</v>
      </c>
      <c r="D1820" s="95" t="s">
        <v>124</v>
      </c>
      <c r="E1820" s="95" t="s">
        <v>625</v>
      </c>
      <c r="F1820" s="95" t="s">
        <v>19</v>
      </c>
      <c r="G1820" s="95" t="s">
        <v>19</v>
      </c>
      <c r="H1820" s="95" t="s">
        <v>21</v>
      </c>
      <c r="I1820" s="95" t="s">
        <v>1589</v>
      </c>
      <c r="J1820" s="97">
        <v>46076.6316190162</v>
      </c>
      <c r="K1820" s="95" t="s">
        <v>10459</v>
      </c>
      <c r="L1820" s="96" t="s">
        <v>10460</v>
      </c>
      <c r="M1820" s="95" t="s">
        <v>74</v>
      </c>
      <c r="N1820" s="95" t="s">
        <v>10461</v>
      </c>
      <c r="O1820" s="95" t="s">
        <v>10461</v>
      </c>
      <c r="P1820" s="95" t="s">
        <v>10462</v>
      </c>
      <c r="Q1820" s="98">
        <v>2.0</v>
      </c>
      <c r="R1820" s="97">
        <v>46044.32998842592</v>
      </c>
      <c r="S1820" s="99">
        <v>7621.0</v>
      </c>
      <c r="T1820" s="99">
        <v>16.0</v>
      </c>
      <c r="U1820" s="99">
        <v>1.0</v>
      </c>
      <c r="V1820" s="99">
        <v>115.0</v>
      </c>
      <c r="W1820" s="99">
        <v>68967.0</v>
      </c>
    </row>
    <row r="1821" ht="15.75" customHeight="1">
      <c r="A1821" s="95" t="s">
        <v>10463</v>
      </c>
      <c r="B1821" s="95" t="s">
        <v>22</v>
      </c>
      <c r="C1821" s="96" t="s">
        <v>10464</v>
      </c>
      <c r="D1821" s="95" t="s">
        <v>29</v>
      </c>
      <c r="E1821" s="95" t="s">
        <v>29</v>
      </c>
      <c r="F1821" s="95" t="s">
        <v>19</v>
      </c>
      <c r="G1821" s="95" t="s">
        <v>588</v>
      </c>
      <c r="H1821" s="95" t="s">
        <v>21</v>
      </c>
      <c r="I1821" s="95" t="s">
        <v>677</v>
      </c>
      <c r="J1821" s="97">
        <v>46021.50930244213</v>
      </c>
      <c r="K1821" s="95" t="s">
        <v>10465</v>
      </c>
      <c r="L1821" s="96" t="s">
        <v>10466</v>
      </c>
      <c r="M1821" s="95" t="s">
        <v>67</v>
      </c>
      <c r="N1821" s="95" t="s">
        <v>10467</v>
      </c>
      <c r="O1821" s="95" t="s">
        <v>10467</v>
      </c>
      <c r="P1821" s="95" t="s">
        <v>10468</v>
      </c>
      <c r="Q1821" s="98">
        <v>2.0</v>
      </c>
      <c r="R1821" s="97">
        <v>45924.8784375</v>
      </c>
      <c r="S1821" s="99">
        <v>5839.0</v>
      </c>
      <c r="T1821" s="99">
        <v>85.0</v>
      </c>
      <c r="U1821" s="99">
        <v>8.0</v>
      </c>
      <c r="V1821" s="99">
        <v>72.0</v>
      </c>
      <c r="W1821" s="99">
        <v>13637.0</v>
      </c>
    </row>
    <row r="1822" ht="15.75" customHeight="1">
      <c r="A1822" s="95" t="s">
        <v>10469</v>
      </c>
      <c r="B1822" s="95" t="s">
        <v>22</v>
      </c>
      <c r="C1822" s="96" t="s">
        <v>10470</v>
      </c>
      <c r="D1822" s="95" t="s">
        <v>124</v>
      </c>
      <c r="E1822" s="95" t="s">
        <v>10471</v>
      </c>
      <c r="F1822" s="95" t="s">
        <v>19</v>
      </c>
      <c r="G1822" s="95" t="s">
        <v>19</v>
      </c>
      <c r="H1822" s="95" t="s">
        <v>21</v>
      </c>
      <c r="I1822" s="95" t="s">
        <v>589</v>
      </c>
      <c r="J1822" s="97">
        <v>46021.49354603009</v>
      </c>
      <c r="K1822" s="95" t="s">
        <v>10472</v>
      </c>
      <c r="L1822" s="96" t="s">
        <v>10473</v>
      </c>
      <c r="M1822" s="95" t="s">
        <v>105</v>
      </c>
      <c r="N1822" s="95" t="s">
        <v>10474</v>
      </c>
      <c r="O1822" s="95" t="s">
        <v>10474</v>
      </c>
      <c r="P1822" s="95" t="s">
        <v>10475</v>
      </c>
      <c r="Q1822" s="98">
        <v>2.0</v>
      </c>
      <c r="R1822" s="97">
        <v>45653.09321759259</v>
      </c>
      <c r="S1822" s="99">
        <v>766.0</v>
      </c>
      <c r="T1822" s="99">
        <v>572.0</v>
      </c>
      <c r="U1822" s="99">
        <v>3.0</v>
      </c>
      <c r="V1822" s="99">
        <v>390.0</v>
      </c>
      <c r="W1822" s="99">
        <v>500015.0</v>
      </c>
    </row>
    <row r="1823" ht="15.75" customHeight="1">
      <c r="A1823" s="95" t="s">
        <v>10476</v>
      </c>
      <c r="B1823" s="95" t="s">
        <v>157</v>
      </c>
      <c r="C1823" s="96" t="s">
        <v>10477</v>
      </c>
      <c r="D1823" s="95" t="s">
        <v>124</v>
      </c>
      <c r="E1823" s="95" t="s">
        <v>983</v>
      </c>
      <c r="F1823" s="95" t="s">
        <v>88</v>
      </c>
      <c r="G1823" s="95" t="s">
        <v>858</v>
      </c>
      <c r="H1823" s="95" t="s">
        <v>89</v>
      </c>
      <c r="I1823" s="95" t="s">
        <v>859</v>
      </c>
      <c r="J1823" s="97">
        <v>45975.6793321412</v>
      </c>
      <c r="K1823" s="96" t="s">
        <v>10478</v>
      </c>
      <c r="L1823" s="96" t="s">
        <v>10479</v>
      </c>
      <c r="M1823" s="95" t="s">
        <v>503</v>
      </c>
      <c r="N1823" s="95" t="s">
        <v>10480</v>
      </c>
      <c r="O1823" s="95" t="s">
        <v>10480</v>
      </c>
      <c r="P1823" s="95" t="s">
        <v>10481</v>
      </c>
      <c r="Q1823" s="98">
        <v>2.0</v>
      </c>
      <c r="R1823" s="97">
        <v>45859.91717592593</v>
      </c>
      <c r="S1823" s="99">
        <v>0.0</v>
      </c>
      <c r="T1823" s="99">
        <v>81.0</v>
      </c>
      <c r="U1823" s="99">
        <v>19.0</v>
      </c>
      <c r="V1823" s="99">
        <v>111.0</v>
      </c>
      <c r="W1823" s="99">
        <v>162019.0</v>
      </c>
    </row>
    <row r="1824" ht="15.75" customHeight="1">
      <c r="A1824" s="95" t="s">
        <v>10482</v>
      </c>
      <c r="B1824" s="95" t="s">
        <v>22</v>
      </c>
      <c r="C1824" s="96" t="s">
        <v>10483</v>
      </c>
      <c r="D1824" s="95" t="s">
        <v>130</v>
      </c>
      <c r="E1824" s="95" t="s">
        <v>1025</v>
      </c>
      <c r="F1824" s="95" t="s">
        <v>19</v>
      </c>
      <c r="G1824" s="95" t="s">
        <v>19</v>
      </c>
      <c r="H1824" s="95" t="s">
        <v>21</v>
      </c>
      <c r="I1824" s="95" t="s">
        <v>567</v>
      </c>
      <c r="J1824" s="97">
        <v>46039.60542217593</v>
      </c>
      <c r="K1824" s="95" t="s">
        <v>10484</v>
      </c>
      <c r="L1824" s="96" t="s">
        <v>10485</v>
      </c>
      <c r="M1824" s="95" t="s">
        <v>93</v>
      </c>
      <c r="N1824" s="95" t="s">
        <v>10486</v>
      </c>
      <c r="O1824" s="95" t="s">
        <v>10486</v>
      </c>
      <c r="P1824" s="95" t="s">
        <v>10487</v>
      </c>
      <c r="Q1824" s="98">
        <v>2.0</v>
      </c>
      <c r="R1824" s="97">
        <v>45833.0752199074</v>
      </c>
      <c r="S1824" s="99">
        <v>114.0</v>
      </c>
      <c r="T1824" s="99">
        <v>1003.0</v>
      </c>
      <c r="U1824" s="99">
        <v>1.0</v>
      </c>
      <c r="V1824" s="99">
        <v>162.0</v>
      </c>
      <c r="W1824" s="99">
        <v>1527158.0</v>
      </c>
    </row>
    <row r="1825" ht="15.75" customHeight="1">
      <c r="A1825" s="95" t="s">
        <v>10488</v>
      </c>
      <c r="B1825" s="95" t="s">
        <v>69</v>
      </c>
      <c r="C1825" s="96" t="s">
        <v>10489</v>
      </c>
      <c r="D1825" s="95" t="s">
        <v>20</v>
      </c>
      <c r="E1825" s="95" t="s">
        <v>20</v>
      </c>
      <c r="F1825" s="95" t="s">
        <v>88</v>
      </c>
      <c r="G1825" s="95" t="s">
        <v>88</v>
      </c>
      <c r="H1825" s="95" t="s">
        <v>89</v>
      </c>
      <c r="I1825" s="95" t="s">
        <v>1477</v>
      </c>
      <c r="J1825" s="97">
        <v>45975.6793321412</v>
      </c>
      <c r="K1825" s="96" t="s">
        <v>10490</v>
      </c>
      <c r="L1825" s="96" t="s">
        <v>10491</v>
      </c>
      <c r="M1825" s="95" t="s">
        <v>17</v>
      </c>
      <c r="N1825" s="95" t="s">
        <v>827</v>
      </c>
      <c r="O1825" s="95" t="s">
        <v>827</v>
      </c>
      <c r="P1825" s="95" t="s">
        <v>828</v>
      </c>
      <c r="Q1825" s="98">
        <v>2.0</v>
      </c>
      <c r="R1825" s="97">
        <v>45729.95694444444</v>
      </c>
      <c r="S1825" s="99">
        <v>0.0</v>
      </c>
      <c r="T1825" s="99">
        <v>7.0</v>
      </c>
      <c r="U1825" s="99">
        <v>1.0</v>
      </c>
      <c r="V1825" s="99">
        <v>20.0</v>
      </c>
      <c r="W1825" s="99">
        <v>999999.0</v>
      </c>
    </row>
    <row r="1826" ht="15.75" customHeight="1">
      <c r="A1826" s="95" t="s">
        <v>10492</v>
      </c>
      <c r="B1826" s="95" t="s">
        <v>22</v>
      </c>
      <c r="C1826" s="96" t="s">
        <v>10493</v>
      </c>
      <c r="D1826" s="95" t="s">
        <v>20</v>
      </c>
      <c r="E1826" s="95" t="s">
        <v>20</v>
      </c>
      <c r="F1826" s="95" t="s">
        <v>19</v>
      </c>
      <c r="G1826" s="95" t="s">
        <v>588</v>
      </c>
      <c r="H1826" s="95" t="s">
        <v>21</v>
      </c>
      <c r="I1826" s="95" t="s">
        <v>567</v>
      </c>
      <c r="J1826" s="97">
        <v>45975.6793321412</v>
      </c>
      <c r="K1826" s="96" t="s">
        <v>10494</v>
      </c>
      <c r="L1826" s="96" t="s">
        <v>10495</v>
      </c>
      <c r="M1826" s="95" t="s">
        <v>17</v>
      </c>
      <c r="N1826" s="95" t="s">
        <v>827</v>
      </c>
      <c r="O1826" s="95" t="s">
        <v>827</v>
      </c>
      <c r="P1826" s="95" t="s">
        <v>828</v>
      </c>
      <c r="Q1826" s="98">
        <v>2.0</v>
      </c>
      <c r="R1826" s="97">
        <v>45677.8591087963</v>
      </c>
      <c r="S1826" s="99">
        <v>0.0</v>
      </c>
      <c r="T1826" s="99">
        <v>27.0</v>
      </c>
      <c r="U1826" s="99">
        <v>1.0</v>
      </c>
      <c r="V1826" s="99">
        <v>43.0</v>
      </c>
      <c r="W1826" s="99">
        <v>999999.0</v>
      </c>
    </row>
    <row r="1827" ht="15.75" customHeight="1">
      <c r="A1827" s="95" t="s">
        <v>10496</v>
      </c>
      <c r="B1827" s="95" t="s">
        <v>22</v>
      </c>
      <c r="C1827" s="96" t="s">
        <v>10497</v>
      </c>
      <c r="D1827" s="95" t="s">
        <v>20</v>
      </c>
      <c r="E1827" s="95" t="s">
        <v>638</v>
      </c>
      <c r="F1827" s="95" t="s">
        <v>19</v>
      </c>
      <c r="G1827" s="95" t="s">
        <v>19</v>
      </c>
      <c r="H1827" s="95" t="s">
        <v>21</v>
      </c>
      <c r="I1827" s="95" t="s">
        <v>567</v>
      </c>
      <c r="J1827" s="97">
        <v>45980.93902726852</v>
      </c>
      <c r="K1827" s="95" t="s">
        <v>10498</v>
      </c>
      <c r="L1827" s="96" t="s">
        <v>10499</v>
      </c>
      <c r="M1827" s="95" t="s">
        <v>17</v>
      </c>
      <c r="N1827" s="95" t="s">
        <v>10500</v>
      </c>
      <c r="O1827" s="95" t="s">
        <v>10500</v>
      </c>
      <c r="P1827" s="95" t="s">
        <v>10501</v>
      </c>
      <c r="Q1827" s="98">
        <v>2.0</v>
      </c>
      <c r="R1827" s="97">
        <v>45775.71052083333</v>
      </c>
      <c r="S1827" s="99">
        <v>129.0</v>
      </c>
      <c r="T1827" s="99">
        <v>228.0</v>
      </c>
      <c r="U1827" s="99">
        <v>3.0</v>
      </c>
      <c r="V1827" s="99">
        <v>56.0</v>
      </c>
      <c r="W1827" s="99">
        <v>30035.0</v>
      </c>
    </row>
    <row r="1828" ht="15.75" customHeight="1">
      <c r="A1828" s="95" t="s">
        <v>10502</v>
      </c>
      <c r="B1828" s="95" t="s">
        <v>157</v>
      </c>
      <c r="C1828" s="96" t="s">
        <v>10503</v>
      </c>
      <c r="D1828" s="95" t="s">
        <v>29</v>
      </c>
      <c r="E1828" s="95" t="s">
        <v>658</v>
      </c>
      <c r="F1828" s="95" t="s">
        <v>88</v>
      </c>
      <c r="G1828" s="95" t="s">
        <v>88</v>
      </c>
      <c r="H1828" s="95" t="s">
        <v>89</v>
      </c>
      <c r="I1828" s="95" t="s">
        <v>897</v>
      </c>
      <c r="J1828" s="97">
        <v>45986.5375812963</v>
      </c>
      <c r="K1828" s="95" t="s">
        <v>10504</v>
      </c>
      <c r="L1828" s="96" t="s">
        <v>10505</v>
      </c>
      <c r="M1828" s="95" t="s">
        <v>28</v>
      </c>
      <c r="N1828" s="95" t="s">
        <v>10506</v>
      </c>
      <c r="O1828" s="95" t="s">
        <v>10506</v>
      </c>
      <c r="P1828" s="95" t="s">
        <v>10507</v>
      </c>
      <c r="Q1828" s="98">
        <v>2.0</v>
      </c>
      <c r="R1828" s="97">
        <v>45610.60212962963</v>
      </c>
      <c r="S1828" s="99">
        <v>67.0</v>
      </c>
      <c r="T1828" s="99">
        <v>1.0</v>
      </c>
      <c r="U1828" s="99">
        <v>6.0</v>
      </c>
      <c r="V1828" s="99">
        <v>139.0</v>
      </c>
      <c r="W1828" s="99">
        <v>16067.0</v>
      </c>
    </row>
    <row r="1829" ht="15.75" customHeight="1">
      <c r="A1829" s="95" t="s">
        <v>26</v>
      </c>
      <c r="B1829" s="95" t="s">
        <v>22</v>
      </c>
      <c r="C1829" s="96" t="s">
        <v>32</v>
      </c>
      <c r="D1829" s="95" t="s">
        <v>29</v>
      </c>
      <c r="E1829" s="95" t="s">
        <v>658</v>
      </c>
      <c r="F1829" s="95" t="s">
        <v>19</v>
      </c>
      <c r="G1829" s="95" t="s">
        <v>19</v>
      </c>
      <c r="H1829" s="95" t="s">
        <v>21</v>
      </c>
      <c r="I1829" s="95" t="s">
        <v>589</v>
      </c>
      <c r="J1829" s="97">
        <v>45975.67928111111</v>
      </c>
      <c r="K1829" s="96" t="s">
        <v>31</v>
      </c>
      <c r="L1829" s="96" t="s">
        <v>30</v>
      </c>
      <c r="M1829" s="95" t="s">
        <v>28</v>
      </c>
      <c r="N1829" s="95" t="s">
        <v>27</v>
      </c>
      <c r="O1829" s="95" t="s">
        <v>27</v>
      </c>
      <c r="P1829" s="95" t="s">
        <v>963</v>
      </c>
      <c r="Q1829" s="98">
        <v>2.0</v>
      </c>
      <c r="R1829" s="97">
        <v>45665.9366087963</v>
      </c>
      <c r="S1829" s="99">
        <v>4975.0</v>
      </c>
      <c r="T1829" s="99">
        <v>255.0</v>
      </c>
      <c r="U1829" s="99">
        <v>1.0</v>
      </c>
      <c r="V1829" s="99">
        <v>26.0</v>
      </c>
      <c r="W1829" s="99">
        <v>413595.0</v>
      </c>
    </row>
    <row r="1830" ht="15.75" customHeight="1">
      <c r="A1830" s="95" t="s">
        <v>10508</v>
      </c>
      <c r="B1830" s="95" t="s">
        <v>22</v>
      </c>
      <c r="C1830" s="96" t="s">
        <v>10509</v>
      </c>
      <c r="D1830" s="95" t="s">
        <v>168</v>
      </c>
      <c r="E1830" s="95" t="s">
        <v>1228</v>
      </c>
      <c r="F1830" s="95" t="s">
        <v>19</v>
      </c>
      <c r="G1830" s="95" t="s">
        <v>19</v>
      </c>
      <c r="H1830" s="95" t="s">
        <v>21</v>
      </c>
      <c r="I1830" s="95" t="s">
        <v>567</v>
      </c>
      <c r="J1830" s="97">
        <v>45993.7854622338</v>
      </c>
      <c r="K1830" s="96" t="s">
        <v>10510</v>
      </c>
      <c r="L1830" s="96" t="s">
        <v>10511</v>
      </c>
      <c r="M1830" s="95" t="s">
        <v>17</v>
      </c>
      <c r="N1830" s="95" t="s">
        <v>10512</v>
      </c>
      <c r="O1830" s="95" t="s">
        <v>10512</v>
      </c>
      <c r="P1830" s="95" t="s">
        <v>10513</v>
      </c>
      <c r="Q1830" s="98">
        <v>2.0</v>
      </c>
      <c r="R1830" s="97">
        <v>45887.73063657407</v>
      </c>
      <c r="S1830" s="99">
        <v>50.0</v>
      </c>
      <c r="T1830" s="99">
        <v>3.0</v>
      </c>
      <c r="U1830" s="99">
        <v>14.0</v>
      </c>
      <c r="V1830" s="99">
        <v>165.0</v>
      </c>
      <c r="W1830" s="99">
        <v>128955.0</v>
      </c>
    </row>
    <row r="1831" ht="15.75" customHeight="1">
      <c r="A1831" s="95" t="s">
        <v>10514</v>
      </c>
      <c r="B1831" s="95" t="s">
        <v>22</v>
      </c>
      <c r="C1831" s="96" t="s">
        <v>10515</v>
      </c>
      <c r="D1831" s="95" t="s">
        <v>20</v>
      </c>
      <c r="E1831" s="95" t="s">
        <v>996</v>
      </c>
      <c r="F1831" s="95" t="s">
        <v>19</v>
      </c>
      <c r="G1831" s="95" t="s">
        <v>19</v>
      </c>
      <c r="H1831" s="95" t="s">
        <v>21</v>
      </c>
      <c r="I1831" s="95" t="s">
        <v>589</v>
      </c>
      <c r="J1831" s="97">
        <v>45978.4619984375</v>
      </c>
      <c r="K1831" s="95" t="s">
        <v>10516</v>
      </c>
      <c r="L1831" s="95"/>
      <c r="M1831" s="95" t="s">
        <v>17</v>
      </c>
      <c r="N1831" s="95" t="s">
        <v>1000</v>
      </c>
      <c r="O1831" s="95" t="s">
        <v>1000</v>
      </c>
      <c r="P1831" s="95" t="s">
        <v>1001</v>
      </c>
      <c r="Q1831" s="98">
        <v>2.0</v>
      </c>
      <c r="R1831" s="97">
        <v>45605.14041666667</v>
      </c>
      <c r="S1831" s="99">
        <v>15269.0</v>
      </c>
      <c r="T1831" s="99">
        <v>3154.0</v>
      </c>
      <c r="U1831" s="99">
        <v>363.0</v>
      </c>
      <c r="V1831" s="99">
        <v>94.0</v>
      </c>
      <c r="W1831" s="99">
        <v>55670.0</v>
      </c>
    </row>
    <row r="1832" ht="15.75" customHeight="1">
      <c r="A1832" s="95" t="s">
        <v>10517</v>
      </c>
      <c r="B1832" s="95" t="s">
        <v>22</v>
      </c>
      <c r="C1832" s="96" t="s">
        <v>10518</v>
      </c>
      <c r="D1832" s="95" t="s">
        <v>20</v>
      </c>
      <c r="E1832" s="95" t="s">
        <v>8776</v>
      </c>
      <c r="F1832" s="95" t="s">
        <v>19</v>
      </c>
      <c r="G1832" s="95" t="s">
        <v>19</v>
      </c>
      <c r="H1832" s="95" t="s">
        <v>21</v>
      </c>
      <c r="I1832" s="95" t="s">
        <v>567</v>
      </c>
      <c r="J1832" s="97">
        <v>45986.53189861111</v>
      </c>
      <c r="K1832" s="95" t="s">
        <v>10519</v>
      </c>
      <c r="L1832" s="95"/>
      <c r="M1832" s="95" t="s">
        <v>17</v>
      </c>
      <c r="N1832" s="95" t="s">
        <v>1000</v>
      </c>
      <c r="O1832" s="95" t="s">
        <v>1000</v>
      </c>
      <c r="P1832" s="95" t="s">
        <v>1001</v>
      </c>
      <c r="Q1832" s="98">
        <v>2.0</v>
      </c>
      <c r="R1832" s="97">
        <v>45606.11258101852</v>
      </c>
      <c r="S1832" s="99">
        <v>15269.0</v>
      </c>
      <c r="T1832" s="99">
        <v>2307.0</v>
      </c>
      <c r="U1832" s="99">
        <v>297.0</v>
      </c>
      <c r="V1832" s="99">
        <v>468.0</v>
      </c>
      <c r="W1832" s="99">
        <v>55670.0</v>
      </c>
    </row>
    <row r="1833" ht="15.75" customHeight="1">
      <c r="A1833" s="95" t="s">
        <v>10520</v>
      </c>
      <c r="B1833" s="95" t="s">
        <v>22</v>
      </c>
      <c r="C1833" s="96" t="s">
        <v>10521</v>
      </c>
      <c r="D1833" s="95" t="s">
        <v>20</v>
      </c>
      <c r="E1833" s="95" t="s">
        <v>996</v>
      </c>
      <c r="F1833" s="95" t="s">
        <v>19</v>
      </c>
      <c r="G1833" s="95" t="s">
        <v>997</v>
      </c>
      <c r="H1833" s="95" t="s">
        <v>21</v>
      </c>
      <c r="I1833" s="95" t="s">
        <v>589</v>
      </c>
      <c r="J1833" s="97">
        <v>45986.53189861111</v>
      </c>
      <c r="K1833" s="95" t="s">
        <v>10522</v>
      </c>
      <c r="L1833" s="95"/>
      <c r="M1833" s="95" t="s">
        <v>17</v>
      </c>
      <c r="N1833" s="95" t="s">
        <v>1000</v>
      </c>
      <c r="O1833" s="95" t="s">
        <v>1000</v>
      </c>
      <c r="P1833" s="95" t="s">
        <v>1001</v>
      </c>
      <c r="Q1833" s="98">
        <v>2.0</v>
      </c>
      <c r="R1833" s="97">
        <v>45604.98488425926</v>
      </c>
      <c r="S1833" s="99">
        <v>15269.0</v>
      </c>
      <c r="T1833" s="99">
        <v>2689.0</v>
      </c>
      <c r="U1833" s="99">
        <v>751.0</v>
      </c>
      <c r="V1833" s="99">
        <v>68.0</v>
      </c>
      <c r="W1833" s="99">
        <v>55670.0</v>
      </c>
    </row>
    <row r="1834" ht="15.75" customHeight="1">
      <c r="A1834" s="95" t="s">
        <v>10523</v>
      </c>
      <c r="B1834" s="95" t="s">
        <v>69</v>
      </c>
      <c r="C1834" s="96" t="s">
        <v>10524</v>
      </c>
      <c r="D1834" s="95" t="s">
        <v>20</v>
      </c>
      <c r="E1834" s="95" t="s">
        <v>996</v>
      </c>
      <c r="F1834" s="95" t="s">
        <v>88</v>
      </c>
      <c r="G1834" s="95" t="s">
        <v>88</v>
      </c>
      <c r="H1834" s="95" t="s">
        <v>89</v>
      </c>
      <c r="I1834" s="95" t="s">
        <v>6532</v>
      </c>
      <c r="J1834" s="97">
        <v>45993.7854622338</v>
      </c>
      <c r="K1834" s="96" t="s">
        <v>10525</v>
      </c>
      <c r="L1834" s="95"/>
      <c r="M1834" s="95" t="s">
        <v>17</v>
      </c>
      <c r="N1834" s="95" t="s">
        <v>1000</v>
      </c>
      <c r="O1834" s="95" t="s">
        <v>1000</v>
      </c>
      <c r="P1834" s="95" t="s">
        <v>1001</v>
      </c>
      <c r="Q1834" s="98">
        <v>2.0</v>
      </c>
      <c r="R1834" s="97">
        <v>45798.96920138889</v>
      </c>
      <c r="S1834" s="99">
        <v>15269.0</v>
      </c>
      <c r="T1834" s="99">
        <v>8896.0</v>
      </c>
      <c r="U1834" s="99">
        <v>3.0</v>
      </c>
      <c r="V1834" s="99">
        <v>17.0</v>
      </c>
      <c r="W1834" s="99">
        <v>55670.0</v>
      </c>
    </row>
    <row r="1835" ht="15.75" customHeight="1">
      <c r="A1835" s="95" t="s">
        <v>10526</v>
      </c>
      <c r="B1835" s="95" t="s">
        <v>157</v>
      </c>
      <c r="C1835" s="96" t="s">
        <v>10527</v>
      </c>
      <c r="D1835" s="95" t="s">
        <v>39</v>
      </c>
      <c r="E1835" s="95" t="s">
        <v>39</v>
      </c>
      <c r="F1835" s="95" t="s">
        <v>88</v>
      </c>
      <c r="G1835" s="95" t="s">
        <v>858</v>
      </c>
      <c r="H1835" s="95" t="s">
        <v>89</v>
      </c>
      <c r="I1835" s="95" t="s">
        <v>897</v>
      </c>
      <c r="J1835" s="97">
        <v>45975.67930844907</v>
      </c>
      <c r="K1835" s="96" t="s">
        <v>10528</v>
      </c>
      <c r="L1835" s="96" t="s">
        <v>10529</v>
      </c>
      <c r="M1835" s="95" t="s">
        <v>54</v>
      </c>
      <c r="N1835" s="95" t="s">
        <v>10530</v>
      </c>
      <c r="O1835" s="95" t="s">
        <v>10530</v>
      </c>
      <c r="P1835" s="95" t="s">
        <v>10531</v>
      </c>
      <c r="Q1835" s="98">
        <v>2.0</v>
      </c>
      <c r="R1835" s="97">
        <v>45705.28059027778</v>
      </c>
      <c r="S1835" s="99">
        <v>2831.0</v>
      </c>
      <c r="T1835" s="99">
        <v>316.0</v>
      </c>
      <c r="U1835" s="99">
        <v>1.0</v>
      </c>
      <c r="V1835" s="99">
        <v>60.0</v>
      </c>
      <c r="W1835" s="99">
        <v>11369.0</v>
      </c>
    </row>
    <row r="1836" ht="15.75" customHeight="1">
      <c r="A1836" s="95" t="s">
        <v>10532</v>
      </c>
      <c r="B1836" s="95" t="s">
        <v>22</v>
      </c>
      <c r="C1836" s="96" t="s">
        <v>10533</v>
      </c>
      <c r="D1836" s="95" t="s">
        <v>39</v>
      </c>
      <c r="E1836" s="95" t="s">
        <v>960</v>
      </c>
      <c r="F1836" s="95" t="s">
        <v>19</v>
      </c>
      <c r="G1836" s="95" t="s">
        <v>19</v>
      </c>
      <c r="H1836" s="95" t="s">
        <v>21</v>
      </c>
      <c r="I1836" s="95" t="s">
        <v>589</v>
      </c>
      <c r="J1836" s="97">
        <v>45993.78544196759</v>
      </c>
      <c r="K1836" s="96" t="s">
        <v>10534</v>
      </c>
      <c r="L1836" s="96" t="s">
        <v>10535</v>
      </c>
      <c r="M1836" s="95" t="s">
        <v>54</v>
      </c>
      <c r="N1836" s="95" t="s">
        <v>10536</v>
      </c>
      <c r="O1836" s="95" t="s">
        <v>10536</v>
      </c>
      <c r="P1836" s="95" t="s">
        <v>10537</v>
      </c>
      <c r="Q1836" s="98">
        <v>2.0</v>
      </c>
      <c r="R1836" s="97">
        <v>45602.4887037037</v>
      </c>
      <c r="S1836" s="99">
        <v>4485.0</v>
      </c>
      <c r="T1836" s="99">
        <v>543.0</v>
      </c>
      <c r="U1836" s="99">
        <v>1.0</v>
      </c>
      <c r="V1836" s="99">
        <v>74.0</v>
      </c>
      <c r="W1836" s="99">
        <v>313981.0</v>
      </c>
    </row>
    <row r="1837" ht="15.75" customHeight="1">
      <c r="A1837" s="95" t="s">
        <v>10538</v>
      </c>
      <c r="B1837" s="95" t="s">
        <v>22</v>
      </c>
      <c r="C1837" s="96" t="s">
        <v>10539</v>
      </c>
      <c r="D1837" s="95" t="s">
        <v>59</v>
      </c>
      <c r="E1837" s="95" t="s">
        <v>738</v>
      </c>
      <c r="F1837" s="95" t="s">
        <v>19</v>
      </c>
      <c r="G1837" s="95" t="s">
        <v>588</v>
      </c>
      <c r="H1837" s="95" t="s">
        <v>21</v>
      </c>
      <c r="I1837" s="95" t="s">
        <v>589</v>
      </c>
      <c r="J1837" s="97">
        <v>46069.66372851852</v>
      </c>
      <c r="K1837" s="95" t="s">
        <v>10540</v>
      </c>
      <c r="L1837" s="96" t="s">
        <v>10541</v>
      </c>
      <c r="M1837" s="95" t="s">
        <v>503</v>
      </c>
      <c r="N1837" s="95" t="s">
        <v>10542</v>
      </c>
      <c r="O1837" s="95" t="s">
        <v>10542</v>
      </c>
      <c r="P1837" s="95" t="s">
        <v>10543</v>
      </c>
      <c r="Q1837" s="98">
        <v>2.0</v>
      </c>
      <c r="R1837" s="97">
        <v>46056.72107638889</v>
      </c>
      <c r="S1837" s="99">
        <v>772.0</v>
      </c>
      <c r="T1837" s="99">
        <v>3.0</v>
      </c>
      <c r="U1837" s="99">
        <v>1.0</v>
      </c>
      <c r="V1837" s="99">
        <v>15.0</v>
      </c>
      <c r="W1837" s="99">
        <v>8156.0</v>
      </c>
    </row>
    <row r="1838" ht="15.75" customHeight="1">
      <c r="A1838" s="95" t="s">
        <v>10544</v>
      </c>
      <c r="B1838" s="95" t="s">
        <v>22</v>
      </c>
      <c r="C1838" s="96" t="s">
        <v>10545</v>
      </c>
      <c r="D1838" s="95" t="s">
        <v>130</v>
      </c>
      <c r="E1838" s="95" t="s">
        <v>917</v>
      </c>
      <c r="F1838" s="95" t="s">
        <v>19</v>
      </c>
      <c r="G1838" s="95" t="s">
        <v>588</v>
      </c>
      <c r="H1838" s="95" t="s">
        <v>21</v>
      </c>
      <c r="I1838" s="95" t="s">
        <v>589</v>
      </c>
      <c r="J1838" s="97">
        <v>46021.50930244213</v>
      </c>
      <c r="K1838" s="95" t="s">
        <v>10546</v>
      </c>
      <c r="L1838" s="96" t="s">
        <v>10547</v>
      </c>
      <c r="M1838" s="95" t="s">
        <v>93</v>
      </c>
      <c r="N1838" s="95" t="s">
        <v>10548</v>
      </c>
      <c r="O1838" s="95" t="s">
        <v>10548</v>
      </c>
      <c r="P1838" s="95" t="s">
        <v>10549</v>
      </c>
      <c r="Q1838" s="98">
        <v>2.0</v>
      </c>
      <c r="R1838" s="97">
        <v>45730.49496527778</v>
      </c>
      <c r="S1838" s="99">
        <v>0.0</v>
      </c>
      <c r="T1838" s="99">
        <v>711.0</v>
      </c>
      <c r="U1838" s="99">
        <v>2.0</v>
      </c>
      <c r="V1838" s="99">
        <v>18.0</v>
      </c>
      <c r="W1838" s="99">
        <v>272096.0</v>
      </c>
    </row>
    <row r="1839" ht="15.75" customHeight="1">
      <c r="A1839" s="95" t="s">
        <v>10550</v>
      </c>
      <c r="B1839" s="95" t="s">
        <v>22</v>
      </c>
      <c r="C1839" s="96" t="s">
        <v>10551</v>
      </c>
      <c r="D1839" s="95" t="s">
        <v>59</v>
      </c>
      <c r="E1839" s="95" t="s">
        <v>59</v>
      </c>
      <c r="F1839" s="95" t="s">
        <v>19</v>
      </c>
      <c r="G1839" s="95" t="s">
        <v>19</v>
      </c>
      <c r="H1839" s="95" t="s">
        <v>21</v>
      </c>
      <c r="I1839" s="95" t="s">
        <v>567</v>
      </c>
      <c r="J1839" s="97">
        <v>45993.78544196759</v>
      </c>
      <c r="K1839" s="96" t="s">
        <v>10552</v>
      </c>
      <c r="L1839" s="96" t="s">
        <v>10553</v>
      </c>
      <c r="M1839" s="95" t="s">
        <v>93</v>
      </c>
      <c r="N1839" s="95" t="s">
        <v>10554</v>
      </c>
      <c r="O1839" s="95" t="s">
        <v>10554</v>
      </c>
      <c r="P1839" s="95" t="s">
        <v>10555</v>
      </c>
      <c r="Q1839" s="98">
        <v>2.0</v>
      </c>
      <c r="R1839" s="97">
        <v>45358.15268518519</v>
      </c>
      <c r="S1839" s="99">
        <v>32637.0</v>
      </c>
      <c r="T1839" s="99">
        <v>1740.0</v>
      </c>
      <c r="U1839" s="99">
        <v>8.0</v>
      </c>
      <c r="V1839" s="99">
        <v>120.0</v>
      </c>
      <c r="W1839" s="99">
        <v>338505.0</v>
      </c>
    </row>
    <row r="1840" ht="15.75" customHeight="1">
      <c r="A1840" s="95" t="s">
        <v>10556</v>
      </c>
      <c r="B1840" s="95" t="s">
        <v>22</v>
      </c>
      <c r="C1840" s="96" t="s">
        <v>10557</v>
      </c>
      <c r="D1840" s="95" t="s">
        <v>59</v>
      </c>
      <c r="E1840" s="95" t="s">
        <v>1826</v>
      </c>
      <c r="F1840" s="95" t="s">
        <v>19</v>
      </c>
      <c r="G1840" s="95" t="s">
        <v>1427</v>
      </c>
      <c r="H1840" s="95" t="s">
        <v>21</v>
      </c>
      <c r="I1840" s="95" t="s">
        <v>567</v>
      </c>
      <c r="J1840" s="97">
        <v>46009.8503700463</v>
      </c>
      <c r="K1840" s="95" t="s">
        <v>10558</v>
      </c>
      <c r="L1840" s="96" t="s">
        <v>10559</v>
      </c>
      <c r="M1840" s="95" t="s">
        <v>105</v>
      </c>
      <c r="N1840" s="95" t="s">
        <v>10560</v>
      </c>
      <c r="O1840" s="95" t="s">
        <v>10560</v>
      </c>
      <c r="P1840" s="95" t="s">
        <v>10561</v>
      </c>
      <c r="Q1840" s="98">
        <v>2.0</v>
      </c>
      <c r="R1840" s="97">
        <v>45995.21226851852</v>
      </c>
      <c r="S1840" s="99">
        <v>1146.0</v>
      </c>
      <c r="T1840" s="99">
        <v>48.0</v>
      </c>
      <c r="U1840" s="99">
        <v>1.0</v>
      </c>
      <c r="V1840" s="99">
        <v>43.0</v>
      </c>
      <c r="W1840" s="99">
        <v>87149.0</v>
      </c>
    </row>
    <row r="1841" ht="15.75" customHeight="1">
      <c r="A1841" s="95" t="s">
        <v>10562</v>
      </c>
      <c r="B1841" s="95" t="s">
        <v>22</v>
      </c>
      <c r="C1841" s="96" t="s">
        <v>10563</v>
      </c>
      <c r="D1841" s="95" t="s">
        <v>20</v>
      </c>
      <c r="E1841" s="95" t="s">
        <v>632</v>
      </c>
      <c r="F1841" s="95" t="s">
        <v>19</v>
      </c>
      <c r="G1841" s="95" t="s">
        <v>19</v>
      </c>
      <c r="H1841" s="95" t="s">
        <v>21</v>
      </c>
      <c r="I1841" s="95" t="s">
        <v>567</v>
      </c>
      <c r="J1841" s="97">
        <v>45975.6793321412</v>
      </c>
      <c r="K1841" s="96" t="s">
        <v>10564</v>
      </c>
      <c r="L1841" s="96" t="s">
        <v>10565</v>
      </c>
      <c r="M1841" s="95" t="s">
        <v>17</v>
      </c>
      <c r="N1841" s="95" t="s">
        <v>1066</v>
      </c>
      <c r="O1841" s="95" t="s">
        <v>1066</v>
      </c>
      <c r="P1841" s="95" t="s">
        <v>1067</v>
      </c>
      <c r="Q1841" s="98">
        <v>2.0</v>
      </c>
      <c r="R1841" s="97">
        <v>45727.47092592593</v>
      </c>
      <c r="S1841" s="99">
        <v>64385.0</v>
      </c>
      <c r="T1841" s="99">
        <v>20.0</v>
      </c>
      <c r="U1841" s="99">
        <v>3.0</v>
      </c>
      <c r="V1841" s="99">
        <v>50.0</v>
      </c>
      <c r="W1841" s="99">
        <v>312123.0</v>
      </c>
    </row>
    <row r="1842" ht="15.75" customHeight="1">
      <c r="A1842" s="95" t="s">
        <v>10566</v>
      </c>
      <c r="B1842" s="95" t="s">
        <v>69</v>
      </c>
      <c r="C1842" s="96" t="s">
        <v>10567</v>
      </c>
      <c r="D1842" s="95" t="s">
        <v>39</v>
      </c>
      <c r="E1842" s="95" t="s">
        <v>3296</v>
      </c>
      <c r="F1842" s="95" t="s">
        <v>88</v>
      </c>
      <c r="G1842" s="95" t="s">
        <v>88</v>
      </c>
      <c r="H1842" s="95" t="s">
        <v>89</v>
      </c>
      <c r="I1842" s="95" t="s">
        <v>640</v>
      </c>
      <c r="J1842" s="97">
        <v>46069.66349332176</v>
      </c>
      <c r="K1842" s="95" t="s">
        <v>10568</v>
      </c>
      <c r="L1842" s="96" t="s">
        <v>10569</v>
      </c>
      <c r="M1842" s="95" t="s">
        <v>503</v>
      </c>
      <c r="N1842" s="95" t="s">
        <v>10570</v>
      </c>
      <c r="O1842" s="95" t="s">
        <v>10570</v>
      </c>
      <c r="P1842" s="95" t="s">
        <v>10571</v>
      </c>
      <c r="Q1842" s="98">
        <v>2.0</v>
      </c>
      <c r="R1842" s="97">
        <v>45820.57960648148</v>
      </c>
      <c r="S1842" s="99">
        <v>333.0</v>
      </c>
      <c r="T1842" s="99">
        <v>19.0</v>
      </c>
      <c r="U1842" s="99">
        <v>3.0</v>
      </c>
      <c r="V1842" s="99">
        <v>17.0</v>
      </c>
      <c r="W1842" s="99">
        <v>38198.0</v>
      </c>
    </row>
    <row r="1843" ht="15.75" customHeight="1">
      <c r="A1843" s="95" t="s">
        <v>10572</v>
      </c>
      <c r="B1843" s="95" t="s">
        <v>131</v>
      </c>
      <c r="C1843" s="96" t="s">
        <v>10573</v>
      </c>
      <c r="D1843" s="95" t="s">
        <v>29</v>
      </c>
      <c r="E1843" s="95" t="s">
        <v>598</v>
      </c>
      <c r="F1843" s="95" t="s">
        <v>19</v>
      </c>
      <c r="G1843" s="95" t="s">
        <v>19</v>
      </c>
      <c r="H1843" s="95" t="s">
        <v>21</v>
      </c>
      <c r="I1843" s="95" t="s">
        <v>647</v>
      </c>
      <c r="J1843" s="97">
        <v>46076.6316190162</v>
      </c>
      <c r="K1843" s="95" t="s">
        <v>10574</v>
      </c>
      <c r="L1843" s="96" t="s">
        <v>10575</v>
      </c>
      <c r="M1843" s="95" t="s">
        <v>74</v>
      </c>
      <c r="N1843" s="95" t="s">
        <v>10576</v>
      </c>
      <c r="O1843" s="95" t="s">
        <v>10576</v>
      </c>
      <c r="P1843" s="95" t="s">
        <v>10577</v>
      </c>
      <c r="Q1843" s="98">
        <v>2.0</v>
      </c>
      <c r="R1843" s="97">
        <v>46010.456875</v>
      </c>
      <c r="S1843" s="99">
        <v>571.0</v>
      </c>
      <c r="T1843" s="99">
        <v>1.0</v>
      </c>
      <c r="U1843" s="99">
        <v>2.0</v>
      </c>
      <c r="V1843" s="99">
        <v>35.0</v>
      </c>
      <c r="W1843" s="99">
        <v>29766.0</v>
      </c>
    </row>
    <row r="1844" ht="15.75" customHeight="1">
      <c r="A1844" s="95" t="s">
        <v>10578</v>
      </c>
      <c r="B1844" s="95" t="s">
        <v>22</v>
      </c>
      <c r="C1844" s="96" t="s">
        <v>10579</v>
      </c>
      <c r="D1844" s="95" t="s">
        <v>20</v>
      </c>
      <c r="E1844" s="95" t="s">
        <v>638</v>
      </c>
      <c r="F1844" s="95" t="s">
        <v>19</v>
      </c>
      <c r="G1844" s="95" t="s">
        <v>19</v>
      </c>
      <c r="H1844" s="95" t="s">
        <v>21</v>
      </c>
      <c r="I1844" s="95" t="s">
        <v>633</v>
      </c>
      <c r="J1844" s="97">
        <v>46003.09185423611</v>
      </c>
      <c r="K1844" s="95" t="s">
        <v>10580</v>
      </c>
      <c r="L1844" s="96" t="s">
        <v>10581</v>
      </c>
      <c r="M1844" s="95" t="s">
        <v>38</v>
      </c>
      <c r="N1844" s="95" t="s">
        <v>10582</v>
      </c>
      <c r="O1844" s="95" t="s">
        <v>10582</v>
      </c>
      <c r="P1844" s="95" t="s">
        <v>10583</v>
      </c>
      <c r="Q1844" s="98">
        <v>2.0</v>
      </c>
      <c r="R1844" s="97">
        <v>45768.04553240741</v>
      </c>
      <c r="S1844" s="99">
        <v>236.0</v>
      </c>
      <c r="T1844" s="99">
        <v>75.0</v>
      </c>
      <c r="U1844" s="99">
        <v>7.0</v>
      </c>
      <c r="V1844" s="99">
        <v>198.0</v>
      </c>
      <c r="W1844" s="99">
        <v>18757.0</v>
      </c>
    </row>
    <row r="1845" ht="15.75" customHeight="1">
      <c r="A1845" s="95" t="s">
        <v>10584</v>
      </c>
      <c r="B1845" s="95" t="s">
        <v>22</v>
      </c>
      <c r="C1845" s="96" t="s">
        <v>10585</v>
      </c>
      <c r="D1845" s="95" t="s">
        <v>39</v>
      </c>
      <c r="E1845" s="95" t="s">
        <v>39</v>
      </c>
      <c r="F1845" s="95" t="s">
        <v>19</v>
      </c>
      <c r="G1845" s="95" t="s">
        <v>574</v>
      </c>
      <c r="H1845" s="95" t="s">
        <v>21</v>
      </c>
      <c r="I1845" s="95" t="s">
        <v>567</v>
      </c>
      <c r="J1845" s="97">
        <v>46011.60168425926</v>
      </c>
      <c r="K1845" s="95" t="s">
        <v>10586</v>
      </c>
      <c r="L1845" s="96" t="s">
        <v>10587</v>
      </c>
      <c r="M1845" s="95" t="s">
        <v>38</v>
      </c>
      <c r="N1845" s="95" t="s">
        <v>1134</v>
      </c>
      <c r="O1845" s="95" t="s">
        <v>1134</v>
      </c>
      <c r="P1845" s="95" t="s">
        <v>1135</v>
      </c>
      <c r="Q1845" s="98">
        <v>2.0</v>
      </c>
      <c r="R1845" s="97">
        <v>45959.10737268518</v>
      </c>
      <c r="S1845" s="99">
        <v>95.0</v>
      </c>
      <c r="T1845" s="99">
        <v>92.0</v>
      </c>
      <c r="U1845" s="99">
        <v>1.0</v>
      </c>
      <c r="V1845" s="99">
        <v>52.0</v>
      </c>
      <c r="W1845" s="99">
        <v>10229.0</v>
      </c>
    </row>
    <row r="1846" ht="15.75" customHeight="1">
      <c r="A1846" s="95" t="s">
        <v>10588</v>
      </c>
      <c r="B1846" s="95" t="s">
        <v>22</v>
      </c>
      <c r="C1846" s="96" t="s">
        <v>10589</v>
      </c>
      <c r="D1846" s="95" t="s">
        <v>39</v>
      </c>
      <c r="E1846" s="95" t="s">
        <v>39</v>
      </c>
      <c r="F1846" s="95" t="s">
        <v>19</v>
      </c>
      <c r="G1846" s="95" t="s">
        <v>19</v>
      </c>
      <c r="H1846" s="95" t="s">
        <v>21</v>
      </c>
      <c r="I1846" s="95" t="s">
        <v>589</v>
      </c>
      <c r="J1846" s="97">
        <v>46021.50350939815</v>
      </c>
      <c r="K1846" s="95" t="s">
        <v>10590</v>
      </c>
      <c r="L1846" s="96" t="s">
        <v>10591</v>
      </c>
      <c r="M1846" s="95" t="s">
        <v>74</v>
      </c>
      <c r="N1846" s="95" t="s">
        <v>10592</v>
      </c>
      <c r="O1846" s="95" t="s">
        <v>10592</v>
      </c>
      <c r="P1846" s="95" t="s">
        <v>10593</v>
      </c>
      <c r="Q1846" s="98">
        <v>2.0</v>
      </c>
      <c r="R1846" s="97">
        <v>45737.09578703704</v>
      </c>
      <c r="S1846" s="99">
        <v>366.0</v>
      </c>
      <c r="T1846" s="99">
        <v>22.0</v>
      </c>
      <c r="U1846" s="99">
        <v>1.0</v>
      </c>
      <c r="V1846" s="99">
        <v>22.0</v>
      </c>
      <c r="W1846" s="99">
        <v>5080.0</v>
      </c>
    </row>
    <row r="1847" ht="15.75" customHeight="1">
      <c r="A1847" s="95" t="s">
        <v>10594</v>
      </c>
      <c r="B1847" s="95" t="s">
        <v>22</v>
      </c>
      <c r="C1847" s="96" t="s">
        <v>10595</v>
      </c>
      <c r="D1847" s="95" t="s">
        <v>39</v>
      </c>
      <c r="E1847" s="95" t="s">
        <v>1201</v>
      </c>
      <c r="F1847" s="95" t="s">
        <v>19</v>
      </c>
      <c r="G1847" s="95" t="s">
        <v>588</v>
      </c>
      <c r="H1847" s="95" t="s">
        <v>21</v>
      </c>
      <c r="I1847" s="95" t="s">
        <v>589</v>
      </c>
      <c r="J1847" s="97">
        <v>45975.67938763889</v>
      </c>
      <c r="K1847" s="96" t="s">
        <v>10596</v>
      </c>
      <c r="L1847" s="96" t="s">
        <v>10597</v>
      </c>
      <c r="M1847" s="95" t="s">
        <v>74</v>
      </c>
      <c r="N1847" s="95" t="s">
        <v>1204</v>
      </c>
      <c r="O1847" s="95" t="s">
        <v>1204</v>
      </c>
      <c r="P1847" s="95" t="s">
        <v>1205</v>
      </c>
      <c r="Q1847" s="98">
        <v>2.0</v>
      </c>
      <c r="R1847" s="97">
        <v>45810.66928240741</v>
      </c>
      <c r="S1847" s="99">
        <v>5700.0</v>
      </c>
      <c r="T1847" s="99">
        <v>180.0</v>
      </c>
      <c r="U1847" s="99">
        <v>8.0</v>
      </c>
      <c r="V1847" s="99">
        <v>31.0</v>
      </c>
      <c r="W1847" s="99">
        <v>24130.0</v>
      </c>
    </row>
    <row r="1848" ht="15.75" customHeight="1">
      <c r="A1848" s="95" t="s">
        <v>10598</v>
      </c>
      <c r="B1848" s="95" t="s">
        <v>69</v>
      </c>
      <c r="C1848" s="96" t="s">
        <v>10599</v>
      </c>
      <c r="D1848" s="95" t="s">
        <v>39</v>
      </c>
      <c r="E1848" s="95" t="s">
        <v>39</v>
      </c>
      <c r="F1848" s="95" t="s">
        <v>88</v>
      </c>
      <c r="G1848" s="95" t="s">
        <v>88</v>
      </c>
      <c r="H1848" s="95" t="s">
        <v>89</v>
      </c>
      <c r="I1848" s="95" t="s">
        <v>1477</v>
      </c>
      <c r="J1848" s="97">
        <v>46040.56664251157</v>
      </c>
      <c r="K1848" s="95" t="s">
        <v>10600</v>
      </c>
      <c r="L1848" s="96" t="s">
        <v>10601</v>
      </c>
      <c r="M1848" s="95" t="s">
        <v>74</v>
      </c>
      <c r="N1848" s="95" t="s">
        <v>10602</v>
      </c>
      <c r="O1848" s="95" t="s">
        <v>10602</v>
      </c>
      <c r="P1848" s="95" t="s">
        <v>10603</v>
      </c>
      <c r="Q1848" s="98">
        <v>2.0</v>
      </c>
      <c r="R1848" s="97">
        <v>45844.98291666667</v>
      </c>
      <c r="S1848" s="99">
        <v>1521.0</v>
      </c>
      <c r="T1848" s="99">
        <v>19.0</v>
      </c>
      <c r="U1848" s="99">
        <v>1.0</v>
      </c>
      <c r="V1848" s="99">
        <v>36.0</v>
      </c>
      <c r="W1848" s="99">
        <v>10374.0</v>
      </c>
    </row>
    <row r="1849" ht="15.75" customHeight="1">
      <c r="A1849" s="95" t="s">
        <v>10604</v>
      </c>
      <c r="B1849" s="95" t="s">
        <v>22</v>
      </c>
      <c r="C1849" s="96" t="s">
        <v>10605</v>
      </c>
      <c r="D1849" s="95" t="s">
        <v>59</v>
      </c>
      <c r="E1849" s="95" t="s">
        <v>665</v>
      </c>
      <c r="F1849" s="95" t="s">
        <v>19</v>
      </c>
      <c r="G1849" s="95" t="s">
        <v>588</v>
      </c>
      <c r="H1849" s="95" t="s">
        <v>21</v>
      </c>
      <c r="I1849" s="95" t="s">
        <v>589</v>
      </c>
      <c r="J1849" s="97">
        <v>46003.09668672454</v>
      </c>
      <c r="K1849" s="95" t="s">
        <v>10606</v>
      </c>
      <c r="L1849" s="96" t="s">
        <v>10607</v>
      </c>
      <c r="M1849" s="95" t="s">
        <v>54</v>
      </c>
      <c r="N1849" s="95" t="s">
        <v>10608</v>
      </c>
      <c r="O1849" s="95" t="s">
        <v>10608</v>
      </c>
      <c r="P1849" s="95" t="s">
        <v>10609</v>
      </c>
      <c r="Q1849" s="98">
        <v>2.0</v>
      </c>
      <c r="R1849" s="97">
        <v>45891.92722222222</v>
      </c>
      <c r="S1849" s="99">
        <v>1743.0</v>
      </c>
      <c r="T1849" s="99">
        <v>166.0</v>
      </c>
      <c r="U1849" s="99">
        <v>2.0</v>
      </c>
      <c r="V1849" s="99">
        <v>20.0</v>
      </c>
      <c r="W1849" s="99">
        <v>469241.0</v>
      </c>
    </row>
    <row r="1850" ht="15.75" customHeight="1">
      <c r="A1850" s="95" t="s">
        <v>10610</v>
      </c>
      <c r="B1850" s="95" t="s">
        <v>22</v>
      </c>
      <c r="C1850" s="96" t="s">
        <v>10611</v>
      </c>
      <c r="D1850" s="95" t="s">
        <v>168</v>
      </c>
      <c r="E1850" s="95" t="s">
        <v>1228</v>
      </c>
      <c r="F1850" s="95" t="s">
        <v>19</v>
      </c>
      <c r="G1850" s="95" t="s">
        <v>588</v>
      </c>
      <c r="H1850" s="95" t="s">
        <v>21</v>
      </c>
      <c r="I1850" s="95" t="s">
        <v>589</v>
      </c>
      <c r="J1850" s="97">
        <v>46021.50350939815</v>
      </c>
      <c r="K1850" s="95" t="s">
        <v>10612</v>
      </c>
      <c r="L1850" s="96" t="s">
        <v>10613</v>
      </c>
      <c r="M1850" s="95" t="s">
        <v>105</v>
      </c>
      <c r="N1850" s="95" t="s">
        <v>1231</v>
      </c>
      <c r="O1850" s="95" t="s">
        <v>1231</v>
      </c>
      <c r="P1850" s="95" t="s">
        <v>1232</v>
      </c>
      <c r="Q1850" s="98">
        <v>2.0</v>
      </c>
      <c r="R1850" s="97">
        <v>45784.66444444445</v>
      </c>
      <c r="S1850" s="99">
        <v>16235.0</v>
      </c>
      <c r="T1850" s="99">
        <v>5138.0</v>
      </c>
      <c r="U1850" s="99">
        <v>5.0</v>
      </c>
      <c r="V1850" s="99">
        <v>21.0</v>
      </c>
      <c r="W1850" s="99">
        <v>1021976.0</v>
      </c>
    </row>
    <row r="1851" ht="15.75" customHeight="1">
      <c r="A1851" s="95" t="s">
        <v>10614</v>
      </c>
      <c r="B1851" s="95" t="s">
        <v>22</v>
      </c>
      <c r="C1851" s="96" t="s">
        <v>10615</v>
      </c>
      <c r="D1851" s="95" t="s">
        <v>168</v>
      </c>
      <c r="E1851" s="95" t="s">
        <v>1228</v>
      </c>
      <c r="F1851" s="95" t="s">
        <v>19</v>
      </c>
      <c r="G1851" s="95" t="s">
        <v>19</v>
      </c>
      <c r="H1851" s="95" t="s">
        <v>21</v>
      </c>
      <c r="I1851" s="95" t="s">
        <v>567</v>
      </c>
      <c r="J1851" s="97">
        <v>46021.49516895833</v>
      </c>
      <c r="K1851" s="95" t="s">
        <v>10616</v>
      </c>
      <c r="L1851" s="96" t="s">
        <v>10617</v>
      </c>
      <c r="M1851" s="95" t="s">
        <v>105</v>
      </c>
      <c r="N1851" s="95" t="s">
        <v>1231</v>
      </c>
      <c r="O1851" s="95" t="s">
        <v>1231</v>
      </c>
      <c r="P1851" s="95" t="s">
        <v>1232</v>
      </c>
      <c r="Q1851" s="98">
        <v>2.0</v>
      </c>
      <c r="R1851" s="97">
        <v>45916.57233796296</v>
      </c>
      <c r="S1851" s="99">
        <v>16235.0</v>
      </c>
      <c r="T1851" s="99">
        <v>259.0</v>
      </c>
      <c r="U1851" s="99">
        <v>2.0</v>
      </c>
      <c r="V1851" s="99">
        <v>107.0</v>
      </c>
      <c r="W1851" s="99">
        <v>1021976.0</v>
      </c>
    </row>
    <row r="1852" ht="15.75" customHeight="1">
      <c r="A1852" s="95" t="s">
        <v>10618</v>
      </c>
      <c r="B1852" s="95" t="s">
        <v>22</v>
      </c>
      <c r="C1852" s="96" t="s">
        <v>10619</v>
      </c>
      <c r="D1852" s="95" t="s">
        <v>168</v>
      </c>
      <c r="E1852" s="95" t="s">
        <v>1228</v>
      </c>
      <c r="F1852" s="95" t="s">
        <v>19</v>
      </c>
      <c r="G1852" s="95" t="s">
        <v>588</v>
      </c>
      <c r="H1852" s="95" t="s">
        <v>21</v>
      </c>
      <c r="I1852" s="95" t="s">
        <v>567</v>
      </c>
      <c r="J1852" s="97">
        <v>45994.67149599537</v>
      </c>
      <c r="K1852" s="95" t="s">
        <v>10620</v>
      </c>
      <c r="L1852" s="96" t="s">
        <v>10621</v>
      </c>
      <c r="M1852" s="95" t="s">
        <v>105</v>
      </c>
      <c r="N1852" s="95" t="s">
        <v>1231</v>
      </c>
      <c r="O1852" s="95" t="s">
        <v>1231</v>
      </c>
      <c r="P1852" s="95" t="s">
        <v>1232</v>
      </c>
      <c r="Q1852" s="98">
        <v>2.0</v>
      </c>
      <c r="R1852" s="97">
        <v>45902.35636574074</v>
      </c>
      <c r="S1852" s="99">
        <v>16235.0</v>
      </c>
      <c r="T1852" s="99">
        <v>161.0</v>
      </c>
      <c r="U1852" s="99">
        <v>4.0</v>
      </c>
      <c r="V1852" s="99">
        <v>46.0</v>
      </c>
      <c r="W1852" s="99">
        <v>1021976.0</v>
      </c>
    </row>
    <row r="1853" ht="15.75" customHeight="1">
      <c r="A1853" s="95" t="s">
        <v>10622</v>
      </c>
      <c r="B1853" s="95" t="s">
        <v>22</v>
      </c>
      <c r="C1853" s="96" t="s">
        <v>10623</v>
      </c>
      <c r="D1853" s="95" t="s">
        <v>168</v>
      </c>
      <c r="E1853" s="95" t="s">
        <v>1228</v>
      </c>
      <c r="F1853" s="95" t="s">
        <v>19</v>
      </c>
      <c r="G1853" s="95" t="s">
        <v>19</v>
      </c>
      <c r="H1853" s="95" t="s">
        <v>21</v>
      </c>
      <c r="I1853" s="95" t="s">
        <v>567</v>
      </c>
      <c r="J1853" s="97">
        <v>46021.49516895833</v>
      </c>
      <c r="K1853" s="95" t="s">
        <v>10624</v>
      </c>
      <c r="L1853" s="96" t="s">
        <v>10625</v>
      </c>
      <c r="M1853" s="95" t="s">
        <v>105</v>
      </c>
      <c r="N1853" s="95" t="s">
        <v>1231</v>
      </c>
      <c r="O1853" s="95" t="s">
        <v>1231</v>
      </c>
      <c r="P1853" s="95" t="s">
        <v>1232</v>
      </c>
      <c r="Q1853" s="98">
        <v>2.0</v>
      </c>
      <c r="R1853" s="97">
        <v>45919.35302083333</v>
      </c>
      <c r="S1853" s="99">
        <v>16235.0</v>
      </c>
      <c r="T1853" s="99">
        <v>166.0</v>
      </c>
      <c r="U1853" s="99">
        <v>11.0</v>
      </c>
      <c r="V1853" s="99">
        <v>47.0</v>
      </c>
      <c r="W1853" s="99">
        <v>1021976.0</v>
      </c>
    </row>
    <row r="1854" ht="15.75" customHeight="1">
      <c r="A1854" s="95" t="s">
        <v>10626</v>
      </c>
      <c r="B1854" s="95" t="s">
        <v>22</v>
      </c>
      <c r="C1854" s="96" t="s">
        <v>10627</v>
      </c>
      <c r="D1854" s="95" t="s">
        <v>168</v>
      </c>
      <c r="E1854" s="95" t="s">
        <v>1228</v>
      </c>
      <c r="F1854" s="95" t="s">
        <v>19</v>
      </c>
      <c r="G1854" s="95" t="s">
        <v>19</v>
      </c>
      <c r="H1854" s="95" t="s">
        <v>21</v>
      </c>
      <c r="I1854" s="95" t="s">
        <v>567</v>
      </c>
      <c r="J1854" s="97">
        <v>46021.49516895833</v>
      </c>
      <c r="K1854" s="95" t="s">
        <v>10628</v>
      </c>
      <c r="L1854" s="96" t="s">
        <v>10629</v>
      </c>
      <c r="M1854" s="95" t="s">
        <v>105</v>
      </c>
      <c r="N1854" s="95" t="s">
        <v>1231</v>
      </c>
      <c r="O1854" s="95" t="s">
        <v>1231</v>
      </c>
      <c r="P1854" s="95" t="s">
        <v>1232</v>
      </c>
      <c r="Q1854" s="98">
        <v>2.0</v>
      </c>
      <c r="R1854" s="97">
        <v>45740.67268518519</v>
      </c>
      <c r="S1854" s="99">
        <v>16235.0</v>
      </c>
      <c r="T1854" s="99">
        <v>76.0</v>
      </c>
      <c r="U1854" s="99">
        <v>1.0</v>
      </c>
      <c r="V1854" s="99">
        <v>176.0</v>
      </c>
      <c r="W1854" s="99">
        <v>1021976.0</v>
      </c>
    </row>
    <row r="1855" ht="15.75" customHeight="1">
      <c r="A1855" s="95" t="s">
        <v>10630</v>
      </c>
      <c r="B1855" s="95" t="s">
        <v>22</v>
      </c>
      <c r="C1855" s="96" t="s">
        <v>10631</v>
      </c>
      <c r="D1855" s="95" t="s">
        <v>130</v>
      </c>
      <c r="E1855" s="95" t="s">
        <v>1025</v>
      </c>
      <c r="F1855" s="95" t="s">
        <v>19</v>
      </c>
      <c r="G1855" s="95" t="s">
        <v>19</v>
      </c>
      <c r="H1855" s="95" t="s">
        <v>21</v>
      </c>
      <c r="I1855" s="95" t="s">
        <v>567</v>
      </c>
      <c r="J1855" s="97">
        <v>45993.78544196759</v>
      </c>
      <c r="K1855" s="96" t="s">
        <v>10632</v>
      </c>
      <c r="L1855" s="96" t="s">
        <v>10633</v>
      </c>
      <c r="M1855" s="95" t="s">
        <v>93</v>
      </c>
      <c r="N1855" s="95" t="s">
        <v>10634</v>
      </c>
      <c r="O1855" s="95" t="s">
        <v>10634</v>
      </c>
      <c r="P1855" s="95" t="s">
        <v>10635</v>
      </c>
      <c r="Q1855" s="98">
        <v>2.0</v>
      </c>
      <c r="R1855" s="97">
        <v>45603.84424768519</v>
      </c>
      <c r="S1855" s="99">
        <v>8290.0</v>
      </c>
      <c r="T1855" s="99">
        <v>36.0</v>
      </c>
      <c r="U1855" s="99">
        <v>1.0</v>
      </c>
      <c r="V1855" s="99">
        <v>67.0</v>
      </c>
      <c r="W1855" s="99">
        <v>999999.0</v>
      </c>
    </row>
    <row r="1856" ht="15.75" customHeight="1">
      <c r="A1856" s="95" t="s">
        <v>10636</v>
      </c>
      <c r="B1856" s="95" t="s">
        <v>22</v>
      </c>
      <c r="C1856" s="96" t="s">
        <v>10637</v>
      </c>
      <c r="D1856" s="95" t="s">
        <v>59</v>
      </c>
      <c r="E1856" s="95" t="s">
        <v>1347</v>
      </c>
      <c r="F1856" s="95" t="s">
        <v>19</v>
      </c>
      <c r="G1856" s="95" t="s">
        <v>19</v>
      </c>
      <c r="H1856" s="95" t="s">
        <v>21</v>
      </c>
      <c r="I1856" s="95" t="s">
        <v>633</v>
      </c>
      <c r="J1856" s="97">
        <v>46021.50930244213</v>
      </c>
      <c r="K1856" s="95" t="s">
        <v>10638</v>
      </c>
      <c r="L1856" s="96" t="s">
        <v>10639</v>
      </c>
      <c r="M1856" s="95" t="s">
        <v>93</v>
      </c>
      <c r="N1856" s="95" t="s">
        <v>10640</v>
      </c>
      <c r="O1856" s="95" t="s">
        <v>10640</v>
      </c>
      <c r="P1856" s="95" t="s">
        <v>10641</v>
      </c>
      <c r="Q1856" s="98">
        <v>2.0</v>
      </c>
      <c r="R1856" s="97">
        <v>44746.64900462963</v>
      </c>
      <c r="S1856" s="99">
        <v>1987.0</v>
      </c>
      <c r="T1856" s="99">
        <v>97.0</v>
      </c>
      <c r="U1856" s="99">
        <v>14.0</v>
      </c>
      <c r="V1856" s="99">
        <v>108.0</v>
      </c>
      <c r="W1856" s="99">
        <v>360502.0</v>
      </c>
    </row>
    <row r="1857" ht="15.75" customHeight="1">
      <c r="A1857" s="95" t="s">
        <v>10642</v>
      </c>
      <c r="B1857" s="95" t="s">
        <v>22</v>
      </c>
      <c r="C1857" s="96" t="s">
        <v>10643</v>
      </c>
      <c r="D1857" s="95" t="s">
        <v>130</v>
      </c>
      <c r="E1857" s="95" t="s">
        <v>917</v>
      </c>
      <c r="F1857" s="95" t="s">
        <v>19</v>
      </c>
      <c r="G1857" s="95" t="s">
        <v>19</v>
      </c>
      <c r="H1857" s="95" t="s">
        <v>21</v>
      </c>
      <c r="I1857" s="95" t="s">
        <v>589</v>
      </c>
      <c r="J1857" s="97">
        <v>46021.50930244213</v>
      </c>
      <c r="K1857" s="95" t="s">
        <v>10644</v>
      </c>
      <c r="L1857" s="96" t="s">
        <v>10645</v>
      </c>
      <c r="M1857" s="95" t="s">
        <v>93</v>
      </c>
      <c r="N1857" s="95" t="s">
        <v>1297</v>
      </c>
      <c r="O1857" s="95" t="s">
        <v>1297</v>
      </c>
      <c r="P1857" s="95" t="s">
        <v>1298</v>
      </c>
      <c r="Q1857" s="98">
        <v>2.0</v>
      </c>
      <c r="R1857" s="97">
        <v>45730.49496527778</v>
      </c>
      <c r="S1857" s="99">
        <v>1795.0</v>
      </c>
      <c r="T1857" s="99">
        <v>1636.0</v>
      </c>
      <c r="U1857" s="99">
        <v>2.0</v>
      </c>
      <c r="V1857" s="99">
        <v>18.0</v>
      </c>
      <c r="W1857" s="99">
        <v>272096.0</v>
      </c>
    </row>
    <row r="1858" ht="15.75" customHeight="1">
      <c r="A1858" s="95" t="s">
        <v>161</v>
      </c>
      <c r="B1858" s="95" t="s">
        <v>157</v>
      </c>
      <c r="C1858" s="96" t="s">
        <v>165</v>
      </c>
      <c r="D1858" s="95" t="s">
        <v>130</v>
      </c>
      <c r="E1858" s="95" t="s">
        <v>1323</v>
      </c>
      <c r="F1858" s="95" t="s">
        <v>88</v>
      </c>
      <c r="G1858" s="95" t="s">
        <v>858</v>
      </c>
      <c r="H1858" s="95" t="s">
        <v>89</v>
      </c>
      <c r="I1858" s="95" t="s">
        <v>859</v>
      </c>
      <c r="J1858" s="97">
        <v>46069.65903020834</v>
      </c>
      <c r="K1858" s="95" t="s">
        <v>164</v>
      </c>
      <c r="L1858" s="96" t="s">
        <v>163</v>
      </c>
      <c r="M1858" s="95" t="s">
        <v>93</v>
      </c>
      <c r="N1858" s="95" t="s">
        <v>162</v>
      </c>
      <c r="O1858" s="95" t="s">
        <v>162</v>
      </c>
      <c r="P1858" s="95" t="s">
        <v>1315</v>
      </c>
      <c r="Q1858" s="98">
        <v>2.0</v>
      </c>
      <c r="R1858" s="97">
        <v>46056.10069444445</v>
      </c>
      <c r="S1858" s="99">
        <v>2853.0</v>
      </c>
      <c r="T1858" s="99">
        <v>155.0</v>
      </c>
      <c r="U1858" s="99">
        <v>2.0</v>
      </c>
      <c r="V1858" s="99">
        <v>40.0</v>
      </c>
      <c r="W1858" s="99">
        <v>497894.0</v>
      </c>
    </row>
    <row r="1859" ht="15.75" customHeight="1">
      <c r="A1859" s="95" t="s">
        <v>10646</v>
      </c>
      <c r="B1859" s="95" t="s">
        <v>22</v>
      </c>
      <c r="C1859" s="96" t="s">
        <v>10647</v>
      </c>
      <c r="D1859" s="95" t="s">
        <v>130</v>
      </c>
      <c r="E1859" s="95" t="s">
        <v>1025</v>
      </c>
      <c r="F1859" s="95" t="s">
        <v>19</v>
      </c>
      <c r="G1859" s="95" t="s">
        <v>19</v>
      </c>
      <c r="H1859" s="95" t="s">
        <v>21</v>
      </c>
      <c r="I1859" s="95" t="s">
        <v>567</v>
      </c>
      <c r="J1859" s="97">
        <v>45993.7854622338</v>
      </c>
      <c r="K1859" s="96" t="s">
        <v>10648</v>
      </c>
      <c r="L1859" s="96" t="s">
        <v>10649</v>
      </c>
      <c r="M1859" s="95" t="s">
        <v>17</v>
      </c>
      <c r="N1859" s="95" t="s">
        <v>1363</v>
      </c>
      <c r="O1859" s="95" t="s">
        <v>1363</v>
      </c>
      <c r="P1859" s="95" t="s">
        <v>1364</v>
      </c>
      <c r="Q1859" s="98">
        <v>2.0</v>
      </c>
      <c r="R1859" s="97">
        <v>45678.86224537037</v>
      </c>
      <c r="S1859" s="99">
        <v>908.0</v>
      </c>
      <c r="T1859" s="99">
        <v>53.0</v>
      </c>
      <c r="U1859" s="99">
        <v>1.0</v>
      </c>
      <c r="V1859" s="99">
        <v>24.0</v>
      </c>
      <c r="W1859" s="99">
        <v>174652.0</v>
      </c>
    </row>
    <row r="1860" ht="15.75" customHeight="1">
      <c r="A1860" s="95" t="s">
        <v>10650</v>
      </c>
      <c r="B1860" s="95" t="s">
        <v>22</v>
      </c>
      <c r="C1860" s="96" t="s">
        <v>10651</v>
      </c>
      <c r="D1860" s="95" t="s">
        <v>130</v>
      </c>
      <c r="E1860" s="95" t="s">
        <v>1025</v>
      </c>
      <c r="F1860" s="95" t="s">
        <v>19</v>
      </c>
      <c r="G1860" s="95" t="s">
        <v>19</v>
      </c>
      <c r="H1860" s="95" t="s">
        <v>21</v>
      </c>
      <c r="I1860" s="95" t="s">
        <v>589</v>
      </c>
      <c r="J1860" s="97">
        <v>45975.6793321412</v>
      </c>
      <c r="K1860" s="96" t="s">
        <v>10652</v>
      </c>
      <c r="L1860" s="95"/>
      <c r="M1860" s="95" t="s">
        <v>17</v>
      </c>
      <c r="N1860" s="95" t="s">
        <v>1363</v>
      </c>
      <c r="O1860" s="95" t="s">
        <v>1363</v>
      </c>
      <c r="P1860" s="95" t="s">
        <v>1364</v>
      </c>
      <c r="Q1860" s="98">
        <v>2.0</v>
      </c>
      <c r="R1860" s="97">
        <v>45700.19328703704</v>
      </c>
      <c r="S1860" s="99">
        <v>908.0</v>
      </c>
      <c r="T1860" s="99">
        <v>272.0</v>
      </c>
      <c r="U1860" s="99">
        <v>3.0</v>
      </c>
      <c r="V1860" s="99">
        <v>21.0</v>
      </c>
      <c r="W1860" s="99">
        <v>174652.0</v>
      </c>
    </row>
    <row r="1861" ht="15.75" customHeight="1">
      <c r="A1861" s="95" t="s">
        <v>10653</v>
      </c>
      <c r="B1861" s="95" t="s">
        <v>157</v>
      </c>
      <c r="C1861" s="96" t="s">
        <v>10654</v>
      </c>
      <c r="D1861" s="95" t="s">
        <v>124</v>
      </c>
      <c r="E1861" s="95" t="s">
        <v>2338</v>
      </c>
      <c r="F1861" s="95" t="s">
        <v>88</v>
      </c>
      <c r="G1861" s="95" t="s">
        <v>639</v>
      </c>
      <c r="H1861" s="95" t="s">
        <v>89</v>
      </c>
      <c r="I1861" s="95" t="s">
        <v>897</v>
      </c>
      <c r="J1861" s="97">
        <v>46040.56534167824</v>
      </c>
      <c r="K1861" s="95" t="s">
        <v>10655</v>
      </c>
      <c r="L1861" s="96" t="s">
        <v>10656</v>
      </c>
      <c r="M1861" s="95" t="s">
        <v>93</v>
      </c>
      <c r="N1861" s="95" t="s">
        <v>10657</v>
      </c>
      <c r="O1861" s="95" t="s">
        <v>10657</v>
      </c>
      <c r="P1861" s="95" t="s">
        <v>10658</v>
      </c>
      <c r="Q1861" s="98">
        <v>2.0</v>
      </c>
      <c r="R1861" s="97">
        <v>45848.56231481482</v>
      </c>
      <c r="S1861" s="99">
        <v>601.0</v>
      </c>
      <c r="T1861" s="99">
        <v>213.0</v>
      </c>
      <c r="U1861" s="99">
        <v>1.0</v>
      </c>
      <c r="V1861" s="99">
        <v>80.0</v>
      </c>
      <c r="W1861" s="99">
        <v>318779.0</v>
      </c>
    </row>
    <row r="1862" ht="15.75" customHeight="1">
      <c r="A1862" s="95" t="s">
        <v>10659</v>
      </c>
      <c r="B1862" s="95" t="s">
        <v>22</v>
      </c>
      <c r="C1862" s="96" t="s">
        <v>10660</v>
      </c>
      <c r="D1862" s="95" t="s">
        <v>130</v>
      </c>
      <c r="E1862" s="95" t="s">
        <v>130</v>
      </c>
      <c r="F1862" s="95" t="s">
        <v>19</v>
      </c>
      <c r="G1862" s="95" t="s">
        <v>19</v>
      </c>
      <c r="H1862" s="95" t="s">
        <v>21</v>
      </c>
      <c r="I1862" s="95" t="s">
        <v>567</v>
      </c>
      <c r="J1862" s="97">
        <v>46021.50930244213</v>
      </c>
      <c r="K1862" s="95" t="s">
        <v>10661</v>
      </c>
      <c r="L1862" s="96" t="s">
        <v>10662</v>
      </c>
      <c r="M1862" s="95" t="s">
        <v>93</v>
      </c>
      <c r="N1862" s="95" t="s">
        <v>1370</v>
      </c>
      <c r="O1862" s="95" t="s">
        <v>1370</v>
      </c>
      <c r="P1862" s="95" t="s">
        <v>1371</v>
      </c>
      <c r="Q1862" s="98">
        <v>2.0</v>
      </c>
      <c r="R1862" s="97">
        <v>45560.18833333333</v>
      </c>
      <c r="S1862" s="99">
        <v>1483.0</v>
      </c>
      <c r="T1862" s="99">
        <v>161.0</v>
      </c>
      <c r="U1862" s="99">
        <v>1.0</v>
      </c>
      <c r="V1862" s="99">
        <v>150.0</v>
      </c>
      <c r="W1862" s="99">
        <v>849147.0</v>
      </c>
    </row>
    <row r="1863" ht="15.75" customHeight="1">
      <c r="A1863" s="95" t="s">
        <v>10663</v>
      </c>
      <c r="B1863" s="95" t="s">
        <v>131</v>
      </c>
      <c r="C1863" s="96" t="s">
        <v>10664</v>
      </c>
      <c r="D1863" s="95" t="s">
        <v>29</v>
      </c>
      <c r="E1863" s="95" t="s">
        <v>598</v>
      </c>
      <c r="F1863" s="95" t="s">
        <v>58</v>
      </c>
      <c r="G1863" s="95" t="s">
        <v>58</v>
      </c>
      <c r="H1863" s="95" t="s">
        <v>60</v>
      </c>
      <c r="I1863" s="95" t="s">
        <v>795</v>
      </c>
      <c r="J1863" s="97">
        <v>46069.65786701389</v>
      </c>
      <c r="K1863" s="95" t="s">
        <v>10665</v>
      </c>
      <c r="L1863" s="96" t="s">
        <v>10666</v>
      </c>
      <c r="M1863" s="95" t="s">
        <v>93</v>
      </c>
      <c r="N1863" s="95" t="s">
        <v>1376</v>
      </c>
      <c r="O1863" s="95" t="s">
        <v>1376</v>
      </c>
      <c r="P1863" s="95" t="s">
        <v>1377</v>
      </c>
      <c r="Q1863" s="98">
        <v>2.0</v>
      </c>
      <c r="R1863" s="97">
        <v>45707.37880787037</v>
      </c>
      <c r="S1863" s="99">
        <v>1279.0</v>
      </c>
      <c r="T1863" s="99">
        <v>34992.0</v>
      </c>
      <c r="U1863" s="99">
        <v>2.0</v>
      </c>
      <c r="V1863" s="99">
        <v>41.0</v>
      </c>
      <c r="W1863" s="99">
        <v>705363.0</v>
      </c>
    </row>
    <row r="1864" ht="15.75" customHeight="1">
      <c r="A1864" s="95" t="s">
        <v>10667</v>
      </c>
      <c r="B1864" s="95" t="s">
        <v>22</v>
      </c>
      <c r="C1864" s="96" t="s">
        <v>10668</v>
      </c>
      <c r="D1864" s="95" t="s">
        <v>59</v>
      </c>
      <c r="E1864" s="95" t="s">
        <v>1347</v>
      </c>
      <c r="F1864" s="95" t="s">
        <v>19</v>
      </c>
      <c r="G1864" s="95" t="s">
        <v>19</v>
      </c>
      <c r="H1864" s="95" t="s">
        <v>21</v>
      </c>
      <c r="I1864" s="95" t="s">
        <v>567</v>
      </c>
      <c r="J1864" s="97">
        <v>45975.67928111111</v>
      </c>
      <c r="K1864" s="96" t="s">
        <v>10669</v>
      </c>
      <c r="L1864" s="96" t="s">
        <v>10670</v>
      </c>
      <c r="M1864" s="95" t="s">
        <v>105</v>
      </c>
      <c r="N1864" s="95" t="s">
        <v>10671</v>
      </c>
      <c r="O1864" s="95" t="s">
        <v>10671</v>
      </c>
      <c r="P1864" s="95" t="s">
        <v>10672</v>
      </c>
      <c r="Q1864" s="98">
        <v>2.0</v>
      </c>
      <c r="R1864" s="97">
        <v>45869.23473379629</v>
      </c>
      <c r="S1864" s="99">
        <v>4161.0</v>
      </c>
      <c r="T1864" s="99">
        <v>431.0</v>
      </c>
      <c r="U1864" s="99">
        <v>1.0</v>
      </c>
      <c r="V1864" s="99">
        <v>87.0</v>
      </c>
      <c r="W1864" s="99">
        <v>96773.0</v>
      </c>
    </row>
    <row r="1865" ht="15.75" customHeight="1">
      <c r="A1865" s="95" t="s">
        <v>10673</v>
      </c>
      <c r="B1865" s="95" t="s">
        <v>157</v>
      </c>
      <c r="C1865" s="96" t="s">
        <v>10674</v>
      </c>
      <c r="D1865" s="95" t="s">
        <v>68</v>
      </c>
      <c r="E1865" s="95" t="s">
        <v>769</v>
      </c>
      <c r="F1865" s="95" t="s">
        <v>88</v>
      </c>
      <c r="G1865" s="95" t="s">
        <v>88</v>
      </c>
      <c r="H1865" s="95" t="s">
        <v>89</v>
      </c>
      <c r="I1865" s="95" t="s">
        <v>897</v>
      </c>
      <c r="J1865" s="97">
        <v>46040.67599121528</v>
      </c>
      <c r="K1865" s="95" t="s">
        <v>10675</v>
      </c>
      <c r="L1865" s="96" t="s">
        <v>10676</v>
      </c>
      <c r="M1865" s="95" t="s">
        <v>93</v>
      </c>
      <c r="N1865" s="95" t="s">
        <v>10677</v>
      </c>
      <c r="O1865" s="95" t="s">
        <v>10677</v>
      </c>
      <c r="P1865" s="95" t="s">
        <v>10678</v>
      </c>
      <c r="Q1865" s="98">
        <v>2.0</v>
      </c>
      <c r="R1865" s="97">
        <v>45605.8921412037</v>
      </c>
      <c r="S1865" s="99">
        <v>1056.0</v>
      </c>
      <c r="T1865" s="99">
        <v>1657.0</v>
      </c>
      <c r="U1865" s="99">
        <v>1.0</v>
      </c>
      <c r="V1865" s="99">
        <v>421.0</v>
      </c>
      <c r="W1865" s="99">
        <v>160786.0</v>
      </c>
    </row>
    <row r="1866" ht="15.75" customHeight="1">
      <c r="A1866" s="95" t="s">
        <v>10679</v>
      </c>
      <c r="B1866" s="95" t="s">
        <v>22</v>
      </c>
      <c r="C1866" s="96" t="s">
        <v>10680</v>
      </c>
      <c r="D1866" s="95" t="s">
        <v>59</v>
      </c>
      <c r="E1866" s="95" t="s">
        <v>59</v>
      </c>
      <c r="F1866" s="95" t="s">
        <v>19</v>
      </c>
      <c r="G1866" s="95" t="s">
        <v>1427</v>
      </c>
      <c r="H1866" s="95" t="s">
        <v>21</v>
      </c>
      <c r="I1866" s="95" t="s">
        <v>567</v>
      </c>
      <c r="J1866" s="97">
        <v>46039.71515172454</v>
      </c>
      <c r="K1866" s="95" t="s">
        <v>10681</v>
      </c>
      <c r="L1866" s="96" t="s">
        <v>10682</v>
      </c>
      <c r="M1866" s="95" t="s">
        <v>93</v>
      </c>
      <c r="N1866" s="95" t="s">
        <v>1460</v>
      </c>
      <c r="O1866" s="95" t="s">
        <v>1460</v>
      </c>
      <c r="P1866" s="95" t="s">
        <v>1461</v>
      </c>
      <c r="Q1866" s="98">
        <v>2.0</v>
      </c>
      <c r="R1866" s="97">
        <v>45307.12479166667</v>
      </c>
      <c r="S1866" s="99">
        <v>24698.0</v>
      </c>
      <c r="T1866" s="99">
        <v>166.0</v>
      </c>
      <c r="U1866" s="99">
        <v>2.0</v>
      </c>
      <c r="V1866" s="99">
        <v>61.0</v>
      </c>
      <c r="W1866" s="99">
        <v>299462.0</v>
      </c>
    </row>
    <row r="1867" ht="15.75" customHeight="1">
      <c r="A1867" s="95" t="s">
        <v>10683</v>
      </c>
      <c r="B1867" s="95" t="s">
        <v>22</v>
      </c>
      <c r="C1867" s="96" t="s">
        <v>10684</v>
      </c>
      <c r="D1867" s="95" t="s">
        <v>130</v>
      </c>
      <c r="E1867" s="95" t="s">
        <v>2109</v>
      </c>
      <c r="F1867" s="95" t="s">
        <v>19</v>
      </c>
      <c r="G1867" s="95" t="s">
        <v>19</v>
      </c>
      <c r="H1867" s="95" t="s">
        <v>21</v>
      </c>
      <c r="I1867" s="95" t="s">
        <v>567</v>
      </c>
      <c r="J1867" s="97">
        <v>46008.62901138889</v>
      </c>
      <c r="K1867" s="96" t="s">
        <v>10685</v>
      </c>
      <c r="L1867" s="96" t="s">
        <v>10686</v>
      </c>
      <c r="M1867" s="95" t="s">
        <v>17</v>
      </c>
      <c r="N1867" s="95" t="s">
        <v>10687</v>
      </c>
      <c r="O1867" s="95" t="s">
        <v>10687</v>
      </c>
      <c r="P1867" s="95" t="s">
        <v>10688</v>
      </c>
      <c r="Q1867" s="98">
        <v>2.0</v>
      </c>
      <c r="R1867" s="97">
        <v>45821.47571759259</v>
      </c>
      <c r="S1867" s="99">
        <v>81.0</v>
      </c>
      <c r="T1867" s="99">
        <v>10.0</v>
      </c>
      <c r="U1867" s="99">
        <v>2.0</v>
      </c>
      <c r="V1867" s="99">
        <v>226.0</v>
      </c>
      <c r="W1867" s="99">
        <v>11235.0</v>
      </c>
    </row>
    <row r="1868" ht="15.75" customHeight="1">
      <c r="A1868" s="95" t="s">
        <v>10689</v>
      </c>
      <c r="B1868" s="95" t="s">
        <v>22</v>
      </c>
      <c r="C1868" s="96" t="s">
        <v>10690</v>
      </c>
      <c r="D1868" s="95" t="s">
        <v>130</v>
      </c>
      <c r="E1868" s="95" t="s">
        <v>2109</v>
      </c>
      <c r="F1868" s="95" t="s">
        <v>19</v>
      </c>
      <c r="G1868" s="95" t="s">
        <v>19</v>
      </c>
      <c r="H1868" s="95" t="s">
        <v>21</v>
      </c>
      <c r="I1868" s="95" t="s">
        <v>567</v>
      </c>
      <c r="J1868" s="97">
        <v>45975.6793321412</v>
      </c>
      <c r="K1868" s="96" t="s">
        <v>10691</v>
      </c>
      <c r="L1868" s="96" t="s">
        <v>10692</v>
      </c>
      <c r="M1868" s="95" t="s">
        <v>17</v>
      </c>
      <c r="N1868" s="95" t="s">
        <v>10693</v>
      </c>
      <c r="O1868" s="95" t="s">
        <v>10693</v>
      </c>
      <c r="P1868" s="95" t="s">
        <v>10694</v>
      </c>
      <c r="Q1868" s="98">
        <v>2.0</v>
      </c>
      <c r="R1868" s="97">
        <v>45723.53079861111</v>
      </c>
      <c r="S1868" s="99">
        <v>8054.0</v>
      </c>
      <c r="T1868" s="99">
        <v>14.0</v>
      </c>
      <c r="U1868" s="99">
        <v>1.0</v>
      </c>
      <c r="V1868" s="99">
        <v>129.0</v>
      </c>
      <c r="W1868" s="99">
        <v>49121.0</v>
      </c>
    </row>
    <row r="1869" ht="15.75" customHeight="1">
      <c r="A1869" s="95" t="s">
        <v>10695</v>
      </c>
      <c r="B1869" s="95" t="s">
        <v>69</v>
      </c>
      <c r="C1869" s="96" t="s">
        <v>10696</v>
      </c>
      <c r="D1869" s="95" t="s">
        <v>130</v>
      </c>
      <c r="E1869" s="95" t="s">
        <v>2109</v>
      </c>
      <c r="F1869" s="95" t="s">
        <v>58</v>
      </c>
      <c r="G1869" s="95" t="s">
        <v>1095</v>
      </c>
      <c r="H1869" s="95" t="s">
        <v>77</v>
      </c>
      <c r="I1869" s="95" t="s">
        <v>3851</v>
      </c>
      <c r="J1869" s="97">
        <v>45978.4619984375</v>
      </c>
      <c r="K1869" s="95" t="s">
        <v>10697</v>
      </c>
      <c r="L1869" s="95"/>
      <c r="M1869" s="95" t="s">
        <v>17</v>
      </c>
      <c r="N1869" s="95" t="s">
        <v>10693</v>
      </c>
      <c r="O1869" s="95" t="s">
        <v>10693</v>
      </c>
      <c r="P1869" s="95" t="s">
        <v>10694</v>
      </c>
      <c r="Q1869" s="98">
        <v>2.0</v>
      </c>
      <c r="R1869" s="97">
        <v>45733.50601851852</v>
      </c>
      <c r="S1869" s="99">
        <v>8054.0</v>
      </c>
      <c r="T1869" s="99">
        <v>564.0</v>
      </c>
      <c r="U1869" s="99">
        <v>5.0</v>
      </c>
      <c r="V1869" s="99">
        <v>55.0</v>
      </c>
      <c r="W1869" s="99">
        <v>49121.0</v>
      </c>
    </row>
    <row r="1870" ht="15.75" customHeight="1">
      <c r="A1870" s="95" t="s">
        <v>10698</v>
      </c>
      <c r="B1870" s="95" t="s">
        <v>22</v>
      </c>
      <c r="C1870" s="96" t="s">
        <v>10699</v>
      </c>
      <c r="D1870" s="95" t="s">
        <v>68</v>
      </c>
      <c r="E1870" s="95" t="s">
        <v>1901</v>
      </c>
      <c r="F1870" s="95" t="s">
        <v>88</v>
      </c>
      <c r="G1870" s="95" t="s">
        <v>858</v>
      </c>
      <c r="H1870" s="95" t="s">
        <v>21</v>
      </c>
      <c r="I1870" s="95" t="s">
        <v>589</v>
      </c>
      <c r="J1870" s="97">
        <v>45993.78544196759</v>
      </c>
      <c r="K1870" s="96" t="s">
        <v>10700</v>
      </c>
      <c r="L1870" s="96" t="s">
        <v>10701</v>
      </c>
      <c r="M1870" s="95" t="s">
        <v>54</v>
      </c>
      <c r="N1870" s="95" t="s">
        <v>1492</v>
      </c>
      <c r="O1870" s="95" t="s">
        <v>1492</v>
      </c>
      <c r="P1870" s="95" t="s">
        <v>1493</v>
      </c>
      <c r="Q1870" s="98">
        <v>2.0</v>
      </c>
      <c r="R1870" s="97">
        <v>45799.5107175926</v>
      </c>
      <c r="S1870" s="99">
        <v>29683.0</v>
      </c>
      <c r="T1870" s="99">
        <v>0.0</v>
      </c>
      <c r="U1870" s="99">
        <v>2.0</v>
      </c>
      <c r="V1870" s="99">
        <v>26.0</v>
      </c>
      <c r="W1870" s="99">
        <v>999999.0</v>
      </c>
    </row>
    <row r="1871" ht="15.75" customHeight="1">
      <c r="A1871" s="95" t="s">
        <v>10702</v>
      </c>
      <c r="B1871" s="95" t="s">
        <v>22</v>
      </c>
      <c r="C1871" s="96" t="s">
        <v>10703</v>
      </c>
      <c r="D1871" s="95" t="s">
        <v>49</v>
      </c>
      <c r="E1871" s="95" t="s">
        <v>948</v>
      </c>
      <c r="F1871" s="95" t="s">
        <v>19</v>
      </c>
      <c r="G1871" s="95" t="s">
        <v>588</v>
      </c>
      <c r="H1871" s="95" t="s">
        <v>21</v>
      </c>
      <c r="I1871" s="95" t="s">
        <v>1634</v>
      </c>
      <c r="J1871" s="97">
        <v>46042.73634230324</v>
      </c>
      <c r="K1871" s="95" t="s">
        <v>10704</v>
      </c>
      <c r="L1871" s="96" t="s">
        <v>10705</v>
      </c>
      <c r="M1871" s="95" t="s">
        <v>74</v>
      </c>
      <c r="N1871" s="95" t="s">
        <v>10706</v>
      </c>
      <c r="O1871" s="95" t="s">
        <v>10706</v>
      </c>
      <c r="P1871" s="95" t="s">
        <v>10707</v>
      </c>
      <c r="Q1871" s="98">
        <v>2.0</v>
      </c>
      <c r="R1871" s="97">
        <v>45958.85877314815</v>
      </c>
      <c r="S1871" s="99">
        <v>109.0</v>
      </c>
      <c r="T1871" s="99">
        <v>55.0</v>
      </c>
      <c r="U1871" s="99">
        <v>19.0</v>
      </c>
      <c r="V1871" s="99">
        <v>125.0</v>
      </c>
      <c r="W1871" s="99">
        <v>107134.0</v>
      </c>
    </row>
    <row r="1872" ht="15.75" customHeight="1">
      <c r="A1872" s="95" t="s">
        <v>10708</v>
      </c>
      <c r="B1872" s="95" t="s">
        <v>22</v>
      </c>
      <c r="C1872" s="96" t="s">
        <v>10709</v>
      </c>
      <c r="D1872" s="95" t="s">
        <v>168</v>
      </c>
      <c r="E1872" s="95" t="s">
        <v>10710</v>
      </c>
      <c r="F1872" s="95" t="s">
        <v>19</v>
      </c>
      <c r="G1872" s="95" t="s">
        <v>19</v>
      </c>
      <c r="H1872" s="95" t="s">
        <v>21</v>
      </c>
      <c r="I1872" s="95" t="s">
        <v>567</v>
      </c>
      <c r="J1872" s="97">
        <v>45993.7854622338</v>
      </c>
      <c r="K1872" s="96" t="s">
        <v>10711</v>
      </c>
      <c r="L1872" s="96" t="s">
        <v>10712</v>
      </c>
      <c r="M1872" s="95" t="s">
        <v>17</v>
      </c>
      <c r="N1872" s="95" t="s">
        <v>1528</v>
      </c>
      <c r="O1872" s="95" t="s">
        <v>1528</v>
      </c>
      <c r="P1872" s="95" t="s">
        <v>1529</v>
      </c>
      <c r="Q1872" s="98">
        <v>2.0</v>
      </c>
      <c r="R1872" s="97">
        <v>45758.63258101852</v>
      </c>
      <c r="S1872" s="99">
        <v>262.0</v>
      </c>
      <c r="T1872" s="99">
        <v>3.0</v>
      </c>
      <c r="U1872" s="99">
        <v>1.0</v>
      </c>
      <c r="V1872" s="99">
        <v>134.0</v>
      </c>
      <c r="W1872" s="99">
        <v>68210.0</v>
      </c>
    </row>
    <row r="1873" ht="15.75" customHeight="1">
      <c r="A1873" s="95" t="s">
        <v>128</v>
      </c>
      <c r="B1873" s="95" t="s">
        <v>131</v>
      </c>
      <c r="C1873" s="96" t="s">
        <v>134</v>
      </c>
      <c r="D1873" s="95" t="s">
        <v>130</v>
      </c>
      <c r="E1873" s="95" t="s">
        <v>917</v>
      </c>
      <c r="F1873" s="95" t="s">
        <v>88</v>
      </c>
      <c r="G1873" s="95" t="s">
        <v>88</v>
      </c>
      <c r="H1873" s="95" t="s">
        <v>60</v>
      </c>
      <c r="I1873" s="95" t="s">
        <v>795</v>
      </c>
      <c r="J1873" s="97">
        <v>45975.6793321412</v>
      </c>
      <c r="K1873" s="96" t="s">
        <v>133</v>
      </c>
      <c r="L1873" s="96" t="s">
        <v>132</v>
      </c>
      <c r="M1873" s="95" t="s">
        <v>17</v>
      </c>
      <c r="N1873" s="95" t="s">
        <v>129</v>
      </c>
      <c r="O1873" s="95" t="s">
        <v>129</v>
      </c>
      <c r="P1873" s="95" t="s">
        <v>10713</v>
      </c>
      <c r="Q1873" s="98">
        <v>2.0</v>
      </c>
      <c r="R1873" s="97">
        <v>45884.65077546296</v>
      </c>
      <c r="S1873" s="99">
        <v>869.0</v>
      </c>
      <c r="T1873" s="99">
        <v>1325.0</v>
      </c>
      <c r="U1873" s="99">
        <v>5.0</v>
      </c>
      <c r="V1873" s="99">
        <v>61.0</v>
      </c>
      <c r="W1873" s="99">
        <v>118744.0</v>
      </c>
    </row>
    <row r="1874" ht="15.75" customHeight="1">
      <c r="A1874" s="95" t="s">
        <v>10714</v>
      </c>
      <c r="B1874" s="95" t="s">
        <v>157</v>
      </c>
      <c r="C1874" s="96" t="s">
        <v>10715</v>
      </c>
      <c r="D1874" s="95" t="s">
        <v>130</v>
      </c>
      <c r="E1874" s="95" t="s">
        <v>917</v>
      </c>
      <c r="F1874" s="95" t="s">
        <v>88</v>
      </c>
      <c r="G1874" s="95" t="s">
        <v>88</v>
      </c>
      <c r="H1874" s="95" t="s">
        <v>89</v>
      </c>
      <c r="I1874" s="95" t="s">
        <v>966</v>
      </c>
      <c r="J1874" s="97">
        <v>45993.7854622338</v>
      </c>
      <c r="K1874" s="96" t="s">
        <v>10716</v>
      </c>
      <c r="L1874" s="96" t="s">
        <v>10717</v>
      </c>
      <c r="M1874" s="95" t="s">
        <v>17</v>
      </c>
      <c r="N1874" s="95" t="s">
        <v>129</v>
      </c>
      <c r="O1874" s="95" t="s">
        <v>129</v>
      </c>
      <c r="P1874" s="95" t="s">
        <v>10713</v>
      </c>
      <c r="Q1874" s="98">
        <v>2.0</v>
      </c>
      <c r="R1874" s="97">
        <v>45720.58975694444</v>
      </c>
      <c r="S1874" s="99">
        <v>869.0</v>
      </c>
      <c r="T1874" s="99">
        <v>12.0</v>
      </c>
      <c r="U1874" s="99">
        <v>13.0</v>
      </c>
      <c r="V1874" s="99">
        <v>142.0</v>
      </c>
      <c r="W1874" s="99">
        <v>118744.0</v>
      </c>
    </row>
    <row r="1875" ht="15.75" customHeight="1">
      <c r="A1875" s="95" t="s">
        <v>10718</v>
      </c>
      <c r="B1875" s="95" t="s">
        <v>157</v>
      </c>
      <c r="C1875" s="96" t="s">
        <v>10719</v>
      </c>
      <c r="D1875" s="95" t="s">
        <v>59</v>
      </c>
      <c r="E1875" s="95" t="s">
        <v>59</v>
      </c>
      <c r="F1875" s="95" t="s">
        <v>88</v>
      </c>
      <c r="G1875" s="95" t="s">
        <v>88</v>
      </c>
      <c r="H1875" s="95" t="s">
        <v>89</v>
      </c>
      <c r="I1875" s="95" t="s">
        <v>897</v>
      </c>
      <c r="J1875" s="97">
        <v>45975.67931630787</v>
      </c>
      <c r="K1875" s="96" t="s">
        <v>10720</v>
      </c>
      <c r="L1875" s="96" t="s">
        <v>10721</v>
      </c>
      <c r="M1875" s="95" t="s">
        <v>54</v>
      </c>
      <c r="N1875" s="95" t="s">
        <v>10722</v>
      </c>
      <c r="O1875" s="95" t="s">
        <v>10722</v>
      </c>
      <c r="P1875" s="95" t="s">
        <v>10723</v>
      </c>
      <c r="Q1875" s="98">
        <v>2.0</v>
      </c>
      <c r="R1875" s="97">
        <v>45861.76361111111</v>
      </c>
      <c r="S1875" s="99">
        <v>3285.0</v>
      </c>
      <c r="T1875" s="99">
        <v>1972.0</v>
      </c>
      <c r="U1875" s="99">
        <v>1.0</v>
      </c>
      <c r="V1875" s="99">
        <v>20.0</v>
      </c>
      <c r="W1875" s="99">
        <v>278957.0</v>
      </c>
    </row>
    <row r="1876" ht="15.75" customHeight="1">
      <c r="A1876" s="95" t="s">
        <v>10724</v>
      </c>
      <c r="B1876" s="95" t="s">
        <v>69</v>
      </c>
      <c r="C1876" s="96" t="s">
        <v>10725</v>
      </c>
      <c r="D1876" s="95" t="s">
        <v>59</v>
      </c>
      <c r="E1876" s="95" t="s">
        <v>1347</v>
      </c>
      <c r="F1876" s="95" t="s">
        <v>58</v>
      </c>
      <c r="G1876" s="95" t="s">
        <v>58</v>
      </c>
      <c r="H1876" s="95" t="s">
        <v>60</v>
      </c>
      <c r="I1876" s="95" t="s">
        <v>2126</v>
      </c>
      <c r="J1876" s="97">
        <v>45975.67932418981</v>
      </c>
      <c r="K1876" s="96" t="s">
        <v>10726</v>
      </c>
      <c r="L1876" s="96" t="s">
        <v>10727</v>
      </c>
      <c r="M1876" s="95" t="s">
        <v>54</v>
      </c>
      <c r="N1876" s="95" t="s">
        <v>1575</v>
      </c>
      <c r="O1876" s="95" t="s">
        <v>1575</v>
      </c>
      <c r="P1876" s="95" t="s">
        <v>1576</v>
      </c>
      <c r="Q1876" s="98">
        <v>2.0</v>
      </c>
      <c r="R1876" s="97">
        <v>45737.54983796296</v>
      </c>
      <c r="S1876" s="99">
        <v>16155.0</v>
      </c>
      <c r="T1876" s="99">
        <v>26.0</v>
      </c>
      <c r="U1876" s="99">
        <v>7.0</v>
      </c>
      <c r="V1876" s="99">
        <v>415.0</v>
      </c>
      <c r="W1876" s="99">
        <v>1102188.0</v>
      </c>
    </row>
    <row r="1877" ht="15.75" customHeight="1">
      <c r="A1877" s="95" t="s">
        <v>10728</v>
      </c>
      <c r="B1877" s="95" t="s">
        <v>22</v>
      </c>
      <c r="C1877" s="96" t="s">
        <v>10729</v>
      </c>
      <c r="D1877" s="95" t="s">
        <v>168</v>
      </c>
      <c r="E1877" s="95" t="s">
        <v>1228</v>
      </c>
      <c r="F1877" s="95" t="s">
        <v>19</v>
      </c>
      <c r="G1877" s="95" t="s">
        <v>588</v>
      </c>
      <c r="H1877" s="95" t="s">
        <v>21</v>
      </c>
      <c r="I1877" s="95" t="s">
        <v>589</v>
      </c>
      <c r="J1877" s="97">
        <v>45993.7854622338</v>
      </c>
      <c r="K1877" s="96" t="s">
        <v>10730</v>
      </c>
      <c r="L1877" s="96" t="s">
        <v>10731</v>
      </c>
      <c r="M1877" s="95" t="s">
        <v>17</v>
      </c>
      <c r="N1877" s="95" t="s">
        <v>10732</v>
      </c>
      <c r="O1877" s="95" t="s">
        <v>10732</v>
      </c>
      <c r="P1877" s="95" t="s">
        <v>10733</v>
      </c>
      <c r="Q1877" s="98">
        <v>2.0</v>
      </c>
      <c r="R1877" s="97">
        <v>45716.00045138889</v>
      </c>
      <c r="S1877" s="99">
        <v>753.0</v>
      </c>
      <c r="T1877" s="99">
        <v>12.0</v>
      </c>
      <c r="U1877" s="99">
        <v>1.0</v>
      </c>
      <c r="V1877" s="99">
        <v>42.0</v>
      </c>
      <c r="W1877" s="99">
        <v>208765.0</v>
      </c>
    </row>
    <row r="1878" ht="15.75" customHeight="1">
      <c r="A1878" s="95" t="s">
        <v>10734</v>
      </c>
      <c r="B1878" s="95" t="s">
        <v>101</v>
      </c>
      <c r="C1878" s="96" t="s">
        <v>10735</v>
      </c>
      <c r="D1878" s="95" t="s">
        <v>29</v>
      </c>
      <c r="E1878" s="95" t="s">
        <v>598</v>
      </c>
      <c r="F1878" s="95" t="s">
        <v>19</v>
      </c>
      <c r="G1878" s="95" t="s">
        <v>574</v>
      </c>
      <c r="H1878" s="95" t="s">
        <v>21</v>
      </c>
      <c r="I1878" s="95" t="s">
        <v>955</v>
      </c>
      <c r="J1878" s="97">
        <v>46021.50524950231</v>
      </c>
      <c r="K1878" s="95" t="s">
        <v>10736</v>
      </c>
      <c r="L1878" s="96" t="s">
        <v>10737</v>
      </c>
      <c r="M1878" s="95" t="s">
        <v>74</v>
      </c>
      <c r="N1878" s="95" t="s">
        <v>10738</v>
      </c>
      <c r="O1878" s="95" t="s">
        <v>10738</v>
      </c>
      <c r="P1878" s="95" t="s">
        <v>10739</v>
      </c>
      <c r="Q1878" s="98">
        <v>2.0</v>
      </c>
      <c r="R1878" s="97">
        <v>45771.7606712963</v>
      </c>
      <c r="S1878" s="99">
        <v>694.0</v>
      </c>
      <c r="T1878" s="99">
        <v>151.0</v>
      </c>
      <c r="U1878" s="99">
        <v>13.0</v>
      </c>
      <c r="V1878" s="99">
        <v>153.0</v>
      </c>
      <c r="W1878" s="99">
        <v>90962.0</v>
      </c>
    </row>
    <row r="1879" ht="15.75" customHeight="1">
      <c r="A1879" s="95" t="s">
        <v>10740</v>
      </c>
      <c r="B1879" s="95" t="s">
        <v>157</v>
      </c>
      <c r="C1879" s="96" t="s">
        <v>10741</v>
      </c>
      <c r="D1879" s="95" t="s">
        <v>124</v>
      </c>
      <c r="E1879" s="95" t="s">
        <v>983</v>
      </c>
      <c r="F1879" s="95" t="s">
        <v>88</v>
      </c>
      <c r="G1879" s="95" t="s">
        <v>88</v>
      </c>
      <c r="H1879" s="95" t="s">
        <v>89</v>
      </c>
      <c r="I1879" s="95" t="s">
        <v>897</v>
      </c>
      <c r="J1879" s="97">
        <v>45975.67932418981</v>
      </c>
      <c r="K1879" s="96" t="s">
        <v>10742</v>
      </c>
      <c r="L1879" s="96" t="s">
        <v>10743</v>
      </c>
      <c r="M1879" s="95" t="s">
        <v>93</v>
      </c>
      <c r="N1879" s="95" t="s">
        <v>10744</v>
      </c>
      <c r="O1879" s="95" t="s">
        <v>10744</v>
      </c>
      <c r="P1879" s="95" t="s">
        <v>10745</v>
      </c>
      <c r="Q1879" s="98">
        <v>2.0</v>
      </c>
      <c r="R1879" s="97">
        <v>45661.54018518519</v>
      </c>
      <c r="S1879" s="99">
        <v>53.0</v>
      </c>
      <c r="T1879" s="99">
        <v>84.0</v>
      </c>
      <c r="U1879" s="99">
        <v>2.0</v>
      </c>
      <c r="V1879" s="99">
        <v>39.0</v>
      </c>
      <c r="W1879" s="99">
        <v>999999.0</v>
      </c>
    </row>
    <row r="1880" ht="15.75" customHeight="1">
      <c r="A1880" s="95" t="s">
        <v>10746</v>
      </c>
      <c r="B1880" s="95" t="s">
        <v>22</v>
      </c>
      <c r="C1880" s="96" t="s">
        <v>10747</v>
      </c>
      <c r="D1880" s="95" t="s">
        <v>168</v>
      </c>
      <c r="E1880" s="95" t="s">
        <v>780</v>
      </c>
      <c r="F1880" s="95" t="s">
        <v>19</v>
      </c>
      <c r="G1880" s="95" t="s">
        <v>19</v>
      </c>
      <c r="H1880" s="95" t="s">
        <v>21</v>
      </c>
      <c r="I1880" s="95" t="s">
        <v>589</v>
      </c>
      <c r="J1880" s="97">
        <v>46003.08169572917</v>
      </c>
      <c r="K1880" s="95" t="s">
        <v>10748</v>
      </c>
      <c r="L1880" s="96" t="s">
        <v>10749</v>
      </c>
      <c r="M1880" s="95" t="s">
        <v>105</v>
      </c>
      <c r="N1880" s="95" t="s">
        <v>10750</v>
      </c>
      <c r="O1880" s="95" t="s">
        <v>10750</v>
      </c>
      <c r="P1880" s="95" t="s">
        <v>10751</v>
      </c>
      <c r="Q1880" s="98">
        <v>2.0</v>
      </c>
      <c r="R1880" s="97">
        <v>45886.08164351852</v>
      </c>
      <c r="S1880" s="99">
        <v>403.0</v>
      </c>
      <c r="T1880" s="99">
        <v>101.0</v>
      </c>
      <c r="U1880" s="99">
        <v>2.0</v>
      </c>
      <c r="V1880" s="99">
        <v>24.0</v>
      </c>
      <c r="W1880" s="99">
        <v>34173.0</v>
      </c>
    </row>
    <row r="1881" ht="15.75" customHeight="1">
      <c r="A1881" s="95" t="s">
        <v>10752</v>
      </c>
      <c r="B1881" s="95" t="s">
        <v>157</v>
      </c>
      <c r="C1881" s="96" t="s">
        <v>10753</v>
      </c>
      <c r="D1881" s="95" t="s">
        <v>68</v>
      </c>
      <c r="E1881" s="95" t="s">
        <v>1671</v>
      </c>
      <c r="F1881" s="95" t="s">
        <v>88</v>
      </c>
      <c r="G1881" s="95" t="s">
        <v>903</v>
      </c>
      <c r="H1881" s="95" t="s">
        <v>89</v>
      </c>
      <c r="I1881" s="95" t="s">
        <v>859</v>
      </c>
      <c r="J1881" s="97">
        <v>45975.67930844907</v>
      </c>
      <c r="K1881" s="96" t="s">
        <v>10754</v>
      </c>
      <c r="L1881" s="96" t="s">
        <v>10755</v>
      </c>
      <c r="M1881" s="95" t="s">
        <v>54</v>
      </c>
      <c r="N1881" s="95" t="s">
        <v>10756</v>
      </c>
      <c r="O1881" s="95" t="s">
        <v>10756</v>
      </c>
      <c r="P1881" s="95" t="s">
        <v>10757</v>
      </c>
      <c r="Q1881" s="98">
        <v>2.0</v>
      </c>
      <c r="R1881" s="97">
        <v>45713.37792824074</v>
      </c>
      <c r="S1881" s="99">
        <v>1163.0</v>
      </c>
      <c r="T1881" s="99">
        <v>79.0</v>
      </c>
      <c r="U1881" s="99">
        <v>4.0</v>
      </c>
      <c r="V1881" s="99">
        <v>74.0</v>
      </c>
      <c r="W1881" s="99">
        <v>3378.0</v>
      </c>
    </row>
    <row r="1882" ht="15.75" customHeight="1">
      <c r="A1882" s="95" t="s">
        <v>10758</v>
      </c>
      <c r="B1882" s="95" t="s">
        <v>131</v>
      </c>
      <c r="C1882" s="96" t="s">
        <v>10759</v>
      </c>
      <c r="D1882" s="95" t="s">
        <v>130</v>
      </c>
      <c r="E1882" s="95" t="s">
        <v>130</v>
      </c>
      <c r="F1882" s="95" t="s">
        <v>19</v>
      </c>
      <c r="G1882" s="95" t="s">
        <v>19</v>
      </c>
      <c r="H1882" s="95" t="s">
        <v>21</v>
      </c>
      <c r="I1882" s="95" t="s">
        <v>2428</v>
      </c>
      <c r="J1882" s="97">
        <v>45977.14342738426</v>
      </c>
      <c r="K1882" s="95" t="s">
        <v>10760</v>
      </c>
      <c r="L1882" s="96" t="s">
        <v>10761</v>
      </c>
      <c r="M1882" s="95" t="s">
        <v>17</v>
      </c>
      <c r="N1882" s="95" t="s">
        <v>1708</v>
      </c>
      <c r="O1882" s="95" t="s">
        <v>1708</v>
      </c>
      <c r="P1882" s="95" t="s">
        <v>1709</v>
      </c>
      <c r="Q1882" s="98">
        <v>2.0</v>
      </c>
      <c r="R1882" s="97">
        <v>45756.10329861111</v>
      </c>
      <c r="S1882" s="99">
        <v>6532.0</v>
      </c>
      <c r="T1882" s="99">
        <v>31.0</v>
      </c>
      <c r="U1882" s="99">
        <v>1.0</v>
      </c>
      <c r="V1882" s="99">
        <v>17.0</v>
      </c>
      <c r="W1882" s="99">
        <v>110186.0</v>
      </c>
    </row>
    <row r="1883" ht="15.75" customHeight="1">
      <c r="A1883" s="95" t="s">
        <v>10762</v>
      </c>
      <c r="B1883" s="95" t="s">
        <v>69</v>
      </c>
      <c r="C1883" s="96" t="s">
        <v>10763</v>
      </c>
      <c r="D1883" s="95" t="s">
        <v>130</v>
      </c>
      <c r="E1883" s="95" t="s">
        <v>2109</v>
      </c>
      <c r="F1883" s="95" t="s">
        <v>58</v>
      </c>
      <c r="G1883" s="95" t="s">
        <v>58</v>
      </c>
      <c r="H1883" s="95" t="s">
        <v>77</v>
      </c>
      <c r="I1883" s="95" t="s">
        <v>10764</v>
      </c>
      <c r="J1883" s="97">
        <v>45975.67934009259</v>
      </c>
      <c r="K1883" s="96" t="s">
        <v>10765</v>
      </c>
      <c r="L1883" s="96" t="s">
        <v>10766</v>
      </c>
      <c r="M1883" s="95" t="s">
        <v>17</v>
      </c>
      <c r="N1883" s="95" t="s">
        <v>1708</v>
      </c>
      <c r="O1883" s="95" t="s">
        <v>1708</v>
      </c>
      <c r="P1883" s="95" t="s">
        <v>1709</v>
      </c>
      <c r="Q1883" s="98">
        <v>2.0</v>
      </c>
      <c r="R1883" s="97">
        <v>45826.12950231481</v>
      </c>
      <c r="S1883" s="99">
        <v>6532.0</v>
      </c>
      <c r="T1883" s="99">
        <v>33.0</v>
      </c>
      <c r="U1883" s="99">
        <v>4.0</v>
      </c>
      <c r="V1883" s="99">
        <v>80.0</v>
      </c>
      <c r="W1883" s="99">
        <v>110186.0</v>
      </c>
    </row>
    <row r="1884" ht="15.75" customHeight="1">
      <c r="A1884" s="95" t="s">
        <v>10767</v>
      </c>
      <c r="B1884" s="95" t="s">
        <v>22</v>
      </c>
      <c r="C1884" s="96" t="s">
        <v>10768</v>
      </c>
      <c r="D1884" s="95" t="s">
        <v>39</v>
      </c>
      <c r="E1884" s="95" t="s">
        <v>614</v>
      </c>
      <c r="F1884" s="95" t="s">
        <v>19</v>
      </c>
      <c r="G1884" s="95" t="s">
        <v>19</v>
      </c>
      <c r="H1884" s="95" t="s">
        <v>21</v>
      </c>
      <c r="I1884" s="95" t="s">
        <v>567</v>
      </c>
      <c r="J1884" s="97">
        <v>46021.50350939815</v>
      </c>
      <c r="K1884" s="95" t="s">
        <v>10769</v>
      </c>
      <c r="L1884" s="96" t="s">
        <v>10770</v>
      </c>
      <c r="M1884" s="95" t="s">
        <v>93</v>
      </c>
      <c r="N1884" s="95" t="s">
        <v>10771</v>
      </c>
      <c r="O1884" s="95" t="s">
        <v>10771</v>
      </c>
      <c r="P1884" s="95" t="s">
        <v>10772</v>
      </c>
      <c r="Q1884" s="98">
        <v>2.0</v>
      </c>
      <c r="R1884" s="97">
        <v>45890.98479166667</v>
      </c>
      <c r="S1884" s="99">
        <v>86.0</v>
      </c>
      <c r="T1884" s="99">
        <v>82.0</v>
      </c>
      <c r="U1884" s="99">
        <v>5.0</v>
      </c>
      <c r="V1884" s="99">
        <v>81.0</v>
      </c>
      <c r="W1884" s="99">
        <v>29025.0</v>
      </c>
    </row>
    <row r="1885" ht="15.75" customHeight="1">
      <c r="A1885" s="95" t="s">
        <v>10773</v>
      </c>
      <c r="B1885" s="95" t="s">
        <v>22</v>
      </c>
      <c r="C1885" s="96" t="s">
        <v>10774</v>
      </c>
      <c r="D1885" s="95" t="s">
        <v>59</v>
      </c>
      <c r="E1885" s="95" t="s">
        <v>738</v>
      </c>
      <c r="F1885" s="95" t="s">
        <v>19</v>
      </c>
      <c r="G1885" s="95" t="s">
        <v>588</v>
      </c>
      <c r="H1885" s="95" t="s">
        <v>21</v>
      </c>
      <c r="I1885" s="95" t="s">
        <v>589</v>
      </c>
      <c r="J1885" s="97">
        <v>46021.49354603009</v>
      </c>
      <c r="K1885" s="95" t="s">
        <v>10775</v>
      </c>
      <c r="L1885" s="96" t="s">
        <v>10776</v>
      </c>
      <c r="M1885" s="95" t="s">
        <v>54</v>
      </c>
      <c r="N1885" s="95" t="s">
        <v>1746</v>
      </c>
      <c r="O1885" s="95" t="s">
        <v>1746</v>
      </c>
      <c r="P1885" s="95" t="s">
        <v>1747</v>
      </c>
      <c r="Q1885" s="98">
        <v>2.0</v>
      </c>
      <c r="R1885" s="97">
        <v>45600.50067129629</v>
      </c>
      <c r="S1885" s="99">
        <v>1204.0</v>
      </c>
      <c r="T1885" s="99">
        <v>151.0</v>
      </c>
      <c r="U1885" s="99">
        <v>7.0</v>
      </c>
      <c r="V1885" s="99">
        <v>105.0</v>
      </c>
      <c r="W1885" s="99">
        <v>29169.0</v>
      </c>
    </row>
    <row r="1886" ht="15.75" customHeight="1">
      <c r="A1886" s="95" t="s">
        <v>10777</v>
      </c>
      <c r="B1886" s="95" t="s">
        <v>69</v>
      </c>
      <c r="C1886" s="96" t="s">
        <v>10778</v>
      </c>
      <c r="D1886" s="95" t="s">
        <v>59</v>
      </c>
      <c r="E1886" s="95" t="s">
        <v>738</v>
      </c>
      <c r="F1886" s="95" t="s">
        <v>19</v>
      </c>
      <c r="G1886" s="95" t="s">
        <v>19</v>
      </c>
      <c r="H1886" s="95" t="s">
        <v>21</v>
      </c>
      <c r="I1886" s="95" t="s">
        <v>998</v>
      </c>
      <c r="J1886" s="97">
        <v>46003.09668672454</v>
      </c>
      <c r="K1886" s="95" t="s">
        <v>10779</v>
      </c>
      <c r="L1886" s="96" t="s">
        <v>10780</v>
      </c>
      <c r="M1886" s="95" t="s">
        <v>54</v>
      </c>
      <c r="N1886" s="95" t="s">
        <v>1746</v>
      </c>
      <c r="O1886" s="95" t="s">
        <v>1746</v>
      </c>
      <c r="P1886" s="95" t="s">
        <v>1747</v>
      </c>
      <c r="Q1886" s="98">
        <v>2.0</v>
      </c>
      <c r="R1886" s="97">
        <v>45660.27574074074</v>
      </c>
      <c r="S1886" s="99">
        <v>1204.0</v>
      </c>
      <c r="T1886" s="99">
        <v>82.0</v>
      </c>
      <c r="U1886" s="99">
        <v>1.0</v>
      </c>
      <c r="V1886" s="99">
        <v>41.0</v>
      </c>
      <c r="W1886" s="99">
        <v>29169.0</v>
      </c>
    </row>
    <row r="1887" ht="15.75" customHeight="1">
      <c r="A1887" s="95" t="s">
        <v>10781</v>
      </c>
      <c r="B1887" s="95" t="s">
        <v>22</v>
      </c>
      <c r="C1887" s="96" t="s">
        <v>10782</v>
      </c>
      <c r="D1887" s="95" t="s">
        <v>59</v>
      </c>
      <c r="E1887" s="95" t="s">
        <v>59</v>
      </c>
      <c r="F1887" s="95" t="s">
        <v>19</v>
      </c>
      <c r="G1887" s="95" t="s">
        <v>19</v>
      </c>
      <c r="H1887" s="95" t="s">
        <v>21</v>
      </c>
      <c r="I1887" s="95" t="s">
        <v>567</v>
      </c>
      <c r="J1887" s="97">
        <v>46056.93174423611</v>
      </c>
      <c r="K1887" s="95" t="s">
        <v>10783</v>
      </c>
      <c r="L1887" s="96" t="s">
        <v>10784</v>
      </c>
      <c r="M1887" s="95" t="s">
        <v>503</v>
      </c>
      <c r="N1887" s="95" t="s">
        <v>10785</v>
      </c>
      <c r="O1887" s="95" t="s">
        <v>10785</v>
      </c>
      <c r="P1887" s="95" t="s">
        <v>10786</v>
      </c>
      <c r="Q1887" s="98">
        <v>2.0</v>
      </c>
      <c r="R1887" s="97">
        <v>45698.84266203704</v>
      </c>
      <c r="S1887" s="99">
        <v>335.0</v>
      </c>
      <c r="T1887" s="99">
        <v>13.0</v>
      </c>
      <c r="U1887" s="99">
        <v>8.0</v>
      </c>
      <c r="V1887" s="99">
        <v>58.0</v>
      </c>
      <c r="W1887" s="99">
        <v>49497.0</v>
      </c>
    </row>
    <row r="1888" ht="15.75" customHeight="1">
      <c r="A1888" s="95" t="s">
        <v>10787</v>
      </c>
      <c r="B1888" s="95" t="s">
        <v>22</v>
      </c>
      <c r="C1888" s="96" t="s">
        <v>10788</v>
      </c>
      <c r="D1888" s="95" t="s">
        <v>39</v>
      </c>
      <c r="E1888" s="95" t="s">
        <v>960</v>
      </c>
      <c r="F1888" s="95" t="s">
        <v>19</v>
      </c>
      <c r="G1888" s="95" t="s">
        <v>19</v>
      </c>
      <c r="H1888" s="95" t="s">
        <v>21</v>
      </c>
      <c r="I1888" s="95" t="s">
        <v>567</v>
      </c>
      <c r="J1888" s="97">
        <v>46021.49287208333</v>
      </c>
      <c r="K1888" s="95" t="s">
        <v>10789</v>
      </c>
      <c r="L1888" s="96" t="s">
        <v>10790</v>
      </c>
      <c r="M1888" s="95" t="s">
        <v>28</v>
      </c>
      <c r="N1888" s="95" t="s">
        <v>1769</v>
      </c>
      <c r="O1888" s="95" t="s">
        <v>1769</v>
      </c>
      <c r="P1888" s="95" t="s">
        <v>1770</v>
      </c>
      <c r="Q1888" s="98">
        <v>2.0</v>
      </c>
      <c r="R1888" s="97">
        <v>45670.57322916666</v>
      </c>
      <c r="S1888" s="99">
        <v>178.0</v>
      </c>
      <c r="T1888" s="99">
        <v>292.0</v>
      </c>
      <c r="U1888" s="99">
        <v>2.0</v>
      </c>
      <c r="V1888" s="99">
        <v>60.0</v>
      </c>
      <c r="W1888" s="99">
        <v>99491.0</v>
      </c>
    </row>
    <row r="1889" ht="15.75" customHeight="1">
      <c r="A1889" s="95" t="s">
        <v>10791</v>
      </c>
      <c r="B1889" s="95" t="s">
        <v>22</v>
      </c>
      <c r="C1889" s="96" t="s">
        <v>10792</v>
      </c>
      <c r="D1889" s="95" t="s">
        <v>39</v>
      </c>
      <c r="E1889" s="95" t="s">
        <v>960</v>
      </c>
      <c r="F1889" s="95" t="s">
        <v>19</v>
      </c>
      <c r="G1889" s="95" t="s">
        <v>588</v>
      </c>
      <c r="H1889" s="95" t="s">
        <v>21</v>
      </c>
      <c r="I1889" s="95" t="s">
        <v>589</v>
      </c>
      <c r="J1889" s="97">
        <v>45975.67928111111</v>
      </c>
      <c r="K1889" s="96" t="s">
        <v>10793</v>
      </c>
      <c r="L1889" s="96" t="s">
        <v>10794</v>
      </c>
      <c r="M1889" s="95" t="s">
        <v>28</v>
      </c>
      <c r="N1889" s="95" t="s">
        <v>1769</v>
      </c>
      <c r="O1889" s="95" t="s">
        <v>1769</v>
      </c>
      <c r="P1889" s="95" t="s">
        <v>1770</v>
      </c>
      <c r="Q1889" s="98">
        <v>2.0</v>
      </c>
      <c r="R1889" s="97">
        <v>45691.42625</v>
      </c>
      <c r="S1889" s="99">
        <v>178.0</v>
      </c>
      <c r="T1889" s="99">
        <v>91.0</v>
      </c>
      <c r="U1889" s="99">
        <v>1.0</v>
      </c>
      <c r="V1889" s="99">
        <v>16.0</v>
      </c>
      <c r="W1889" s="99">
        <v>99491.0</v>
      </c>
    </row>
    <row r="1890" ht="15.75" customHeight="1">
      <c r="A1890" s="95" t="s">
        <v>10795</v>
      </c>
      <c r="B1890" s="95" t="s">
        <v>22</v>
      </c>
      <c r="C1890" s="96" t="s">
        <v>10796</v>
      </c>
      <c r="D1890" s="95" t="s">
        <v>39</v>
      </c>
      <c r="E1890" s="95" t="s">
        <v>10797</v>
      </c>
      <c r="F1890" s="95" t="s">
        <v>19</v>
      </c>
      <c r="G1890" s="95" t="s">
        <v>19</v>
      </c>
      <c r="H1890" s="95" t="s">
        <v>21</v>
      </c>
      <c r="I1890" s="95" t="s">
        <v>589</v>
      </c>
      <c r="J1890" s="97">
        <v>45975.67934009259</v>
      </c>
      <c r="K1890" s="96" t="s">
        <v>10798</v>
      </c>
      <c r="L1890" s="96" t="s">
        <v>10799</v>
      </c>
      <c r="M1890" s="95" t="s">
        <v>17</v>
      </c>
      <c r="N1890" s="95" t="s">
        <v>1786</v>
      </c>
      <c r="O1890" s="95" t="s">
        <v>1786</v>
      </c>
      <c r="P1890" s="95" t="s">
        <v>1787</v>
      </c>
      <c r="Q1890" s="98">
        <v>2.0</v>
      </c>
      <c r="R1890" s="97">
        <v>45764.84505787037</v>
      </c>
      <c r="S1890" s="99">
        <v>3224.0</v>
      </c>
      <c r="T1890" s="99">
        <v>7.0</v>
      </c>
      <c r="U1890" s="99">
        <v>1.0</v>
      </c>
      <c r="V1890" s="99">
        <v>30.0</v>
      </c>
      <c r="W1890" s="99">
        <v>117430.0</v>
      </c>
    </row>
    <row r="1891" ht="15.75" customHeight="1">
      <c r="A1891" s="95" t="s">
        <v>10800</v>
      </c>
      <c r="B1891" s="95" t="s">
        <v>22</v>
      </c>
      <c r="C1891" s="96" t="s">
        <v>10801</v>
      </c>
      <c r="D1891" s="95" t="s">
        <v>59</v>
      </c>
      <c r="E1891" s="95" t="s">
        <v>738</v>
      </c>
      <c r="F1891" s="95" t="s">
        <v>19</v>
      </c>
      <c r="G1891" s="95" t="s">
        <v>19</v>
      </c>
      <c r="H1891" s="95" t="s">
        <v>21</v>
      </c>
      <c r="I1891" s="95" t="s">
        <v>589</v>
      </c>
      <c r="J1891" s="97">
        <v>46039.71515172454</v>
      </c>
      <c r="K1891" s="95" t="s">
        <v>10802</v>
      </c>
      <c r="L1891" s="96" t="s">
        <v>10803</v>
      </c>
      <c r="M1891" s="95" t="s">
        <v>93</v>
      </c>
      <c r="N1891" s="95" t="s">
        <v>10804</v>
      </c>
      <c r="O1891" s="95" t="s">
        <v>10804</v>
      </c>
      <c r="P1891" s="95" t="s">
        <v>10805</v>
      </c>
      <c r="Q1891" s="98">
        <v>2.0</v>
      </c>
      <c r="R1891" s="97">
        <v>45769.78424768519</v>
      </c>
      <c r="S1891" s="99">
        <v>317.0</v>
      </c>
      <c r="T1891" s="99">
        <v>5677.0</v>
      </c>
      <c r="U1891" s="99">
        <v>2.0</v>
      </c>
      <c r="V1891" s="99">
        <v>48.0</v>
      </c>
      <c r="W1891" s="99">
        <v>90249.0</v>
      </c>
    </row>
    <row r="1892" ht="15.75" customHeight="1">
      <c r="A1892" s="95" t="s">
        <v>10806</v>
      </c>
      <c r="B1892" s="95" t="s">
        <v>22</v>
      </c>
      <c r="C1892" s="96" t="s">
        <v>10807</v>
      </c>
      <c r="D1892" s="95" t="s">
        <v>20</v>
      </c>
      <c r="E1892" s="95" t="s">
        <v>872</v>
      </c>
      <c r="F1892" s="95" t="s">
        <v>19</v>
      </c>
      <c r="G1892" s="95" t="s">
        <v>19</v>
      </c>
      <c r="H1892" s="95" t="s">
        <v>21</v>
      </c>
      <c r="I1892" s="95" t="s">
        <v>567</v>
      </c>
      <c r="J1892" s="97">
        <v>45975.67934009259</v>
      </c>
      <c r="K1892" s="96" t="s">
        <v>10808</v>
      </c>
      <c r="L1892" s="96" t="s">
        <v>10809</v>
      </c>
      <c r="M1892" s="95" t="s">
        <v>17</v>
      </c>
      <c r="N1892" s="95" t="s">
        <v>10810</v>
      </c>
      <c r="O1892" s="95" t="s">
        <v>10810</v>
      </c>
      <c r="P1892" s="95" t="s">
        <v>10811</v>
      </c>
      <c r="Q1892" s="98">
        <v>2.0</v>
      </c>
      <c r="R1892" s="97">
        <v>45846.90299768518</v>
      </c>
      <c r="S1892" s="99">
        <v>8111.0</v>
      </c>
      <c r="T1892" s="99">
        <v>37.0</v>
      </c>
      <c r="U1892" s="99">
        <v>1.0</v>
      </c>
      <c r="V1892" s="99">
        <v>19.0</v>
      </c>
      <c r="W1892" s="99">
        <v>580121.0</v>
      </c>
    </row>
    <row r="1893" ht="15.75" customHeight="1">
      <c r="A1893" s="95" t="s">
        <v>10812</v>
      </c>
      <c r="B1893" s="95" t="s">
        <v>22</v>
      </c>
      <c r="C1893" s="96" t="s">
        <v>10813</v>
      </c>
      <c r="D1893" s="95" t="s">
        <v>59</v>
      </c>
      <c r="E1893" s="95" t="s">
        <v>738</v>
      </c>
      <c r="F1893" s="95" t="s">
        <v>19</v>
      </c>
      <c r="G1893" s="95" t="s">
        <v>574</v>
      </c>
      <c r="H1893" s="95" t="s">
        <v>21</v>
      </c>
      <c r="I1893" s="95" t="s">
        <v>567</v>
      </c>
      <c r="J1893" s="97">
        <v>45993.7854622338</v>
      </c>
      <c r="K1893" s="96" t="s">
        <v>10814</v>
      </c>
      <c r="L1893" s="96" t="s">
        <v>10815</v>
      </c>
      <c r="M1893" s="95" t="s">
        <v>17</v>
      </c>
      <c r="N1893" s="95" t="s">
        <v>10810</v>
      </c>
      <c r="O1893" s="95" t="s">
        <v>10810</v>
      </c>
      <c r="P1893" s="95" t="s">
        <v>10811</v>
      </c>
      <c r="Q1893" s="98">
        <v>2.0</v>
      </c>
      <c r="R1893" s="97">
        <v>45786.78890046296</v>
      </c>
      <c r="S1893" s="99">
        <v>8111.0</v>
      </c>
      <c r="T1893" s="99">
        <v>2.0</v>
      </c>
      <c r="U1893" s="99">
        <v>4.0</v>
      </c>
      <c r="V1893" s="99">
        <v>174.0</v>
      </c>
      <c r="W1893" s="99">
        <v>580121.0</v>
      </c>
    </row>
    <row r="1894" ht="15.75" customHeight="1">
      <c r="A1894" s="95" t="s">
        <v>10816</v>
      </c>
      <c r="B1894" s="95" t="s">
        <v>22</v>
      </c>
      <c r="C1894" s="96" t="s">
        <v>10817</v>
      </c>
      <c r="D1894" s="95" t="s">
        <v>39</v>
      </c>
      <c r="E1894" s="95" t="s">
        <v>39</v>
      </c>
      <c r="F1894" s="95" t="s">
        <v>19</v>
      </c>
      <c r="G1894" s="95" t="s">
        <v>588</v>
      </c>
      <c r="H1894" s="95" t="s">
        <v>21</v>
      </c>
      <c r="I1894" s="95" t="s">
        <v>589</v>
      </c>
      <c r="J1894" s="97">
        <v>45975.67937972222</v>
      </c>
      <c r="K1894" s="96" t="s">
        <v>10818</v>
      </c>
      <c r="L1894" s="96" t="s">
        <v>10819</v>
      </c>
      <c r="M1894" s="95" t="s">
        <v>74</v>
      </c>
      <c r="N1894" s="95" t="s">
        <v>10820</v>
      </c>
      <c r="O1894" s="95" t="s">
        <v>10820</v>
      </c>
      <c r="P1894" s="95" t="s">
        <v>10821</v>
      </c>
      <c r="Q1894" s="98">
        <v>2.0</v>
      </c>
      <c r="R1894" s="97">
        <v>45688.24960648148</v>
      </c>
      <c r="S1894" s="99">
        <v>2813.0</v>
      </c>
      <c r="T1894" s="99">
        <v>1850.0</v>
      </c>
      <c r="U1894" s="99">
        <v>1.0</v>
      </c>
      <c r="V1894" s="99">
        <v>24.0</v>
      </c>
      <c r="W1894" s="99">
        <v>160054.0</v>
      </c>
    </row>
    <row r="1895" ht="15.75" customHeight="1">
      <c r="A1895" s="95" t="s">
        <v>10822</v>
      </c>
      <c r="B1895" s="95" t="s">
        <v>22</v>
      </c>
      <c r="C1895" s="96" t="s">
        <v>10823</v>
      </c>
      <c r="D1895" s="95" t="s">
        <v>59</v>
      </c>
      <c r="E1895" s="95" t="s">
        <v>1873</v>
      </c>
      <c r="F1895" s="95" t="s">
        <v>19</v>
      </c>
      <c r="G1895" s="95" t="s">
        <v>19</v>
      </c>
      <c r="H1895" s="95" t="s">
        <v>21</v>
      </c>
      <c r="I1895" s="95" t="s">
        <v>589</v>
      </c>
      <c r="J1895" s="97">
        <v>46021.50963746528</v>
      </c>
      <c r="K1895" s="95" t="s">
        <v>10824</v>
      </c>
      <c r="L1895" s="96" t="s">
        <v>10825</v>
      </c>
      <c r="M1895" s="95" t="s">
        <v>54</v>
      </c>
      <c r="N1895" s="95" t="s">
        <v>10826</v>
      </c>
      <c r="O1895" s="95" t="s">
        <v>10826</v>
      </c>
      <c r="P1895" s="95" t="s">
        <v>10827</v>
      </c>
      <c r="Q1895" s="98">
        <v>2.0</v>
      </c>
      <c r="R1895" s="97">
        <v>45849.25545138889</v>
      </c>
      <c r="S1895" s="99">
        <v>98.0</v>
      </c>
      <c r="T1895" s="99">
        <v>216.0</v>
      </c>
      <c r="U1895" s="99">
        <v>3.0</v>
      </c>
      <c r="V1895" s="99">
        <v>78.0</v>
      </c>
      <c r="W1895" s="99">
        <v>27651.0</v>
      </c>
    </row>
    <row r="1896" ht="15.75" customHeight="1">
      <c r="A1896" s="95" t="s">
        <v>10828</v>
      </c>
      <c r="B1896" s="95" t="s">
        <v>22</v>
      </c>
      <c r="C1896" s="96" t="s">
        <v>10829</v>
      </c>
      <c r="D1896" s="95" t="s">
        <v>59</v>
      </c>
      <c r="E1896" s="95" t="s">
        <v>10830</v>
      </c>
      <c r="F1896" s="95" t="s">
        <v>19</v>
      </c>
      <c r="G1896" s="95" t="s">
        <v>19</v>
      </c>
      <c r="H1896" s="95" t="s">
        <v>21</v>
      </c>
      <c r="I1896" s="95" t="s">
        <v>567</v>
      </c>
      <c r="J1896" s="97">
        <v>46021.49354603009</v>
      </c>
      <c r="K1896" s="95" t="s">
        <v>10831</v>
      </c>
      <c r="L1896" s="96" t="s">
        <v>10832</v>
      </c>
      <c r="M1896" s="95" t="s">
        <v>54</v>
      </c>
      <c r="N1896" s="95" t="s">
        <v>10833</v>
      </c>
      <c r="O1896" s="95" t="s">
        <v>10833</v>
      </c>
      <c r="P1896" s="95" t="s">
        <v>10834</v>
      </c>
      <c r="Q1896" s="98">
        <v>2.0</v>
      </c>
      <c r="R1896" s="97">
        <v>45764.94953703704</v>
      </c>
      <c r="S1896" s="99">
        <v>483.0</v>
      </c>
      <c r="T1896" s="99">
        <v>38.0</v>
      </c>
      <c r="U1896" s="99">
        <v>2.0</v>
      </c>
      <c r="V1896" s="99">
        <v>61.0</v>
      </c>
      <c r="W1896" s="99">
        <v>361146.0</v>
      </c>
    </row>
    <row r="1897" ht="15.75" customHeight="1">
      <c r="A1897" s="95" t="s">
        <v>10835</v>
      </c>
      <c r="B1897" s="95" t="s">
        <v>22</v>
      </c>
      <c r="C1897" s="96" t="s">
        <v>10836</v>
      </c>
      <c r="D1897" s="95" t="s">
        <v>59</v>
      </c>
      <c r="E1897" s="95" t="s">
        <v>59</v>
      </c>
      <c r="F1897" s="95" t="s">
        <v>19</v>
      </c>
      <c r="G1897" s="95" t="s">
        <v>19</v>
      </c>
      <c r="H1897" s="95" t="s">
        <v>21</v>
      </c>
      <c r="I1897" s="95" t="s">
        <v>567</v>
      </c>
      <c r="J1897" s="97">
        <v>46021.50524950231</v>
      </c>
      <c r="K1897" s="95" t="s">
        <v>10837</v>
      </c>
      <c r="L1897" s="96" t="s">
        <v>10838</v>
      </c>
      <c r="M1897" s="95" t="s">
        <v>28</v>
      </c>
      <c r="N1897" s="95" t="s">
        <v>1862</v>
      </c>
      <c r="O1897" s="95" t="s">
        <v>1862</v>
      </c>
      <c r="P1897" s="95" t="s">
        <v>1863</v>
      </c>
      <c r="Q1897" s="98">
        <v>2.0</v>
      </c>
      <c r="R1897" s="97">
        <v>45929.21585648148</v>
      </c>
      <c r="S1897" s="99">
        <v>1998.0</v>
      </c>
      <c r="T1897" s="99">
        <v>7.0</v>
      </c>
      <c r="U1897" s="99">
        <v>3.0</v>
      </c>
      <c r="V1897" s="99">
        <v>18.0</v>
      </c>
      <c r="W1897" s="99">
        <v>157402.0</v>
      </c>
    </row>
    <row r="1898" ht="15.75" customHeight="1">
      <c r="A1898" s="95" t="s">
        <v>10839</v>
      </c>
      <c r="B1898" s="95" t="s">
        <v>101</v>
      </c>
      <c r="C1898" s="96" t="s">
        <v>10840</v>
      </c>
      <c r="D1898" s="95" t="s">
        <v>59</v>
      </c>
      <c r="E1898" s="95" t="s">
        <v>738</v>
      </c>
      <c r="F1898" s="95" t="s">
        <v>19</v>
      </c>
      <c r="G1898" s="95" t="s">
        <v>19</v>
      </c>
      <c r="H1898" s="95" t="s">
        <v>21</v>
      </c>
      <c r="I1898" s="95" t="s">
        <v>955</v>
      </c>
      <c r="J1898" s="97">
        <v>45993.7854622338</v>
      </c>
      <c r="K1898" s="96" t="s">
        <v>10841</v>
      </c>
      <c r="L1898" s="95"/>
      <c r="M1898" s="95" t="s">
        <v>17</v>
      </c>
      <c r="N1898" s="95" t="s">
        <v>1891</v>
      </c>
      <c r="O1898" s="95" t="s">
        <v>1891</v>
      </c>
      <c r="P1898" s="95" t="s">
        <v>1892</v>
      </c>
      <c r="Q1898" s="98">
        <v>2.0</v>
      </c>
      <c r="R1898" s="97">
        <v>45827.74375</v>
      </c>
      <c r="S1898" s="99">
        <v>5473.0</v>
      </c>
      <c r="T1898" s="99">
        <v>74.0</v>
      </c>
      <c r="U1898" s="99">
        <v>9.0</v>
      </c>
      <c r="V1898" s="99">
        <v>68.0</v>
      </c>
      <c r="W1898" s="99">
        <v>999999.0</v>
      </c>
    </row>
    <row r="1899" ht="15.75" customHeight="1">
      <c r="A1899" s="95" t="s">
        <v>10842</v>
      </c>
      <c r="B1899" s="95" t="s">
        <v>22</v>
      </c>
      <c r="C1899" s="96" t="s">
        <v>10843</v>
      </c>
      <c r="D1899" s="95" t="s">
        <v>68</v>
      </c>
      <c r="E1899" s="95" t="s">
        <v>1901</v>
      </c>
      <c r="F1899" s="95" t="s">
        <v>19</v>
      </c>
      <c r="G1899" s="95" t="s">
        <v>19</v>
      </c>
      <c r="H1899" s="95" t="s">
        <v>21</v>
      </c>
      <c r="I1899" s="95" t="s">
        <v>589</v>
      </c>
      <c r="J1899" s="97">
        <v>46021.49354603009</v>
      </c>
      <c r="K1899" s="95" t="s">
        <v>10844</v>
      </c>
      <c r="L1899" s="96" t="s">
        <v>10845</v>
      </c>
      <c r="M1899" s="95" t="s">
        <v>54</v>
      </c>
      <c r="N1899" s="95" t="s">
        <v>1904</v>
      </c>
      <c r="O1899" s="95" t="s">
        <v>1904</v>
      </c>
      <c r="P1899" s="95" t="s">
        <v>1905</v>
      </c>
      <c r="Q1899" s="98">
        <v>2.0</v>
      </c>
      <c r="R1899" s="97">
        <v>45943.95475694445</v>
      </c>
      <c r="S1899" s="99">
        <v>554.0</v>
      </c>
      <c r="T1899" s="99">
        <v>264.0</v>
      </c>
      <c r="U1899" s="99">
        <v>10.0</v>
      </c>
      <c r="V1899" s="99">
        <v>40.0</v>
      </c>
      <c r="W1899" s="99">
        <v>14374.0</v>
      </c>
    </row>
    <row r="1900" ht="15.75" customHeight="1">
      <c r="A1900" s="95" t="s">
        <v>10846</v>
      </c>
      <c r="B1900" s="95" t="s">
        <v>22</v>
      </c>
      <c r="C1900" s="96" t="s">
        <v>10847</v>
      </c>
      <c r="D1900" s="95" t="s">
        <v>68</v>
      </c>
      <c r="E1900" s="95" t="s">
        <v>68</v>
      </c>
      <c r="F1900" s="95" t="s">
        <v>19</v>
      </c>
      <c r="G1900" s="95" t="s">
        <v>19</v>
      </c>
      <c r="H1900" s="95" t="s">
        <v>21</v>
      </c>
      <c r="I1900" s="95" t="s">
        <v>567</v>
      </c>
      <c r="J1900" s="97">
        <v>46003.09668672454</v>
      </c>
      <c r="K1900" s="95" t="s">
        <v>10848</v>
      </c>
      <c r="L1900" s="96" t="s">
        <v>10849</v>
      </c>
      <c r="M1900" s="95" t="s">
        <v>54</v>
      </c>
      <c r="N1900" s="95" t="s">
        <v>10850</v>
      </c>
      <c r="O1900" s="95" t="s">
        <v>10850</v>
      </c>
      <c r="P1900" s="95" t="s">
        <v>10851</v>
      </c>
      <c r="Q1900" s="98">
        <v>2.0</v>
      </c>
      <c r="R1900" s="97">
        <v>45740.45138888889</v>
      </c>
      <c r="S1900" s="99">
        <v>270.0</v>
      </c>
      <c r="T1900" s="99">
        <v>124.0</v>
      </c>
      <c r="U1900" s="99">
        <v>7.0</v>
      </c>
      <c r="V1900" s="99">
        <v>35.0</v>
      </c>
      <c r="W1900" s="99">
        <v>22136.0</v>
      </c>
    </row>
    <row r="1901" ht="15.75" customHeight="1">
      <c r="A1901" s="95" t="s">
        <v>10852</v>
      </c>
      <c r="B1901" s="95" t="s">
        <v>69</v>
      </c>
      <c r="C1901" s="96" t="s">
        <v>10853</v>
      </c>
      <c r="D1901" s="95" t="s">
        <v>68</v>
      </c>
      <c r="E1901" s="95" t="s">
        <v>769</v>
      </c>
      <c r="F1901" s="95" t="s">
        <v>58</v>
      </c>
      <c r="G1901" s="95" t="s">
        <v>58</v>
      </c>
      <c r="H1901" s="95" t="s">
        <v>77</v>
      </c>
      <c r="I1901" s="95" t="s">
        <v>599</v>
      </c>
      <c r="J1901" s="97">
        <v>46039.7137822338</v>
      </c>
      <c r="K1901" s="95" t="s">
        <v>10854</v>
      </c>
      <c r="L1901" s="95"/>
      <c r="M1901" s="95" t="s">
        <v>93</v>
      </c>
      <c r="N1901" s="95" t="s">
        <v>1940</v>
      </c>
      <c r="O1901" s="95" t="s">
        <v>1940</v>
      </c>
      <c r="P1901" s="95" t="s">
        <v>1941</v>
      </c>
      <c r="Q1901" s="98">
        <v>2.0</v>
      </c>
      <c r="R1901" s="97">
        <v>45785.68178240741</v>
      </c>
      <c r="S1901" s="99">
        <v>320.0</v>
      </c>
      <c r="T1901" s="99">
        <v>202.0</v>
      </c>
      <c r="U1901" s="99">
        <v>4.0</v>
      </c>
      <c r="V1901" s="99">
        <v>261.0</v>
      </c>
      <c r="W1901" s="99">
        <v>29124.0</v>
      </c>
    </row>
    <row r="1902" ht="15.75" customHeight="1">
      <c r="A1902" s="95" t="s">
        <v>10855</v>
      </c>
      <c r="B1902" s="95" t="s">
        <v>22</v>
      </c>
      <c r="C1902" s="96" t="s">
        <v>10856</v>
      </c>
      <c r="D1902" s="95" t="s">
        <v>39</v>
      </c>
      <c r="E1902" s="95" t="s">
        <v>39</v>
      </c>
      <c r="F1902" s="95" t="s">
        <v>19</v>
      </c>
      <c r="G1902" s="95" t="s">
        <v>19</v>
      </c>
      <c r="H1902" s="95" t="s">
        <v>21</v>
      </c>
      <c r="I1902" s="95" t="s">
        <v>633</v>
      </c>
      <c r="J1902" s="97">
        <v>46003.09668672454</v>
      </c>
      <c r="K1902" s="95" t="s">
        <v>10857</v>
      </c>
      <c r="L1902" s="96" t="s">
        <v>10858</v>
      </c>
      <c r="M1902" s="95" t="s">
        <v>54</v>
      </c>
      <c r="N1902" s="95" t="s">
        <v>10859</v>
      </c>
      <c r="O1902" s="95" t="s">
        <v>10859</v>
      </c>
      <c r="P1902" s="95" t="s">
        <v>10860</v>
      </c>
      <c r="Q1902" s="98">
        <v>2.0</v>
      </c>
      <c r="R1902" s="97">
        <v>45706.95533564815</v>
      </c>
      <c r="S1902" s="99">
        <v>1344.0</v>
      </c>
      <c r="T1902" s="99">
        <v>11.0</v>
      </c>
      <c r="U1902" s="99">
        <v>2.0</v>
      </c>
      <c r="V1902" s="99">
        <v>49.0</v>
      </c>
      <c r="W1902" s="99">
        <v>291159.0</v>
      </c>
    </row>
    <row r="1903" ht="15.75" customHeight="1">
      <c r="A1903" s="95" t="s">
        <v>10861</v>
      </c>
      <c r="B1903" s="95" t="s">
        <v>69</v>
      </c>
      <c r="C1903" s="96" t="s">
        <v>10862</v>
      </c>
      <c r="D1903" s="95" t="s">
        <v>29</v>
      </c>
      <c r="E1903" s="95" t="s">
        <v>598</v>
      </c>
      <c r="F1903" s="95" t="s">
        <v>88</v>
      </c>
      <c r="G1903" s="95" t="s">
        <v>88</v>
      </c>
      <c r="H1903" s="95" t="s">
        <v>89</v>
      </c>
      <c r="I1903" s="95" t="s">
        <v>640</v>
      </c>
      <c r="J1903" s="97">
        <v>45975.67939547454</v>
      </c>
      <c r="K1903" s="96" t="s">
        <v>10863</v>
      </c>
      <c r="L1903" s="96" t="s">
        <v>10864</v>
      </c>
      <c r="M1903" s="95" t="s">
        <v>74</v>
      </c>
      <c r="N1903" s="95" t="s">
        <v>10865</v>
      </c>
      <c r="O1903" s="95" t="s">
        <v>10865</v>
      </c>
      <c r="P1903" s="95" t="s">
        <v>10866</v>
      </c>
      <c r="Q1903" s="98">
        <v>2.0</v>
      </c>
      <c r="R1903" s="97">
        <v>45888.64846064815</v>
      </c>
      <c r="S1903" s="99">
        <v>630.0</v>
      </c>
      <c r="T1903" s="99">
        <v>88.0</v>
      </c>
      <c r="U1903" s="99">
        <v>3.0</v>
      </c>
      <c r="V1903" s="99">
        <v>18.0</v>
      </c>
      <c r="W1903" s="99">
        <v>6885.0</v>
      </c>
    </row>
    <row r="1904" ht="15.75" customHeight="1">
      <c r="A1904" s="95" t="s">
        <v>10867</v>
      </c>
      <c r="B1904" s="95" t="s">
        <v>22</v>
      </c>
      <c r="C1904" s="96" t="s">
        <v>10868</v>
      </c>
      <c r="D1904" s="95" t="s">
        <v>20</v>
      </c>
      <c r="E1904" s="95" t="s">
        <v>638</v>
      </c>
      <c r="F1904" s="95" t="s">
        <v>19</v>
      </c>
      <c r="G1904" s="95" t="s">
        <v>588</v>
      </c>
      <c r="H1904" s="95" t="s">
        <v>21</v>
      </c>
      <c r="I1904" s="95" t="s">
        <v>589</v>
      </c>
      <c r="J1904" s="97">
        <v>45975.67934009259</v>
      </c>
      <c r="K1904" s="96" t="s">
        <v>10869</v>
      </c>
      <c r="L1904" s="96" t="s">
        <v>10870</v>
      </c>
      <c r="M1904" s="95" t="s">
        <v>17</v>
      </c>
      <c r="N1904" s="95" t="s">
        <v>2054</v>
      </c>
      <c r="O1904" s="95" t="s">
        <v>2054</v>
      </c>
      <c r="P1904" s="95" t="s">
        <v>2055</v>
      </c>
      <c r="Q1904" s="98">
        <v>2.0</v>
      </c>
      <c r="R1904" s="97">
        <v>45951.98674768519</v>
      </c>
      <c r="S1904" s="99">
        <v>35685.0</v>
      </c>
      <c r="T1904" s="99">
        <v>16.0</v>
      </c>
      <c r="U1904" s="99">
        <v>1.0</v>
      </c>
      <c r="V1904" s="99">
        <v>5.0</v>
      </c>
      <c r="W1904" s="99">
        <v>999999.0</v>
      </c>
    </row>
    <row r="1905" ht="15.75" customHeight="1">
      <c r="A1905" s="95" t="s">
        <v>10871</v>
      </c>
      <c r="B1905" s="95" t="s">
        <v>22</v>
      </c>
      <c r="C1905" s="96" t="s">
        <v>10872</v>
      </c>
      <c r="D1905" s="95" t="s">
        <v>20</v>
      </c>
      <c r="E1905" s="95" t="s">
        <v>20</v>
      </c>
      <c r="F1905" s="95" t="s">
        <v>88</v>
      </c>
      <c r="G1905" s="95" t="s">
        <v>88</v>
      </c>
      <c r="H1905" s="95" t="s">
        <v>21</v>
      </c>
      <c r="I1905" s="95" t="s">
        <v>2183</v>
      </c>
      <c r="J1905" s="97">
        <v>45977.67833747685</v>
      </c>
      <c r="K1905" s="95" t="s">
        <v>10873</v>
      </c>
      <c r="L1905" s="95"/>
      <c r="M1905" s="95" t="s">
        <v>17</v>
      </c>
      <c r="N1905" s="95" t="s">
        <v>2054</v>
      </c>
      <c r="O1905" s="95" t="s">
        <v>2054</v>
      </c>
      <c r="P1905" s="95" t="s">
        <v>2055</v>
      </c>
      <c r="Q1905" s="98">
        <v>2.0</v>
      </c>
      <c r="R1905" s="97">
        <v>45651.18340277778</v>
      </c>
      <c r="S1905" s="99">
        <v>35685.0</v>
      </c>
      <c r="T1905" s="99">
        <v>33.0</v>
      </c>
      <c r="U1905" s="99">
        <v>1.0</v>
      </c>
      <c r="V1905" s="99">
        <v>28.0</v>
      </c>
      <c r="W1905" s="99">
        <v>999999.0</v>
      </c>
    </row>
    <row r="1906" ht="15.75" customHeight="1">
      <c r="A1906" s="95" t="s">
        <v>10874</v>
      </c>
      <c r="B1906" s="95" t="s">
        <v>22</v>
      </c>
      <c r="C1906" s="96" t="s">
        <v>10875</v>
      </c>
      <c r="D1906" s="95" t="s">
        <v>68</v>
      </c>
      <c r="E1906" s="95" t="s">
        <v>1671</v>
      </c>
      <c r="F1906" s="95" t="s">
        <v>19</v>
      </c>
      <c r="G1906" s="95" t="s">
        <v>588</v>
      </c>
      <c r="H1906" s="95" t="s">
        <v>21</v>
      </c>
      <c r="I1906" s="95" t="s">
        <v>589</v>
      </c>
      <c r="J1906" s="97">
        <v>46021.50524950231</v>
      </c>
      <c r="K1906" s="95" t="s">
        <v>10876</v>
      </c>
      <c r="L1906" s="96" t="s">
        <v>10877</v>
      </c>
      <c r="M1906" s="95" t="s">
        <v>74</v>
      </c>
      <c r="N1906" s="95" t="s">
        <v>2070</v>
      </c>
      <c r="O1906" s="95" t="s">
        <v>2070</v>
      </c>
      <c r="P1906" s="95" t="s">
        <v>2071</v>
      </c>
      <c r="Q1906" s="98">
        <v>2.0</v>
      </c>
      <c r="R1906" s="97">
        <v>45896.75443287037</v>
      </c>
      <c r="S1906" s="99">
        <v>26268.0</v>
      </c>
      <c r="T1906" s="99">
        <v>51.0</v>
      </c>
      <c r="U1906" s="99">
        <v>1.0</v>
      </c>
      <c r="V1906" s="99">
        <v>62.0</v>
      </c>
      <c r="W1906" s="99">
        <v>277403.0</v>
      </c>
    </row>
    <row r="1907" ht="15.75" customHeight="1">
      <c r="A1907" s="95" t="s">
        <v>10878</v>
      </c>
      <c r="B1907" s="95" t="s">
        <v>22</v>
      </c>
      <c r="C1907" s="96" t="s">
        <v>10879</v>
      </c>
      <c r="D1907" s="95" t="s">
        <v>29</v>
      </c>
      <c r="E1907" s="95" t="s">
        <v>3793</v>
      </c>
      <c r="F1907" s="95" t="s">
        <v>19</v>
      </c>
      <c r="G1907" s="95" t="s">
        <v>19</v>
      </c>
      <c r="H1907" s="95" t="s">
        <v>21</v>
      </c>
      <c r="I1907" s="95" t="s">
        <v>589</v>
      </c>
      <c r="J1907" s="97">
        <v>46021.50963746528</v>
      </c>
      <c r="K1907" s="95" t="s">
        <v>10880</v>
      </c>
      <c r="L1907" s="96" t="s">
        <v>10881</v>
      </c>
      <c r="M1907" s="95" t="s">
        <v>74</v>
      </c>
      <c r="N1907" s="95" t="s">
        <v>2070</v>
      </c>
      <c r="O1907" s="95" t="s">
        <v>2070</v>
      </c>
      <c r="P1907" s="95" t="s">
        <v>2071</v>
      </c>
      <c r="Q1907" s="98">
        <v>2.0</v>
      </c>
      <c r="R1907" s="97">
        <v>45907.85112268518</v>
      </c>
      <c r="S1907" s="99">
        <v>26268.0</v>
      </c>
      <c r="T1907" s="99">
        <v>9.0</v>
      </c>
      <c r="U1907" s="99">
        <v>1.0</v>
      </c>
      <c r="V1907" s="99">
        <v>16.0</v>
      </c>
      <c r="W1907" s="99">
        <v>277403.0</v>
      </c>
    </row>
    <row r="1908" ht="15.75" customHeight="1">
      <c r="A1908" s="95" t="s">
        <v>10882</v>
      </c>
      <c r="B1908" s="95" t="s">
        <v>22</v>
      </c>
      <c r="C1908" s="96" t="s">
        <v>10883</v>
      </c>
      <c r="D1908" s="95" t="s">
        <v>68</v>
      </c>
      <c r="E1908" s="95" t="s">
        <v>1671</v>
      </c>
      <c r="F1908" s="95" t="s">
        <v>19</v>
      </c>
      <c r="G1908" s="95" t="s">
        <v>1367</v>
      </c>
      <c r="H1908" s="95" t="s">
        <v>21</v>
      </c>
      <c r="I1908" s="95" t="s">
        <v>589</v>
      </c>
      <c r="J1908" s="97">
        <v>46021.50963746528</v>
      </c>
      <c r="K1908" s="95" t="s">
        <v>10884</v>
      </c>
      <c r="L1908" s="96" t="s">
        <v>10885</v>
      </c>
      <c r="M1908" s="95" t="s">
        <v>74</v>
      </c>
      <c r="N1908" s="95" t="s">
        <v>2070</v>
      </c>
      <c r="O1908" s="95" t="s">
        <v>2070</v>
      </c>
      <c r="P1908" s="95" t="s">
        <v>2071</v>
      </c>
      <c r="Q1908" s="98">
        <v>2.0</v>
      </c>
      <c r="R1908" s="97">
        <v>45897.73699074074</v>
      </c>
      <c r="S1908" s="99">
        <v>26268.0</v>
      </c>
      <c r="T1908" s="99">
        <v>3.0</v>
      </c>
      <c r="U1908" s="99">
        <v>1.0</v>
      </c>
      <c r="V1908" s="99">
        <v>32.0</v>
      </c>
      <c r="W1908" s="99">
        <v>277403.0</v>
      </c>
    </row>
    <row r="1909" ht="15.75" customHeight="1">
      <c r="A1909" s="95" t="s">
        <v>10886</v>
      </c>
      <c r="B1909" s="95" t="s">
        <v>22</v>
      </c>
      <c r="C1909" s="96" t="s">
        <v>10887</v>
      </c>
      <c r="D1909" s="95" t="s">
        <v>168</v>
      </c>
      <c r="E1909" s="95" t="s">
        <v>168</v>
      </c>
      <c r="F1909" s="95" t="s">
        <v>19</v>
      </c>
      <c r="G1909" s="95" t="s">
        <v>588</v>
      </c>
      <c r="H1909" s="95" t="s">
        <v>21</v>
      </c>
      <c r="I1909" s="95" t="s">
        <v>589</v>
      </c>
      <c r="J1909" s="97">
        <v>45975.67934009259</v>
      </c>
      <c r="K1909" s="96" t="s">
        <v>10888</v>
      </c>
      <c r="L1909" s="96" t="s">
        <v>10889</v>
      </c>
      <c r="M1909" s="95" t="s">
        <v>17</v>
      </c>
      <c r="N1909" s="95" t="s">
        <v>10890</v>
      </c>
      <c r="O1909" s="95" t="s">
        <v>10890</v>
      </c>
      <c r="P1909" s="95" t="s">
        <v>10891</v>
      </c>
      <c r="Q1909" s="98">
        <v>2.0</v>
      </c>
      <c r="R1909" s="97">
        <v>45841.68966435185</v>
      </c>
      <c r="S1909" s="99">
        <v>4895.0</v>
      </c>
      <c r="T1909" s="99">
        <v>2.0</v>
      </c>
      <c r="U1909" s="99">
        <v>2.0</v>
      </c>
      <c r="V1909" s="99">
        <v>89.0</v>
      </c>
      <c r="W1909" s="99">
        <v>1591998.0</v>
      </c>
    </row>
    <row r="1910" ht="15.75" customHeight="1">
      <c r="A1910" s="95" t="s">
        <v>10892</v>
      </c>
      <c r="B1910" s="95" t="s">
        <v>22</v>
      </c>
      <c r="C1910" s="96" t="s">
        <v>10893</v>
      </c>
      <c r="D1910" s="95" t="s">
        <v>124</v>
      </c>
      <c r="E1910" s="95" t="s">
        <v>124</v>
      </c>
      <c r="F1910" s="95" t="s">
        <v>19</v>
      </c>
      <c r="G1910" s="95" t="s">
        <v>19</v>
      </c>
      <c r="H1910" s="95" t="s">
        <v>21</v>
      </c>
      <c r="I1910" s="95" t="s">
        <v>567</v>
      </c>
      <c r="J1910" s="97">
        <v>46021.50524950231</v>
      </c>
      <c r="K1910" s="95" t="s">
        <v>10894</v>
      </c>
      <c r="L1910" s="96" t="s">
        <v>10895</v>
      </c>
      <c r="M1910" s="95" t="s">
        <v>74</v>
      </c>
      <c r="N1910" s="95" t="s">
        <v>10896</v>
      </c>
      <c r="O1910" s="95" t="s">
        <v>10896</v>
      </c>
      <c r="P1910" s="95" t="s">
        <v>10897</v>
      </c>
      <c r="Q1910" s="98">
        <v>2.0</v>
      </c>
      <c r="R1910" s="97">
        <v>45810.39122685185</v>
      </c>
      <c r="S1910" s="99">
        <v>1341.0</v>
      </c>
      <c r="T1910" s="99">
        <v>8.0</v>
      </c>
      <c r="U1910" s="99">
        <v>2.0</v>
      </c>
      <c r="V1910" s="99">
        <v>220.0</v>
      </c>
      <c r="W1910" s="99">
        <v>171184.0</v>
      </c>
    </row>
    <row r="1911" ht="15.75" customHeight="1">
      <c r="A1911" s="95" t="s">
        <v>10898</v>
      </c>
      <c r="B1911" s="95" t="s">
        <v>22</v>
      </c>
      <c r="C1911" s="96" t="s">
        <v>10899</v>
      </c>
      <c r="D1911" s="95" t="s">
        <v>49</v>
      </c>
      <c r="E1911" s="95" t="s">
        <v>587</v>
      </c>
      <c r="F1911" s="95" t="s">
        <v>19</v>
      </c>
      <c r="G1911" s="95" t="s">
        <v>19</v>
      </c>
      <c r="H1911" s="95" t="s">
        <v>21</v>
      </c>
      <c r="I1911" s="95" t="s">
        <v>589</v>
      </c>
      <c r="J1911" s="97">
        <v>45994.67236458333</v>
      </c>
      <c r="K1911" s="95" t="s">
        <v>10900</v>
      </c>
      <c r="L1911" s="96" t="s">
        <v>10901</v>
      </c>
      <c r="M1911" s="95" t="s">
        <v>105</v>
      </c>
      <c r="N1911" s="95" t="s">
        <v>10902</v>
      </c>
      <c r="O1911" s="95" t="s">
        <v>10902</v>
      </c>
      <c r="P1911" s="95" t="s">
        <v>10903</v>
      </c>
      <c r="Q1911" s="98">
        <v>2.0</v>
      </c>
      <c r="R1911" s="97">
        <v>45629.9489699074</v>
      </c>
      <c r="S1911" s="99">
        <v>87152.0</v>
      </c>
      <c r="T1911" s="99">
        <v>121.0</v>
      </c>
      <c r="U1911" s="99">
        <v>1.0</v>
      </c>
      <c r="V1911" s="99">
        <v>69.0</v>
      </c>
      <c r="W1911" s="99">
        <v>715779.0</v>
      </c>
    </row>
    <row r="1912" ht="15.75" customHeight="1">
      <c r="A1912" s="95" t="s">
        <v>10904</v>
      </c>
      <c r="B1912" s="95" t="s">
        <v>157</v>
      </c>
      <c r="C1912" s="96" t="s">
        <v>10905</v>
      </c>
      <c r="D1912" s="95" t="s">
        <v>124</v>
      </c>
      <c r="E1912" s="95" t="s">
        <v>2195</v>
      </c>
      <c r="F1912" s="95" t="s">
        <v>88</v>
      </c>
      <c r="G1912" s="95" t="s">
        <v>88</v>
      </c>
      <c r="H1912" s="95" t="s">
        <v>89</v>
      </c>
      <c r="I1912" s="95" t="s">
        <v>897</v>
      </c>
      <c r="J1912" s="97">
        <v>45975.67938763889</v>
      </c>
      <c r="K1912" s="96" t="s">
        <v>10906</v>
      </c>
      <c r="L1912" s="96" t="s">
        <v>10907</v>
      </c>
      <c r="M1912" s="95" t="s">
        <v>74</v>
      </c>
      <c r="N1912" s="95" t="s">
        <v>10908</v>
      </c>
      <c r="O1912" s="95" t="s">
        <v>10908</v>
      </c>
      <c r="P1912" s="95" t="s">
        <v>10909</v>
      </c>
      <c r="Q1912" s="98">
        <v>2.0</v>
      </c>
      <c r="R1912" s="97">
        <v>45852.45888888889</v>
      </c>
      <c r="S1912" s="99">
        <v>12153.0</v>
      </c>
      <c r="T1912" s="99">
        <v>2.0</v>
      </c>
      <c r="U1912" s="99">
        <v>4.0</v>
      </c>
      <c r="V1912" s="99">
        <v>66.0</v>
      </c>
      <c r="W1912" s="99">
        <v>999999.0</v>
      </c>
    </row>
    <row r="1913" ht="15.75" customHeight="1">
      <c r="A1913" s="95" t="s">
        <v>10910</v>
      </c>
      <c r="B1913" s="95" t="s">
        <v>69</v>
      </c>
      <c r="C1913" s="96" t="s">
        <v>10911</v>
      </c>
      <c r="D1913" s="95" t="s">
        <v>548</v>
      </c>
      <c r="E1913" s="95" t="s">
        <v>3568</v>
      </c>
      <c r="F1913" s="95" t="s">
        <v>88</v>
      </c>
      <c r="G1913" s="95" t="s">
        <v>903</v>
      </c>
      <c r="H1913" s="95" t="s">
        <v>89</v>
      </c>
      <c r="I1913" s="95" t="s">
        <v>640</v>
      </c>
      <c r="J1913" s="97">
        <v>45978.4622894213</v>
      </c>
      <c r="K1913" s="95" t="s">
        <v>10912</v>
      </c>
      <c r="L1913" s="96" t="s">
        <v>10913</v>
      </c>
      <c r="M1913" s="95" t="s">
        <v>17</v>
      </c>
      <c r="N1913" s="95" t="s">
        <v>10914</v>
      </c>
      <c r="O1913" s="95" t="s">
        <v>10914</v>
      </c>
      <c r="P1913" s="95" t="s">
        <v>10915</v>
      </c>
      <c r="Q1913" s="98">
        <v>2.0</v>
      </c>
      <c r="R1913" s="97">
        <v>45624.78851851852</v>
      </c>
      <c r="S1913" s="99">
        <v>1005.0</v>
      </c>
      <c r="T1913" s="99">
        <v>18.0</v>
      </c>
      <c r="U1913" s="99">
        <v>1.0</v>
      </c>
      <c r="V1913" s="99">
        <v>23.0</v>
      </c>
      <c r="W1913" s="99">
        <v>15894.0</v>
      </c>
    </row>
    <row r="1914" ht="15.75" customHeight="1">
      <c r="A1914" s="95" t="s">
        <v>10916</v>
      </c>
      <c r="B1914" s="95" t="s">
        <v>22</v>
      </c>
      <c r="C1914" s="96" t="s">
        <v>10917</v>
      </c>
      <c r="D1914" s="95" t="s">
        <v>59</v>
      </c>
      <c r="E1914" s="95" t="s">
        <v>3394</v>
      </c>
      <c r="F1914" s="95" t="s">
        <v>19</v>
      </c>
      <c r="G1914" s="95" t="s">
        <v>588</v>
      </c>
      <c r="H1914" s="95" t="s">
        <v>21</v>
      </c>
      <c r="I1914" s="95" t="s">
        <v>589</v>
      </c>
      <c r="J1914" s="97">
        <v>46021.50524950231</v>
      </c>
      <c r="K1914" s="95" t="s">
        <v>10918</v>
      </c>
      <c r="L1914" s="96" t="s">
        <v>10919</v>
      </c>
      <c r="M1914" s="95" t="s">
        <v>67</v>
      </c>
      <c r="N1914" s="95" t="s">
        <v>10920</v>
      </c>
      <c r="O1914" s="95" t="s">
        <v>10920</v>
      </c>
      <c r="P1914" s="95" t="s">
        <v>10921</v>
      </c>
      <c r="Q1914" s="98">
        <v>2.0</v>
      </c>
      <c r="R1914" s="97">
        <v>45646.66788194444</v>
      </c>
      <c r="S1914" s="99">
        <v>488.0</v>
      </c>
      <c r="T1914" s="99">
        <v>63.0</v>
      </c>
      <c r="U1914" s="99">
        <v>3.0</v>
      </c>
      <c r="V1914" s="99">
        <v>29.0</v>
      </c>
      <c r="W1914" s="99">
        <v>14972.0</v>
      </c>
    </row>
    <row r="1915" ht="15.75" customHeight="1">
      <c r="A1915" s="95" t="s">
        <v>10922</v>
      </c>
      <c r="B1915" s="95" t="s">
        <v>22</v>
      </c>
      <c r="C1915" s="96" t="s">
        <v>10923</v>
      </c>
      <c r="D1915" s="95" t="s">
        <v>49</v>
      </c>
      <c r="E1915" s="95" t="s">
        <v>49</v>
      </c>
      <c r="F1915" s="95" t="s">
        <v>19</v>
      </c>
      <c r="G1915" s="95" t="s">
        <v>19</v>
      </c>
      <c r="H1915" s="95" t="s">
        <v>21</v>
      </c>
      <c r="I1915" s="95" t="s">
        <v>567</v>
      </c>
      <c r="J1915" s="97">
        <v>46021.49370376157</v>
      </c>
      <c r="K1915" s="95" t="s">
        <v>10924</v>
      </c>
      <c r="L1915" s="96" t="s">
        <v>10925</v>
      </c>
      <c r="M1915" s="95" t="s">
        <v>54</v>
      </c>
      <c r="N1915" s="95" t="s">
        <v>2118</v>
      </c>
      <c r="O1915" s="95" t="s">
        <v>2118</v>
      </c>
      <c r="P1915" s="95" t="s">
        <v>2119</v>
      </c>
      <c r="Q1915" s="98">
        <v>2.0</v>
      </c>
      <c r="R1915" s="97">
        <v>45871.62501157408</v>
      </c>
      <c r="S1915" s="99">
        <v>75.0</v>
      </c>
      <c r="T1915" s="99">
        <v>178.0</v>
      </c>
      <c r="U1915" s="99">
        <v>3.0</v>
      </c>
      <c r="V1915" s="99">
        <v>365.0</v>
      </c>
      <c r="W1915" s="99">
        <v>84804.0</v>
      </c>
    </row>
    <row r="1916" ht="15.75" customHeight="1">
      <c r="A1916" s="95" t="s">
        <v>10926</v>
      </c>
      <c r="B1916" s="95" t="s">
        <v>157</v>
      </c>
      <c r="C1916" s="96" t="s">
        <v>10927</v>
      </c>
      <c r="D1916" s="95" t="s">
        <v>39</v>
      </c>
      <c r="E1916" s="95" t="s">
        <v>697</v>
      </c>
      <c r="F1916" s="95" t="s">
        <v>88</v>
      </c>
      <c r="G1916" s="95" t="s">
        <v>88</v>
      </c>
      <c r="H1916" s="95" t="s">
        <v>89</v>
      </c>
      <c r="I1916" s="95" t="s">
        <v>859</v>
      </c>
      <c r="J1916" s="97">
        <v>45994.69765716435</v>
      </c>
      <c r="K1916" s="96" t="s">
        <v>10928</v>
      </c>
      <c r="L1916" s="96" t="s">
        <v>10929</v>
      </c>
      <c r="M1916" s="95" t="s">
        <v>105</v>
      </c>
      <c r="N1916" s="95" t="s">
        <v>10930</v>
      </c>
      <c r="O1916" s="95" t="s">
        <v>10930</v>
      </c>
      <c r="P1916" s="95" t="s">
        <v>10931</v>
      </c>
      <c r="Q1916" s="98">
        <v>2.0</v>
      </c>
      <c r="R1916" s="97">
        <v>45274.92141203704</v>
      </c>
      <c r="S1916" s="99">
        <v>59.0</v>
      </c>
      <c r="T1916" s="99">
        <v>108.0</v>
      </c>
      <c r="U1916" s="99">
        <v>1.0</v>
      </c>
      <c r="V1916" s="99">
        <v>15.0</v>
      </c>
      <c r="W1916" s="99">
        <v>51035.0</v>
      </c>
    </row>
    <row r="1917" ht="15.75" customHeight="1">
      <c r="A1917" s="95" t="s">
        <v>10932</v>
      </c>
      <c r="B1917" s="95" t="s">
        <v>22</v>
      </c>
      <c r="C1917" s="96" t="s">
        <v>10933</v>
      </c>
      <c r="D1917" s="95" t="s">
        <v>39</v>
      </c>
      <c r="E1917" s="95" t="s">
        <v>39</v>
      </c>
      <c r="F1917" s="95" t="s">
        <v>19</v>
      </c>
      <c r="G1917" s="95" t="s">
        <v>588</v>
      </c>
      <c r="H1917" s="95" t="s">
        <v>21</v>
      </c>
      <c r="I1917" s="95" t="s">
        <v>589</v>
      </c>
      <c r="J1917" s="97">
        <v>46021.50524950231</v>
      </c>
      <c r="K1917" s="95" t="s">
        <v>10934</v>
      </c>
      <c r="L1917" s="96" t="s">
        <v>10935</v>
      </c>
      <c r="M1917" s="95" t="s">
        <v>74</v>
      </c>
      <c r="N1917" s="95" t="s">
        <v>10936</v>
      </c>
      <c r="O1917" s="95" t="s">
        <v>10936</v>
      </c>
      <c r="P1917" s="95" t="s">
        <v>10937</v>
      </c>
      <c r="Q1917" s="98">
        <v>2.0</v>
      </c>
      <c r="R1917" s="97">
        <v>45882.72153935185</v>
      </c>
      <c r="S1917" s="99">
        <v>67.0</v>
      </c>
      <c r="T1917" s="99">
        <v>29.0</v>
      </c>
      <c r="U1917" s="99">
        <v>4.0</v>
      </c>
      <c r="V1917" s="99">
        <v>21.0</v>
      </c>
      <c r="W1917" s="99">
        <v>61246.0</v>
      </c>
    </row>
    <row r="1918" ht="15.75" customHeight="1">
      <c r="A1918" s="95" t="s">
        <v>10938</v>
      </c>
      <c r="B1918" s="95" t="s">
        <v>22</v>
      </c>
      <c r="C1918" s="96" t="s">
        <v>10939</v>
      </c>
      <c r="D1918" s="95" t="s">
        <v>547</v>
      </c>
      <c r="E1918" s="95" t="s">
        <v>3222</v>
      </c>
      <c r="F1918" s="95" t="s">
        <v>19</v>
      </c>
      <c r="G1918" s="95" t="s">
        <v>19</v>
      </c>
      <c r="H1918" s="95" t="s">
        <v>21</v>
      </c>
      <c r="I1918" s="95" t="s">
        <v>1634</v>
      </c>
      <c r="J1918" s="97">
        <v>46003.09668672454</v>
      </c>
      <c r="K1918" s="95" t="s">
        <v>10940</v>
      </c>
      <c r="L1918" s="96" t="s">
        <v>10941</v>
      </c>
      <c r="M1918" s="95" t="s">
        <v>54</v>
      </c>
      <c r="N1918" s="95" t="s">
        <v>10942</v>
      </c>
      <c r="O1918" s="95" t="s">
        <v>10942</v>
      </c>
      <c r="P1918" s="95" t="s">
        <v>10943</v>
      </c>
      <c r="Q1918" s="98">
        <v>2.0</v>
      </c>
      <c r="R1918" s="97">
        <v>45871.4659375</v>
      </c>
      <c r="S1918" s="99">
        <v>16881.0</v>
      </c>
      <c r="T1918" s="99">
        <v>91.0</v>
      </c>
      <c r="U1918" s="99">
        <v>8.0</v>
      </c>
      <c r="V1918" s="99">
        <v>440.0</v>
      </c>
      <c r="W1918" s="99">
        <v>51275.0</v>
      </c>
    </row>
    <row r="1919" ht="15.75" customHeight="1">
      <c r="A1919" s="95" t="s">
        <v>10944</v>
      </c>
      <c r="B1919" s="95" t="s">
        <v>22</v>
      </c>
      <c r="C1919" s="96" t="s">
        <v>10945</v>
      </c>
      <c r="D1919" s="95" t="s">
        <v>168</v>
      </c>
      <c r="E1919" s="95" t="s">
        <v>168</v>
      </c>
      <c r="F1919" s="95" t="s">
        <v>19</v>
      </c>
      <c r="G1919" s="95" t="s">
        <v>588</v>
      </c>
      <c r="H1919" s="95" t="s">
        <v>21</v>
      </c>
      <c r="I1919" s="95" t="s">
        <v>589</v>
      </c>
      <c r="J1919" s="97">
        <v>46008.62902034722</v>
      </c>
      <c r="K1919" s="96" t="s">
        <v>10946</v>
      </c>
      <c r="L1919" s="96" t="s">
        <v>10947</v>
      </c>
      <c r="M1919" s="95" t="s">
        <v>17</v>
      </c>
      <c r="N1919" s="95" t="s">
        <v>2145</v>
      </c>
      <c r="O1919" s="95" t="s">
        <v>2145</v>
      </c>
      <c r="P1919" s="95" t="s">
        <v>2146</v>
      </c>
      <c r="Q1919" s="98">
        <v>2.0</v>
      </c>
      <c r="R1919" s="97">
        <v>45736.32149305556</v>
      </c>
      <c r="S1919" s="99">
        <v>93.0</v>
      </c>
      <c r="T1919" s="99">
        <v>1080.0</v>
      </c>
      <c r="U1919" s="99">
        <v>3.0</v>
      </c>
      <c r="V1919" s="99">
        <v>84.0</v>
      </c>
      <c r="W1919" s="99">
        <v>63824.0</v>
      </c>
    </row>
    <row r="1920" ht="15.75" customHeight="1">
      <c r="A1920" s="95" t="s">
        <v>10948</v>
      </c>
      <c r="B1920" s="95" t="s">
        <v>22</v>
      </c>
      <c r="C1920" s="96" t="s">
        <v>10949</v>
      </c>
      <c r="D1920" s="95" t="s">
        <v>39</v>
      </c>
      <c r="E1920" s="95" t="s">
        <v>39</v>
      </c>
      <c r="F1920" s="95" t="s">
        <v>19</v>
      </c>
      <c r="G1920" s="95" t="s">
        <v>19</v>
      </c>
      <c r="H1920" s="95" t="s">
        <v>21</v>
      </c>
      <c r="I1920" s="95" t="s">
        <v>677</v>
      </c>
      <c r="J1920" s="97">
        <v>46061.0174950463</v>
      </c>
      <c r="K1920" s="95" t="s">
        <v>10950</v>
      </c>
      <c r="L1920" s="96" t="s">
        <v>10951</v>
      </c>
      <c r="M1920" s="95" t="s">
        <v>93</v>
      </c>
      <c r="N1920" s="95" t="s">
        <v>10952</v>
      </c>
      <c r="O1920" s="95" t="s">
        <v>10952</v>
      </c>
      <c r="P1920" s="95" t="s">
        <v>10953</v>
      </c>
      <c r="Q1920" s="98">
        <v>2.0</v>
      </c>
      <c r="R1920" s="97">
        <v>46051.82991898148</v>
      </c>
      <c r="S1920" s="99">
        <v>555.0</v>
      </c>
      <c r="T1920" s="99">
        <v>52.0</v>
      </c>
      <c r="U1920" s="99">
        <v>3.0</v>
      </c>
      <c r="V1920" s="99">
        <v>135.0</v>
      </c>
      <c r="W1920" s="99">
        <v>999999.0</v>
      </c>
    </row>
    <row r="1921" ht="15.75" customHeight="1">
      <c r="A1921" s="95" t="s">
        <v>10954</v>
      </c>
      <c r="B1921" s="95" t="s">
        <v>22</v>
      </c>
      <c r="C1921" s="96" t="s">
        <v>10955</v>
      </c>
      <c r="D1921" s="95" t="s">
        <v>29</v>
      </c>
      <c r="E1921" s="95" t="s">
        <v>10956</v>
      </c>
      <c r="F1921" s="95" t="s">
        <v>19</v>
      </c>
      <c r="G1921" s="95" t="s">
        <v>19</v>
      </c>
      <c r="H1921" s="95" t="s">
        <v>21</v>
      </c>
      <c r="I1921" s="95" t="s">
        <v>567</v>
      </c>
      <c r="J1921" s="97">
        <v>46042.73634230324</v>
      </c>
      <c r="K1921" s="95" t="s">
        <v>10957</v>
      </c>
      <c r="L1921" s="96" t="s">
        <v>10958</v>
      </c>
      <c r="M1921" s="95" t="s">
        <v>74</v>
      </c>
      <c r="N1921" s="95" t="s">
        <v>10959</v>
      </c>
      <c r="O1921" s="95" t="s">
        <v>10959</v>
      </c>
      <c r="P1921" s="95" t="s">
        <v>10960</v>
      </c>
      <c r="Q1921" s="98">
        <v>2.0</v>
      </c>
      <c r="R1921" s="97">
        <v>45957.81461805556</v>
      </c>
      <c r="S1921" s="99">
        <v>101.0</v>
      </c>
      <c r="T1921" s="99">
        <v>12.0</v>
      </c>
      <c r="U1921" s="99">
        <v>5.0</v>
      </c>
      <c r="V1921" s="99">
        <v>22.0</v>
      </c>
      <c r="W1921" s="99">
        <v>37246.0</v>
      </c>
    </row>
    <row r="1922" ht="15.75" customHeight="1">
      <c r="A1922" s="95" t="s">
        <v>10961</v>
      </c>
      <c r="B1922" s="95" t="s">
        <v>22</v>
      </c>
      <c r="C1922" s="96" t="s">
        <v>10962</v>
      </c>
      <c r="D1922" s="95" t="s">
        <v>168</v>
      </c>
      <c r="E1922" s="95" t="s">
        <v>168</v>
      </c>
      <c r="F1922" s="95" t="s">
        <v>19</v>
      </c>
      <c r="G1922" s="95" t="s">
        <v>588</v>
      </c>
      <c r="H1922" s="95" t="s">
        <v>21</v>
      </c>
      <c r="I1922" s="95" t="s">
        <v>589</v>
      </c>
      <c r="J1922" s="97">
        <v>46021.49370376157</v>
      </c>
      <c r="K1922" s="95" t="s">
        <v>10963</v>
      </c>
      <c r="L1922" s="96" t="s">
        <v>10964</v>
      </c>
      <c r="M1922" s="95" t="s">
        <v>105</v>
      </c>
      <c r="N1922" s="95" t="s">
        <v>10965</v>
      </c>
      <c r="O1922" s="95" t="s">
        <v>10965</v>
      </c>
      <c r="P1922" s="95" t="s">
        <v>10966</v>
      </c>
      <c r="Q1922" s="98">
        <v>2.0</v>
      </c>
      <c r="R1922" s="97">
        <v>45489.74314814815</v>
      </c>
      <c r="S1922" s="99">
        <v>86.0</v>
      </c>
      <c r="T1922" s="99">
        <v>102.0</v>
      </c>
      <c r="U1922" s="99">
        <v>1.0</v>
      </c>
      <c r="V1922" s="99">
        <v>62.0</v>
      </c>
      <c r="W1922" s="99">
        <v>78809.0</v>
      </c>
    </row>
    <row r="1923" ht="15.75" customHeight="1">
      <c r="A1923" s="95" t="s">
        <v>10967</v>
      </c>
      <c r="B1923" s="95" t="s">
        <v>22</v>
      </c>
      <c r="C1923" s="96" t="s">
        <v>10968</v>
      </c>
      <c r="D1923" s="95" t="s">
        <v>20</v>
      </c>
      <c r="E1923" s="95" t="s">
        <v>638</v>
      </c>
      <c r="F1923" s="95" t="s">
        <v>19</v>
      </c>
      <c r="G1923" s="95" t="s">
        <v>588</v>
      </c>
      <c r="H1923" s="95" t="s">
        <v>21</v>
      </c>
      <c r="I1923" s="95" t="s">
        <v>589</v>
      </c>
      <c r="J1923" s="97">
        <v>45977.14230104167</v>
      </c>
      <c r="K1923" s="95" t="s">
        <v>10969</v>
      </c>
      <c r="L1923" s="96" t="s">
        <v>10970</v>
      </c>
      <c r="M1923" s="95" t="s">
        <v>17</v>
      </c>
      <c r="N1923" s="95" t="s">
        <v>2211</v>
      </c>
      <c r="O1923" s="95" t="s">
        <v>2211</v>
      </c>
      <c r="P1923" s="95" t="s">
        <v>2212</v>
      </c>
      <c r="Q1923" s="98">
        <v>2.0</v>
      </c>
      <c r="R1923" s="97">
        <v>45834.50271990741</v>
      </c>
      <c r="S1923" s="99">
        <v>5627.0</v>
      </c>
      <c r="T1923" s="99">
        <v>24.0</v>
      </c>
      <c r="U1923" s="99">
        <v>12.0</v>
      </c>
      <c r="V1923" s="99">
        <v>180.0</v>
      </c>
      <c r="W1923" s="99">
        <v>36498.0</v>
      </c>
    </row>
    <row r="1924" ht="15.75" customHeight="1">
      <c r="A1924" s="95" t="s">
        <v>10971</v>
      </c>
      <c r="B1924" s="95" t="s">
        <v>22</v>
      </c>
      <c r="C1924" s="96" t="s">
        <v>10972</v>
      </c>
      <c r="D1924" s="95" t="s">
        <v>59</v>
      </c>
      <c r="E1924" s="95" t="s">
        <v>738</v>
      </c>
      <c r="F1924" s="95" t="s">
        <v>19</v>
      </c>
      <c r="G1924" s="95" t="s">
        <v>19</v>
      </c>
      <c r="H1924" s="95" t="s">
        <v>21</v>
      </c>
      <c r="I1924" s="95" t="s">
        <v>567</v>
      </c>
      <c r="J1924" s="97">
        <v>45975.67930844907</v>
      </c>
      <c r="K1924" s="96" t="s">
        <v>10973</v>
      </c>
      <c r="L1924" s="96" t="s">
        <v>10974</v>
      </c>
      <c r="M1924" s="95" t="s">
        <v>54</v>
      </c>
      <c r="N1924" s="95" t="s">
        <v>2257</v>
      </c>
      <c r="O1924" s="95" t="s">
        <v>2257</v>
      </c>
      <c r="P1924" s="95" t="s">
        <v>2258</v>
      </c>
      <c r="Q1924" s="98">
        <v>2.0</v>
      </c>
      <c r="R1924" s="97">
        <v>45755.20747685185</v>
      </c>
      <c r="S1924" s="99">
        <v>491.0</v>
      </c>
      <c r="T1924" s="99">
        <v>23.0</v>
      </c>
      <c r="U1924" s="99">
        <v>3.0</v>
      </c>
      <c r="V1924" s="99">
        <v>47.0</v>
      </c>
      <c r="W1924" s="99">
        <v>54190.0</v>
      </c>
    </row>
    <row r="1925" ht="15.75" customHeight="1">
      <c r="A1925" s="95" t="s">
        <v>10975</v>
      </c>
      <c r="B1925" s="95" t="s">
        <v>22</v>
      </c>
      <c r="C1925" s="96" t="s">
        <v>10976</v>
      </c>
      <c r="D1925" s="95" t="s">
        <v>39</v>
      </c>
      <c r="E1925" s="95" t="s">
        <v>39</v>
      </c>
      <c r="F1925" s="95" t="s">
        <v>19</v>
      </c>
      <c r="G1925" s="95"/>
      <c r="H1925" s="95" t="s">
        <v>21</v>
      </c>
      <c r="I1925" s="95" t="s">
        <v>567</v>
      </c>
      <c r="J1925" s="97">
        <v>46021.49287208333</v>
      </c>
      <c r="K1925" s="95" t="s">
        <v>10977</v>
      </c>
      <c r="L1925" s="96" t="s">
        <v>10978</v>
      </c>
      <c r="M1925" s="95" t="s">
        <v>54</v>
      </c>
      <c r="N1925" s="95" t="s">
        <v>10979</v>
      </c>
      <c r="O1925" s="95" t="s">
        <v>10979</v>
      </c>
      <c r="P1925" s="95" t="s">
        <v>10980</v>
      </c>
      <c r="Q1925" s="98">
        <v>2.0</v>
      </c>
      <c r="R1925" s="97">
        <v>45765.30342592593</v>
      </c>
      <c r="S1925" s="99">
        <v>132.0</v>
      </c>
      <c r="T1925" s="99">
        <v>121.0</v>
      </c>
      <c r="U1925" s="99">
        <v>1.0</v>
      </c>
      <c r="V1925" s="99">
        <v>38.0</v>
      </c>
      <c r="W1925" s="99">
        <v>68101.0</v>
      </c>
    </row>
    <row r="1926" ht="15.75" customHeight="1">
      <c r="A1926" s="95" t="s">
        <v>10981</v>
      </c>
      <c r="B1926" s="95" t="s">
        <v>157</v>
      </c>
      <c r="C1926" s="96" t="s">
        <v>10982</v>
      </c>
      <c r="D1926" s="95" t="s">
        <v>39</v>
      </c>
      <c r="E1926" s="95" t="s">
        <v>39</v>
      </c>
      <c r="F1926" s="95" t="s">
        <v>88</v>
      </c>
      <c r="G1926" s="95" t="s">
        <v>858</v>
      </c>
      <c r="H1926" s="95" t="s">
        <v>89</v>
      </c>
      <c r="I1926" s="95" t="s">
        <v>859</v>
      </c>
      <c r="J1926" s="97">
        <v>46002.69413268519</v>
      </c>
      <c r="K1926" s="95" t="s">
        <v>10983</v>
      </c>
      <c r="L1926" s="96" t="s">
        <v>10984</v>
      </c>
      <c r="M1926" s="95" t="s">
        <v>38</v>
      </c>
      <c r="N1926" s="95" t="s">
        <v>10985</v>
      </c>
      <c r="O1926" s="95" t="s">
        <v>10985</v>
      </c>
      <c r="P1926" s="95" t="s">
        <v>10986</v>
      </c>
      <c r="Q1926" s="98">
        <v>2.0</v>
      </c>
      <c r="R1926" s="97">
        <v>45777.63233796296</v>
      </c>
      <c r="S1926" s="99">
        <v>1635.0</v>
      </c>
      <c r="T1926" s="99">
        <v>15.0</v>
      </c>
      <c r="U1926" s="99">
        <v>2.0</v>
      </c>
      <c r="V1926" s="99">
        <v>364.0</v>
      </c>
      <c r="W1926" s="99">
        <v>1932024.0</v>
      </c>
    </row>
    <row r="1927" ht="15.75" customHeight="1">
      <c r="A1927" s="95" t="s">
        <v>10987</v>
      </c>
      <c r="B1927" s="95" t="s">
        <v>22</v>
      </c>
      <c r="C1927" s="96" t="s">
        <v>10988</v>
      </c>
      <c r="D1927" s="95" t="s">
        <v>124</v>
      </c>
      <c r="E1927" s="95" t="s">
        <v>794</v>
      </c>
      <c r="F1927" s="95" t="s">
        <v>19</v>
      </c>
      <c r="G1927" s="95" t="s">
        <v>19</v>
      </c>
      <c r="H1927" s="95" t="s">
        <v>21</v>
      </c>
      <c r="I1927" s="95" t="s">
        <v>567</v>
      </c>
      <c r="J1927" s="97">
        <v>45975.67938763889</v>
      </c>
      <c r="K1927" s="96" t="s">
        <v>10989</v>
      </c>
      <c r="L1927" s="96" t="s">
        <v>10990</v>
      </c>
      <c r="M1927" s="95" t="s">
        <v>74</v>
      </c>
      <c r="N1927" s="95" t="s">
        <v>10991</v>
      </c>
      <c r="O1927" s="95" t="s">
        <v>10991</v>
      </c>
      <c r="P1927" s="95" t="s">
        <v>10992</v>
      </c>
      <c r="Q1927" s="98">
        <v>2.0</v>
      </c>
      <c r="R1927" s="97">
        <v>45611.44890046296</v>
      </c>
      <c r="S1927" s="99">
        <v>40236.0</v>
      </c>
      <c r="T1927" s="99">
        <v>29.0</v>
      </c>
      <c r="U1927" s="99">
        <v>1.0</v>
      </c>
      <c r="V1927" s="99">
        <v>52.0</v>
      </c>
      <c r="W1927" s="99">
        <v>999999.0</v>
      </c>
    </row>
    <row r="1928" ht="15.75" customHeight="1">
      <c r="A1928" s="95" t="s">
        <v>10993</v>
      </c>
      <c r="B1928" s="95" t="s">
        <v>22</v>
      </c>
      <c r="C1928" s="96" t="s">
        <v>10994</v>
      </c>
      <c r="D1928" s="95" t="s">
        <v>20</v>
      </c>
      <c r="E1928" s="95" t="s">
        <v>638</v>
      </c>
      <c r="F1928" s="95" t="s">
        <v>19</v>
      </c>
      <c r="G1928" s="95" t="s">
        <v>19</v>
      </c>
      <c r="H1928" s="95" t="s">
        <v>21</v>
      </c>
      <c r="I1928" s="95" t="s">
        <v>567</v>
      </c>
      <c r="J1928" s="97">
        <v>45978.4622894213</v>
      </c>
      <c r="K1928" s="95" t="s">
        <v>10995</v>
      </c>
      <c r="L1928" s="95"/>
      <c r="M1928" s="95" t="s">
        <v>17</v>
      </c>
      <c r="N1928" s="95" t="s">
        <v>10996</v>
      </c>
      <c r="O1928" s="95" t="s">
        <v>10996</v>
      </c>
      <c r="P1928" s="95" t="s">
        <v>10997</v>
      </c>
      <c r="Q1928" s="98">
        <v>2.0</v>
      </c>
      <c r="R1928" s="97">
        <v>45597.56560185185</v>
      </c>
      <c r="S1928" s="99">
        <v>16000.0</v>
      </c>
      <c r="T1928" s="99">
        <v>3.0</v>
      </c>
      <c r="U1928" s="99">
        <v>6.0</v>
      </c>
      <c r="V1928" s="99">
        <v>442.0</v>
      </c>
      <c r="W1928" s="99">
        <v>337221.0</v>
      </c>
    </row>
    <row r="1929" ht="15.75" customHeight="1">
      <c r="A1929" s="95" t="s">
        <v>10998</v>
      </c>
      <c r="B1929" s="95" t="s">
        <v>69</v>
      </c>
      <c r="C1929" s="96" t="s">
        <v>10999</v>
      </c>
      <c r="D1929" s="95" t="s">
        <v>39</v>
      </c>
      <c r="E1929" s="95" t="s">
        <v>39</v>
      </c>
      <c r="F1929" s="95" t="s">
        <v>88</v>
      </c>
      <c r="G1929" s="95" t="s">
        <v>88</v>
      </c>
      <c r="H1929" s="95" t="s">
        <v>89</v>
      </c>
      <c r="I1929" s="95" t="s">
        <v>640</v>
      </c>
      <c r="J1929" s="97">
        <v>46042.7362822338</v>
      </c>
      <c r="K1929" s="95" t="s">
        <v>11000</v>
      </c>
      <c r="L1929" s="96" t="s">
        <v>11001</v>
      </c>
      <c r="M1929" s="95" t="s">
        <v>74</v>
      </c>
      <c r="N1929" s="95" t="s">
        <v>11002</v>
      </c>
      <c r="O1929" s="95" t="s">
        <v>11002</v>
      </c>
      <c r="P1929" s="95" t="s">
        <v>11003</v>
      </c>
      <c r="Q1929" s="98">
        <v>2.0</v>
      </c>
      <c r="R1929" s="97">
        <v>45709.13032407407</v>
      </c>
      <c r="S1929" s="99">
        <v>50.0</v>
      </c>
      <c r="T1929" s="99">
        <v>47.0</v>
      </c>
      <c r="U1929" s="99">
        <v>1.0</v>
      </c>
      <c r="V1929" s="99">
        <v>20.0</v>
      </c>
      <c r="W1929" s="99">
        <v>6508.0</v>
      </c>
    </row>
    <row r="1930" ht="15.75" customHeight="1">
      <c r="A1930" s="95" t="s">
        <v>11004</v>
      </c>
      <c r="B1930" s="95" t="s">
        <v>22</v>
      </c>
      <c r="C1930" s="96" t="s">
        <v>11005</v>
      </c>
      <c r="D1930" s="95" t="s">
        <v>124</v>
      </c>
      <c r="E1930" s="95" t="s">
        <v>1966</v>
      </c>
      <c r="F1930" s="95" t="s">
        <v>19</v>
      </c>
      <c r="G1930" s="95" t="s">
        <v>19</v>
      </c>
      <c r="H1930" s="95" t="s">
        <v>21</v>
      </c>
      <c r="I1930" s="95" t="s">
        <v>567</v>
      </c>
      <c r="J1930" s="97">
        <v>45993.78544196759</v>
      </c>
      <c r="K1930" s="96" t="s">
        <v>11006</v>
      </c>
      <c r="L1930" s="95"/>
      <c r="M1930" s="95" t="s">
        <v>93</v>
      </c>
      <c r="N1930" s="95" t="s">
        <v>2334</v>
      </c>
      <c r="O1930" s="95" t="s">
        <v>2334</v>
      </c>
      <c r="P1930" s="95" t="s">
        <v>2335</v>
      </c>
      <c r="Q1930" s="98">
        <v>2.0</v>
      </c>
      <c r="R1930" s="97">
        <v>45624.72706018519</v>
      </c>
      <c r="S1930" s="99">
        <v>4010.0</v>
      </c>
      <c r="T1930" s="99">
        <v>86.0</v>
      </c>
      <c r="U1930" s="99">
        <v>1.0</v>
      </c>
      <c r="V1930" s="99">
        <v>58.0</v>
      </c>
      <c r="W1930" s="99">
        <v>999999.0</v>
      </c>
    </row>
    <row r="1931" ht="15.75" customHeight="1">
      <c r="A1931" s="95" t="s">
        <v>11007</v>
      </c>
      <c r="B1931" s="95" t="s">
        <v>22</v>
      </c>
      <c r="C1931" s="96" t="s">
        <v>11008</v>
      </c>
      <c r="D1931" s="95" t="s">
        <v>124</v>
      </c>
      <c r="E1931" s="95" t="s">
        <v>9119</v>
      </c>
      <c r="F1931" s="95" t="s">
        <v>19</v>
      </c>
      <c r="G1931" s="95" t="s">
        <v>19</v>
      </c>
      <c r="H1931" s="95" t="s">
        <v>21</v>
      </c>
      <c r="I1931" s="95" t="s">
        <v>567</v>
      </c>
      <c r="J1931" s="97">
        <v>46069.65739892361</v>
      </c>
      <c r="K1931" s="95" t="s">
        <v>11009</v>
      </c>
      <c r="L1931" s="95"/>
      <c r="M1931" s="95" t="s">
        <v>93</v>
      </c>
      <c r="N1931" s="95" t="s">
        <v>2334</v>
      </c>
      <c r="O1931" s="95" t="s">
        <v>2334</v>
      </c>
      <c r="P1931" s="95" t="s">
        <v>2335</v>
      </c>
      <c r="Q1931" s="98">
        <v>2.0</v>
      </c>
      <c r="R1931" s="97">
        <v>45643.91420138889</v>
      </c>
      <c r="S1931" s="99">
        <v>4010.0</v>
      </c>
      <c r="T1931" s="99">
        <v>8538.0</v>
      </c>
      <c r="U1931" s="99">
        <v>171.0</v>
      </c>
      <c r="V1931" s="99">
        <v>48.0</v>
      </c>
      <c r="W1931" s="99">
        <v>999999.0</v>
      </c>
    </row>
    <row r="1932" ht="15.75" customHeight="1">
      <c r="A1932" s="95" t="s">
        <v>11010</v>
      </c>
      <c r="B1932" s="95" t="s">
        <v>22</v>
      </c>
      <c r="C1932" s="96" t="s">
        <v>11011</v>
      </c>
      <c r="D1932" s="95" t="s">
        <v>59</v>
      </c>
      <c r="E1932" s="95" t="s">
        <v>59</v>
      </c>
      <c r="F1932" s="95" t="s">
        <v>19</v>
      </c>
      <c r="G1932" s="95" t="s">
        <v>588</v>
      </c>
      <c r="H1932" s="95" t="s">
        <v>21</v>
      </c>
      <c r="I1932" s="95" t="s">
        <v>589</v>
      </c>
      <c r="J1932" s="97">
        <v>45975.67934009259</v>
      </c>
      <c r="K1932" s="96" t="s">
        <v>11012</v>
      </c>
      <c r="L1932" s="96" t="s">
        <v>11013</v>
      </c>
      <c r="M1932" s="95" t="s">
        <v>17</v>
      </c>
      <c r="N1932" s="95" t="s">
        <v>11014</v>
      </c>
      <c r="O1932" s="95" t="s">
        <v>11014</v>
      </c>
      <c r="P1932" s="95" t="s">
        <v>11015</v>
      </c>
      <c r="Q1932" s="98">
        <v>2.0</v>
      </c>
      <c r="R1932" s="97">
        <v>45734.83798611111</v>
      </c>
      <c r="S1932" s="99">
        <v>3595.0</v>
      </c>
      <c r="T1932" s="99">
        <v>69.0</v>
      </c>
      <c r="U1932" s="99">
        <v>8.0</v>
      </c>
      <c r="V1932" s="99">
        <v>149.0</v>
      </c>
      <c r="W1932" s="99">
        <v>195149.0</v>
      </c>
    </row>
    <row r="1933" ht="15.75" customHeight="1">
      <c r="A1933" s="95" t="s">
        <v>11016</v>
      </c>
      <c r="B1933" s="95" t="s">
        <v>157</v>
      </c>
      <c r="C1933" s="96" t="s">
        <v>11017</v>
      </c>
      <c r="D1933" s="95" t="s">
        <v>59</v>
      </c>
      <c r="E1933" s="95" t="s">
        <v>59</v>
      </c>
      <c r="F1933" s="95" t="s">
        <v>88</v>
      </c>
      <c r="G1933" s="95" t="s">
        <v>858</v>
      </c>
      <c r="H1933" s="95" t="s">
        <v>89</v>
      </c>
      <c r="I1933" s="95" t="s">
        <v>859</v>
      </c>
      <c r="J1933" s="97">
        <v>45975.67934009259</v>
      </c>
      <c r="K1933" s="96" t="s">
        <v>11018</v>
      </c>
      <c r="L1933" s="96" t="s">
        <v>11019</v>
      </c>
      <c r="M1933" s="95" t="s">
        <v>17</v>
      </c>
      <c r="N1933" s="95" t="s">
        <v>11014</v>
      </c>
      <c r="O1933" s="95" t="s">
        <v>11014</v>
      </c>
      <c r="P1933" s="95" t="s">
        <v>11015</v>
      </c>
      <c r="Q1933" s="98">
        <v>2.0</v>
      </c>
      <c r="R1933" s="97">
        <v>45772.93038194445</v>
      </c>
      <c r="S1933" s="99">
        <v>3595.0</v>
      </c>
      <c r="T1933" s="99">
        <v>18.0</v>
      </c>
      <c r="U1933" s="99">
        <v>6.0</v>
      </c>
      <c r="V1933" s="99">
        <v>114.0</v>
      </c>
      <c r="W1933" s="99">
        <v>195149.0</v>
      </c>
    </row>
    <row r="1934" ht="15.75" customHeight="1">
      <c r="A1934" s="95" t="s">
        <v>11020</v>
      </c>
      <c r="B1934" s="95" t="s">
        <v>22</v>
      </c>
      <c r="C1934" s="96" t="s">
        <v>11021</v>
      </c>
      <c r="D1934" s="95" t="s">
        <v>20</v>
      </c>
      <c r="E1934" s="95" t="s">
        <v>996</v>
      </c>
      <c r="F1934" s="95" t="s">
        <v>19</v>
      </c>
      <c r="G1934" s="95" t="s">
        <v>19</v>
      </c>
      <c r="H1934" s="95" t="s">
        <v>21</v>
      </c>
      <c r="I1934" s="95" t="s">
        <v>567</v>
      </c>
      <c r="J1934" s="97">
        <v>46008.62902030093</v>
      </c>
      <c r="K1934" s="96" t="s">
        <v>11022</v>
      </c>
      <c r="L1934" s="96" t="s">
        <v>11023</v>
      </c>
      <c r="M1934" s="95" t="s">
        <v>17</v>
      </c>
      <c r="N1934" s="95" t="s">
        <v>11024</v>
      </c>
      <c r="O1934" s="95" t="s">
        <v>11024</v>
      </c>
      <c r="P1934" s="95" t="s">
        <v>11025</v>
      </c>
      <c r="Q1934" s="98">
        <v>2.0</v>
      </c>
      <c r="R1934" s="97">
        <v>45608.63725694444</v>
      </c>
      <c r="S1934" s="99">
        <v>106.0</v>
      </c>
      <c r="T1934" s="99">
        <v>749.0</v>
      </c>
      <c r="U1934" s="99">
        <v>2.0</v>
      </c>
      <c r="V1934" s="99">
        <v>84.0</v>
      </c>
      <c r="W1934" s="99">
        <v>44323.0</v>
      </c>
    </row>
    <row r="1935" ht="15.75" customHeight="1">
      <c r="A1935" s="95" t="s">
        <v>11026</v>
      </c>
      <c r="B1935" s="95" t="s">
        <v>22</v>
      </c>
      <c r="C1935" s="96" t="s">
        <v>11027</v>
      </c>
      <c r="D1935" s="95" t="s">
        <v>168</v>
      </c>
      <c r="E1935" s="95" t="s">
        <v>818</v>
      </c>
      <c r="F1935" s="95" t="s">
        <v>19</v>
      </c>
      <c r="G1935" s="95" t="s">
        <v>19</v>
      </c>
      <c r="H1935" s="95" t="s">
        <v>21</v>
      </c>
      <c r="I1935" s="95" t="s">
        <v>567</v>
      </c>
      <c r="J1935" s="97">
        <v>45975.67934009259</v>
      </c>
      <c r="K1935" s="96" t="s">
        <v>11028</v>
      </c>
      <c r="L1935" s="96" t="s">
        <v>11029</v>
      </c>
      <c r="M1935" s="95" t="s">
        <v>17</v>
      </c>
      <c r="N1935" s="95" t="s">
        <v>11024</v>
      </c>
      <c r="O1935" s="95" t="s">
        <v>11024</v>
      </c>
      <c r="P1935" s="95" t="s">
        <v>11025</v>
      </c>
      <c r="Q1935" s="98">
        <v>2.0</v>
      </c>
      <c r="R1935" s="97">
        <v>45715.45069444444</v>
      </c>
      <c r="S1935" s="99">
        <v>106.0</v>
      </c>
      <c r="T1935" s="99">
        <v>793.0</v>
      </c>
      <c r="U1935" s="99">
        <v>6.0</v>
      </c>
      <c r="V1935" s="99">
        <v>132.0</v>
      </c>
      <c r="W1935" s="99">
        <v>44323.0</v>
      </c>
    </row>
    <row r="1936" ht="15.75" customHeight="1">
      <c r="A1936" s="95" t="s">
        <v>11030</v>
      </c>
      <c r="B1936" s="95" t="s">
        <v>101</v>
      </c>
      <c r="C1936" s="96" t="s">
        <v>11031</v>
      </c>
      <c r="D1936" s="95" t="s">
        <v>68</v>
      </c>
      <c r="E1936" s="95" t="s">
        <v>769</v>
      </c>
      <c r="F1936" s="95" t="s">
        <v>19</v>
      </c>
      <c r="G1936" s="95" t="s">
        <v>19</v>
      </c>
      <c r="H1936" s="95" t="s">
        <v>21</v>
      </c>
      <c r="I1936" s="95" t="s">
        <v>2990</v>
      </c>
      <c r="J1936" s="97">
        <v>45993.78544196759</v>
      </c>
      <c r="K1936" s="96" t="s">
        <v>11032</v>
      </c>
      <c r="L1936" s="96" t="s">
        <v>11033</v>
      </c>
      <c r="M1936" s="95" t="s">
        <v>93</v>
      </c>
      <c r="N1936" s="95" t="s">
        <v>2437</v>
      </c>
      <c r="O1936" s="95" t="s">
        <v>2437</v>
      </c>
      <c r="P1936" s="95" t="s">
        <v>2438</v>
      </c>
      <c r="Q1936" s="98">
        <v>2.0</v>
      </c>
      <c r="R1936" s="97">
        <v>45472.57702546296</v>
      </c>
      <c r="S1936" s="99">
        <v>2622.0</v>
      </c>
      <c r="T1936" s="99">
        <v>186.0</v>
      </c>
      <c r="U1936" s="99">
        <v>2.0</v>
      </c>
      <c r="V1936" s="99">
        <v>29.0</v>
      </c>
      <c r="W1936" s="99">
        <v>15207.0</v>
      </c>
    </row>
    <row r="1937" ht="15.75" customHeight="1">
      <c r="A1937" s="95" t="s">
        <v>11034</v>
      </c>
      <c r="B1937" s="95" t="s">
        <v>22</v>
      </c>
      <c r="C1937" s="96" t="s">
        <v>11035</v>
      </c>
      <c r="D1937" s="95" t="s">
        <v>68</v>
      </c>
      <c r="E1937" s="95" t="s">
        <v>769</v>
      </c>
      <c r="F1937" s="95" t="s">
        <v>19</v>
      </c>
      <c r="G1937" s="95" t="s">
        <v>574</v>
      </c>
      <c r="H1937" s="95" t="s">
        <v>21</v>
      </c>
      <c r="I1937" s="95" t="s">
        <v>567</v>
      </c>
      <c r="J1937" s="97">
        <v>46075.71565079861</v>
      </c>
      <c r="K1937" s="95" t="s">
        <v>11036</v>
      </c>
      <c r="L1937" s="96" t="s">
        <v>11037</v>
      </c>
      <c r="M1937" s="95" t="s">
        <v>93</v>
      </c>
      <c r="N1937" s="95" t="s">
        <v>2437</v>
      </c>
      <c r="O1937" s="95" t="s">
        <v>2437</v>
      </c>
      <c r="P1937" s="95" t="s">
        <v>2438</v>
      </c>
      <c r="Q1937" s="98">
        <v>2.0</v>
      </c>
      <c r="R1937" s="97">
        <v>46021.76200231481</v>
      </c>
      <c r="S1937" s="99">
        <v>2622.0</v>
      </c>
      <c r="T1937" s="99">
        <v>206.0</v>
      </c>
      <c r="U1937" s="99">
        <v>1.0</v>
      </c>
      <c r="V1937" s="99">
        <v>59.0</v>
      </c>
      <c r="W1937" s="99">
        <v>15207.0</v>
      </c>
    </row>
    <row r="1938" ht="15.75" customHeight="1">
      <c r="A1938" s="95" t="s">
        <v>11038</v>
      </c>
      <c r="B1938" s="95" t="s">
        <v>22</v>
      </c>
      <c r="C1938" s="96" t="s">
        <v>11039</v>
      </c>
      <c r="D1938" s="95" t="s">
        <v>39</v>
      </c>
      <c r="E1938" s="95" t="s">
        <v>39</v>
      </c>
      <c r="F1938" s="95" t="s">
        <v>19</v>
      </c>
      <c r="G1938" s="95" t="s">
        <v>19</v>
      </c>
      <c r="H1938" s="95" t="s">
        <v>21</v>
      </c>
      <c r="I1938" s="95" t="s">
        <v>589</v>
      </c>
      <c r="J1938" s="97">
        <v>45977.14474857639</v>
      </c>
      <c r="K1938" s="95" t="s">
        <v>11040</v>
      </c>
      <c r="L1938" s="96" t="s">
        <v>11041</v>
      </c>
      <c r="M1938" s="95" t="s">
        <v>38</v>
      </c>
      <c r="N1938" s="95" t="s">
        <v>2443</v>
      </c>
      <c r="O1938" s="95" t="s">
        <v>2443</v>
      </c>
      <c r="P1938" s="95" t="s">
        <v>2444</v>
      </c>
      <c r="Q1938" s="98">
        <v>2.0</v>
      </c>
      <c r="R1938" s="97">
        <v>45842.91340277778</v>
      </c>
      <c r="S1938" s="99">
        <v>29070.0</v>
      </c>
      <c r="T1938" s="99">
        <v>1406.0</v>
      </c>
      <c r="U1938" s="99">
        <v>6.0</v>
      </c>
      <c r="V1938" s="99">
        <v>29.0</v>
      </c>
      <c r="W1938" s="99">
        <v>48564.0</v>
      </c>
    </row>
    <row r="1939" ht="15.75" customHeight="1">
      <c r="A1939" s="95" t="s">
        <v>11042</v>
      </c>
      <c r="B1939" s="95" t="s">
        <v>22</v>
      </c>
      <c r="C1939" s="96" t="s">
        <v>11043</v>
      </c>
      <c r="D1939" s="95" t="s">
        <v>130</v>
      </c>
      <c r="E1939" s="95" t="s">
        <v>2109</v>
      </c>
      <c r="F1939" s="95" t="s">
        <v>19</v>
      </c>
      <c r="G1939" s="95" t="s">
        <v>19</v>
      </c>
      <c r="H1939" s="95" t="s">
        <v>21</v>
      </c>
      <c r="I1939" s="95" t="s">
        <v>4870</v>
      </c>
      <c r="J1939" s="97">
        <v>46003.09774173611</v>
      </c>
      <c r="K1939" s="95" t="s">
        <v>11044</v>
      </c>
      <c r="L1939" s="96" t="s">
        <v>11045</v>
      </c>
      <c r="M1939" s="95" t="s">
        <v>17</v>
      </c>
      <c r="N1939" s="95" t="s">
        <v>11046</v>
      </c>
      <c r="O1939" s="95" t="s">
        <v>11046</v>
      </c>
      <c r="P1939" s="95" t="s">
        <v>11047</v>
      </c>
      <c r="Q1939" s="98">
        <v>2.0</v>
      </c>
      <c r="R1939" s="97">
        <v>45840.06459490741</v>
      </c>
      <c r="S1939" s="99">
        <v>1110.0</v>
      </c>
      <c r="T1939" s="99">
        <v>15.0</v>
      </c>
      <c r="U1939" s="99">
        <v>1.0</v>
      </c>
      <c r="V1939" s="99">
        <v>84.0</v>
      </c>
      <c r="W1939" s="99">
        <v>38488.0</v>
      </c>
    </row>
    <row r="1940" ht="15.75" customHeight="1">
      <c r="A1940" s="95" t="s">
        <v>11048</v>
      </c>
      <c r="B1940" s="95" t="s">
        <v>22</v>
      </c>
      <c r="C1940" s="96" t="s">
        <v>11049</v>
      </c>
      <c r="D1940" s="95" t="s">
        <v>130</v>
      </c>
      <c r="E1940" s="95" t="s">
        <v>917</v>
      </c>
      <c r="F1940" s="95" t="s">
        <v>19</v>
      </c>
      <c r="G1940" s="95" t="s">
        <v>19</v>
      </c>
      <c r="H1940" s="95" t="s">
        <v>21</v>
      </c>
      <c r="I1940" s="95" t="s">
        <v>589</v>
      </c>
      <c r="J1940" s="97">
        <v>45980.93902726852</v>
      </c>
      <c r="K1940" s="95" t="s">
        <v>11050</v>
      </c>
      <c r="L1940" s="96" t="s">
        <v>11051</v>
      </c>
      <c r="M1940" s="95" t="s">
        <v>17</v>
      </c>
      <c r="N1940" s="95" t="s">
        <v>11052</v>
      </c>
      <c r="O1940" s="95" t="s">
        <v>11052</v>
      </c>
      <c r="P1940" s="95" t="s">
        <v>11053</v>
      </c>
      <c r="Q1940" s="98">
        <v>2.0</v>
      </c>
      <c r="R1940" s="97">
        <v>45918.58834490741</v>
      </c>
      <c r="S1940" s="99">
        <v>27992.0</v>
      </c>
      <c r="T1940" s="99">
        <v>86.0</v>
      </c>
      <c r="U1940" s="99">
        <v>2.0</v>
      </c>
      <c r="V1940" s="99">
        <v>26.0</v>
      </c>
      <c r="W1940" s="99">
        <v>117830.0</v>
      </c>
    </row>
    <row r="1941" ht="15.75" customHeight="1">
      <c r="A1941" s="95" t="s">
        <v>11054</v>
      </c>
      <c r="B1941" s="95" t="s">
        <v>22</v>
      </c>
      <c r="C1941" s="96" t="s">
        <v>11055</v>
      </c>
      <c r="D1941" s="95" t="s">
        <v>68</v>
      </c>
      <c r="E1941" s="95" t="s">
        <v>1901</v>
      </c>
      <c r="F1941" s="95" t="s">
        <v>19</v>
      </c>
      <c r="G1941" s="95" t="s">
        <v>19</v>
      </c>
      <c r="H1941" s="95" t="s">
        <v>21</v>
      </c>
      <c r="I1941" s="95" t="s">
        <v>589</v>
      </c>
      <c r="J1941" s="97">
        <v>46008.62902032407</v>
      </c>
      <c r="K1941" s="96" t="s">
        <v>11056</v>
      </c>
      <c r="L1941" s="95"/>
      <c r="M1941" s="95" t="s">
        <v>17</v>
      </c>
      <c r="N1941" s="95" t="s">
        <v>2478</v>
      </c>
      <c r="O1941" s="95" t="s">
        <v>2478</v>
      </c>
      <c r="P1941" s="95" t="s">
        <v>2479</v>
      </c>
      <c r="Q1941" s="98">
        <v>2.0</v>
      </c>
      <c r="R1941" s="97">
        <v>45728.73332175926</v>
      </c>
      <c r="S1941" s="99">
        <v>32820.0</v>
      </c>
      <c r="T1941" s="99">
        <v>48.0</v>
      </c>
      <c r="U1941" s="99">
        <v>1.0</v>
      </c>
      <c r="V1941" s="99">
        <v>24.0</v>
      </c>
      <c r="W1941" s="99">
        <v>71218.0</v>
      </c>
    </row>
    <row r="1942" ht="15.75" customHeight="1">
      <c r="A1942" s="95" t="s">
        <v>11057</v>
      </c>
      <c r="B1942" s="95" t="s">
        <v>22</v>
      </c>
      <c r="C1942" s="96" t="s">
        <v>11058</v>
      </c>
      <c r="D1942" s="95" t="s">
        <v>39</v>
      </c>
      <c r="E1942" s="95" t="s">
        <v>960</v>
      </c>
      <c r="F1942" s="95" t="s">
        <v>19</v>
      </c>
      <c r="G1942" s="95" t="s">
        <v>19</v>
      </c>
      <c r="H1942" s="95" t="s">
        <v>21</v>
      </c>
      <c r="I1942" s="95" t="s">
        <v>567</v>
      </c>
      <c r="J1942" s="97">
        <v>46021.51011266204</v>
      </c>
      <c r="K1942" s="95" t="s">
        <v>11059</v>
      </c>
      <c r="L1942" s="96" t="s">
        <v>11060</v>
      </c>
      <c r="M1942" s="95" t="s">
        <v>54</v>
      </c>
      <c r="N1942" s="95" t="s">
        <v>11061</v>
      </c>
      <c r="O1942" s="95" t="s">
        <v>11061</v>
      </c>
      <c r="P1942" s="95" t="s">
        <v>11062</v>
      </c>
      <c r="Q1942" s="98">
        <v>2.0</v>
      </c>
      <c r="R1942" s="97">
        <v>45736.04668981482</v>
      </c>
      <c r="S1942" s="99">
        <v>93.0</v>
      </c>
      <c r="T1942" s="99">
        <v>137.0</v>
      </c>
      <c r="U1942" s="99">
        <v>3.0</v>
      </c>
      <c r="V1942" s="99">
        <v>191.0</v>
      </c>
      <c r="W1942" s="99">
        <v>7746.0</v>
      </c>
    </row>
    <row r="1943" ht="15.75" customHeight="1">
      <c r="A1943" s="95" t="s">
        <v>11063</v>
      </c>
      <c r="B1943" s="95" t="s">
        <v>22</v>
      </c>
      <c r="C1943" s="96" t="s">
        <v>11064</v>
      </c>
      <c r="D1943" s="95" t="s">
        <v>20</v>
      </c>
      <c r="E1943" s="95" t="s">
        <v>1508</v>
      </c>
      <c r="F1943" s="95" t="s">
        <v>19</v>
      </c>
      <c r="G1943" s="95" t="s">
        <v>1018</v>
      </c>
      <c r="H1943" s="95" t="s">
        <v>21</v>
      </c>
      <c r="I1943" s="95" t="s">
        <v>567</v>
      </c>
      <c r="J1943" s="97">
        <v>46021.50534530092</v>
      </c>
      <c r="K1943" s="95" t="s">
        <v>11065</v>
      </c>
      <c r="L1943" s="96" t="s">
        <v>11066</v>
      </c>
      <c r="M1943" s="95" t="s">
        <v>67</v>
      </c>
      <c r="N1943" s="95" t="s">
        <v>2530</v>
      </c>
      <c r="O1943" s="95" t="s">
        <v>2530</v>
      </c>
      <c r="P1943" s="95" t="s">
        <v>2531</v>
      </c>
      <c r="Q1943" s="98">
        <v>2.0</v>
      </c>
      <c r="R1943" s="97">
        <v>45852.43967592593</v>
      </c>
      <c r="S1943" s="99">
        <v>129.0</v>
      </c>
      <c r="T1943" s="99">
        <v>205.0</v>
      </c>
      <c r="U1943" s="99">
        <v>13.0</v>
      </c>
      <c r="V1943" s="99">
        <v>43.0</v>
      </c>
      <c r="W1943" s="99">
        <v>9522.0</v>
      </c>
    </row>
    <row r="1944" ht="15.75" customHeight="1">
      <c r="A1944" s="95" t="s">
        <v>11067</v>
      </c>
      <c r="B1944" s="95" t="s">
        <v>22</v>
      </c>
      <c r="C1944" s="96" t="s">
        <v>11068</v>
      </c>
      <c r="D1944" s="95" t="s">
        <v>168</v>
      </c>
      <c r="E1944" s="95" t="s">
        <v>168</v>
      </c>
      <c r="F1944" s="95" t="s">
        <v>19</v>
      </c>
      <c r="G1944" s="95" t="s">
        <v>19</v>
      </c>
      <c r="H1944" s="95" t="s">
        <v>21</v>
      </c>
      <c r="I1944" s="95" t="s">
        <v>589</v>
      </c>
      <c r="J1944" s="97">
        <v>46021.49287208333</v>
      </c>
      <c r="K1944" s="95" t="s">
        <v>11069</v>
      </c>
      <c r="L1944" s="96" t="s">
        <v>11070</v>
      </c>
      <c r="M1944" s="95" t="s">
        <v>105</v>
      </c>
      <c r="N1944" s="95" t="s">
        <v>11071</v>
      </c>
      <c r="O1944" s="95" t="s">
        <v>11071</v>
      </c>
      <c r="P1944" s="95" t="s">
        <v>11072</v>
      </c>
      <c r="Q1944" s="98">
        <v>2.0</v>
      </c>
      <c r="R1944" s="97">
        <v>45687.51216435185</v>
      </c>
      <c r="S1944" s="99">
        <v>186.0</v>
      </c>
      <c r="T1944" s="99">
        <v>293.0</v>
      </c>
      <c r="U1944" s="99">
        <v>2.0</v>
      </c>
      <c r="V1944" s="99">
        <v>72.0</v>
      </c>
      <c r="W1944" s="99">
        <v>61036.0</v>
      </c>
    </row>
    <row r="1945" ht="15.75" customHeight="1">
      <c r="A1945" s="95" t="s">
        <v>11073</v>
      </c>
      <c r="B1945" s="95" t="s">
        <v>22</v>
      </c>
      <c r="C1945" s="96" t="s">
        <v>11074</v>
      </c>
      <c r="D1945" s="95" t="s">
        <v>39</v>
      </c>
      <c r="E1945" s="95" t="s">
        <v>39</v>
      </c>
      <c r="F1945" s="95" t="s">
        <v>19</v>
      </c>
      <c r="G1945" s="95" t="s">
        <v>19</v>
      </c>
      <c r="H1945" s="95" t="s">
        <v>21</v>
      </c>
      <c r="I1945" s="95" t="s">
        <v>567</v>
      </c>
      <c r="J1945" s="97">
        <v>46021.49370376157</v>
      </c>
      <c r="K1945" s="95" t="s">
        <v>11075</v>
      </c>
      <c r="L1945" s="96" t="s">
        <v>11076</v>
      </c>
      <c r="M1945" s="95" t="s">
        <v>105</v>
      </c>
      <c r="N1945" s="95" t="s">
        <v>11077</v>
      </c>
      <c r="O1945" s="95" t="s">
        <v>11077</v>
      </c>
      <c r="P1945" s="95" t="s">
        <v>11078</v>
      </c>
      <c r="Q1945" s="98">
        <v>2.0</v>
      </c>
      <c r="R1945" s="97">
        <v>45621.8390162037</v>
      </c>
      <c r="S1945" s="99">
        <v>395.0</v>
      </c>
      <c r="T1945" s="99">
        <v>4.0</v>
      </c>
      <c r="U1945" s="99">
        <v>8.0</v>
      </c>
      <c r="V1945" s="99">
        <v>75.0</v>
      </c>
      <c r="W1945" s="99">
        <v>110670.0</v>
      </c>
    </row>
    <row r="1946" ht="15.75" customHeight="1">
      <c r="A1946" s="95" t="s">
        <v>11079</v>
      </c>
      <c r="B1946" s="95" t="s">
        <v>22</v>
      </c>
      <c r="C1946" s="96" t="s">
        <v>11080</v>
      </c>
      <c r="D1946" s="95" t="s">
        <v>59</v>
      </c>
      <c r="E1946" s="95" t="s">
        <v>665</v>
      </c>
      <c r="F1946" s="95" t="s">
        <v>19</v>
      </c>
      <c r="G1946" s="95" t="s">
        <v>19</v>
      </c>
      <c r="H1946" s="95" t="s">
        <v>21</v>
      </c>
      <c r="I1946" s="95" t="s">
        <v>567</v>
      </c>
      <c r="J1946" s="97">
        <v>45975.67930844907</v>
      </c>
      <c r="K1946" s="96" t="s">
        <v>11081</v>
      </c>
      <c r="L1946" s="96" t="s">
        <v>11082</v>
      </c>
      <c r="M1946" s="95" t="s">
        <v>54</v>
      </c>
      <c r="N1946" s="95" t="s">
        <v>2572</v>
      </c>
      <c r="O1946" s="95" t="s">
        <v>2572</v>
      </c>
      <c r="P1946" s="95" t="s">
        <v>2573</v>
      </c>
      <c r="Q1946" s="98">
        <v>2.0</v>
      </c>
      <c r="R1946" s="97">
        <v>45855.73493055555</v>
      </c>
      <c r="S1946" s="99">
        <v>22737.0</v>
      </c>
      <c r="T1946" s="99">
        <v>135.0</v>
      </c>
      <c r="U1946" s="99">
        <v>1.0</v>
      </c>
      <c r="V1946" s="99">
        <v>240.0</v>
      </c>
      <c r="W1946" s="99">
        <v>4581328.0</v>
      </c>
    </row>
    <row r="1947" ht="15.75" customHeight="1">
      <c r="A1947" s="95" t="s">
        <v>11083</v>
      </c>
      <c r="B1947" s="95" t="s">
        <v>22</v>
      </c>
      <c r="C1947" s="96" t="s">
        <v>11084</v>
      </c>
      <c r="D1947" s="95" t="s">
        <v>130</v>
      </c>
      <c r="E1947" s="95" t="s">
        <v>2109</v>
      </c>
      <c r="F1947" s="95" t="s">
        <v>19</v>
      </c>
      <c r="G1947" s="95" t="s">
        <v>19</v>
      </c>
      <c r="H1947" s="95" t="s">
        <v>21</v>
      </c>
      <c r="I1947" s="95" t="s">
        <v>567</v>
      </c>
      <c r="J1947" s="97">
        <v>46003.09206449074</v>
      </c>
      <c r="K1947" s="95" t="s">
        <v>11085</v>
      </c>
      <c r="L1947" s="96" t="s">
        <v>11086</v>
      </c>
      <c r="M1947" s="95" t="s">
        <v>38</v>
      </c>
      <c r="N1947" s="95" t="s">
        <v>11087</v>
      </c>
      <c r="O1947" s="95" t="s">
        <v>11087</v>
      </c>
      <c r="P1947" s="95" t="s">
        <v>11088</v>
      </c>
      <c r="Q1947" s="98">
        <v>2.0</v>
      </c>
      <c r="R1947" s="97">
        <v>45893.47782407407</v>
      </c>
      <c r="S1947" s="99">
        <v>235.0</v>
      </c>
      <c r="T1947" s="99">
        <v>113.0</v>
      </c>
      <c r="U1947" s="99">
        <v>5.0</v>
      </c>
      <c r="V1947" s="99">
        <v>697.0</v>
      </c>
      <c r="W1947" s="99">
        <v>402819.0</v>
      </c>
    </row>
    <row r="1948" ht="15.75" customHeight="1">
      <c r="A1948" s="95" t="s">
        <v>11089</v>
      </c>
      <c r="B1948" s="95" t="s">
        <v>22</v>
      </c>
      <c r="C1948" s="96" t="s">
        <v>11090</v>
      </c>
      <c r="D1948" s="95" t="s">
        <v>39</v>
      </c>
      <c r="E1948" s="95" t="s">
        <v>39</v>
      </c>
      <c r="F1948" s="95" t="s">
        <v>19</v>
      </c>
      <c r="G1948" s="95" t="s">
        <v>19</v>
      </c>
      <c r="H1948" s="95" t="s">
        <v>21</v>
      </c>
      <c r="I1948" s="95" t="s">
        <v>567</v>
      </c>
      <c r="J1948" s="97">
        <v>45975.67930844907</v>
      </c>
      <c r="K1948" s="96" t="s">
        <v>11091</v>
      </c>
      <c r="L1948" s="96" t="s">
        <v>11092</v>
      </c>
      <c r="M1948" s="95" t="s">
        <v>54</v>
      </c>
      <c r="N1948" s="95" t="s">
        <v>2600</v>
      </c>
      <c r="O1948" s="95" t="s">
        <v>2600</v>
      </c>
      <c r="P1948" s="95" t="s">
        <v>2601</v>
      </c>
      <c r="Q1948" s="98">
        <v>2.0</v>
      </c>
      <c r="R1948" s="97">
        <v>45925.6602662037</v>
      </c>
      <c r="S1948" s="99">
        <v>41249.0</v>
      </c>
      <c r="T1948" s="99">
        <v>168.0</v>
      </c>
      <c r="U1948" s="99">
        <v>13.0</v>
      </c>
      <c r="V1948" s="99">
        <v>313.0</v>
      </c>
      <c r="W1948" s="99">
        <v>212326.0</v>
      </c>
    </row>
    <row r="1949" ht="15.75" customHeight="1">
      <c r="A1949" s="95" t="s">
        <v>11093</v>
      </c>
      <c r="B1949" s="95" t="s">
        <v>22</v>
      </c>
      <c r="C1949" s="96" t="s">
        <v>11094</v>
      </c>
      <c r="D1949" s="95" t="s">
        <v>59</v>
      </c>
      <c r="E1949" s="95" t="s">
        <v>738</v>
      </c>
      <c r="F1949" s="95" t="s">
        <v>19</v>
      </c>
      <c r="G1949" s="95" t="s">
        <v>588</v>
      </c>
      <c r="H1949" s="95" t="s">
        <v>21</v>
      </c>
      <c r="I1949" s="95" t="s">
        <v>677</v>
      </c>
      <c r="J1949" s="97">
        <v>46021.49287208333</v>
      </c>
      <c r="K1949" s="95" t="s">
        <v>11095</v>
      </c>
      <c r="L1949" s="96" t="s">
        <v>11096</v>
      </c>
      <c r="M1949" s="95" t="s">
        <v>54</v>
      </c>
      <c r="N1949" s="95" t="s">
        <v>2619</v>
      </c>
      <c r="O1949" s="95" t="s">
        <v>2619</v>
      </c>
      <c r="P1949" s="95" t="s">
        <v>2620</v>
      </c>
      <c r="Q1949" s="98">
        <v>2.0</v>
      </c>
      <c r="R1949" s="97">
        <v>45713.94390046296</v>
      </c>
      <c r="S1949" s="99">
        <v>70.0</v>
      </c>
      <c r="T1949" s="99">
        <v>45.0</v>
      </c>
      <c r="U1949" s="99">
        <v>1.0</v>
      </c>
      <c r="V1949" s="99">
        <v>74.0</v>
      </c>
      <c r="W1949" s="99">
        <v>25143.0</v>
      </c>
    </row>
    <row r="1950" ht="15.75" customHeight="1">
      <c r="A1950" s="95" t="s">
        <v>11097</v>
      </c>
      <c r="B1950" s="95" t="s">
        <v>22</v>
      </c>
      <c r="C1950" s="96" t="s">
        <v>11098</v>
      </c>
      <c r="D1950" s="95" t="s">
        <v>20</v>
      </c>
      <c r="E1950" s="95" t="s">
        <v>638</v>
      </c>
      <c r="F1950" s="95" t="s">
        <v>19</v>
      </c>
      <c r="G1950" s="95" t="s">
        <v>19</v>
      </c>
      <c r="H1950" s="95" t="s">
        <v>21</v>
      </c>
      <c r="I1950" s="95" t="s">
        <v>567</v>
      </c>
      <c r="J1950" s="97">
        <v>45975.67934009259</v>
      </c>
      <c r="K1950" s="96" t="s">
        <v>11099</v>
      </c>
      <c r="L1950" s="96" t="s">
        <v>11100</v>
      </c>
      <c r="M1950" s="95" t="s">
        <v>17</v>
      </c>
      <c r="N1950" s="95" t="s">
        <v>2654</v>
      </c>
      <c r="O1950" s="95" t="s">
        <v>2654</v>
      </c>
      <c r="P1950" s="95" t="s">
        <v>2655</v>
      </c>
      <c r="Q1950" s="98">
        <v>2.0</v>
      </c>
      <c r="R1950" s="97">
        <v>45784.73944444444</v>
      </c>
      <c r="S1950" s="99">
        <v>14993.0</v>
      </c>
      <c r="T1950" s="99">
        <v>3.0</v>
      </c>
      <c r="U1950" s="99">
        <v>1.0</v>
      </c>
      <c r="V1950" s="99">
        <v>48.0</v>
      </c>
      <c r="W1950" s="99">
        <v>896224.0</v>
      </c>
    </row>
    <row r="1951" ht="15.75" customHeight="1">
      <c r="A1951" s="95" t="s">
        <v>11101</v>
      </c>
      <c r="B1951" s="95" t="s">
        <v>22</v>
      </c>
      <c r="C1951" s="96" t="s">
        <v>11102</v>
      </c>
      <c r="D1951" s="95" t="s">
        <v>39</v>
      </c>
      <c r="E1951" s="95" t="s">
        <v>1201</v>
      </c>
      <c r="F1951" s="95" t="s">
        <v>19</v>
      </c>
      <c r="G1951" s="95" t="s">
        <v>19</v>
      </c>
      <c r="H1951" s="95" t="s">
        <v>21</v>
      </c>
      <c r="I1951" s="95" t="s">
        <v>567</v>
      </c>
      <c r="J1951" s="97">
        <v>46002.69413268519</v>
      </c>
      <c r="K1951" s="95" t="s">
        <v>11103</v>
      </c>
      <c r="L1951" s="96" t="s">
        <v>11104</v>
      </c>
      <c r="M1951" s="95" t="s">
        <v>17</v>
      </c>
      <c r="N1951" s="95" t="s">
        <v>11105</v>
      </c>
      <c r="O1951" s="95" t="s">
        <v>11105</v>
      </c>
      <c r="P1951" s="95" t="s">
        <v>11106</v>
      </c>
      <c r="Q1951" s="98">
        <v>2.0</v>
      </c>
      <c r="R1951" s="97">
        <v>45816.16546296296</v>
      </c>
      <c r="S1951" s="99">
        <v>668.0</v>
      </c>
      <c r="T1951" s="99">
        <v>4.0</v>
      </c>
      <c r="U1951" s="99">
        <v>10.0</v>
      </c>
      <c r="V1951" s="99">
        <v>90.0</v>
      </c>
      <c r="W1951" s="99">
        <v>11222.0</v>
      </c>
    </row>
    <row r="1952" ht="15.75" customHeight="1">
      <c r="A1952" s="95" t="s">
        <v>11107</v>
      </c>
      <c r="B1952" s="95" t="s">
        <v>22</v>
      </c>
      <c r="C1952" s="96" t="s">
        <v>11108</v>
      </c>
      <c r="D1952" s="95" t="s">
        <v>130</v>
      </c>
      <c r="E1952" s="95" t="s">
        <v>1253</v>
      </c>
      <c r="F1952" s="95" t="s">
        <v>19</v>
      </c>
      <c r="G1952" s="95" t="s">
        <v>588</v>
      </c>
      <c r="H1952" s="95" t="s">
        <v>21</v>
      </c>
      <c r="I1952" s="95" t="s">
        <v>589</v>
      </c>
      <c r="J1952" s="97">
        <v>46021.50375386574</v>
      </c>
      <c r="K1952" s="95" t="s">
        <v>11109</v>
      </c>
      <c r="L1952" s="96" t="s">
        <v>11110</v>
      </c>
      <c r="M1952" s="95" t="s">
        <v>28</v>
      </c>
      <c r="N1952" s="95" t="s">
        <v>11111</v>
      </c>
      <c r="O1952" s="95" t="s">
        <v>11111</v>
      </c>
      <c r="P1952" s="95" t="s">
        <v>11112</v>
      </c>
      <c r="Q1952" s="98">
        <v>2.0</v>
      </c>
      <c r="R1952" s="97">
        <v>45831.87583333333</v>
      </c>
      <c r="S1952" s="99">
        <v>154.0</v>
      </c>
      <c r="T1952" s="99">
        <v>1419.0</v>
      </c>
      <c r="U1952" s="99">
        <v>1.0</v>
      </c>
      <c r="V1952" s="99">
        <v>15.0</v>
      </c>
      <c r="W1952" s="99">
        <v>168047.0</v>
      </c>
    </row>
    <row r="1953" ht="15.75" customHeight="1">
      <c r="A1953" s="95" t="s">
        <v>11113</v>
      </c>
      <c r="B1953" s="95" t="s">
        <v>22</v>
      </c>
      <c r="C1953" s="96" t="s">
        <v>11114</v>
      </c>
      <c r="D1953" s="95" t="s">
        <v>124</v>
      </c>
      <c r="E1953" s="95" t="s">
        <v>11115</v>
      </c>
      <c r="F1953" s="95" t="s">
        <v>19</v>
      </c>
      <c r="G1953" s="95" t="s">
        <v>19</v>
      </c>
      <c r="H1953" s="95" t="s">
        <v>21</v>
      </c>
      <c r="I1953" s="95" t="s">
        <v>567</v>
      </c>
      <c r="J1953" s="97">
        <v>46002.69413268519</v>
      </c>
      <c r="K1953" s="95" t="s">
        <v>11116</v>
      </c>
      <c r="L1953" s="96" t="s">
        <v>11117</v>
      </c>
      <c r="M1953" s="95" t="s">
        <v>503</v>
      </c>
      <c r="N1953" s="95" t="s">
        <v>11118</v>
      </c>
      <c r="O1953" s="95" t="s">
        <v>11118</v>
      </c>
      <c r="P1953" s="95" t="s">
        <v>11119</v>
      </c>
      <c r="Q1953" s="98">
        <v>2.0</v>
      </c>
      <c r="R1953" s="97">
        <v>45796.46240740741</v>
      </c>
      <c r="S1953" s="99">
        <v>0.0</v>
      </c>
      <c r="T1953" s="99">
        <v>9.0</v>
      </c>
      <c r="U1953" s="99">
        <v>2.0</v>
      </c>
      <c r="V1953" s="99">
        <v>220.0</v>
      </c>
      <c r="W1953" s="99">
        <v>280496.0</v>
      </c>
    </row>
    <row r="1954" ht="15.75" customHeight="1">
      <c r="A1954" s="95" t="s">
        <v>11120</v>
      </c>
      <c r="B1954" s="95" t="s">
        <v>69</v>
      </c>
      <c r="C1954" s="96" t="s">
        <v>11121</v>
      </c>
      <c r="D1954" s="95" t="s">
        <v>59</v>
      </c>
      <c r="E1954" s="95" t="s">
        <v>738</v>
      </c>
      <c r="F1954" s="95" t="s">
        <v>58</v>
      </c>
      <c r="G1954" s="95" t="s">
        <v>58</v>
      </c>
      <c r="H1954" s="95" t="s">
        <v>77</v>
      </c>
      <c r="I1954" s="95" t="s">
        <v>5296</v>
      </c>
      <c r="J1954" s="97">
        <v>46021.51011266204</v>
      </c>
      <c r="K1954" s="95" t="s">
        <v>11122</v>
      </c>
      <c r="L1954" s="96" t="s">
        <v>11123</v>
      </c>
      <c r="M1954" s="95" t="s">
        <v>54</v>
      </c>
      <c r="N1954" s="95" t="s">
        <v>11124</v>
      </c>
      <c r="O1954" s="95" t="s">
        <v>11124</v>
      </c>
      <c r="P1954" s="95" t="s">
        <v>11125</v>
      </c>
      <c r="Q1954" s="98">
        <v>2.0</v>
      </c>
      <c r="R1954" s="97">
        <v>45811.29090277778</v>
      </c>
      <c r="S1954" s="99">
        <v>404.0</v>
      </c>
      <c r="T1954" s="99">
        <v>598.0</v>
      </c>
      <c r="U1954" s="99">
        <v>7.0</v>
      </c>
      <c r="V1954" s="99">
        <v>159.0</v>
      </c>
      <c r="W1954" s="99">
        <v>28707.0</v>
      </c>
    </row>
    <row r="1955" ht="15.75" customHeight="1">
      <c r="A1955" s="95" t="s">
        <v>11126</v>
      </c>
      <c r="B1955" s="95" t="s">
        <v>22</v>
      </c>
      <c r="C1955" s="96" t="s">
        <v>11127</v>
      </c>
      <c r="D1955" s="95" t="s">
        <v>39</v>
      </c>
      <c r="E1955" s="95" t="s">
        <v>960</v>
      </c>
      <c r="F1955" s="95" t="s">
        <v>19</v>
      </c>
      <c r="G1955" s="95" t="s">
        <v>19</v>
      </c>
      <c r="H1955" s="95" t="s">
        <v>21</v>
      </c>
      <c r="I1955" s="95" t="s">
        <v>567</v>
      </c>
      <c r="J1955" s="97">
        <v>45975.67934009259</v>
      </c>
      <c r="K1955" s="96" t="s">
        <v>11128</v>
      </c>
      <c r="L1955" s="96" t="s">
        <v>11129</v>
      </c>
      <c r="M1955" s="95" t="s">
        <v>17</v>
      </c>
      <c r="N1955" s="95" t="s">
        <v>2694</v>
      </c>
      <c r="O1955" s="95" t="s">
        <v>2694</v>
      </c>
      <c r="P1955" s="95" t="s">
        <v>2695</v>
      </c>
      <c r="Q1955" s="98">
        <v>2.0</v>
      </c>
      <c r="R1955" s="97">
        <v>45649.42818287037</v>
      </c>
      <c r="S1955" s="99">
        <v>9218.0</v>
      </c>
      <c r="T1955" s="99">
        <v>15.0</v>
      </c>
      <c r="U1955" s="99">
        <v>6.0</v>
      </c>
      <c r="V1955" s="99">
        <v>35.0</v>
      </c>
      <c r="W1955" s="99">
        <v>147001.0</v>
      </c>
    </row>
    <row r="1956" ht="15.75" customHeight="1">
      <c r="A1956" s="95" t="s">
        <v>11130</v>
      </c>
      <c r="B1956" s="95" t="s">
        <v>22</v>
      </c>
      <c r="C1956" s="96" t="s">
        <v>11131</v>
      </c>
      <c r="D1956" s="95" t="s">
        <v>39</v>
      </c>
      <c r="E1956" s="95" t="s">
        <v>39</v>
      </c>
      <c r="F1956" s="95" t="s">
        <v>19</v>
      </c>
      <c r="G1956" s="95" t="s">
        <v>19</v>
      </c>
      <c r="H1956" s="95" t="s">
        <v>21</v>
      </c>
      <c r="I1956" s="95" t="s">
        <v>567</v>
      </c>
      <c r="J1956" s="97">
        <v>45975.67934009259</v>
      </c>
      <c r="K1956" s="96" t="s">
        <v>11132</v>
      </c>
      <c r="L1956" s="96" t="s">
        <v>11133</v>
      </c>
      <c r="M1956" s="95" t="s">
        <v>17</v>
      </c>
      <c r="N1956" s="95" t="s">
        <v>2694</v>
      </c>
      <c r="O1956" s="95" t="s">
        <v>2694</v>
      </c>
      <c r="P1956" s="95" t="s">
        <v>2695</v>
      </c>
      <c r="Q1956" s="98">
        <v>2.0</v>
      </c>
      <c r="R1956" s="97">
        <v>45734.62298611111</v>
      </c>
      <c r="S1956" s="99">
        <v>9218.0</v>
      </c>
      <c r="T1956" s="99">
        <v>19.0</v>
      </c>
      <c r="U1956" s="99">
        <v>8.0</v>
      </c>
      <c r="V1956" s="99">
        <v>24.0</v>
      </c>
      <c r="W1956" s="99">
        <v>147001.0</v>
      </c>
    </row>
    <row r="1957" ht="15.75" customHeight="1">
      <c r="A1957" s="95" t="s">
        <v>11134</v>
      </c>
      <c r="B1957" s="95" t="s">
        <v>22</v>
      </c>
      <c r="C1957" s="96" t="s">
        <v>11135</v>
      </c>
      <c r="D1957" s="95" t="s">
        <v>39</v>
      </c>
      <c r="E1957" s="95" t="s">
        <v>960</v>
      </c>
      <c r="F1957" s="95" t="s">
        <v>19</v>
      </c>
      <c r="G1957" s="95"/>
      <c r="H1957" s="95" t="s">
        <v>21</v>
      </c>
      <c r="I1957" s="95" t="s">
        <v>567</v>
      </c>
      <c r="J1957" s="97">
        <v>45975.67934009259</v>
      </c>
      <c r="K1957" s="96" t="s">
        <v>11136</v>
      </c>
      <c r="L1957" s="96" t="s">
        <v>11137</v>
      </c>
      <c r="M1957" s="95" t="s">
        <v>17</v>
      </c>
      <c r="N1957" s="95" t="s">
        <v>2694</v>
      </c>
      <c r="O1957" s="95" t="s">
        <v>2694</v>
      </c>
      <c r="P1957" s="95" t="s">
        <v>2695</v>
      </c>
      <c r="Q1957" s="98">
        <v>2.0</v>
      </c>
      <c r="R1957" s="97">
        <v>45799.34820601852</v>
      </c>
      <c r="S1957" s="99">
        <v>9218.0</v>
      </c>
      <c r="T1957" s="99">
        <v>30.0</v>
      </c>
      <c r="U1957" s="99">
        <v>2.0</v>
      </c>
      <c r="V1957" s="99">
        <v>70.0</v>
      </c>
      <c r="W1957" s="99">
        <v>147001.0</v>
      </c>
    </row>
    <row r="1958" ht="15.75" customHeight="1">
      <c r="A1958" s="95" t="s">
        <v>11138</v>
      </c>
      <c r="B1958" s="95" t="s">
        <v>22</v>
      </c>
      <c r="C1958" s="96" t="s">
        <v>11139</v>
      </c>
      <c r="D1958" s="95" t="s">
        <v>39</v>
      </c>
      <c r="E1958" s="95" t="s">
        <v>960</v>
      </c>
      <c r="F1958" s="95" t="s">
        <v>88</v>
      </c>
      <c r="G1958" s="95" t="s">
        <v>11140</v>
      </c>
      <c r="H1958" s="95" t="s">
        <v>21</v>
      </c>
      <c r="I1958" s="95" t="s">
        <v>567</v>
      </c>
      <c r="J1958" s="97">
        <v>45975.67934009259</v>
      </c>
      <c r="K1958" s="96" t="s">
        <v>11141</v>
      </c>
      <c r="L1958" s="96" t="s">
        <v>11142</v>
      </c>
      <c r="M1958" s="95" t="s">
        <v>17</v>
      </c>
      <c r="N1958" s="95" t="s">
        <v>2694</v>
      </c>
      <c r="O1958" s="95" t="s">
        <v>2694</v>
      </c>
      <c r="P1958" s="95" t="s">
        <v>2695</v>
      </c>
      <c r="Q1958" s="98">
        <v>2.0</v>
      </c>
      <c r="R1958" s="97">
        <v>45853.40318287037</v>
      </c>
      <c r="S1958" s="99">
        <v>9218.0</v>
      </c>
      <c r="T1958" s="99">
        <v>6.0</v>
      </c>
      <c r="U1958" s="99">
        <v>1.0</v>
      </c>
      <c r="V1958" s="99">
        <v>28.0</v>
      </c>
      <c r="W1958" s="99">
        <v>147001.0</v>
      </c>
    </row>
    <row r="1959" ht="15.75" customHeight="1">
      <c r="A1959" s="95" t="s">
        <v>11143</v>
      </c>
      <c r="B1959" s="95" t="s">
        <v>22</v>
      </c>
      <c r="C1959" s="96" t="s">
        <v>11144</v>
      </c>
      <c r="D1959" s="95" t="s">
        <v>39</v>
      </c>
      <c r="E1959" s="95" t="s">
        <v>39</v>
      </c>
      <c r="F1959" s="95" t="s">
        <v>19</v>
      </c>
      <c r="G1959" s="95"/>
      <c r="H1959" s="95" t="s">
        <v>21</v>
      </c>
      <c r="I1959" s="95" t="s">
        <v>567</v>
      </c>
      <c r="J1959" s="97">
        <v>45975.67934009259</v>
      </c>
      <c r="K1959" s="96" t="s">
        <v>11145</v>
      </c>
      <c r="L1959" s="96" t="s">
        <v>11146</v>
      </c>
      <c r="M1959" s="95" t="s">
        <v>17</v>
      </c>
      <c r="N1959" s="95" t="s">
        <v>2694</v>
      </c>
      <c r="O1959" s="95" t="s">
        <v>2694</v>
      </c>
      <c r="P1959" s="95" t="s">
        <v>2695</v>
      </c>
      <c r="Q1959" s="98">
        <v>2.0</v>
      </c>
      <c r="R1959" s="97">
        <v>45832.35762731481</v>
      </c>
      <c r="S1959" s="99">
        <v>9218.0</v>
      </c>
      <c r="T1959" s="99">
        <v>30.0</v>
      </c>
      <c r="U1959" s="99">
        <v>9.0</v>
      </c>
      <c r="V1959" s="99">
        <v>92.0</v>
      </c>
      <c r="W1959" s="99">
        <v>147001.0</v>
      </c>
    </row>
    <row r="1960" ht="15.75" customHeight="1">
      <c r="A1960" s="95" t="s">
        <v>11147</v>
      </c>
      <c r="B1960" s="95" t="s">
        <v>22</v>
      </c>
      <c r="C1960" s="96" t="s">
        <v>11148</v>
      </c>
      <c r="D1960" s="95" t="s">
        <v>59</v>
      </c>
      <c r="E1960" s="95" t="s">
        <v>738</v>
      </c>
      <c r="F1960" s="95" t="s">
        <v>19</v>
      </c>
      <c r="G1960" s="95" t="s">
        <v>19</v>
      </c>
      <c r="H1960" s="95" t="s">
        <v>21</v>
      </c>
      <c r="I1960" s="95" t="s">
        <v>589</v>
      </c>
      <c r="J1960" s="97">
        <v>45977.675699375</v>
      </c>
      <c r="K1960" s="95" t="s">
        <v>11149</v>
      </c>
      <c r="L1960" s="95"/>
      <c r="M1960" s="95" t="s">
        <v>17</v>
      </c>
      <c r="N1960" s="95" t="s">
        <v>11150</v>
      </c>
      <c r="O1960" s="95" t="s">
        <v>11150</v>
      </c>
      <c r="P1960" s="95" t="s">
        <v>11151</v>
      </c>
      <c r="Q1960" s="98">
        <v>2.0</v>
      </c>
      <c r="R1960" s="97">
        <v>45917.56217592592</v>
      </c>
      <c r="S1960" s="99">
        <v>7296.0</v>
      </c>
      <c r="T1960" s="99">
        <v>92.0</v>
      </c>
      <c r="U1960" s="99">
        <v>3.0</v>
      </c>
      <c r="V1960" s="99">
        <v>35.0</v>
      </c>
      <c r="W1960" s="99">
        <v>2602055.0</v>
      </c>
    </row>
    <row r="1961" ht="15.75" customHeight="1">
      <c r="A1961" s="95" t="s">
        <v>11152</v>
      </c>
      <c r="B1961" s="95" t="s">
        <v>22</v>
      </c>
      <c r="C1961" s="96" t="s">
        <v>11153</v>
      </c>
      <c r="D1961" s="95" t="s">
        <v>20</v>
      </c>
      <c r="E1961" s="95" t="s">
        <v>11154</v>
      </c>
      <c r="F1961" s="95" t="s">
        <v>19</v>
      </c>
      <c r="G1961" s="95" t="s">
        <v>19</v>
      </c>
      <c r="H1961" s="95" t="s">
        <v>21</v>
      </c>
      <c r="I1961" s="95" t="s">
        <v>567</v>
      </c>
      <c r="J1961" s="97">
        <v>46021.50534530092</v>
      </c>
      <c r="K1961" s="95" t="s">
        <v>11155</v>
      </c>
      <c r="L1961" s="96" t="s">
        <v>11156</v>
      </c>
      <c r="M1961" s="95" t="s">
        <v>74</v>
      </c>
      <c r="N1961" s="95" t="s">
        <v>11157</v>
      </c>
      <c r="O1961" s="95" t="s">
        <v>11157</v>
      </c>
      <c r="P1961" s="95" t="s">
        <v>11158</v>
      </c>
      <c r="Q1961" s="98">
        <v>2.0</v>
      </c>
      <c r="R1961" s="97">
        <v>45708.78592592593</v>
      </c>
      <c r="S1961" s="99">
        <v>282.0</v>
      </c>
      <c r="T1961" s="99">
        <v>384.0</v>
      </c>
      <c r="U1961" s="99">
        <v>58.0</v>
      </c>
      <c r="V1961" s="99">
        <v>232.0</v>
      </c>
      <c r="W1961" s="99">
        <v>42199.0</v>
      </c>
    </row>
    <row r="1962" ht="15.75" customHeight="1">
      <c r="A1962" s="95" t="s">
        <v>11159</v>
      </c>
      <c r="B1962" s="95" t="s">
        <v>22</v>
      </c>
      <c r="C1962" s="96" t="s">
        <v>11160</v>
      </c>
      <c r="D1962" s="95" t="s">
        <v>59</v>
      </c>
      <c r="E1962" s="95" t="s">
        <v>1347</v>
      </c>
      <c r="F1962" s="95" t="s">
        <v>58</v>
      </c>
      <c r="G1962" s="95" t="s">
        <v>58</v>
      </c>
      <c r="H1962" s="95" t="s">
        <v>21</v>
      </c>
      <c r="I1962" s="95" t="s">
        <v>567</v>
      </c>
      <c r="J1962" s="97">
        <v>45993.7854622338</v>
      </c>
      <c r="K1962" s="96" t="s">
        <v>11161</v>
      </c>
      <c r="L1962" s="96" t="s">
        <v>11162</v>
      </c>
      <c r="M1962" s="95" t="s">
        <v>93</v>
      </c>
      <c r="N1962" s="95" t="s">
        <v>2776</v>
      </c>
      <c r="O1962" s="95" t="s">
        <v>2776</v>
      </c>
      <c r="P1962" s="95" t="s">
        <v>2777</v>
      </c>
      <c r="Q1962" s="98">
        <v>2.0</v>
      </c>
      <c r="R1962" s="97">
        <v>45741.66320601852</v>
      </c>
      <c r="S1962" s="99">
        <v>4363.0</v>
      </c>
      <c r="T1962" s="99">
        <v>1.0</v>
      </c>
      <c r="U1962" s="99">
        <v>3.0</v>
      </c>
      <c r="V1962" s="99">
        <v>92.0</v>
      </c>
      <c r="W1962" s="99">
        <v>621185.0</v>
      </c>
    </row>
    <row r="1963" ht="15.75" customHeight="1">
      <c r="A1963" s="95" t="s">
        <v>11163</v>
      </c>
      <c r="B1963" s="95" t="s">
        <v>101</v>
      </c>
      <c r="C1963" s="96" t="s">
        <v>11164</v>
      </c>
      <c r="D1963" s="95" t="s">
        <v>59</v>
      </c>
      <c r="E1963" s="95" t="s">
        <v>738</v>
      </c>
      <c r="F1963" s="95" t="s">
        <v>19</v>
      </c>
      <c r="G1963" s="95" t="s">
        <v>19</v>
      </c>
      <c r="H1963" s="95" t="s">
        <v>21</v>
      </c>
      <c r="I1963" s="95" t="s">
        <v>955</v>
      </c>
      <c r="J1963" s="97">
        <v>46021.49382673611</v>
      </c>
      <c r="K1963" s="95" t="s">
        <v>11165</v>
      </c>
      <c r="L1963" s="96" t="s">
        <v>11166</v>
      </c>
      <c r="M1963" s="95" t="s">
        <v>54</v>
      </c>
      <c r="N1963" s="95" t="s">
        <v>2804</v>
      </c>
      <c r="O1963" s="95" t="s">
        <v>2804</v>
      </c>
      <c r="P1963" s="95" t="s">
        <v>2805</v>
      </c>
      <c r="Q1963" s="98">
        <v>2.0</v>
      </c>
      <c r="R1963" s="97">
        <v>45813.49109953704</v>
      </c>
      <c r="S1963" s="99">
        <v>276.0</v>
      </c>
      <c r="T1963" s="99">
        <v>96.0</v>
      </c>
      <c r="U1963" s="99">
        <v>1.0</v>
      </c>
      <c r="V1963" s="99">
        <v>24.0</v>
      </c>
      <c r="W1963" s="99">
        <v>7551.0</v>
      </c>
    </row>
    <row r="1964" ht="15.75" customHeight="1">
      <c r="A1964" s="95" t="s">
        <v>11167</v>
      </c>
      <c r="B1964" s="95" t="s">
        <v>22</v>
      </c>
      <c r="C1964" s="96" t="s">
        <v>11168</v>
      </c>
      <c r="D1964" s="95" t="s">
        <v>20</v>
      </c>
      <c r="E1964" s="95" t="s">
        <v>20</v>
      </c>
      <c r="F1964" s="95" t="s">
        <v>19</v>
      </c>
      <c r="G1964" s="95" t="s">
        <v>574</v>
      </c>
      <c r="H1964" s="95" t="s">
        <v>21</v>
      </c>
      <c r="I1964" s="95" t="s">
        <v>567</v>
      </c>
      <c r="J1964" s="97">
        <v>45975.67934009259</v>
      </c>
      <c r="K1964" s="96" t="s">
        <v>11169</v>
      </c>
      <c r="L1964" s="96" t="s">
        <v>11170</v>
      </c>
      <c r="M1964" s="95" t="s">
        <v>17</v>
      </c>
      <c r="N1964" s="95" t="s">
        <v>11171</v>
      </c>
      <c r="O1964" s="95" t="s">
        <v>11171</v>
      </c>
      <c r="P1964" s="95" t="s">
        <v>11172</v>
      </c>
      <c r="Q1964" s="98">
        <v>2.0</v>
      </c>
      <c r="R1964" s="97">
        <v>45861.52143518518</v>
      </c>
      <c r="S1964" s="99">
        <v>43921.0</v>
      </c>
      <c r="T1964" s="99">
        <v>3.0</v>
      </c>
      <c r="U1964" s="99">
        <v>5.0</v>
      </c>
      <c r="V1964" s="99">
        <v>186.0</v>
      </c>
      <c r="W1964" s="99">
        <v>397875.0</v>
      </c>
    </row>
    <row r="1965" ht="15.75" customHeight="1">
      <c r="A1965" s="95" t="s">
        <v>11173</v>
      </c>
      <c r="B1965" s="95" t="s">
        <v>22</v>
      </c>
      <c r="C1965" s="96" t="s">
        <v>11174</v>
      </c>
      <c r="D1965" s="95" t="s">
        <v>59</v>
      </c>
      <c r="E1965" s="95" t="s">
        <v>11175</v>
      </c>
      <c r="F1965" s="95" t="s">
        <v>19</v>
      </c>
      <c r="G1965" s="95" t="s">
        <v>19</v>
      </c>
      <c r="H1965" s="95" t="s">
        <v>21</v>
      </c>
      <c r="I1965" s="95" t="s">
        <v>589</v>
      </c>
      <c r="J1965" s="97">
        <v>45993.7854622338</v>
      </c>
      <c r="K1965" s="96" t="s">
        <v>11176</v>
      </c>
      <c r="L1965" s="96" t="s">
        <v>11177</v>
      </c>
      <c r="M1965" s="95" t="s">
        <v>17</v>
      </c>
      <c r="N1965" s="95" t="s">
        <v>11178</v>
      </c>
      <c r="O1965" s="95" t="s">
        <v>11178</v>
      </c>
      <c r="P1965" s="95" t="s">
        <v>11179</v>
      </c>
      <c r="Q1965" s="98">
        <v>2.0</v>
      </c>
      <c r="R1965" s="97">
        <v>45835.58837962963</v>
      </c>
      <c r="S1965" s="99">
        <v>104.0</v>
      </c>
      <c r="T1965" s="99">
        <v>55.0</v>
      </c>
      <c r="U1965" s="99">
        <v>4.0</v>
      </c>
      <c r="V1965" s="99">
        <v>55.0</v>
      </c>
      <c r="W1965" s="99">
        <v>17762.0</v>
      </c>
    </row>
    <row r="1966" ht="15.75" customHeight="1">
      <c r="A1966" s="95" t="s">
        <v>11180</v>
      </c>
      <c r="B1966" s="95" t="s">
        <v>101</v>
      </c>
      <c r="C1966" s="96" t="s">
        <v>11181</v>
      </c>
      <c r="D1966" s="95" t="s">
        <v>130</v>
      </c>
      <c r="E1966" s="95" t="s">
        <v>1264</v>
      </c>
      <c r="F1966" s="95" t="s">
        <v>19</v>
      </c>
      <c r="G1966" s="95" t="s">
        <v>19</v>
      </c>
      <c r="H1966" s="95" t="s">
        <v>21</v>
      </c>
      <c r="I1966" s="95" t="s">
        <v>955</v>
      </c>
      <c r="J1966" s="97">
        <v>45978.46242083333</v>
      </c>
      <c r="K1966" s="95" t="s">
        <v>11182</v>
      </c>
      <c r="L1966" s="95"/>
      <c r="M1966" s="95" t="s">
        <v>17</v>
      </c>
      <c r="N1966" s="95" t="s">
        <v>11183</v>
      </c>
      <c r="O1966" s="95" t="s">
        <v>11183</v>
      </c>
      <c r="P1966" s="95" t="s">
        <v>11184</v>
      </c>
      <c r="Q1966" s="98">
        <v>2.0</v>
      </c>
      <c r="R1966" s="97">
        <v>45617.68288194444</v>
      </c>
      <c r="S1966" s="99">
        <v>394.0</v>
      </c>
      <c r="T1966" s="99">
        <v>41.0</v>
      </c>
      <c r="U1966" s="99">
        <v>1.0</v>
      </c>
      <c r="V1966" s="99">
        <v>29.0</v>
      </c>
      <c r="W1966" s="99">
        <v>274202.0</v>
      </c>
    </row>
    <row r="1967" ht="15.75" customHeight="1">
      <c r="A1967" s="95" t="s">
        <v>11185</v>
      </c>
      <c r="B1967" s="95" t="s">
        <v>22</v>
      </c>
      <c r="C1967" s="96" t="s">
        <v>11186</v>
      </c>
      <c r="D1967" s="95" t="s">
        <v>130</v>
      </c>
      <c r="E1967" s="95" t="s">
        <v>1025</v>
      </c>
      <c r="F1967" s="95" t="s">
        <v>19</v>
      </c>
      <c r="G1967" s="95" t="s">
        <v>19</v>
      </c>
      <c r="H1967" s="95" t="s">
        <v>21</v>
      </c>
      <c r="I1967" s="95" t="s">
        <v>589</v>
      </c>
      <c r="J1967" s="97">
        <v>45978.46242083333</v>
      </c>
      <c r="K1967" s="95" t="s">
        <v>11187</v>
      </c>
      <c r="L1967" s="96" t="s">
        <v>11188</v>
      </c>
      <c r="M1967" s="95" t="s">
        <v>17</v>
      </c>
      <c r="N1967" s="95" t="s">
        <v>11183</v>
      </c>
      <c r="O1967" s="95" t="s">
        <v>11183</v>
      </c>
      <c r="P1967" s="95" t="s">
        <v>11184</v>
      </c>
      <c r="Q1967" s="98">
        <v>2.0</v>
      </c>
      <c r="R1967" s="97">
        <v>45824.5778587963</v>
      </c>
      <c r="S1967" s="99">
        <v>394.0</v>
      </c>
      <c r="T1967" s="99">
        <v>13.0</v>
      </c>
      <c r="U1967" s="99">
        <v>1.0</v>
      </c>
      <c r="V1967" s="99">
        <v>18.0</v>
      </c>
      <c r="W1967" s="99">
        <v>274202.0</v>
      </c>
    </row>
    <row r="1968" ht="15.75" customHeight="1">
      <c r="A1968" s="95" t="s">
        <v>11189</v>
      </c>
      <c r="B1968" s="95" t="s">
        <v>22</v>
      </c>
      <c r="C1968" s="96" t="s">
        <v>11190</v>
      </c>
      <c r="D1968" s="95" t="s">
        <v>168</v>
      </c>
      <c r="E1968" s="95" t="s">
        <v>168</v>
      </c>
      <c r="F1968" s="95" t="s">
        <v>19</v>
      </c>
      <c r="G1968" s="95" t="s">
        <v>19</v>
      </c>
      <c r="H1968" s="95" t="s">
        <v>21</v>
      </c>
      <c r="I1968" s="95" t="s">
        <v>567</v>
      </c>
      <c r="J1968" s="97">
        <v>46008.62902260417</v>
      </c>
      <c r="K1968" s="96" t="s">
        <v>11191</v>
      </c>
      <c r="L1968" s="96" t="s">
        <v>11192</v>
      </c>
      <c r="M1968" s="95" t="s">
        <v>17</v>
      </c>
      <c r="N1968" s="95" t="s">
        <v>2828</v>
      </c>
      <c r="O1968" s="95" t="s">
        <v>2828</v>
      </c>
      <c r="P1968" s="95" t="s">
        <v>2829</v>
      </c>
      <c r="Q1968" s="98">
        <v>2.0</v>
      </c>
      <c r="R1968" s="97">
        <v>45917.34313657408</v>
      </c>
      <c r="S1968" s="99">
        <v>117.0</v>
      </c>
      <c r="T1968" s="99">
        <v>65.0</v>
      </c>
      <c r="U1968" s="99">
        <v>3.0</v>
      </c>
      <c r="V1968" s="99">
        <v>294.0</v>
      </c>
      <c r="W1968" s="99">
        <v>60600.0</v>
      </c>
    </row>
    <row r="1969" ht="15.75" customHeight="1">
      <c r="A1969" s="95" t="s">
        <v>11193</v>
      </c>
      <c r="B1969" s="95" t="s">
        <v>157</v>
      </c>
      <c r="C1969" s="96" t="s">
        <v>11194</v>
      </c>
      <c r="D1969" s="95" t="s">
        <v>124</v>
      </c>
      <c r="E1969" s="95" t="s">
        <v>124</v>
      </c>
      <c r="F1969" s="95" t="s">
        <v>88</v>
      </c>
      <c r="G1969" s="95" t="s">
        <v>88</v>
      </c>
      <c r="H1969" s="95" t="s">
        <v>89</v>
      </c>
      <c r="I1969" s="95" t="s">
        <v>859</v>
      </c>
      <c r="J1969" s="97">
        <v>46040.56664251157</v>
      </c>
      <c r="K1969" s="95" t="s">
        <v>11195</v>
      </c>
      <c r="L1969" s="96" t="s">
        <v>11196</v>
      </c>
      <c r="M1969" s="95" t="s">
        <v>74</v>
      </c>
      <c r="N1969" s="95" t="s">
        <v>11197</v>
      </c>
      <c r="O1969" s="95" t="s">
        <v>11197</v>
      </c>
      <c r="P1969" s="95" t="s">
        <v>11198</v>
      </c>
      <c r="Q1969" s="98">
        <v>2.0</v>
      </c>
      <c r="R1969" s="97">
        <v>45645.07113425926</v>
      </c>
      <c r="S1969" s="99">
        <v>346.0</v>
      </c>
      <c r="T1969" s="99">
        <v>9.0</v>
      </c>
      <c r="U1969" s="99">
        <v>8.0</v>
      </c>
      <c r="V1969" s="99">
        <v>67.0</v>
      </c>
      <c r="W1969" s="99">
        <v>79981.0</v>
      </c>
    </row>
    <row r="1970" ht="15.75" customHeight="1">
      <c r="A1970" s="95" t="s">
        <v>11199</v>
      </c>
      <c r="B1970" s="95" t="s">
        <v>22</v>
      </c>
      <c r="C1970" s="96" t="s">
        <v>11200</v>
      </c>
      <c r="D1970" s="95" t="s">
        <v>68</v>
      </c>
      <c r="E1970" s="95" t="s">
        <v>1901</v>
      </c>
      <c r="F1970" s="95" t="s">
        <v>19</v>
      </c>
      <c r="G1970" s="95" t="s">
        <v>19</v>
      </c>
      <c r="H1970" s="95" t="s">
        <v>21</v>
      </c>
      <c r="I1970" s="95" t="s">
        <v>567</v>
      </c>
      <c r="J1970" s="97">
        <v>46003.09721050926</v>
      </c>
      <c r="K1970" s="95" t="s">
        <v>11201</v>
      </c>
      <c r="L1970" s="96" t="s">
        <v>11202</v>
      </c>
      <c r="M1970" s="95" t="s">
        <v>54</v>
      </c>
      <c r="N1970" s="95" t="s">
        <v>11203</v>
      </c>
      <c r="O1970" s="95" t="s">
        <v>11203</v>
      </c>
      <c r="P1970" s="95" t="s">
        <v>11204</v>
      </c>
      <c r="Q1970" s="98">
        <v>2.0</v>
      </c>
      <c r="R1970" s="97">
        <v>45706.64643518518</v>
      </c>
      <c r="S1970" s="99">
        <v>214.0</v>
      </c>
      <c r="T1970" s="99">
        <v>79.0</v>
      </c>
      <c r="U1970" s="99">
        <v>29.0</v>
      </c>
      <c r="V1970" s="99">
        <v>31.0</v>
      </c>
      <c r="W1970" s="99">
        <v>107960.0</v>
      </c>
    </row>
    <row r="1971" ht="15.75" customHeight="1">
      <c r="A1971" s="95" t="s">
        <v>11205</v>
      </c>
      <c r="B1971" s="95" t="s">
        <v>22</v>
      </c>
      <c r="C1971" s="96" t="s">
        <v>11206</v>
      </c>
      <c r="D1971" s="95" t="s">
        <v>124</v>
      </c>
      <c r="E1971" s="95" t="s">
        <v>2338</v>
      </c>
      <c r="F1971" s="95" t="s">
        <v>19</v>
      </c>
      <c r="G1971" s="95" t="s">
        <v>588</v>
      </c>
      <c r="H1971" s="95" t="s">
        <v>21</v>
      </c>
      <c r="I1971" s="95" t="s">
        <v>589</v>
      </c>
      <c r="J1971" s="97">
        <v>46072.52226574074</v>
      </c>
      <c r="K1971" s="95" t="s">
        <v>11207</v>
      </c>
      <c r="L1971" s="96" t="s">
        <v>11208</v>
      </c>
      <c r="M1971" s="95" t="s">
        <v>74</v>
      </c>
      <c r="N1971" s="95" t="s">
        <v>2898</v>
      </c>
      <c r="O1971" s="95" t="s">
        <v>2898</v>
      </c>
      <c r="P1971" s="95" t="s">
        <v>2899</v>
      </c>
      <c r="Q1971" s="98">
        <v>2.0</v>
      </c>
      <c r="R1971" s="97">
        <v>45961.84836805556</v>
      </c>
      <c r="S1971" s="99">
        <v>80.0</v>
      </c>
      <c r="T1971" s="99">
        <v>17.0</v>
      </c>
      <c r="U1971" s="99">
        <v>2.0</v>
      </c>
      <c r="V1971" s="99">
        <v>38.0</v>
      </c>
      <c r="W1971" s="99">
        <v>7725.0</v>
      </c>
    </row>
    <row r="1972" ht="15.75" customHeight="1">
      <c r="A1972" s="95" t="s">
        <v>11209</v>
      </c>
      <c r="B1972" s="95" t="s">
        <v>22</v>
      </c>
      <c r="C1972" s="96" t="s">
        <v>11210</v>
      </c>
      <c r="D1972" s="95" t="s">
        <v>20</v>
      </c>
      <c r="E1972" s="95" t="s">
        <v>638</v>
      </c>
      <c r="F1972" s="95" t="s">
        <v>19</v>
      </c>
      <c r="G1972" s="95" t="s">
        <v>19</v>
      </c>
      <c r="H1972" s="95" t="s">
        <v>21</v>
      </c>
      <c r="I1972" s="95" t="s">
        <v>567</v>
      </c>
      <c r="J1972" s="97">
        <v>46021.50534530092</v>
      </c>
      <c r="K1972" s="95" t="s">
        <v>11211</v>
      </c>
      <c r="L1972" s="96" t="s">
        <v>11212</v>
      </c>
      <c r="M1972" s="95" t="s">
        <v>74</v>
      </c>
      <c r="N1972" s="95" t="s">
        <v>11213</v>
      </c>
      <c r="O1972" s="95" t="s">
        <v>11213</v>
      </c>
      <c r="P1972" s="95" t="s">
        <v>11214</v>
      </c>
      <c r="Q1972" s="98">
        <v>2.0</v>
      </c>
      <c r="R1972" s="97">
        <v>45831.5194212963</v>
      </c>
      <c r="S1972" s="99">
        <v>72.0</v>
      </c>
      <c r="T1972" s="99">
        <v>3.0</v>
      </c>
      <c r="U1972" s="99">
        <v>13.0</v>
      </c>
      <c r="V1972" s="99">
        <v>255.0</v>
      </c>
      <c r="W1972" s="99">
        <v>1042.0</v>
      </c>
    </row>
    <row r="1973" ht="15.75" customHeight="1">
      <c r="A1973" s="95" t="s">
        <v>11215</v>
      </c>
      <c r="B1973" s="95" t="s">
        <v>22</v>
      </c>
      <c r="C1973" s="96" t="s">
        <v>11216</v>
      </c>
      <c r="D1973" s="95" t="s">
        <v>130</v>
      </c>
      <c r="E1973" s="95" t="s">
        <v>11217</v>
      </c>
      <c r="F1973" s="95" t="s">
        <v>19</v>
      </c>
      <c r="G1973" s="95" t="s">
        <v>19</v>
      </c>
      <c r="H1973" s="95" t="s">
        <v>21</v>
      </c>
      <c r="I1973" s="95" t="s">
        <v>567</v>
      </c>
      <c r="J1973" s="97">
        <v>45975.67937972222</v>
      </c>
      <c r="K1973" s="96" t="s">
        <v>11218</v>
      </c>
      <c r="L1973" s="96" t="s">
        <v>11219</v>
      </c>
      <c r="M1973" s="95" t="s">
        <v>38</v>
      </c>
      <c r="N1973" s="95" t="s">
        <v>2961</v>
      </c>
      <c r="O1973" s="95" t="s">
        <v>2961</v>
      </c>
      <c r="P1973" s="95" t="s">
        <v>2962</v>
      </c>
      <c r="Q1973" s="98">
        <v>2.0</v>
      </c>
      <c r="R1973" s="97">
        <v>45772.06074074074</v>
      </c>
      <c r="S1973" s="99">
        <v>9006.0</v>
      </c>
      <c r="T1973" s="99">
        <v>14.0</v>
      </c>
      <c r="U1973" s="99">
        <v>2.0</v>
      </c>
      <c r="V1973" s="99">
        <v>28.0</v>
      </c>
      <c r="W1973" s="99">
        <v>799883.0</v>
      </c>
    </row>
    <row r="1974" ht="15.75" customHeight="1">
      <c r="A1974" s="95" t="s">
        <v>11220</v>
      </c>
      <c r="B1974" s="95" t="s">
        <v>22</v>
      </c>
      <c r="C1974" s="96" t="s">
        <v>11221</v>
      </c>
      <c r="D1974" s="95" t="s">
        <v>59</v>
      </c>
      <c r="E1974" s="95" t="s">
        <v>1347</v>
      </c>
      <c r="F1974" s="95" t="s">
        <v>19</v>
      </c>
      <c r="G1974" s="95" t="s">
        <v>19</v>
      </c>
      <c r="H1974" s="95" t="s">
        <v>21</v>
      </c>
      <c r="I1974" s="95" t="s">
        <v>589</v>
      </c>
      <c r="J1974" s="97">
        <v>46021.49299090278</v>
      </c>
      <c r="K1974" s="95" t="s">
        <v>11222</v>
      </c>
      <c r="L1974" s="96" t="s">
        <v>11223</v>
      </c>
      <c r="M1974" s="95" t="s">
        <v>54</v>
      </c>
      <c r="N1974" s="95" t="s">
        <v>11224</v>
      </c>
      <c r="O1974" s="95" t="s">
        <v>11224</v>
      </c>
      <c r="P1974" s="95" t="s">
        <v>11225</v>
      </c>
      <c r="Q1974" s="98">
        <v>2.0</v>
      </c>
      <c r="R1974" s="97">
        <v>45911.34384259259</v>
      </c>
      <c r="S1974" s="99">
        <v>553.0</v>
      </c>
      <c r="T1974" s="99">
        <v>31.0</v>
      </c>
      <c r="U1974" s="99">
        <v>1.0</v>
      </c>
      <c r="V1974" s="99">
        <v>20.0</v>
      </c>
      <c r="W1974" s="99">
        <v>518127.0</v>
      </c>
    </row>
    <row r="1975" ht="15.75" customHeight="1">
      <c r="A1975" s="95" t="s">
        <v>11226</v>
      </c>
      <c r="B1975" s="95" t="s">
        <v>22</v>
      </c>
      <c r="C1975" s="96" t="s">
        <v>11227</v>
      </c>
      <c r="D1975" s="95" t="s">
        <v>130</v>
      </c>
      <c r="E1975" s="95" t="s">
        <v>2109</v>
      </c>
      <c r="F1975" s="95" t="s">
        <v>19</v>
      </c>
      <c r="G1975" s="95" t="s">
        <v>19</v>
      </c>
      <c r="H1975" s="95" t="s">
        <v>21</v>
      </c>
      <c r="I1975" s="95" t="s">
        <v>567</v>
      </c>
      <c r="J1975" s="97">
        <v>45978.46242083333</v>
      </c>
      <c r="K1975" s="95" t="s">
        <v>11228</v>
      </c>
      <c r="L1975" s="96" t="s">
        <v>11229</v>
      </c>
      <c r="M1975" s="95" t="s">
        <v>17</v>
      </c>
      <c r="N1975" s="95" t="s">
        <v>11230</v>
      </c>
      <c r="O1975" s="95" t="s">
        <v>11230</v>
      </c>
      <c r="P1975" s="95" t="s">
        <v>11231</v>
      </c>
      <c r="Q1975" s="98">
        <v>2.0</v>
      </c>
      <c r="R1975" s="97">
        <v>45644.58116898148</v>
      </c>
      <c r="S1975" s="99">
        <v>712.0</v>
      </c>
      <c r="T1975" s="99">
        <v>5.0</v>
      </c>
      <c r="U1975" s="99">
        <v>3.0</v>
      </c>
      <c r="V1975" s="99">
        <v>67.0</v>
      </c>
      <c r="W1975" s="99">
        <v>143396.0</v>
      </c>
    </row>
    <row r="1976" ht="15.75" customHeight="1">
      <c r="A1976" s="95" t="s">
        <v>11232</v>
      </c>
      <c r="B1976" s="95" t="s">
        <v>22</v>
      </c>
      <c r="C1976" s="96" t="s">
        <v>11233</v>
      </c>
      <c r="D1976" s="95" t="s">
        <v>39</v>
      </c>
      <c r="E1976" s="95" t="s">
        <v>1269</v>
      </c>
      <c r="F1976" s="95" t="s">
        <v>19</v>
      </c>
      <c r="G1976" s="95" t="s">
        <v>588</v>
      </c>
      <c r="H1976" s="95" t="s">
        <v>21</v>
      </c>
      <c r="I1976" s="95" t="s">
        <v>589</v>
      </c>
      <c r="J1976" s="97">
        <v>46021.51029237269</v>
      </c>
      <c r="K1976" s="95" t="s">
        <v>11234</v>
      </c>
      <c r="L1976" s="96" t="s">
        <v>11235</v>
      </c>
      <c r="M1976" s="95" t="s">
        <v>93</v>
      </c>
      <c r="N1976" s="95" t="s">
        <v>11236</v>
      </c>
      <c r="O1976" s="95" t="s">
        <v>11236</v>
      </c>
      <c r="P1976" s="95" t="s">
        <v>11237</v>
      </c>
      <c r="Q1976" s="98">
        <v>2.0</v>
      </c>
      <c r="R1976" s="97">
        <v>45620.87284722222</v>
      </c>
      <c r="S1976" s="99">
        <v>1736.0</v>
      </c>
      <c r="T1976" s="99">
        <v>18712.0</v>
      </c>
      <c r="U1976" s="99">
        <v>27.0</v>
      </c>
      <c r="V1976" s="99">
        <v>115.0</v>
      </c>
      <c r="W1976" s="99">
        <v>235217.0</v>
      </c>
    </row>
    <row r="1977" ht="15.75" customHeight="1">
      <c r="A1977" s="95" t="s">
        <v>11238</v>
      </c>
      <c r="B1977" s="95" t="s">
        <v>22</v>
      </c>
      <c r="C1977" s="96" t="s">
        <v>11239</v>
      </c>
      <c r="D1977" s="95" t="s">
        <v>39</v>
      </c>
      <c r="E1977" s="95" t="s">
        <v>1269</v>
      </c>
      <c r="F1977" s="95" t="s">
        <v>19</v>
      </c>
      <c r="G1977" s="95" t="s">
        <v>19</v>
      </c>
      <c r="H1977" s="95" t="s">
        <v>21</v>
      </c>
      <c r="I1977" s="95" t="s">
        <v>567</v>
      </c>
      <c r="J1977" s="97">
        <v>45986.53189861111</v>
      </c>
      <c r="K1977" s="95" t="s">
        <v>11240</v>
      </c>
      <c r="L1977" s="96" t="s">
        <v>11241</v>
      </c>
      <c r="M1977" s="95" t="s">
        <v>17</v>
      </c>
      <c r="N1977" s="95" t="s">
        <v>11242</v>
      </c>
      <c r="O1977" s="95" t="s">
        <v>11242</v>
      </c>
      <c r="P1977" s="95" t="s">
        <v>11243</v>
      </c>
      <c r="Q1977" s="98">
        <v>2.0</v>
      </c>
      <c r="R1977" s="97">
        <v>45619.87802083333</v>
      </c>
      <c r="S1977" s="99">
        <v>3184.0</v>
      </c>
      <c r="T1977" s="99">
        <v>203.0</v>
      </c>
      <c r="U1977" s="99">
        <v>2.0</v>
      </c>
      <c r="V1977" s="99">
        <v>68.0</v>
      </c>
      <c r="W1977" s="99">
        <v>6163.0</v>
      </c>
    </row>
    <row r="1978" ht="15.75" customHeight="1">
      <c r="A1978" s="95" t="s">
        <v>11244</v>
      </c>
      <c r="B1978" s="95" t="s">
        <v>22</v>
      </c>
      <c r="C1978" s="96" t="s">
        <v>11245</v>
      </c>
      <c r="D1978" s="95" t="s">
        <v>20</v>
      </c>
      <c r="E1978" s="95" t="s">
        <v>2261</v>
      </c>
      <c r="F1978" s="95" t="s">
        <v>19</v>
      </c>
      <c r="G1978" s="95" t="s">
        <v>19</v>
      </c>
      <c r="H1978" s="95" t="s">
        <v>21</v>
      </c>
      <c r="I1978" s="95" t="s">
        <v>567</v>
      </c>
      <c r="J1978" s="97">
        <v>45978.46242083333</v>
      </c>
      <c r="K1978" s="95" t="s">
        <v>11246</v>
      </c>
      <c r="L1978" s="95"/>
      <c r="M1978" s="95" t="s">
        <v>17</v>
      </c>
      <c r="N1978" s="95" t="s">
        <v>16</v>
      </c>
      <c r="O1978" s="95" t="s">
        <v>16</v>
      </c>
      <c r="P1978" s="95" t="s">
        <v>3089</v>
      </c>
      <c r="Q1978" s="98">
        <v>2.0</v>
      </c>
      <c r="R1978" s="97">
        <v>45618.62413194445</v>
      </c>
      <c r="S1978" s="99">
        <v>23163.0</v>
      </c>
      <c r="T1978" s="99">
        <v>38.0</v>
      </c>
      <c r="U1978" s="99">
        <v>11.0</v>
      </c>
      <c r="V1978" s="99">
        <v>180.0</v>
      </c>
      <c r="W1978" s="99">
        <v>496546.0</v>
      </c>
    </row>
    <row r="1979" ht="15.75" customHeight="1">
      <c r="A1979" s="95" t="s">
        <v>135</v>
      </c>
      <c r="B1979" s="95" t="s">
        <v>131</v>
      </c>
      <c r="C1979" s="96" t="s">
        <v>139</v>
      </c>
      <c r="D1979" s="95" t="s">
        <v>20</v>
      </c>
      <c r="E1979" s="95" t="s">
        <v>20</v>
      </c>
      <c r="F1979" s="95" t="s">
        <v>58</v>
      </c>
      <c r="G1979" s="95" t="s">
        <v>58</v>
      </c>
      <c r="H1979" s="95" t="s">
        <v>136</v>
      </c>
      <c r="I1979" s="95" t="s">
        <v>2306</v>
      </c>
      <c r="J1979" s="97">
        <v>45975.67934009259</v>
      </c>
      <c r="K1979" s="96" t="s">
        <v>138</v>
      </c>
      <c r="L1979" s="96" t="s">
        <v>137</v>
      </c>
      <c r="M1979" s="95" t="s">
        <v>17</v>
      </c>
      <c r="N1979" s="95" t="s">
        <v>16</v>
      </c>
      <c r="O1979" s="95" t="s">
        <v>16</v>
      </c>
      <c r="P1979" s="95" t="s">
        <v>3089</v>
      </c>
      <c r="Q1979" s="98">
        <v>2.0</v>
      </c>
      <c r="R1979" s="97">
        <v>45672.7467824074</v>
      </c>
      <c r="S1979" s="99">
        <v>23163.0</v>
      </c>
      <c r="T1979" s="99">
        <v>33.0</v>
      </c>
      <c r="U1979" s="99">
        <v>2.0</v>
      </c>
      <c r="V1979" s="99">
        <v>23.0</v>
      </c>
      <c r="W1979" s="99">
        <v>496546.0</v>
      </c>
    </row>
    <row r="1980" ht="15.75" customHeight="1">
      <c r="A1980" s="95" t="s">
        <v>11247</v>
      </c>
      <c r="B1980" s="95" t="s">
        <v>131</v>
      </c>
      <c r="C1980" s="96" t="s">
        <v>11248</v>
      </c>
      <c r="D1980" s="95" t="s">
        <v>20</v>
      </c>
      <c r="E1980" s="95" t="s">
        <v>2261</v>
      </c>
      <c r="F1980" s="95" t="s">
        <v>19</v>
      </c>
      <c r="G1980" s="95" t="s">
        <v>574</v>
      </c>
      <c r="H1980" s="95" t="s">
        <v>60</v>
      </c>
      <c r="I1980" s="95" t="s">
        <v>4481</v>
      </c>
      <c r="J1980" s="97">
        <v>45975.67934009259</v>
      </c>
      <c r="K1980" s="96" t="s">
        <v>11249</v>
      </c>
      <c r="L1980" s="96" t="s">
        <v>11250</v>
      </c>
      <c r="M1980" s="95" t="s">
        <v>17</v>
      </c>
      <c r="N1980" s="95" t="s">
        <v>16</v>
      </c>
      <c r="O1980" s="95" t="s">
        <v>16</v>
      </c>
      <c r="P1980" s="95" t="s">
        <v>3089</v>
      </c>
      <c r="Q1980" s="98">
        <v>2.0</v>
      </c>
      <c r="R1980" s="97">
        <v>45740.73483796296</v>
      </c>
      <c r="S1980" s="99">
        <v>23163.0</v>
      </c>
      <c r="T1980" s="99">
        <v>8.0</v>
      </c>
      <c r="U1980" s="99">
        <v>10.0</v>
      </c>
      <c r="V1980" s="99">
        <v>101.0</v>
      </c>
      <c r="W1980" s="99">
        <v>496546.0</v>
      </c>
    </row>
    <row r="1981" ht="15.75" customHeight="1">
      <c r="A1981" s="95" t="s">
        <v>11251</v>
      </c>
      <c r="B1981" s="95" t="s">
        <v>131</v>
      </c>
      <c r="C1981" s="96" t="s">
        <v>11252</v>
      </c>
      <c r="D1981" s="95" t="s">
        <v>20</v>
      </c>
      <c r="E1981" s="95" t="s">
        <v>20</v>
      </c>
      <c r="F1981" s="95" t="s">
        <v>58</v>
      </c>
      <c r="G1981" s="95" t="s">
        <v>58</v>
      </c>
      <c r="H1981" s="95" t="s">
        <v>136</v>
      </c>
      <c r="I1981" s="95" t="s">
        <v>2306</v>
      </c>
      <c r="J1981" s="97">
        <v>45975.67934009259</v>
      </c>
      <c r="K1981" s="96" t="s">
        <v>11253</v>
      </c>
      <c r="L1981" s="96" t="s">
        <v>11254</v>
      </c>
      <c r="M1981" s="95" t="s">
        <v>17</v>
      </c>
      <c r="N1981" s="95" t="s">
        <v>16</v>
      </c>
      <c r="O1981" s="95" t="s">
        <v>16</v>
      </c>
      <c r="P1981" s="95" t="s">
        <v>3089</v>
      </c>
      <c r="Q1981" s="98">
        <v>2.0</v>
      </c>
      <c r="R1981" s="97">
        <v>45758.57699074074</v>
      </c>
      <c r="S1981" s="99">
        <v>23163.0</v>
      </c>
      <c r="T1981" s="99">
        <v>12.0</v>
      </c>
      <c r="U1981" s="99">
        <v>1.0</v>
      </c>
      <c r="V1981" s="99">
        <v>133.0</v>
      </c>
      <c r="W1981" s="99">
        <v>496546.0</v>
      </c>
    </row>
    <row r="1982" ht="15.75" customHeight="1">
      <c r="A1982" s="95" t="s">
        <v>11255</v>
      </c>
      <c r="B1982" s="95" t="s">
        <v>22</v>
      </c>
      <c r="C1982" s="96" t="s">
        <v>11256</v>
      </c>
      <c r="D1982" s="95" t="s">
        <v>20</v>
      </c>
      <c r="E1982" s="95"/>
      <c r="F1982" s="95" t="s">
        <v>19</v>
      </c>
      <c r="G1982" s="95" t="s">
        <v>19</v>
      </c>
      <c r="H1982" s="95" t="s">
        <v>21</v>
      </c>
      <c r="I1982" s="95" t="s">
        <v>567</v>
      </c>
      <c r="J1982" s="97">
        <v>45975.67934009259</v>
      </c>
      <c r="K1982" s="96" t="s">
        <v>11257</v>
      </c>
      <c r="L1982" s="96" t="s">
        <v>11258</v>
      </c>
      <c r="M1982" s="95" t="s">
        <v>17</v>
      </c>
      <c r="N1982" s="95" t="s">
        <v>16</v>
      </c>
      <c r="O1982" s="95" t="s">
        <v>16</v>
      </c>
      <c r="P1982" s="95" t="s">
        <v>3089</v>
      </c>
      <c r="Q1982" s="98">
        <v>2.0</v>
      </c>
      <c r="R1982" s="97">
        <v>45622.40896990741</v>
      </c>
      <c r="S1982" s="99">
        <v>23163.0</v>
      </c>
      <c r="T1982" s="99">
        <v>19.0</v>
      </c>
      <c r="U1982" s="99">
        <v>3.0</v>
      </c>
      <c r="V1982" s="99">
        <v>52.0</v>
      </c>
      <c r="W1982" s="99">
        <v>496546.0</v>
      </c>
    </row>
    <row r="1983" ht="15.75" customHeight="1">
      <c r="A1983" s="95" t="s">
        <v>11259</v>
      </c>
      <c r="B1983" s="95" t="s">
        <v>22</v>
      </c>
      <c r="C1983" s="96" t="s">
        <v>11260</v>
      </c>
      <c r="D1983" s="95" t="s">
        <v>20</v>
      </c>
      <c r="E1983" s="95" t="s">
        <v>2261</v>
      </c>
      <c r="F1983" s="95" t="s">
        <v>19</v>
      </c>
      <c r="G1983" s="95" t="s">
        <v>19</v>
      </c>
      <c r="H1983" s="95" t="s">
        <v>21</v>
      </c>
      <c r="I1983" s="95" t="s">
        <v>567</v>
      </c>
      <c r="J1983" s="97">
        <v>45975.67934009259</v>
      </c>
      <c r="K1983" s="96" t="s">
        <v>11261</v>
      </c>
      <c r="L1983" s="96" t="s">
        <v>11262</v>
      </c>
      <c r="M1983" s="95" t="s">
        <v>17</v>
      </c>
      <c r="N1983" s="95" t="s">
        <v>16</v>
      </c>
      <c r="O1983" s="95" t="s">
        <v>16</v>
      </c>
      <c r="P1983" s="95" t="s">
        <v>3089</v>
      </c>
      <c r="Q1983" s="98">
        <v>2.0</v>
      </c>
      <c r="R1983" s="97">
        <v>45771.59520833333</v>
      </c>
      <c r="S1983" s="99">
        <v>23163.0</v>
      </c>
      <c r="T1983" s="99">
        <v>23.0</v>
      </c>
      <c r="U1983" s="99">
        <v>2.0</v>
      </c>
      <c r="V1983" s="99">
        <v>53.0</v>
      </c>
      <c r="W1983" s="99">
        <v>496546.0</v>
      </c>
    </row>
    <row r="1984" ht="15.75" customHeight="1">
      <c r="A1984" s="95" t="s">
        <v>11263</v>
      </c>
      <c r="B1984" s="95" t="s">
        <v>22</v>
      </c>
      <c r="C1984" s="96" t="s">
        <v>11264</v>
      </c>
      <c r="D1984" s="95" t="s">
        <v>20</v>
      </c>
      <c r="E1984" s="95" t="s">
        <v>638</v>
      </c>
      <c r="F1984" s="95" t="s">
        <v>19</v>
      </c>
      <c r="G1984" s="95" t="s">
        <v>19</v>
      </c>
      <c r="H1984" s="95" t="s">
        <v>21</v>
      </c>
      <c r="I1984" s="95" t="s">
        <v>567</v>
      </c>
      <c r="J1984" s="97">
        <v>45975.67934009259</v>
      </c>
      <c r="K1984" s="96" t="s">
        <v>11265</v>
      </c>
      <c r="L1984" s="96" t="s">
        <v>11266</v>
      </c>
      <c r="M1984" s="95" t="s">
        <v>17</v>
      </c>
      <c r="N1984" s="95" t="s">
        <v>16</v>
      </c>
      <c r="O1984" s="95" t="s">
        <v>16</v>
      </c>
      <c r="P1984" s="95" t="s">
        <v>3089</v>
      </c>
      <c r="Q1984" s="98">
        <v>2.0</v>
      </c>
      <c r="R1984" s="97">
        <v>45799.52466435185</v>
      </c>
      <c r="S1984" s="99">
        <v>23163.0</v>
      </c>
      <c r="T1984" s="99">
        <v>23.0</v>
      </c>
      <c r="U1984" s="99">
        <v>10.0</v>
      </c>
      <c r="V1984" s="99">
        <v>104.0</v>
      </c>
      <c r="W1984" s="99">
        <v>496546.0</v>
      </c>
    </row>
    <row r="1985" ht="15.75" customHeight="1">
      <c r="A1985" s="95" t="s">
        <v>11267</v>
      </c>
      <c r="B1985" s="95" t="s">
        <v>157</v>
      </c>
      <c r="C1985" s="96" t="s">
        <v>11268</v>
      </c>
      <c r="D1985" s="95" t="s">
        <v>20</v>
      </c>
      <c r="E1985" s="95" t="s">
        <v>2261</v>
      </c>
      <c r="F1985" s="95" t="s">
        <v>88</v>
      </c>
      <c r="G1985" s="95" t="s">
        <v>858</v>
      </c>
      <c r="H1985" s="95" t="s">
        <v>89</v>
      </c>
      <c r="I1985" s="95" t="s">
        <v>859</v>
      </c>
      <c r="J1985" s="97">
        <v>45975.67934009259</v>
      </c>
      <c r="K1985" s="96" t="s">
        <v>11269</v>
      </c>
      <c r="L1985" s="96" t="s">
        <v>11270</v>
      </c>
      <c r="M1985" s="95" t="s">
        <v>17</v>
      </c>
      <c r="N1985" s="95" t="s">
        <v>16</v>
      </c>
      <c r="O1985" s="95" t="s">
        <v>16</v>
      </c>
      <c r="P1985" s="95" t="s">
        <v>3089</v>
      </c>
      <c r="Q1985" s="98">
        <v>2.0</v>
      </c>
      <c r="R1985" s="97">
        <v>45811.43234953703</v>
      </c>
      <c r="S1985" s="99">
        <v>23163.0</v>
      </c>
      <c r="T1985" s="99">
        <v>12.0</v>
      </c>
      <c r="U1985" s="99">
        <v>9.0</v>
      </c>
      <c r="V1985" s="99">
        <v>57.0</v>
      </c>
      <c r="W1985" s="99">
        <v>496546.0</v>
      </c>
    </row>
    <row r="1986" ht="15.75" customHeight="1">
      <c r="A1986" s="95" t="s">
        <v>15</v>
      </c>
      <c r="B1986" s="95" t="s">
        <v>22</v>
      </c>
      <c r="C1986" s="96" t="s">
        <v>25</v>
      </c>
      <c r="D1986" s="95" t="s">
        <v>20</v>
      </c>
      <c r="E1986" s="95" t="s">
        <v>996</v>
      </c>
      <c r="F1986" s="95" t="s">
        <v>19</v>
      </c>
      <c r="G1986" s="95" t="s">
        <v>19</v>
      </c>
      <c r="H1986" s="95" t="s">
        <v>21</v>
      </c>
      <c r="I1986" s="95" t="s">
        <v>567</v>
      </c>
      <c r="J1986" s="97">
        <v>45975.67934009259</v>
      </c>
      <c r="K1986" s="96" t="s">
        <v>24</v>
      </c>
      <c r="L1986" s="96" t="s">
        <v>23</v>
      </c>
      <c r="M1986" s="95" t="s">
        <v>17</v>
      </c>
      <c r="N1986" s="95" t="s">
        <v>16</v>
      </c>
      <c r="O1986" s="95" t="s">
        <v>16</v>
      </c>
      <c r="P1986" s="95" t="s">
        <v>3089</v>
      </c>
      <c r="Q1986" s="98">
        <v>2.0</v>
      </c>
      <c r="R1986" s="97">
        <v>45875.60802083334</v>
      </c>
      <c r="S1986" s="99">
        <v>23163.0</v>
      </c>
      <c r="T1986" s="99">
        <v>38.0</v>
      </c>
      <c r="U1986" s="99">
        <v>1.0</v>
      </c>
      <c r="V1986" s="99">
        <v>48.0</v>
      </c>
      <c r="W1986" s="99">
        <v>496546.0</v>
      </c>
    </row>
    <row r="1987" ht="15.75" customHeight="1">
      <c r="A1987" s="95" t="s">
        <v>11271</v>
      </c>
      <c r="B1987" s="95" t="s">
        <v>22</v>
      </c>
      <c r="C1987" s="96" t="s">
        <v>11272</v>
      </c>
      <c r="D1987" s="95" t="s">
        <v>20</v>
      </c>
      <c r="E1987" s="95" t="s">
        <v>20</v>
      </c>
      <c r="F1987" s="95" t="s">
        <v>19</v>
      </c>
      <c r="G1987" s="95" t="s">
        <v>1427</v>
      </c>
      <c r="H1987" s="95" t="s">
        <v>21</v>
      </c>
      <c r="I1987" s="95" t="s">
        <v>567</v>
      </c>
      <c r="J1987" s="97">
        <v>45975.67934009259</v>
      </c>
      <c r="K1987" s="96" t="s">
        <v>11273</v>
      </c>
      <c r="L1987" s="96" t="s">
        <v>11274</v>
      </c>
      <c r="M1987" s="95" t="s">
        <v>17</v>
      </c>
      <c r="N1987" s="95" t="s">
        <v>16</v>
      </c>
      <c r="O1987" s="95" t="s">
        <v>16</v>
      </c>
      <c r="P1987" s="95" t="s">
        <v>3089</v>
      </c>
      <c r="Q1987" s="98">
        <v>2.0</v>
      </c>
      <c r="R1987" s="97">
        <v>45861.45016203704</v>
      </c>
      <c r="S1987" s="99">
        <v>23163.0</v>
      </c>
      <c r="T1987" s="99">
        <v>101.0</v>
      </c>
      <c r="U1987" s="99">
        <v>5.0</v>
      </c>
      <c r="V1987" s="99">
        <v>36.0</v>
      </c>
      <c r="W1987" s="99">
        <v>496546.0</v>
      </c>
    </row>
    <row r="1988" ht="15.75" customHeight="1">
      <c r="A1988" s="95" t="s">
        <v>11275</v>
      </c>
      <c r="B1988" s="95" t="s">
        <v>22</v>
      </c>
      <c r="C1988" s="96" t="s">
        <v>11276</v>
      </c>
      <c r="D1988" s="95" t="s">
        <v>20</v>
      </c>
      <c r="E1988" s="95" t="s">
        <v>2261</v>
      </c>
      <c r="F1988" s="95" t="s">
        <v>19</v>
      </c>
      <c r="G1988" s="95" t="s">
        <v>19</v>
      </c>
      <c r="H1988" s="95" t="s">
        <v>21</v>
      </c>
      <c r="I1988" s="95" t="s">
        <v>567</v>
      </c>
      <c r="J1988" s="97">
        <v>45975.67934009259</v>
      </c>
      <c r="K1988" s="96" t="s">
        <v>11277</v>
      </c>
      <c r="L1988" s="96" t="s">
        <v>11278</v>
      </c>
      <c r="M1988" s="95" t="s">
        <v>17</v>
      </c>
      <c r="N1988" s="95" t="s">
        <v>16</v>
      </c>
      <c r="O1988" s="95" t="s">
        <v>16</v>
      </c>
      <c r="P1988" s="95" t="s">
        <v>3089</v>
      </c>
      <c r="Q1988" s="98">
        <v>2.0</v>
      </c>
      <c r="R1988" s="97">
        <v>45877.59822916667</v>
      </c>
      <c r="S1988" s="99">
        <v>23163.0</v>
      </c>
      <c r="T1988" s="99">
        <v>4.0</v>
      </c>
      <c r="U1988" s="99">
        <v>6.0</v>
      </c>
      <c r="V1988" s="99">
        <v>165.0</v>
      </c>
      <c r="W1988" s="99">
        <v>496546.0</v>
      </c>
    </row>
    <row r="1989" ht="15.75" customHeight="1">
      <c r="A1989" s="95" t="s">
        <v>11279</v>
      </c>
      <c r="B1989" s="95" t="s">
        <v>22</v>
      </c>
      <c r="C1989" s="96" t="s">
        <v>11280</v>
      </c>
      <c r="D1989" s="95" t="s">
        <v>20</v>
      </c>
      <c r="E1989" s="95" t="s">
        <v>20</v>
      </c>
      <c r="F1989" s="95" t="s">
        <v>19</v>
      </c>
      <c r="G1989" s="95" t="s">
        <v>19</v>
      </c>
      <c r="H1989" s="95" t="s">
        <v>21</v>
      </c>
      <c r="I1989" s="95" t="s">
        <v>567</v>
      </c>
      <c r="J1989" s="97">
        <v>45975.67934009259</v>
      </c>
      <c r="K1989" s="96" t="s">
        <v>11281</v>
      </c>
      <c r="L1989" s="96" t="s">
        <v>11282</v>
      </c>
      <c r="M1989" s="95" t="s">
        <v>17</v>
      </c>
      <c r="N1989" s="95" t="s">
        <v>16</v>
      </c>
      <c r="O1989" s="95" t="s">
        <v>16</v>
      </c>
      <c r="P1989" s="95" t="s">
        <v>3089</v>
      </c>
      <c r="Q1989" s="98">
        <v>2.0</v>
      </c>
      <c r="R1989" s="97">
        <v>45882.340625</v>
      </c>
      <c r="S1989" s="99">
        <v>23163.0</v>
      </c>
      <c r="T1989" s="99">
        <v>40.0</v>
      </c>
      <c r="U1989" s="99">
        <v>5.0</v>
      </c>
      <c r="V1989" s="99">
        <v>236.0</v>
      </c>
      <c r="W1989" s="99">
        <v>496546.0</v>
      </c>
    </row>
    <row r="1990" ht="15.75" customHeight="1">
      <c r="A1990" s="95" t="s">
        <v>11283</v>
      </c>
      <c r="B1990" s="95" t="s">
        <v>22</v>
      </c>
      <c r="C1990" s="96" t="s">
        <v>11284</v>
      </c>
      <c r="D1990" s="95" t="s">
        <v>20</v>
      </c>
      <c r="E1990" s="95" t="s">
        <v>20</v>
      </c>
      <c r="F1990" s="95" t="s">
        <v>19</v>
      </c>
      <c r="G1990" s="95" t="s">
        <v>574</v>
      </c>
      <c r="H1990" s="95" t="s">
        <v>21</v>
      </c>
      <c r="I1990" s="95" t="s">
        <v>567</v>
      </c>
      <c r="J1990" s="97">
        <v>45993.7854622338</v>
      </c>
      <c r="K1990" s="96" t="s">
        <v>11285</v>
      </c>
      <c r="L1990" s="96" t="s">
        <v>11286</v>
      </c>
      <c r="M1990" s="95" t="s">
        <v>17</v>
      </c>
      <c r="N1990" s="95" t="s">
        <v>16</v>
      </c>
      <c r="O1990" s="95" t="s">
        <v>16</v>
      </c>
      <c r="P1990" s="95" t="s">
        <v>3089</v>
      </c>
      <c r="Q1990" s="98">
        <v>2.0</v>
      </c>
      <c r="R1990" s="97">
        <v>45737.45793981481</v>
      </c>
      <c r="S1990" s="99">
        <v>23163.0</v>
      </c>
      <c r="T1990" s="99">
        <v>74.0</v>
      </c>
      <c r="U1990" s="99">
        <v>5.0</v>
      </c>
      <c r="V1990" s="99">
        <v>81.0</v>
      </c>
      <c r="W1990" s="99">
        <v>496546.0</v>
      </c>
    </row>
    <row r="1991" ht="15.75" customHeight="1">
      <c r="A1991" s="95" t="s">
        <v>11287</v>
      </c>
      <c r="B1991" s="95" t="s">
        <v>22</v>
      </c>
      <c r="C1991" s="96" t="s">
        <v>11288</v>
      </c>
      <c r="D1991" s="95" t="s">
        <v>20</v>
      </c>
      <c r="E1991" s="95" t="s">
        <v>996</v>
      </c>
      <c r="F1991" s="95" t="s">
        <v>19</v>
      </c>
      <c r="G1991" s="95" t="s">
        <v>19</v>
      </c>
      <c r="H1991" s="95" t="s">
        <v>21</v>
      </c>
      <c r="I1991" s="95" t="s">
        <v>567</v>
      </c>
      <c r="J1991" s="97">
        <v>46008.62903157408</v>
      </c>
      <c r="K1991" s="96" t="s">
        <v>11289</v>
      </c>
      <c r="L1991" s="96" t="s">
        <v>11290</v>
      </c>
      <c r="M1991" s="95" t="s">
        <v>17</v>
      </c>
      <c r="N1991" s="95" t="s">
        <v>16</v>
      </c>
      <c r="O1991" s="95" t="s">
        <v>16</v>
      </c>
      <c r="P1991" s="95" t="s">
        <v>3089</v>
      </c>
      <c r="Q1991" s="98">
        <v>2.0</v>
      </c>
      <c r="R1991" s="97">
        <v>45691.62186342593</v>
      </c>
      <c r="S1991" s="99">
        <v>23163.0</v>
      </c>
      <c r="T1991" s="99">
        <v>4.0</v>
      </c>
      <c r="U1991" s="99">
        <v>10.0</v>
      </c>
      <c r="V1991" s="99">
        <v>162.0</v>
      </c>
      <c r="W1991" s="99">
        <v>496546.0</v>
      </c>
    </row>
    <row r="1992" ht="15.75" customHeight="1">
      <c r="A1992" s="95" t="s">
        <v>11291</v>
      </c>
      <c r="B1992" s="95" t="s">
        <v>157</v>
      </c>
      <c r="C1992" s="96" t="s">
        <v>11292</v>
      </c>
      <c r="D1992" s="95" t="s">
        <v>39</v>
      </c>
      <c r="E1992" s="95" t="s">
        <v>697</v>
      </c>
      <c r="F1992" s="95" t="s">
        <v>88</v>
      </c>
      <c r="G1992" s="95" t="s">
        <v>88</v>
      </c>
      <c r="H1992" s="95" t="s">
        <v>89</v>
      </c>
      <c r="I1992" s="95" t="s">
        <v>897</v>
      </c>
      <c r="J1992" s="97">
        <v>45975.67934009259</v>
      </c>
      <c r="K1992" s="96" t="s">
        <v>11293</v>
      </c>
      <c r="L1992" s="96" t="s">
        <v>11294</v>
      </c>
      <c r="M1992" s="95" t="s">
        <v>17</v>
      </c>
      <c r="N1992" s="95" t="s">
        <v>11295</v>
      </c>
      <c r="O1992" s="95" t="s">
        <v>11295</v>
      </c>
      <c r="P1992" s="95" t="s">
        <v>11296</v>
      </c>
      <c r="Q1992" s="98">
        <v>2.0</v>
      </c>
      <c r="R1992" s="97">
        <v>45797.68915509259</v>
      </c>
      <c r="S1992" s="99">
        <v>83.0</v>
      </c>
      <c r="T1992" s="99">
        <v>60.0</v>
      </c>
      <c r="U1992" s="99">
        <v>2.0</v>
      </c>
      <c r="V1992" s="99">
        <v>364.0</v>
      </c>
      <c r="W1992" s="99">
        <v>26286.0</v>
      </c>
    </row>
    <row r="1993" ht="15.75" customHeight="1">
      <c r="A1993" s="95" t="s">
        <v>11297</v>
      </c>
      <c r="B1993" s="95" t="s">
        <v>101</v>
      </c>
      <c r="C1993" s="96" t="s">
        <v>11298</v>
      </c>
      <c r="D1993" s="95" t="s">
        <v>130</v>
      </c>
      <c r="E1993" s="95" t="s">
        <v>1323</v>
      </c>
      <c r="F1993" s="95" t="s">
        <v>19</v>
      </c>
      <c r="G1993" s="95" t="s">
        <v>19</v>
      </c>
      <c r="H1993" s="95" t="s">
        <v>21</v>
      </c>
      <c r="I1993" s="95" t="s">
        <v>781</v>
      </c>
      <c r="J1993" s="97">
        <v>45977.67517876157</v>
      </c>
      <c r="K1993" s="95" t="s">
        <v>11299</v>
      </c>
      <c r="L1993" s="95"/>
      <c r="M1993" s="95" t="s">
        <v>38</v>
      </c>
      <c r="N1993" s="95" t="s">
        <v>11300</v>
      </c>
      <c r="O1993" s="95" t="s">
        <v>11300</v>
      </c>
      <c r="P1993" s="95" t="s">
        <v>11301</v>
      </c>
      <c r="Q1993" s="98">
        <v>2.0</v>
      </c>
      <c r="R1993" s="97">
        <v>45810.19704861111</v>
      </c>
      <c r="S1993" s="99">
        <v>292.0</v>
      </c>
      <c r="T1993" s="99">
        <v>498.0</v>
      </c>
      <c r="U1993" s="99">
        <v>1.0</v>
      </c>
      <c r="V1993" s="99">
        <v>155.0</v>
      </c>
      <c r="W1993" s="99">
        <v>69727.0</v>
      </c>
    </row>
    <row r="1994" ht="15.75" customHeight="1">
      <c r="A1994" s="95" t="s">
        <v>11302</v>
      </c>
      <c r="B1994" s="95" t="s">
        <v>131</v>
      </c>
      <c r="C1994" s="96" t="s">
        <v>11303</v>
      </c>
      <c r="D1994" s="95" t="s">
        <v>124</v>
      </c>
      <c r="E1994" s="95" t="s">
        <v>794</v>
      </c>
      <c r="F1994" s="95" t="s">
        <v>58</v>
      </c>
      <c r="G1994" s="95" t="s">
        <v>2409</v>
      </c>
      <c r="H1994" s="95" t="s">
        <v>60</v>
      </c>
      <c r="I1994" s="95" t="s">
        <v>795</v>
      </c>
      <c r="J1994" s="97">
        <v>46056.93918255787</v>
      </c>
      <c r="K1994" s="95" t="s">
        <v>11304</v>
      </c>
      <c r="L1994" s="96" t="s">
        <v>11305</v>
      </c>
      <c r="M1994" s="95" t="s">
        <v>503</v>
      </c>
      <c r="N1994" s="95" t="s">
        <v>3129</v>
      </c>
      <c r="O1994" s="95" t="s">
        <v>3129</v>
      </c>
      <c r="P1994" s="95" t="s">
        <v>3130</v>
      </c>
      <c r="Q1994" s="98">
        <v>2.0</v>
      </c>
      <c r="R1994" s="97">
        <v>45754.6758912037</v>
      </c>
      <c r="S1994" s="99">
        <v>270.0</v>
      </c>
      <c r="T1994" s="99">
        <v>2.0</v>
      </c>
      <c r="U1994" s="99">
        <v>8.0</v>
      </c>
      <c r="V1994" s="99">
        <v>144.0</v>
      </c>
      <c r="W1994" s="99">
        <v>2332987.0</v>
      </c>
    </row>
    <row r="1995" ht="15.75" customHeight="1">
      <c r="A1995" s="95" t="s">
        <v>11306</v>
      </c>
      <c r="B1995" s="95" t="s">
        <v>131</v>
      </c>
      <c r="C1995" s="96" t="s">
        <v>11307</v>
      </c>
      <c r="D1995" s="95" t="s">
        <v>39</v>
      </c>
      <c r="E1995" s="95" t="s">
        <v>39</v>
      </c>
      <c r="F1995" s="95" t="s">
        <v>19</v>
      </c>
      <c r="G1995" s="95" t="s">
        <v>19</v>
      </c>
      <c r="H1995" s="95" t="s">
        <v>21</v>
      </c>
      <c r="I1995" s="95" t="s">
        <v>647</v>
      </c>
      <c r="J1995" s="97">
        <v>45975.67936400463</v>
      </c>
      <c r="K1995" s="96" t="s">
        <v>11308</v>
      </c>
      <c r="L1995" s="96" t="s">
        <v>11309</v>
      </c>
      <c r="M1995" s="95" t="s">
        <v>67</v>
      </c>
      <c r="N1995" s="95" t="s">
        <v>11310</v>
      </c>
      <c r="O1995" s="95" t="s">
        <v>11310</v>
      </c>
      <c r="P1995" s="95" t="s">
        <v>11311</v>
      </c>
      <c r="Q1995" s="98">
        <v>2.0</v>
      </c>
      <c r="R1995" s="97">
        <v>45735.60954861111</v>
      </c>
      <c r="S1995" s="99">
        <v>5297.0</v>
      </c>
      <c r="T1995" s="99">
        <v>5.0</v>
      </c>
      <c r="U1995" s="99">
        <v>1.0</v>
      </c>
      <c r="V1995" s="99">
        <v>110.0</v>
      </c>
      <c r="W1995" s="99">
        <v>1525247.0</v>
      </c>
    </row>
    <row r="1996" ht="15.75" customHeight="1">
      <c r="A1996" s="95" t="s">
        <v>11312</v>
      </c>
      <c r="B1996" s="95" t="s">
        <v>157</v>
      </c>
      <c r="C1996" s="96" t="s">
        <v>11313</v>
      </c>
      <c r="D1996" s="95" t="s">
        <v>68</v>
      </c>
      <c r="E1996" s="95" t="s">
        <v>3150</v>
      </c>
      <c r="F1996" s="95" t="s">
        <v>88</v>
      </c>
      <c r="G1996" s="95" t="s">
        <v>858</v>
      </c>
      <c r="H1996" s="95" t="s">
        <v>89</v>
      </c>
      <c r="I1996" s="95" t="s">
        <v>6976</v>
      </c>
      <c r="J1996" s="97">
        <v>46041.42514399305</v>
      </c>
      <c r="K1996" s="95" t="s">
        <v>11314</v>
      </c>
      <c r="L1996" s="96" t="s">
        <v>11315</v>
      </c>
      <c r="M1996" s="95" t="s">
        <v>93</v>
      </c>
      <c r="N1996" s="95" t="s">
        <v>3153</v>
      </c>
      <c r="O1996" s="95" t="s">
        <v>3153</v>
      </c>
      <c r="P1996" s="95" t="s">
        <v>3154</v>
      </c>
      <c r="Q1996" s="98">
        <v>2.0</v>
      </c>
      <c r="R1996" s="97">
        <v>45725.85873842592</v>
      </c>
      <c r="S1996" s="99">
        <v>3603.0</v>
      </c>
      <c r="T1996" s="99">
        <v>29.0</v>
      </c>
      <c r="U1996" s="99">
        <v>2.0</v>
      </c>
      <c r="V1996" s="99">
        <v>51.0</v>
      </c>
      <c r="W1996" s="99">
        <v>651557.0</v>
      </c>
    </row>
    <row r="1997" ht="15.75" customHeight="1">
      <c r="A1997" s="95" t="s">
        <v>11316</v>
      </c>
      <c r="B1997" s="95" t="s">
        <v>22</v>
      </c>
      <c r="C1997" s="96" t="s">
        <v>11317</v>
      </c>
      <c r="D1997" s="95" t="s">
        <v>39</v>
      </c>
      <c r="E1997" s="95" t="s">
        <v>39</v>
      </c>
      <c r="F1997" s="95" t="s">
        <v>19</v>
      </c>
      <c r="G1997" s="95" t="s">
        <v>19</v>
      </c>
      <c r="H1997" s="95" t="s">
        <v>21</v>
      </c>
      <c r="I1997" s="95" t="s">
        <v>567</v>
      </c>
      <c r="J1997" s="97">
        <v>45993.78544196759</v>
      </c>
      <c r="K1997" s="96" t="s">
        <v>11318</v>
      </c>
      <c r="L1997" s="96" t="s">
        <v>11319</v>
      </c>
      <c r="M1997" s="95" t="s">
        <v>28</v>
      </c>
      <c r="N1997" s="95" t="s">
        <v>3193</v>
      </c>
      <c r="O1997" s="95" t="s">
        <v>3193</v>
      </c>
      <c r="P1997" s="95" t="s">
        <v>3194</v>
      </c>
      <c r="Q1997" s="98">
        <v>2.0</v>
      </c>
      <c r="R1997" s="97">
        <v>45607.85237268519</v>
      </c>
      <c r="S1997" s="99">
        <v>58.0</v>
      </c>
      <c r="T1997" s="99">
        <v>27.0</v>
      </c>
      <c r="U1997" s="99">
        <v>1.0</v>
      </c>
      <c r="V1997" s="99">
        <v>84.0</v>
      </c>
      <c r="W1997" s="99">
        <v>4057.0</v>
      </c>
    </row>
    <row r="1998" ht="15.75" customHeight="1">
      <c r="A1998" s="95" t="s">
        <v>11320</v>
      </c>
      <c r="B1998" s="95" t="s">
        <v>22</v>
      </c>
      <c r="C1998" s="96" t="s">
        <v>11321</v>
      </c>
      <c r="D1998" s="95" t="s">
        <v>547</v>
      </c>
      <c r="E1998" s="95" t="s">
        <v>5233</v>
      </c>
      <c r="F1998" s="95" t="s">
        <v>19</v>
      </c>
      <c r="G1998" s="95" t="s">
        <v>19</v>
      </c>
      <c r="H1998" s="95" t="s">
        <v>21</v>
      </c>
      <c r="I1998" s="95" t="s">
        <v>567</v>
      </c>
      <c r="J1998" s="97">
        <v>45975.67934009259</v>
      </c>
      <c r="K1998" s="96" t="s">
        <v>11322</v>
      </c>
      <c r="L1998" s="96" t="s">
        <v>11323</v>
      </c>
      <c r="M1998" s="95" t="s">
        <v>17</v>
      </c>
      <c r="N1998" s="95" t="s">
        <v>3212</v>
      </c>
      <c r="O1998" s="95" t="s">
        <v>3212</v>
      </c>
      <c r="P1998" s="95" t="s">
        <v>3213</v>
      </c>
      <c r="Q1998" s="98">
        <v>2.0</v>
      </c>
      <c r="R1998" s="97">
        <v>45713.01876157407</v>
      </c>
      <c r="S1998" s="99">
        <v>2588.0</v>
      </c>
      <c r="T1998" s="99">
        <v>39.0</v>
      </c>
      <c r="U1998" s="99">
        <v>8.0</v>
      </c>
      <c r="V1998" s="99">
        <v>88.0</v>
      </c>
      <c r="W1998" s="99">
        <v>218340.0</v>
      </c>
    </row>
    <row r="1999" ht="15.75" customHeight="1">
      <c r="A1999" s="95" t="s">
        <v>11324</v>
      </c>
      <c r="B1999" s="95" t="s">
        <v>22</v>
      </c>
      <c r="C1999" s="96" t="s">
        <v>11325</v>
      </c>
      <c r="D1999" s="95" t="s">
        <v>547</v>
      </c>
      <c r="E1999" s="95" t="s">
        <v>710</v>
      </c>
      <c r="F1999" s="95" t="s">
        <v>88</v>
      </c>
      <c r="G1999" s="95" t="s">
        <v>858</v>
      </c>
      <c r="H1999" s="95" t="s">
        <v>21</v>
      </c>
      <c r="I1999" s="95" t="s">
        <v>567</v>
      </c>
      <c r="J1999" s="97">
        <v>45978.46257831019</v>
      </c>
      <c r="K1999" s="95" t="s">
        <v>11326</v>
      </c>
      <c r="L1999" s="95"/>
      <c r="M1999" s="95" t="s">
        <v>17</v>
      </c>
      <c r="N1999" s="95" t="s">
        <v>3212</v>
      </c>
      <c r="O1999" s="95" t="s">
        <v>3212</v>
      </c>
      <c r="P1999" s="95" t="s">
        <v>3213</v>
      </c>
      <c r="Q1999" s="98">
        <v>2.0</v>
      </c>
      <c r="R1999" s="97">
        <v>45746.94262731481</v>
      </c>
      <c r="S1999" s="99">
        <v>2588.0</v>
      </c>
      <c r="T1999" s="99">
        <v>528.0</v>
      </c>
      <c r="U1999" s="99">
        <v>3.0</v>
      </c>
      <c r="V1999" s="99">
        <v>85.0</v>
      </c>
      <c r="W1999" s="99">
        <v>218340.0</v>
      </c>
    </row>
    <row r="2000" ht="15.75" customHeight="1">
      <c r="A2000" s="95" t="s">
        <v>11327</v>
      </c>
      <c r="B2000" s="95" t="s">
        <v>101</v>
      </c>
      <c r="C2000" s="96" t="s">
        <v>11328</v>
      </c>
      <c r="D2000" s="95" t="s">
        <v>168</v>
      </c>
      <c r="E2000" s="95" t="s">
        <v>7860</v>
      </c>
      <c r="F2000" s="95" t="s">
        <v>19</v>
      </c>
      <c r="G2000" s="95" t="s">
        <v>574</v>
      </c>
      <c r="H2000" s="95" t="s">
        <v>21</v>
      </c>
      <c r="I2000" s="95" t="s">
        <v>955</v>
      </c>
      <c r="J2000" s="97">
        <v>45994.66739825231</v>
      </c>
      <c r="K2000" s="96" t="s">
        <v>11329</v>
      </c>
      <c r="L2000" s="96" t="s">
        <v>11330</v>
      </c>
      <c r="M2000" s="95" t="s">
        <v>105</v>
      </c>
      <c r="N2000" s="95" t="s">
        <v>3253</v>
      </c>
      <c r="O2000" s="95" t="s">
        <v>3253</v>
      </c>
      <c r="P2000" s="95" t="s">
        <v>3254</v>
      </c>
      <c r="Q2000" s="98">
        <v>2.0</v>
      </c>
      <c r="R2000" s="97">
        <v>45792.38989583333</v>
      </c>
      <c r="S2000" s="99">
        <v>248.0</v>
      </c>
      <c r="T2000" s="99">
        <v>4374.0</v>
      </c>
      <c r="U2000" s="99">
        <v>9.0</v>
      </c>
      <c r="V2000" s="99">
        <v>88.0</v>
      </c>
      <c r="W2000" s="99">
        <v>82324.0</v>
      </c>
    </row>
    <row r="2001" ht="15.75" customHeight="1">
      <c r="A2001" s="95" t="s">
        <v>11331</v>
      </c>
      <c r="B2001" s="95" t="s">
        <v>22</v>
      </c>
      <c r="C2001" s="96" t="s">
        <v>11332</v>
      </c>
      <c r="D2001" s="95" t="s">
        <v>130</v>
      </c>
      <c r="E2001" s="95" t="s">
        <v>130</v>
      </c>
      <c r="F2001" s="95" t="s">
        <v>19</v>
      </c>
      <c r="G2001" s="95" t="s">
        <v>19</v>
      </c>
      <c r="H2001" s="95" t="s">
        <v>21</v>
      </c>
      <c r="I2001" s="95" t="s">
        <v>589</v>
      </c>
      <c r="J2001" s="97">
        <v>45975.67934009259</v>
      </c>
      <c r="K2001" s="96" t="s">
        <v>11333</v>
      </c>
      <c r="L2001" s="96" t="s">
        <v>11334</v>
      </c>
      <c r="M2001" s="95" t="s">
        <v>17</v>
      </c>
      <c r="N2001" s="95" t="s">
        <v>11335</v>
      </c>
      <c r="O2001" s="95" t="s">
        <v>11335</v>
      </c>
      <c r="P2001" s="95" t="s">
        <v>11336</v>
      </c>
      <c r="Q2001" s="98">
        <v>2.0</v>
      </c>
      <c r="R2001" s="97">
        <v>45859.39771990741</v>
      </c>
      <c r="S2001" s="99">
        <v>4897.0</v>
      </c>
      <c r="T2001" s="99">
        <v>57.0</v>
      </c>
      <c r="U2001" s="99">
        <v>10.0</v>
      </c>
      <c r="V2001" s="99">
        <v>109.0</v>
      </c>
      <c r="W2001" s="99">
        <v>333674.0</v>
      </c>
    </row>
    <row r="2002" ht="15.75" customHeight="1">
      <c r="A2002" s="95" t="s">
        <v>11337</v>
      </c>
      <c r="B2002" s="95" t="s">
        <v>22</v>
      </c>
      <c r="C2002" s="96" t="s">
        <v>11338</v>
      </c>
      <c r="D2002" s="95" t="s">
        <v>39</v>
      </c>
      <c r="E2002" s="95" t="s">
        <v>960</v>
      </c>
      <c r="F2002" s="95" t="s">
        <v>19</v>
      </c>
      <c r="G2002" s="95" t="s">
        <v>19</v>
      </c>
      <c r="H2002" s="95" t="s">
        <v>21</v>
      </c>
      <c r="I2002" s="95" t="s">
        <v>567</v>
      </c>
      <c r="J2002" s="97">
        <v>46021.51029237269</v>
      </c>
      <c r="K2002" s="95" t="s">
        <v>11339</v>
      </c>
      <c r="L2002" s="96" t="s">
        <v>11340</v>
      </c>
      <c r="M2002" s="95" t="s">
        <v>54</v>
      </c>
      <c r="N2002" s="95" t="s">
        <v>11341</v>
      </c>
      <c r="O2002" s="95" t="s">
        <v>11341</v>
      </c>
      <c r="P2002" s="95" t="s">
        <v>11342</v>
      </c>
      <c r="Q2002" s="98">
        <v>2.0</v>
      </c>
      <c r="R2002" s="97">
        <v>45793.73310185185</v>
      </c>
      <c r="S2002" s="99">
        <v>108.0</v>
      </c>
      <c r="T2002" s="99">
        <v>360.0</v>
      </c>
      <c r="U2002" s="99">
        <v>2.0</v>
      </c>
      <c r="V2002" s="99">
        <v>100.0</v>
      </c>
      <c r="W2002" s="99">
        <v>45639.0</v>
      </c>
    </row>
    <row r="2003" ht="15.75" customHeight="1">
      <c r="A2003" s="95" t="s">
        <v>11343</v>
      </c>
      <c r="B2003" s="95" t="s">
        <v>22</v>
      </c>
      <c r="C2003" s="96" t="s">
        <v>11344</v>
      </c>
      <c r="D2003" s="95" t="s">
        <v>39</v>
      </c>
      <c r="E2003" s="95" t="s">
        <v>960</v>
      </c>
      <c r="F2003" s="95" t="s">
        <v>19</v>
      </c>
      <c r="G2003" s="95" t="s">
        <v>19</v>
      </c>
      <c r="H2003" s="95" t="s">
        <v>21</v>
      </c>
      <c r="I2003" s="95" t="s">
        <v>567</v>
      </c>
      <c r="J2003" s="97">
        <v>46021.50915592592</v>
      </c>
      <c r="K2003" s="95" t="s">
        <v>11345</v>
      </c>
      <c r="L2003" s="96" t="s">
        <v>11346</v>
      </c>
      <c r="M2003" s="95" t="s">
        <v>54</v>
      </c>
      <c r="N2003" s="95" t="s">
        <v>11341</v>
      </c>
      <c r="O2003" s="95" t="s">
        <v>11341</v>
      </c>
      <c r="P2003" s="95" t="s">
        <v>11342</v>
      </c>
      <c r="Q2003" s="98">
        <v>2.0</v>
      </c>
      <c r="R2003" s="97">
        <v>45779.71976851852</v>
      </c>
      <c r="S2003" s="99">
        <v>108.0</v>
      </c>
      <c r="T2003" s="99">
        <v>106.0</v>
      </c>
      <c r="U2003" s="99">
        <v>5.0</v>
      </c>
      <c r="V2003" s="99">
        <v>42.0</v>
      </c>
      <c r="W2003" s="99">
        <v>45639.0</v>
      </c>
    </row>
    <row r="2004" ht="15.75" customHeight="1">
      <c r="A2004" s="95" t="s">
        <v>11347</v>
      </c>
      <c r="B2004" s="95" t="s">
        <v>22</v>
      </c>
      <c r="C2004" s="96" t="s">
        <v>11348</v>
      </c>
      <c r="D2004" s="95" t="s">
        <v>39</v>
      </c>
      <c r="E2004" s="95" t="s">
        <v>960</v>
      </c>
      <c r="F2004" s="95" t="s">
        <v>19</v>
      </c>
      <c r="G2004" s="95" t="s">
        <v>19</v>
      </c>
      <c r="H2004" s="95" t="s">
        <v>21</v>
      </c>
      <c r="I2004" s="95" t="s">
        <v>567</v>
      </c>
      <c r="J2004" s="97">
        <v>46021.50993377315</v>
      </c>
      <c r="K2004" s="95" t="s">
        <v>11349</v>
      </c>
      <c r="L2004" s="96" t="s">
        <v>11350</v>
      </c>
      <c r="M2004" s="95" t="s">
        <v>54</v>
      </c>
      <c r="N2004" s="95" t="s">
        <v>11341</v>
      </c>
      <c r="O2004" s="95" t="s">
        <v>11341</v>
      </c>
      <c r="P2004" s="95" t="s">
        <v>11342</v>
      </c>
      <c r="Q2004" s="98">
        <v>2.0</v>
      </c>
      <c r="R2004" s="97">
        <v>45807.68773148148</v>
      </c>
      <c r="S2004" s="99">
        <v>108.0</v>
      </c>
      <c r="T2004" s="99">
        <v>377.0</v>
      </c>
      <c r="U2004" s="99">
        <v>5.0</v>
      </c>
      <c r="V2004" s="99">
        <v>58.0</v>
      </c>
      <c r="W2004" s="99">
        <v>45639.0</v>
      </c>
    </row>
    <row r="2005" ht="15.75" customHeight="1">
      <c r="A2005" s="95" t="s">
        <v>11351</v>
      </c>
      <c r="B2005" s="95" t="s">
        <v>22</v>
      </c>
      <c r="C2005" s="96" t="s">
        <v>11352</v>
      </c>
      <c r="D2005" s="95" t="s">
        <v>39</v>
      </c>
      <c r="E2005" s="95" t="s">
        <v>960</v>
      </c>
      <c r="F2005" s="95" t="s">
        <v>19</v>
      </c>
      <c r="G2005" s="95" t="s">
        <v>19</v>
      </c>
      <c r="H2005" s="95" t="s">
        <v>21</v>
      </c>
      <c r="I2005" s="95" t="s">
        <v>567</v>
      </c>
      <c r="J2005" s="97">
        <v>46021.51029237269</v>
      </c>
      <c r="K2005" s="95" t="s">
        <v>11353</v>
      </c>
      <c r="L2005" s="96" t="s">
        <v>11354</v>
      </c>
      <c r="M2005" s="95" t="s">
        <v>54</v>
      </c>
      <c r="N2005" s="95" t="s">
        <v>11341</v>
      </c>
      <c r="O2005" s="95" t="s">
        <v>11341</v>
      </c>
      <c r="P2005" s="95" t="s">
        <v>11342</v>
      </c>
      <c r="Q2005" s="98">
        <v>2.0</v>
      </c>
      <c r="R2005" s="97">
        <v>45785.74458333333</v>
      </c>
      <c r="S2005" s="99">
        <v>108.0</v>
      </c>
      <c r="T2005" s="99">
        <v>324.0</v>
      </c>
      <c r="U2005" s="99">
        <v>4.0</v>
      </c>
      <c r="V2005" s="99">
        <v>121.0</v>
      </c>
      <c r="W2005" s="99">
        <v>45639.0</v>
      </c>
    </row>
    <row r="2006" ht="15.75" customHeight="1">
      <c r="A2006" s="95" t="s">
        <v>11355</v>
      </c>
      <c r="B2006" s="95" t="s">
        <v>22</v>
      </c>
      <c r="C2006" s="96" t="s">
        <v>11356</v>
      </c>
      <c r="D2006" s="95" t="s">
        <v>39</v>
      </c>
      <c r="E2006" s="95" t="s">
        <v>960</v>
      </c>
      <c r="F2006" s="95" t="s">
        <v>19</v>
      </c>
      <c r="G2006" s="95"/>
      <c r="H2006" s="95" t="s">
        <v>21</v>
      </c>
      <c r="I2006" s="95" t="s">
        <v>567</v>
      </c>
      <c r="J2006" s="97">
        <v>46021.51029237269</v>
      </c>
      <c r="K2006" s="95" t="s">
        <v>11357</v>
      </c>
      <c r="L2006" s="96" t="s">
        <v>11358</v>
      </c>
      <c r="M2006" s="95" t="s">
        <v>54</v>
      </c>
      <c r="N2006" s="95" t="s">
        <v>11341</v>
      </c>
      <c r="O2006" s="95" t="s">
        <v>11341</v>
      </c>
      <c r="P2006" s="95" t="s">
        <v>11342</v>
      </c>
      <c r="Q2006" s="98">
        <v>2.0</v>
      </c>
      <c r="R2006" s="97">
        <v>45818.9990625</v>
      </c>
      <c r="S2006" s="99">
        <v>108.0</v>
      </c>
      <c r="T2006" s="99">
        <v>934.0</v>
      </c>
      <c r="U2006" s="99">
        <v>5.0</v>
      </c>
      <c r="V2006" s="99">
        <v>112.0</v>
      </c>
      <c r="W2006" s="99">
        <v>45639.0</v>
      </c>
    </row>
    <row r="2007" ht="15.75" customHeight="1">
      <c r="A2007" s="95" t="s">
        <v>11359</v>
      </c>
      <c r="B2007" s="95" t="s">
        <v>22</v>
      </c>
      <c r="C2007" s="96" t="s">
        <v>11360</v>
      </c>
      <c r="D2007" s="95" t="s">
        <v>39</v>
      </c>
      <c r="E2007" s="95" t="s">
        <v>960</v>
      </c>
      <c r="F2007" s="95" t="s">
        <v>19</v>
      </c>
      <c r="G2007" s="95" t="s">
        <v>19</v>
      </c>
      <c r="H2007" s="95" t="s">
        <v>21</v>
      </c>
      <c r="I2007" s="95" t="s">
        <v>567</v>
      </c>
      <c r="J2007" s="97">
        <v>46021.49299090278</v>
      </c>
      <c r="K2007" s="95" t="s">
        <v>11361</v>
      </c>
      <c r="L2007" s="96" t="s">
        <v>11362</v>
      </c>
      <c r="M2007" s="95" t="s">
        <v>28</v>
      </c>
      <c r="N2007" s="95" t="s">
        <v>11363</v>
      </c>
      <c r="O2007" s="95" t="s">
        <v>11363</v>
      </c>
      <c r="P2007" s="95" t="s">
        <v>11364</v>
      </c>
      <c r="Q2007" s="98">
        <v>2.0</v>
      </c>
      <c r="R2007" s="97">
        <v>45800.62392361111</v>
      </c>
      <c r="S2007" s="99">
        <v>73.0</v>
      </c>
      <c r="T2007" s="99">
        <v>30.0</v>
      </c>
      <c r="U2007" s="99">
        <v>1.0</v>
      </c>
      <c r="V2007" s="99">
        <v>28.0</v>
      </c>
      <c r="W2007" s="99">
        <v>236770.0</v>
      </c>
    </row>
    <row r="2008" ht="15.75" customHeight="1">
      <c r="A2008" s="95" t="s">
        <v>11365</v>
      </c>
      <c r="B2008" s="95" t="s">
        <v>22</v>
      </c>
      <c r="C2008" s="96" t="s">
        <v>11366</v>
      </c>
      <c r="D2008" s="95" t="s">
        <v>39</v>
      </c>
      <c r="E2008" s="95" t="s">
        <v>960</v>
      </c>
      <c r="F2008" s="95" t="s">
        <v>19</v>
      </c>
      <c r="G2008" s="95" t="s">
        <v>574</v>
      </c>
      <c r="H2008" s="95" t="s">
        <v>21</v>
      </c>
      <c r="I2008" s="95" t="s">
        <v>567</v>
      </c>
      <c r="J2008" s="97">
        <v>46021.49299090278</v>
      </c>
      <c r="K2008" s="95" t="s">
        <v>11367</v>
      </c>
      <c r="L2008" s="96" t="s">
        <v>11368</v>
      </c>
      <c r="M2008" s="95" t="s">
        <v>28</v>
      </c>
      <c r="N2008" s="95" t="s">
        <v>11363</v>
      </c>
      <c r="O2008" s="95" t="s">
        <v>11363</v>
      </c>
      <c r="P2008" s="95" t="s">
        <v>11364</v>
      </c>
      <c r="Q2008" s="98">
        <v>2.0</v>
      </c>
      <c r="R2008" s="97">
        <v>45771.76289351852</v>
      </c>
      <c r="S2008" s="99">
        <v>73.0</v>
      </c>
      <c r="T2008" s="99">
        <v>1.0</v>
      </c>
      <c r="U2008" s="99">
        <v>1.0</v>
      </c>
      <c r="V2008" s="99">
        <v>46.0</v>
      </c>
      <c r="W2008" s="99">
        <v>236770.0</v>
      </c>
    </row>
    <row r="2009" ht="15.75" customHeight="1">
      <c r="A2009" s="95" t="s">
        <v>11369</v>
      </c>
      <c r="B2009" s="95" t="s">
        <v>131</v>
      </c>
      <c r="C2009" s="96" t="s">
        <v>11370</v>
      </c>
      <c r="D2009" s="95" t="s">
        <v>39</v>
      </c>
      <c r="E2009" s="95" t="s">
        <v>39</v>
      </c>
      <c r="F2009" s="95" t="s">
        <v>19</v>
      </c>
      <c r="G2009" s="95" t="s">
        <v>574</v>
      </c>
      <c r="H2009" s="95" t="s">
        <v>21</v>
      </c>
      <c r="I2009" s="95" t="s">
        <v>647</v>
      </c>
      <c r="J2009" s="97">
        <v>46021.49299090278</v>
      </c>
      <c r="K2009" s="95" t="s">
        <v>11371</v>
      </c>
      <c r="L2009" s="96" t="s">
        <v>11372</v>
      </c>
      <c r="M2009" s="95" t="s">
        <v>28</v>
      </c>
      <c r="N2009" s="95" t="s">
        <v>11373</v>
      </c>
      <c r="O2009" s="95" t="s">
        <v>11373</v>
      </c>
      <c r="P2009" s="95" t="s">
        <v>11374</v>
      </c>
      <c r="Q2009" s="98">
        <v>2.0</v>
      </c>
      <c r="R2009" s="97">
        <v>45898.64385416666</v>
      </c>
      <c r="S2009" s="99">
        <v>179.0</v>
      </c>
      <c r="T2009" s="99">
        <v>36.0</v>
      </c>
      <c r="U2009" s="99">
        <v>1.0</v>
      </c>
      <c r="V2009" s="99">
        <v>51.0</v>
      </c>
      <c r="W2009" s="99">
        <v>76223.0</v>
      </c>
    </row>
    <row r="2010" ht="15.75" customHeight="1">
      <c r="A2010" s="95" t="s">
        <v>11375</v>
      </c>
      <c r="B2010" s="95" t="s">
        <v>22</v>
      </c>
      <c r="C2010" s="96" t="s">
        <v>11376</v>
      </c>
      <c r="D2010" s="95" t="s">
        <v>20</v>
      </c>
      <c r="E2010" s="95" t="s">
        <v>20</v>
      </c>
      <c r="F2010" s="95" t="s">
        <v>19</v>
      </c>
      <c r="G2010" s="95" t="s">
        <v>1367</v>
      </c>
      <c r="H2010" s="95" t="s">
        <v>21</v>
      </c>
      <c r="I2010" s="95" t="s">
        <v>567</v>
      </c>
      <c r="J2010" s="97">
        <v>45993.7854622338</v>
      </c>
      <c r="K2010" s="96" t="s">
        <v>11377</v>
      </c>
      <c r="L2010" s="95"/>
      <c r="M2010" s="95" t="s">
        <v>17</v>
      </c>
      <c r="N2010" s="95" t="s">
        <v>11378</v>
      </c>
      <c r="O2010" s="95" t="s">
        <v>11378</v>
      </c>
      <c r="P2010" s="95" t="s">
        <v>11379</v>
      </c>
      <c r="Q2010" s="98">
        <v>2.0</v>
      </c>
      <c r="R2010" s="97">
        <v>45871.34225694444</v>
      </c>
      <c r="S2010" s="99">
        <v>13398.0</v>
      </c>
      <c r="T2010" s="99">
        <v>1.0</v>
      </c>
      <c r="U2010" s="99">
        <v>1.0</v>
      </c>
      <c r="V2010" s="99">
        <v>126.0</v>
      </c>
      <c r="W2010" s="99">
        <v>27636.0</v>
      </c>
    </row>
    <row r="2011" ht="15.75" customHeight="1">
      <c r="A2011" s="95" t="s">
        <v>11380</v>
      </c>
      <c r="B2011" s="95" t="s">
        <v>22</v>
      </c>
      <c r="C2011" s="96" t="s">
        <v>11381</v>
      </c>
      <c r="D2011" s="95" t="s">
        <v>20</v>
      </c>
      <c r="E2011" s="95" t="s">
        <v>638</v>
      </c>
      <c r="F2011" s="95" t="s">
        <v>19</v>
      </c>
      <c r="G2011" s="95" t="s">
        <v>19</v>
      </c>
      <c r="H2011" s="95" t="s">
        <v>21</v>
      </c>
      <c r="I2011" s="95" t="s">
        <v>589</v>
      </c>
      <c r="J2011" s="97">
        <v>45975.67934009259</v>
      </c>
      <c r="K2011" s="96" t="s">
        <v>11382</v>
      </c>
      <c r="L2011" s="96" t="s">
        <v>11383</v>
      </c>
      <c r="M2011" s="95" t="s">
        <v>17</v>
      </c>
      <c r="N2011" s="95" t="s">
        <v>11378</v>
      </c>
      <c r="O2011" s="95" t="s">
        <v>11378</v>
      </c>
      <c r="P2011" s="95" t="s">
        <v>11379</v>
      </c>
      <c r="Q2011" s="98">
        <v>2.0</v>
      </c>
      <c r="R2011" s="97">
        <v>45623.8530787037</v>
      </c>
      <c r="S2011" s="99">
        <v>13398.0</v>
      </c>
      <c r="T2011" s="99">
        <v>107.0</v>
      </c>
      <c r="U2011" s="99">
        <v>4.0</v>
      </c>
      <c r="V2011" s="99">
        <v>28.0</v>
      </c>
      <c r="W2011" s="99">
        <v>27636.0</v>
      </c>
    </row>
    <row r="2012" ht="15.75" customHeight="1">
      <c r="A2012" s="95" t="s">
        <v>11384</v>
      </c>
      <c r="B2012" s="95" t="s">
        <v>22</v>
      </c>
      <c r="C2012" s="96" t="s">
        <v>11385</v>
      </c>
      <c r="D2012" s="95" t="s">
        <v>20</v>
      </c>
      <c r="E2012" s="95" t="s">
        <v>879</v>
      </c>
      <c r="F2012" s="95" t="s">
        <v>19</v>
      </c>
      <c r="G2012" s="95" t="s">
        <v>588</v>
      </c>
      <c r="H2012" s="95" t="s">
        <v>21</v>
      </c>
      <c r="I2012" s="95" t="s">
        <v>677</v>
      </c>
      <c r="J2012" s="97">
        <v>45978.46257831019</v>
      </c>
      <c r="K2012" s="95" t="s">
        <v>11386</v>
      </c>
      <c r="L2012" s="95"/>
      <c r="M2012" s="95" t="s">
        <v>17</v>
      </c>
      <c r="N2012" s="95" t="s">
        <v>3397</v>
      </c>
      <c r="O2012" s="95" t="s">
        <v>3397</v>
      </c>
      <c r="P2012" s="95" t="s">
        <v>3398</v>
      </c>
      <c r="Q2012" s="98">
        <v>2.0</v>
      </c>
      <c r="R2012" s="97">
        <v>45874.45958333334</v>
      </c>
      <c r="S2012" s="99">
        <v>2029.0</v>
      </c>
      <c r="T2012" s="99">
        <v>1384.0</v>
      </c>
      <c r="U2012" s="99">
        <v>4.0</v>
      </c>
      <c r="V2012" s="99">
        <v>47.0</v>
      </c>
      <c r="W2012" s="99">
        <v>151298.0</v>
      </c>
    </row>
    <row r="2013" ht="15.75" customHeight="1">
      <c r="A2013" s="95" t="s">
        <v>11387</v>
      </c>
      <c r="B2013" s="95" t="s">
        <v>69</v>
      </c>
      <c r="C2013" s="96" t="s">
        <v>11388</v>
      </c>
      <c r="D2013" s="95" t="s">
        <v>39</v>
      </c>
      <c r="E2013" s="95" t="s">
        <v>39</v>
      </c>
      <c r="F2013" s="95" t="s">
        <v>88</v>
      </c>
      <c r="G2013" s="95" t="s">
        <v>88</v>
      </c>
      <c r="H2013" s="95" t="s">
        <v>89</v>
      </c>
      <c r="I2013" s="95" t="s">
        <v>1984</v>
      </c>
      <c r="J2013" s="97">
        <v>45975.67937972222</v>
      </c>
      <c r="K2013" s="96" t="s">
        <v>11389</v>
      </c>
      <c r="L2013" s="96" t="s">
        <v>11390</v>
      </c>
      <c r="M2013" s="95" t="s">
        <v>38</v>
      </c>
      <c r="N2013" s="95" t="s">
        <v>3439</v>
      </c>
      <c r="O2013" s="95" t="s">
        <v>3439</v>
      </c>
      <c r="P2013" s="95" t="s">
        <v>3440</v>
      </c>
      <c r="Q2013" s="98">
        <v>2.0</v>
      </c>
      <c r="R2013" s="97">
        <v>45598.70037037037</v>
      </c>
      <c r="S2013" s="99">
        <v>5244.0</v>
      </c>
      <c r="T2013" s="99">
        <v>38.0</v>
      </c>
      <c r="U2013" s="99">
        <v>1.0</v>
      </c>
      <c r="V2013" s="99">
        <v>253.0</v>
      </c>
      <c r="W2013" s="99">
        <v>4611.0</v>
      </c>
    </row>
    <row r="2014" ht="15.75" customHeight="1">
      <c r="A2014" s="95" t="s">
        <v>11391</v>
      </c>
      <c r="B2014" s="95" t="s">
        <v>22</v>
      </c>
      <c r="C2014" s="96" t="s">
        <v>11392</v>
      </c>
      <c r="D2014" s="95" t="s">
        <v>130</v>
      </c>
      <c r="E2014" s="95" t="s">
        <v>1025</v>
      </c>
      <c r="F2014" s="95" t="s">
        <v>19</v>
      </c>
      <c r="G2014" s="95" t="s">
        <v>19</v>
      </c>
      <c r="H2014" s="95" t="s">
        <v>21</v>
      </c>
      <c r="I2014" s="95" t="s">
        <v>567</v>
      </c>
      <c r="J2014" s="97">
        <v>45994.67149599537</v>
      </c>
      <c r="K2014" s="95" t="s">
        <v>11393</v>
      </c>
      <c r="L2014" s="96" t="s">
        <v>11394</v>
      </c>
      <c r="M2014" s="95" t="s">
        <v>105</v>
      </c>
      <c r="N2014" s="95" t="s">
        <v>11395</v>
      </c>
      <c r="O2014" s="95" t="s">
        <v>11395</v>
      </c>
      <c r="P2014" s="95" t="s">
        <v>11396</v>
      </c>
      <c r="Q2014" s="98">
        <v>2.0</v>
      </c>
      <c r="R2014" s="97">
        <v>45772.52361111111</v>
      </c>
      <c r="S2014" s="99">
        <v>2739.0</v>
      </c>
      <c r="T2014" s="99">
        <v>40.0</v>
      </c>
      <c r="U2014" s="99">
        <v>1.0</v>
      </c>
      <c r="V2014" s="99">
        <v>129.0</v>
      </c>
      <c r="W2014" s="99">
        <v>67729.0</v>
      </c>
    </row>
    <row r="2015" ht="15.75" customHeight="1">
      <c r="A2015" s="95" t="s">
        <v>11397</v>
      </c>
      <c r="B2015" s="95" t="s">
        <v>22</v>
      </c>
      <c r="C2015" s="96" t="s">
        <v>11398</v>
      </c>
      <c r="D2015" s="95" t="s">
        <v>59</v>
      </c>
      <c r="E2015" s="95" t="s">
        <v>738</v>
      </c>
      <c r="F2015" s="95" t="s">
        <v>19</v>
      </c>
      <c r="G2015" s="95" t="s">
        <v>19</v>
      </c>
      <c r="H2015" s="95" t="s">
        <v>21</v>
      </c>
      <c r="I2015" s="95" t="s">
        <v>567</v>
      </c>
      <c r="J2015" s="97">
        <v>46021.50375386574</v>
      </c>
      <c r="K2015" s="95" t="s">
        <v>11399</v>
      </c>
      <c r="L2015" s="96" t="s">
        <v>11400</v>
      </c>
      <c r="M2015" s="95" t="s">
        <v>93</v>
      </c>
      <c r="N2015" s="95" t="s">
        <v>11401</v>
      </c>
      <c r="O2015" s="95" t="s">
        <v>11401</v>
      </c>
      <c r="P2015" s="95" t="s">
        <v>11402</v>
      </c>
      <c r="Q2015" s="98">
        <v>2.0</v>
      </c>
      <c r="R2015" s="97">
        <v>45635.44565972222</v>
      </c>
      <c r="S2015" s="99">
        <v>1011.0</v>
      </c>
      <c r="T2015" s="99">
        <v>61.0</v>
      </c>
      <c r="U2015" s="99">
        <v>1.0</v>
      </c>
      <c r="V2015" s="99">
        <v>45.0</v>
      </c>
      <c r="W2015" s="99">
        <v>46059.0</v>
      </c>
    </row>
    <row r="2016" ht="15.75" customHeight="1">
      <c r="A2016" s="95" t="s">
        <v>11403</v>
      </c>
      <c r="B2016" s="95" t="s">
        <v>157</v>
      </c>
      <c r="C2016" s="96" t="s">
        <v>11404</v>
      </c>
      <c r="D2016" s="95" t="s">
        <v>168</v>
      </c>
      <c r="E2016" s="95" t="s">
        <v>1228</v>
      </c>
      <c r="F2016" s="95" t="s">
        <v>88</v>
      </c>
      <c r="G2016" s="95" t="s">
        <v>88</v>
      </c>
      <c r="H2016" s="95" t="s">
        <v>89</v>
      </c>
      <c r="I2016" s="95" t="s">
        <v>859</v>
      </c>
      <c r="J2016" s="97">
        <v>45988.61436108797</v>
      </c>
      <c r="K2016" s="95" t="s">
        <v>11405</v>
      </c>
      <c r="L2016" s="96" t="s">
        <v>11406</v>
      </c>
      <c r="M2016" s="95" t="s">
        <v>17</v>
      </c>
      <c r="N2016" s="95" t="s">
        <v>11407</v>
      </c>
      <c r="O2016" s="95" t="s">
        <v>11407</v>
      </c>
      <c r="P2016" s="95" t="s">
        <v>11408</v>
      </c>
      <c r="Q2016" s="98">
        <v>2.0</v>
      </c>
      <c r="R2016" s="97">
        <v>45704.91326388889</v>
      </c>
      <c r="S2016" s="99">
        <v>444.0</v>
      </c>
      <c r="T2016" s="99">
        <v>241.0</v>
      </c>
      <c r="U2016" s="99">
        <v>1.0</v>
      </c>
      <c r="V2016" s="99">
        <v>25.0</v>
      </c>
      <c r="W2016" s="99">
        <v>51695.0</v>
      </c>
    </row>
    <row r="2017" ht="15.75" customHeight="1">
      <c r="A2017" s="95" t="s">
        <v>11409</v>
      </c>
      <c r="B2017" s="95" t="s">
        <v>22</v>
      </c>
      <c r="C2017" s="96" t="s">
        <v>11410</v>
      </c>
      <c r="D2017" s="95" t="s">
        <v>59</v>
      </c>
      <c r="E2017" s="95" t="s">
        <v>1347</v>
      </c>
      <c r="F2017" s="95" t="s">
        <v>19</v>
      </c>
      <c r="G2017" s="95" t="s">
        <v>19</v>
      </c>
      <c r="H2017" s="95" t="s">
        <v>21</v>
      </c>
      <c r="I2017" s="95" t="s">
        <v>567</v>
      </c>
      <c r="J2017" s="97">
        <v>46057.09172366898</v>
      </c>
      <c r="K2017" s="95" t="s">
        <v>11411</v>
      </c>
      <c r="L2017" s="96" t="s">
        <v>11412</v>
      </c>
      <c r="M2017" s="95" t="s">
        <v>93</v>
      </c>
      <c r="N2017" s="95" t="s">
        <v>3505</v>
      </c>
      <c r="O2017" s="95" t="s">
        <v>3505</v>
      </c>
      <c r="P2017" s="95" t="s">
        <v>3506</v>
      </c>
      <c r="Q2017" s="98">
        <v>2.0</v>
      </c>
      <c r="R2017" s="97">
        <v>45740.35410879629</v>
      </c>
      <c r="S2017" s="99">
        <v>385.0</v>
      </c>
      <c r="T2017" s="99">
        <v>88.0</v>
      </c>
      <c r="U2017" s="99">
        <v>7.0</v>
      </c>
      <c r="V2017" s="99">
        <v>40.0</v>
      </c>
      <c r="W2017" s="99">
        <v>163347.0</v>
      </c>
    </row>
    <row r="2018" ht="15.75" customHeight="1">
      <c r="A2018" s="95" t="s">
        <v>11413</v>
      </c>
      <c r="B2018" s="95" t="s">
        <v>157</v>
      </c>
      <c r="C2018" s="96" t="s">
        <v>11414</v>
      </c>
      <c r="D2018" s="95" t="s">
        <v>548</v>
      </c>
      <c r="E2018" s="95" t="s">
        <v>11415</v>
      </c>
      <c r="F2018" s="95" t="s">
        <v>88</v>
      </c>
      <c r="G2018" s="95" t="s">
        <v>88</v>
      </c>
      <c r="H2018" s="95" t="s">
        <v>89</v>
      </c>
      <c r="I2018" s="95" t="s">
        <v>859</v>
      </c>
      <c r="J2018" s="97">
        <v>46039.71731052083</v>
      </c>
      <c r="K2018" s="96" t="s">
        <v>11416</v>
      </c>
      <c r="L2018" s="96" t="s">
        <v>11417</v>
      </c>
      <c r="M2018" s="95" t="s">
        <v>93</v>
      </c>
      <c r="N2018" s="95" t="s">
        <v>11418</v>
      </c>
      <c r="O2018" s="95" t="s">
        <v>11418</v>
      </c>
      <c r="P2018" s="95" t="s">
        <v>11419</v>
      </c>
      <c r="Q2018" s="98">
        <v>2.0</v>
      </c>
      <c r="R2018" s="97">
        <v>45800.62872685185</v>
      </c>
      <c r="S2018" s="99">
        <v>1335.0</v>
      </c>
      <c r="T2018" s="99">
        <v>531.0</v>
      </c>
      <c r="U2018" s="99">
        <v>12.0</v>
      </c>
      <c r="V2018" s="99">
        <v>44.0</v>
      </c>
      <c r="W2018" s="99">
        <v>537154.0</v>
      </c>
    </row>
    <row r="2019" ht="15.75" customHeight="1">
      <c r="A2019" s="95" t="s">
        <v>122</v>
      </c>
      <c r="B2019" s="95" t="s">
        <v>101</v>
      </c>
      <c r="C2019" s="96" t="s">
        <v>127</v>
      </c>
      <c r="D2019" s="95" t="s">
        <v>124</v>
      </c>
      <c r="E2019" s="95" t="s">
        <v>11420</v>
      </c>
      <c r="F2019" s="95" t="s">
        <v>19</v>
      </c>
      <c r="G2019" s="95" t="s">
        <v>574</v>
      </c>
      <c r="H2019" s="95" t="s">
        <v>21</v>
      </c>
      <c r="I2019" s="95" t="s">
        <v>11421</v>
      </c>
      <c r="J2019" s="97">
        <v>46039.71515172454</v>
      </c>
      <c r="K2019" s="95" t="s">
        <v>126</v>
      </c>
      <c r="L2019" s="96" t="s">
        <v>125</v>
      </c>
      <c r="M2019" s="95" t="s">
        <v>93</v>
      </c>
      <c r="N2019" s="95" t="s">
        <v>123</v>
      </c>
      <c r="O2019" s="95" t="s">
        <v>123</v>
      </c>
      <c r="P2019" s="95" t="s">
        <v>11422</v>
      </c>
      <c r="Q2019" s="98">
        <v>2.0</v>
      </c>
      <c r="R2019" s="97">
        <v>45972.23232638889</v>
      </c>
      <c r="S2019" s="99">
        <v>1833.0</v>
      </c>
      <c r="T2019" s="99">
        <v>309.0</v>
      </c>
      <c r="U2019" s="99">
        <v>14.0</v>
      </c>
      <c r="V2019" s="99">
        <v>41.0</v>
      </c>
      <c r="W2019" s="99">
        <v>70269.0</v>
      </c>
    </row>
    <row r="2020" ht="15.75" customHeight="1">
      <c r="A2020" s="95" t="s">
        <v>11423</v>
      </c>
      <c r="B2020" s="95" t="s">
        <v>22</v>
      </c>
      <c r="C2020" s="96" t="s">
        <v>11424</v>
      </c>
      <c r="D2020" s="95" t="s">
        <v>39</v>
      </c>
      <c r="E2020" s="95" t="s">
        <v>39</v>
      </c>
      <c r="F2020" s="95" t="s">
        <v>19</v>
      </c>
      <c r="G2020" s="95"/>
      <c r="H2020" s="95" t="s">
        <v>21</v>
      </c>
      <c r="I2020" s="95" t="s">
        <v>567</v>
      </c>
      <c r="J2020" s="97">
        <v>46021.49434631944</v>
      </c>
      <c r="K2020" s="95" t="s">
        <v>11425</v>
      </c>
      <c r="L2020" s="96" t="s">
        <v>11426</v>
      </c>
      <c r="M2020" s="95" t="s">
        <v>28</v>
      </c>
      <c r="N2020" s="95" t="s">
        <v>11427</v>
      </c>
      <c r="O2020" s="95" t="s">
        <v>11427</v>
      </c>
      <c r="P2020" s="95" t="s">
        <v>11428</v>
      </c>
      <c r="Q2020" s="98">
        <v>2.0</v>
      </c>
      <c r="R2020" s="97">
        <v>45818.59303240741</v>
      </c>
      <c r="S2020" s="99">
        <v>360.0</v>
      </c>
      <c r="T2020" s="99">
        <v>113.0</v>
      </c>
      <c r="U2020" s="99">
        <v>1.0</v>
      </c>
      <c r="V2020" s="99">
        <v>54.0</v>
      </c>
      <c r="W2020" s="99">
        <v>2426.0</v>
      </c>
    </row>
    <row r="2021" ht="15.75" customHeight="1">
      <c r="A2021" s="95" t="s">
        <v>11429</v>
      </c>
      <c r="B2021" s="95" t="s">
        <v>22</v>
      </c>
      <c r="C2021" s="96" t="s">
        <v>11430</v>
      </c>
      <c r="D2021" s="95" t="s">
        <v>39</v>
      </c>
      <c r="E2021" s="95" t="s">
        <v>39</v>
      </c>
      <c r="F2021" s="95" t="s">
        <v>19</v>
      </c>
      <c r="G2021" s="95" t="s">
        <v>19</v>
      </c>
      <c r="H2021" s="95" t="s">
        <v>21</v>
      </c>
      <c r="I2021" s="95" t="s">
        <v>567</v>
      </c>
      <c r="J2021" s="97">
        <v>45993.7854622338</v>
      </c>
      <c r="K2021" s="96" t="s">
        <v>11431</v>
      </c>
      <c r="L2021" s="96" t="s">
        <v>11432</v>
      </c>
      <c r="M2021" s="95" t="s">
        <v>17</v>
      </c>
      <c r="N2021" s="95" t="s">
        <v>11433</v>
      </c>
      <c r="O2021" s="95" t="s">
        <v>11433</v>
      </c>
      <c r="P2021" s="95" t="s">
        <v>11434</v>
      </c>
      <c r="Q2021" s="98">
        <v>2.0</v>
      </c>
      <c r="R2021" s="97">
        <v>45762.9814699074</v>
      </c>
      <c r="S2021" s="99">
        <v>448.0</v>
      </c>
      <c r="T2021" s="99">
        <v>24.0</v>
      </c>
      <c r="U2021" s="99">
        <v>1.0</v>
      </c>
      <c r="V2021" s="99">
        <v>30.0</v>
      </c>
      <c r="W2021" s="99">
        <v>30637.0</v>
      </c>
    </row>
    <row r="2022" ht="15.75" customHeight="1">
      <c r="A2022" s="95" t="s">
        <v>11435</v>
      </c>
      <c r="B2022" s="95" t="s">
        <v>22</v>
      </c>
      <c r="C2022" s="96" t="s">
        <v>11436</v>
      </c>
      <c r="D2022" s="95" t="s">
        <v>130</v>
      </c>
      <c r="E2022" s="95" t="s">
        <v>917</v>
      </c>
      <c r="F2022" s="95" t="s">
        <v>19</v>
      </c>
      <c r="G2022" s="95" t="s">
        <v>588</v>
      </c>
      <c r="H2022" s="95" t="s">
        <v>21</v>
      </c>
      <c r="I2022" s="95" t="s">
        <v>589</v>
      </c>
      <c r="J2022" s="97">
        <v>45975.67931630787</v>
      </c>
      <c r="K2022" s="96" t="s">
        <v>11437</v>
      </c>
      <c r="L2022" s="96" t="s">
        <v>11438</v>
      </c>
      <c r="M2022" s="95" t="s">
        <v>54</v>
      </c>
      <c r="N2022" s="95" t="s">
        <v>3577</v>
      </c>
      <c r="O2022" s="95" t="s">
        <v>3577</v>
      </c>
      <c r="P2022" s="95" t="s">
        <v>3578</v>
      </c>
      <c r="Q2022" s="98">
        <v>2.0</v>
      </c>
      <c r="R2022" s="97">
        <v>45643.65630787037</v>
      </c>
      <c r="S2022" s="99">
        <v>12547.0</v>
      </c>
      <c r="T2022" s="99">
        <v>20.0</v>
      </c>
      <c r="U2022" s="99">
        <v>1.0</v>
      </c>
      <c r="V2022" s="99">
        <v>58.0</v>
      </c>
      <c r="W2022" s="99">
        <v>2152672.0</v>
      </c>
    </row>
    <row r="2023" ht="15.75" customHeight="1">
      <c r="A2023" s="95" t="s">
        <v>11439</v>
      </c>
      <c r="B2023" s="95" t="s">
        <v>22</v>
      </c>
      <c r="C2023" s="96" t="s">
        <v>11440</v>
      </c>
      <c r="D2023" s="95" t="s">
        <v>130</v>
      </c>
      <c r="E2023" s="95" t="s">
        <v>917</v>
      </c>
      <c r="F2023" s="95" t="s">
        <v>19</v>
      </c>
      <c r="G2023" s="95" t="s">
        <v>19</v>
      </c>
      <c r="H2023" s="95" t="s">
        <v>21</v>
      </c>
      <c r="I2023" s="95" t="s">
        <v>567</v>
      </c>
      <c r="J2023" s="97">
        <v>45975.67931630787</v>
      </c>
      <c r="K2023" s="96" t="s">
        <v>11441</v>
      </c>
      <c r="L2023" s="96" t="s">
        <v>11442</v>
      </c>
      <c r="M2023" s="95" t="s">
        <v>54</v>
      </c>
      <c r="N2023" s="95" t="s">
        <v>3577</v>
      </c>
      <c r="O2023" s="95" t="s">
        <v>3577</v>
      </c>
      <c r="P2023" s="95" t="s">
        <v>3578</v>
      </c>
      <c r="Q2023" s="98">
        <v>2.0</v>
      </c>
      <c r="R2023" s="97">
        <v>45614.46017361111</v>
      </c>
      <c r="S2023" s="99">
        <v>12547.0</v>
      </c>
      <c r="T2023" s="99">
        <v>7.0</v>
      </c>
      <c r="U2023" s="99">
        <v>1.0</v>
      </c>
      <c r="V2023" s="99">
        <v>20.0</v>
      </c>
      <c r="W2023" s="99">
        <v>2152672.0</v>
      </c>
    </row>
    <row r="2024" ht="15.75" customHeight="1">
      <c r="A2024" s="95" t="s">
        <v>11443</v>
      </c>
      <c r="B2024" s="95" t="s">
        <v>69</v>
      </c>
      <c r="C2024" s="96" t="s">
        <v>11444</v>
      </c>
      <c r="D2024" s="95" t="s">
        <v>130</v>
      </c>
      <c r="E2024" s="95" t="s">
        <v>917</v>
      </c>
      <c r="F2024" s="95" t="s">
        <v>58</v>
      </c>
      <c r="G2024" s="95" t="s">
        <v>58</v>
      </c>
      <c r="H2024" s="95" t="s">
        <v>60</v>
      </c>
      <c r="I2024" s="95" t="s">
        <v>2126</v>
      </c>
      <c r="J2024" s="97">
        <v>46008.62903140047</v>
      </c>
      <c r="K2024" s="96" t="s">
        <v>11445</v>
      </c>
      <c r="L2024" s="96" t="s">
        <v>11446</v>
      </c>
      <c r="M2024" s="95" t="s">
        <v>17</v>
      </c>
      <c r="N2024" s="95" t="s">
        <v>11447</v>
      </c>
      <c r="O2024" s="95" t="s">
        <v>11447</v>
      </c>
      <c r="P2024" s="95" t="s">
        <v>11448</v>
      </c>
      <c r="Q2024" s="98">
        <v>2.0</v>
      </c>
      <c r="R2024" s="97">
        <v>45685.82097222222</v>
      </c>
      <c r="S2024" s="99">
        <v>121.0</v>
      </c>
      <c r="T2024" s="99">
        <v>15.0</v>
      </c>
      <c r="U2024" s="99">
        <v>6.0</v>
      </c>
      <c r="V2024" s="99">
        <v>90.0</v>
      </c>
      <c r="W2024" s="99">
        <v>107533.0</v>
      </c>
    </row>
    <row r="2025" ht="15.75" customHeight="1">
      <c r="A2025" s="95" t="s">
        <v>11449</v>
      </c>
      <c r="B2025" s="95" t="s">
        <v>22</v>
      </c>
      <c r="C2025" s="96" t="s">
        <v>11450</v>
      </c>
      <c r="D2025" s="95" t="s">
        <v>130</v>
      </c>
      <c r="E2025" s="95" t="s">
        <v>917</v>
      </c>
      <c r="F2025" s="95" t="s">
        <v>19</v>
      </c>
      <c r="G2025" s="95" t="s">
        <v>19</v>
      </c>
      <c r="H2025" s="95" t="s">
        <v>21</v>
      </c>
      <c r="I2025" s="95" t="s">
        <v>567</v>
      </c>
      <c r="J2025" s="97">
        <v>46021.51934668981</v>
      </c>
      <c r="K2025" s="95" t="s">
        <v>11451</v>
      </c>
      <c r="L2025" s="96" t="s">
        <v>11452</v>
      </c>
      <c r="M2025" s="95" t="s">
        <v>67</v>
      </c>
      <c r="N2025" s="95" t="s">
        <v>11453</v>
      </c>
      <c r="O2025" s="95" t="s">
        <v>11453</v>
      </c>
      <c r="P2025" s="95" t="s">
        <v>11454</v>
      </c>
      <c r="Q2025" s="98">
        <v>2.0</v>
      </c>
      <c r="R2025" s="97">
        <v>45784.80796296296</v>
      </c>
      <c r="S2025" s="99">
        <v>199.0</v>
      </c>
      <c r="T2025" s="99">
        <v>13.0</v>
      </c>
      <c r="U2025" s="99">
        <v>2.0</v>
      </c>
      <c r="V2025" s="99">
        <v>35.0</v>
      </c>
      <c r="W2025" s="99">
        <v>358314.0</v>
      </c>
    </row>
    <row r="2026" ht="15.75" customHeight="1">
      <c r="A2026" s="95" t="s">
        <v>11455</v>
      </c>
      <c r="B2026" s="95" t="s">
        <v>22</v>
      </c>
      <c r="C2026" s="96" t="s">
        <v>11456</v>
      </c>
      <c r="D2026" s="95" t="s">
        <v>59</v>
      </c>
      <c r="E2026" s="95" t="s">
        <v>738</v>
      </c>
      <c r="F2026" s="95" t="s">
        <v>19</v>
      </c>
      <c r="G2026" s="95" t="s">
        <v>588</v>
      </c>
      <c r="H2026" s="95" t="s">
        <v>21</v>
      </c>
      <c r="I2026" s="95" t="s">
        <v>589</v>
      </c>
      <c r="J2026" s="97">
        <v>45975.67934009259</v>
      </c>
      <c r="K2026" s="96" t="s">
        <v>11457</v>
      </c>
      <c r="L2026" s="96" t="s">
        <v>11458</v>
      </c>
      <c r="M2026" s="95" t="s">
        <v>17</v>
      </c>
      <c r="N2026" s="95" t="s">
        <v>11459</v>
      </c>
      <c r="O2026" s="95" t="s">
        <v>11459</v>
      </c>
      <c r="P2026" s="95" t="s">
        <v>11460</v>
      </c>
      <c r="Q2026" s="98">
        <v>2.0</v>
      </c>
      <c r="R2026" s="97">
        <v>45870.67334490741</v>
      </c>
      <c r="S2026" s="99">
        <v>2015.0</v>
      </c>
      <c r="T2026" s="99">
        <v>204.0</v>
      </c>
      <c r="U2026" s="99">
        <v>6.0</v>
      </c>
      <c r="V2026" s="99">
        <v>33.0</v>
      </c>
      <c r="W2026" s="99">
        <v>69871.0</v>
      </c>
    </row>
    <row r="2027" ht="15.75" customHeight="1">
      <c r="A2027" s="95" t="s">
        <v>11461</v>
      </c>
      <c r="B2027" s="95" t="s">
        <v>22</v>
      </c>
      <c r="C2027" s="96" t="s">
        <v>11462</v>
      </c>
      <c r="D2027" s="95" t="s">
        <v>39</v>
      </c>
      <c r="E2027" s="95" t="s">
        <v>39</v>
      </c>
      <c r="F2027" s="95" t="s">
        <v>19</v>
      </c>
      <c r="G2027" s="95" t="s">
        <v>588</v>
      </c>
      <c r="H2027" s="95" t="s">
        <v>21</v>
      </c>
      <c r="I2027" s="95" t="s">
        <v>589</v>
      </c>
      <c r="J2027" s="97">
        <v>46075.71565079861</v>
      </c>
      <c r="K2027" s="95" t="s">
        <v>11463</v>
      </c>
      <c r="L2027" s="96" t="s">
        <v>11464</v>
      </c>
      <c r="M2027" s="95" t="s">
        <v>93</v>
      </c>
      <c r="N2027" s="95" t="s">
        <v>11465</v>
      </c>
      <c r="O2027" s="95" t="s">
        <v>11465</v>
      </c>
      <c r="P2027" s="95" t="s">
        <v>11466</v>
      </c>
      <c r="Q2027" s="98">
        <v>2.0</v>
      </c>
      <c r="R2027" s="97">
        <v>45941.52854166667</v>
      </c>
      <c r="S2027" s="99">
        <v>208.0</v>
      </c>
      <c r="T2027" s="99">
        <v>130.0</v>
      </c>
      <c r="U2027" s="99">
        <v>3.0</v>
      </c>
      <c r="V2027" s="99">
        <v>31.0</v>
      </c>
      <c r="W2027" s="99">
        <v>9134.0</v>
      </c>
    </row>
    <row r="2028" ht="15.75" customHeight="1">
      <c r="A2028" s="95" t="s">
        <v>11467</v>
      </c>
      <c r="B2028" s="95" t="s">
        <v>22</v>
      </c>
      <c r="C2028" s="96" t="s">
        <v>11468</v>
      </c>
      <c r="D2028" s="95" t="s">
        <v>39</v>
      </c>
      <c r="E2028" s="95" t="s">
        <v>39</v>
      </c>
      <c r="F2028" s="95" t="s">
        <v>19</v>
      </c>
      <c r="G2028" s="95" t="s">
        <v>588</v>
      </c>
      <c r="H2028" s="95" t="s">
        <v>21</v>
      </c>
      <c r="I2028" s="95" t="s">
        <v>589</v>
      </c>
      <c r="J2028" s="97">
        <v>46021.50375386574</v>
      </c>
      <c r="K2028" s="95" t="s">
        <v>11469</v>
      </c>
      <c r="L2028" s="96" t="s">
        <v>11470</v>
      </c>
      <c r="M2028" s="95" t="s">
        <v>93</v>
      </c>
      <c r="N2028" s="95" t="s">
        <v>11465</v>
      </c>
      <c r="O2028" s="95" t="s">
        <v>11465</v>
      </c>
      <c r="P2028" s="95" t="s">
        <v>11466</v>
      </c>
      <c r="Q2028" s="98">
        <v>2.0</v>
      </c>
      <c r="R2028" s="97">
        <v>45971.69296296296</v>
      </c>
      <c r="S2028" s="99">
        <v>208.0</v>
      </c>
      <c r="T2028" s="99">
        <v>176.0</v>
      </c>
      <c r="U2028" s="99">
        <v>7.0</v>
      </c>
      <c r="V2028" s="99">
        <v>73.0</v>
      </c>
      <c r="W2028" s="99">
        <v>9134.0</v>
      </c>
    </row>
    <row r="2029" ht="15.75" customHeight="1">
      <c r="A2029" s="95" t="s">
        <v>11471</v>
      </c>
      <c r="B2029" s="95" t="s">
        <v>22</v>
      </c>
      <c r="C2029" s="96" t="s">
        <v>11472</v>
      </c>
      <c r="D2029" s="95" t="s">
        <v>168</v>
      </c>
      <c r="E2029" s="95" t="s">
        <v>780</v>
      </c>
      <c r="F2029" s="95" t="s">
        <v>19</v>
      </c>
      <c r="G2029" s="95" t="s">
        <v>574</v>
      </c>
      <c r="H2029" s="95" t="s">
        <v>21</v>
      </c>
      <c r="I2029" s="95" t="s">
        <v>567</v>
      </c>
      <c r="J2029" s="97">
        <v>45975.67934009259</v>
      </c>
      <c r="K2029" s="96" t="s">
        <v>11473</v>
      </c>
      <c r="L2029" s="96" t="s">
        <v>11474</v>
      </c>
      <c r="M2029" s="95" t="s">
        <v>17</v>
      </c>
      <c r="N2029" s="95" t="s">
        <v>11475</v>
      </c>
      <c r="O2029" s="95" t="s">
        <v>11475</v>
      </c>
      <c r="P2029" s="95" t="s">
        <v>11476</v>
      </c>
      <c r="Q2029" s="98">
        <v>2.0</v>
      </c>
      <c r="R2029" s="97">
        <v>45685.57103009259</v>
      </c>
      <c r="S2029" s="99">
        <v>136.0</v>
      </c>
      <c r="T2029" s="99">
        <v>12.0</v>
      </c>
      <c r="U2029" s="99">
        <v>1.0</v>
      </c>
      <c r="V2029" s="99">
        <v>33.0</v>
      </c>
      <c r="W2029" s="99">
        <v>165131.0</v>
      </c>
    </row>
    <row r="2030" ht="15.75" customHeight="1">
      <c r="A2030" s="95" t="s">
        <v>11477</v>
      </c>
      <c r="B2030" s="95" t="s">
        <v>22</v>
      </c>
      <c r="C2030" s="96" t="s">
        <v>11478</v>
      </c>
      <c r="D2030" s="95" t="s">
        <v>39</v>
      </c>
      <c r="E2030" s="95" t="s">
        <v>11479</v>
      </c>
      <c r="F2030" s="95" t="s">
        <v>19</v>
      </c>
      <c r="G2030" s="95" t="s">
        <v>1427</v>
      </c>
      <c r="H2030" s="95" t="s">
        <v>21</v>
      </c>
      <c r="I2030" s="95" t="s">
        <v>567</v>
      </c>
      <c r="J2030" s="97">
        <v>46076.63199695602</v>
      </c>
      <c r="K2030" s="95" t="s">
        <v>11480</v>
      </c>
      <c r="L2030" s="96" t="s">
        <v>11481</v>
      </c>
      <c r="M2030" s="95" t="s">
        <v>74</v>
      </c>
      <c r="N2030" s="95" t="s">
        <v>11482</v>
      </c>
      <c r="O2030" s="95" t="s">
        <v>11482</v>
      </c>
      <c r="P2030" s="95" t="s">
        <v>11483</v>
      </c>
      <c r="Q2030" s="98">
        <v>2.0</v>
      </c>
      <c r="R2030" s="97">
        <v>45961.19606481482</v>
      </c>
      <c r="S2030" s="99">
        <v>53.0</v>
      </c>
      <c r="T2030" s="99">
        <v>33.0</v>
      </c>
      <c r="U2030" s="99">
        <v>4.0</v>
      </c>
      <c r="V2030" s="99">
        <v>101.0</v>
      </c>
      <c r="W2030" s="99">
        <v>3230.0</v>
      </c>
    </row>
    <row r="2031" ht="15.75" customHeight="1">
      <c r="A2031" s="95" t="s">
        <v>11484</v>
      </c>
      <c r="B2031" s="95" t="s">
        <v>22</v>
      </c>
      <c r="C2031" s="96" t="s">
        <v>11485</v>
      </c>
      <c r="D2031" s="95" t="s">
        <v>39</v>
      </c>
      <c r="E2031" s="95" t="s">
        <v>39</v>
      </c>
      <c r="F2031" s="95" t="s">
        <v>19</v>
      </c>
      <c r="G2031" s="95" t="s">
        <v>19</v>
      </c>
      <c r="H2031" s="95" t="s">
        <v>21</v>
      </c>
      <c r="I2031" s="95" t="s">
        <v>589</v>
      </c>
      <c r="J2031" s="97">
        <v>46057.09501121528</v>
      </c>
      <c r="K2031" s="95" t="s">
        <v>11486</v>
      </c>
      <c r="L2031" s="96" t="s">
        <v>11487</v>
      </c>
      <c r="M2031" s="95" t="s">
        <v>503</v>
      </c>
      <c r="N2031" s="95" t="s">
        <v>11488</v>
      </c>
      <c r="O2031" s="95" t="s">
        <v>11488</v>
      </c>
      <c r="P2031" s="95" t="s">
        <v>11489</v>
      </c>
      <c r="Q2031" s="98">
        <v>2.0</v>
      </c>
      <c r="R2031" s="97">
        <v>46030.87604166667</v>
      </c>
      <c r="S2031" s="99">
        <v>285.0</v>
      </c>
      <c r="T2031" s="99">
        <v>19.0</v>
      </c>
      <c r="U2031" s="99">
        <v>4.0</v>
      </c>
      <c r="V2031" s="99">
        <v>32.0</v>
      </c>
      <c r="W2031" s="99">
        <v>19442.0</v>
      </c>
    </row>
    <row r="2032" ht="15.75" customHeight="1">
      <c r="A2032" s="95" t="s">
        <v>11490</v>
      </c>
      <c r="B2032" s="95" t="s">
        <v>22</v>
      </c>
      <c r="C2032" s="96" t="s">
        <v>11491</v>
      </c>
      <c r="D2032" s="95" t="s">
        <v>39</v>
      </c>
      <c r="E2032" s="95" t="s">
        <v>39</v>
      </c>
      <c r="F2032" s="95" t="s">
        <v>19</v>
      </c>
      <c r="G2032" s="95" t="s">
        <v>588</v>
      </c>
      <c r="H2032" s="95" t="s">
        <v>21</v>
      </c>
      <c r="I2032" s="95" t="s">
        <v>567</v>
      </c>
      <c r="J2032" s="97">
        <v>46056.93918255787</v>
      </c>
      <c r="K2032" s="95" t="s">
        <v>11492</v>
      </c>
      <c r="L2032" s="96" t="s">
        <v>11493</v>
      </c>
      <c r="M2032" s="95" t="s">
        <v>503</v>
      </c>
      <c r="N2032" s="95" t="s">
        <v>11494</v>
      </c>
      <c r="O2032" s="95" t="s">
        <v>11494</v>
      </c>
      <c r="P2032" s="95" t="s">
        <v>11495</v>
      </c>
      <c r="Q2032" s="98">
        <v>2.0</v>
      </c>
      <c r="R2032" s="97">
        <v>45611.71527777778</v>
      </c>
      <c r="S2032" s="99">
        <v>26904.0</v>
      </c>
      <c r="T2032" s="99">
        <v>96.0</v>
      </c>
      <c r="U2032" s="99">
        <v>41.0</v>
      </c>
      <c r="V2032" s="99">
        <v>84.0</v>
      </c>
      <c r="W2032" s="99">
        <v>523058.0</v>
      </c>
    </row>
    <row r="2033" ht="15.75" customHeight="1">
      <c r="A2033" s="95" t="s">
        <v>11496</v>
      </c>
      <c r="B2033" s="95" t="s">
        <v>101</v>
      </c>
      <c r="C2033" s="96" t="s">
        <v>11497</v>
      </c>
      <c r="D2033" s="95" t="s">
        <v>49</v>
      </c>
      <c r="E2033" s="95" t="s">
        <v>948</v>
      </c>
      <c r="F2033" s="95" t="s">
        <v>19</v>
      </c>
      <c r="G2033" s="95" t="s">
        <v>19</v>
      </c>
      <c r="H2033" s="95" t="s">
        <v>21</v>
      </c>
      <c r="I2033" s="95" t="s">
        <v>1589</v>
      </c>
      <c r="J2033" s="97">
        <v>45975.67931630787</v>
      </c>
      <c r="K2033" s="96" t="s">
        <v>11498</v>
      </c>
      <c r="L2033" s="95"/>
      <c r="M2033" s="95" t="s">
        <v>54</v>
      </c>
      <c r="N2033" s="95" t="s">
        <v>11499</v>
      </c>
      <c r="O2033" s="95" t="s">
        <v>11499</v>
      </c>
      <c r="P2033" s="95" t="s">
        <v>11500</v>
      </c>
      <c r="Q2033" s="98">
        <v>2.0</v>
      </c>
      <c r="R2033" s="97">
        <v>45805.9671875</v>
      </c>
      <c r="S2033" s="99">
        <v>6274.0</v>
      </c>
      <c r="T2033" s="99">
        <v>4.0</v>
      </c>
      <c r="U2033" s="99">
        <v>3.0</v>
      </c>
      <c r="V2033" s="99">
        <v>18.0</v>
      </c>
      <c r="W2033" s="99">
        <v>999999.0</v>
      </c>
    </row>
    <row r="2034" ht="15.75" customHeight="1">
      <c r="A2034" s="95" t="s">
        <v>11501</v>
      </c>
      <c r="B2034" s="95" t="s">
        <v>22</v>
      </c>
      <c r="C2034" s="96" t="s">
        <v>11502</v>
      </c>
      <c r="D2034" s="95" t="s">
        <v>49</v>
      </c>
      <c r="E2034" s="95" t="s">
        <v>948</v>
      </c>
      <c r="F2034" s="95" t="s">
        <v>19</v>
      </c>
      <c r="G2034" s="95" t="s">
        <v>19</v>
      </c>
      <c r="H2034" s="95" t="s">
        <v>21</v>
      </c>
      <c r="I2034" s="95" t="s">
        <v>567</v>
      </c>
      <c r="J2034" s="97">
        <v>46021.49299090278</v>
      </c>
      <c r="K2034" s="95" t="s">
        <v>11503</v>
      </c>
      <c r="L2034" s="96" t="s">
        <v>11504</v>
      </c>
      <c r="M2034" s="95" t="s">
        <v>54</v>
      </c>
      <c r="N2034" s="95" t="s">
        <v>3761</v>
      </c>
      <c r="O2034" s="95" t="s">
        <v>3761</v>
      </c>
      <c r="P2034" s="95" t="s">
        <v>3762</v>
      </c>
      <c r="Q2034" s="98">
        <v>2.0</v>
      </c>
      <c r="R2034" s="97">
        <v>45839.40519675926</v>
      </c>
      <c r="S2034" s="99">
        <v>358.0</v>
      </c>
      <c r="T2034" s="99">
        <v>34.0</v>
      </c>
      <c r="U2034" s="99">
        <v>4.0</v>
      </c>
      <c r="V2034" s="99">
        <v>21.0</v>
      </c>
      <c r="W2034" s="99">
        <v>76344.0</v>
      </c>
    </row>
    <row r="2035" ht="15.75" customHeight="1">
      <c r="A2035" s="95" t="s">
        <v>11505</v>
      </c>
      <c r="B2035" s="95" t="s">
        <v>157</v>
      </c>
      <c r="C2035" s="96" t="s">
        <v>11506</v>
      </c>
      <c r="D2035" s="95" t="s">
        <v>59</v>
      </c>
      <c r="E2035" s="95" t="s">
        <v>738</v>
      </c>
      <c r="F2035" s="95" t="s">
        <v>88</v>
      </c>
      <c r="G2035" s="95" t="s">
        <v>88</v>
      </c>
      <c r="H2035" s="95" t="s">
        <v>89</v>
      </c>
      <c r="I2035" s="95" t="s">
        <v>859</v>
      </c>
      <c r="J2035" s="97">
        <v>45992.53576396991</v>
      </c>
      <c r="K2035" s="95" t="s">
        <v>11507</v>
      </c>
      <c r="L2035" s="96" t="s">
        <v>11508</v>
      </c>
      <c r="M2035" s="95" t="s">
        <v>105</v>
      </c>
      <c r="N2035" s="95" t="s">
        <v>11509</v>
      </c>
      <c r="O2035" s="95" t="s">
        <v>11509</v>
      </c>
      <c r="P2035" s="95" t="s">
        <v>11510</v>
      </c>
      <c r="Q2035" s="98">
        <v>2.0</v>
      </c>
      <c r="R2035" s="97">
        <v>45974.65181712963</v>
      </c>
      <c r="S2035" s="99">
        <v>191.0</v>
      </c>
      <c r="T2035" s="99">
        <v>6.0</v>
      </c>
      <c r="U2035" s="99">
        <v>1.0</v>
      </c>
      <c r="V2035" s="99">
        <v>113.0</v>
      </c>
      <c r="W2035" s="99">
        <v>10236.0</v>
      </c>
    </row>
    <row r="2036" ht="15.75" customHeight="1">
      <c r="A2036" s="95" t="s">
        <v>11511</v>
      </c>
      <c r="B2036" s="95" t="s">
        <v>22</v>
      </c>
      <c r="C2036" s="96" t="s">
        <v>11512</v>
      </c>
      <c r="D2036" s="95" t="s">
        <v>130</v>
      </c>
      <c r="E2036" s="95" t="s">
        <v>917</v>
      </c>
      <c r="F2036" s="95" t="s">
        <v>19</v>
      </c>
      <c r="G2036" s="95" t="s">
        <v>19</v>
      </c>
      <c r="H2036" s="95" t="s">
        <v>21</v>
      </c>
      <c r="I2036" s="95" t="s">
        <v>589</v>
      </c>
      <c r="J2036" s="97">
        <v>45975.67934009259</v>
      </c>
      <c r="K2036" s="96" t="s">
        <v>11513</v>
      </c>
      <c r="L2036" s="96" t="s">
        <v>11514</v>
      </c>
      <c r="M2036" s="95" t="s">
        <v>17</v>
      </c>
      <c r="N2036" s="95" t="s">
        <v>11515</v>
      </c>
      <c r="O2036" s="95" t="s">
        <v>11515</v>
      </c>
      <c r="P2036" s="95" t="s">
        <v>11516</v>
      </c>
      <c r="Q2036" s="98">
        <v>2.0</v>
      </c>
      <c r="R2036" s="97">
        <v>45900.46670138889</v>
      </c>
      <c r="S2036" s="99">
        <v>153.0</v>
      </c>
      <c r="T2036" s="99">
        <v>31.0</v>
      </c>
      <c r="U2036" s="99">
        <v>2.0</v>
      </c>
      <c r="V2036" s="99">
        <v>23.0</v>
      </c>
      <c r="W2036" s="99">
        <v>29345.0</v>
      </c>
    </row>
    <row r="2037" ht="15.75" customHeight="1">
      <c r="A2037" s="95" t="s">
        <v>11517</v>
      </c>
      <c r="B2037" s="95" t="s">
        <v>22</v>
      </c>
      <c r="C2037" s="96" t="s">
        <v>11518</v>
      </c>
      <c r="D2037" s="95" t="s">
        <v>59</v>
      </c>
      <c r="E2037" s="95" t="s">
        <v>665</v>
      </c>
      <c r="F2037" s="95" t="s">
        <v>19</v>
      </c>
      <c r="G2037" s="95" t="s">
        <v>19</v>
      </c>
      <c r="H2037" s="95" t="s">
        <v>21</v>
      </c>
      <c r="I2037" s="95" t="s">
        <v>567</v>
      </c>
      <c r="J2037" s="97">
        <v>45975.67931630787</v>
      </c>
      <c r="K2037" s="96" t="s">
        <v>11519</v>
      </c>
      <c r="L2037" s="96" t="s">
        <v>11520</v>
      </c>
      <c r="M2037" s="95" t="s">
        <v>54</v>
      </c>
      <c r="N2037" s="95" t="s">
        <v>3808</v>
      </c>
      <c r="O2037" s="95" t="s">
        <v>3808</v>
      </c>
      <c r="P2037" s="95" t="s">
        <v>3809</v>
      </c>
      <c r="Q2037" s="98">
        <v>2.0</v>
      </c>
      <c r="R2037" s="97">
        <v>45900.82355324074</v>
      </c>
      <c r="S2037" s="99">
        <v>6004.0</v>
      </c>
      <c r="T2037" s="99">
        <v>82.0</v>
      </c>
      <c r="U2037" s="99">
        <v>1.0</v>
      </c>
      <c r="V2037" s="99">
        <v>56.0</v>
      </c>
      <c r="W2037" s="99">
        <v>244216.0</v>
      </c>
    </row>
    <row r="2038" ht="15.75" customHeight="1">
      <c r="A2038" s="95" t="s">
        <v>11521</v>
      </c>
      <c r="B2038" s="95" t="s">
        <v>22</v>
      </c>
      <c r="C2038" s="96" t="s">
        <v>11522</v>
      </c>
      <c r="D2038" s="95" t="s">
        <v>124</v>
      </c>
      <c r="E2038" s="95" t="s">
        <v>983</v>
      </c>
      <c r="F2038" s="95" t="s">
        <v>19</v>
      </c>
      <c r="G2038" s="95" t="s">
        <v>19</v>
      </c>
      <c r="H2038" s="95" t="s">
        <v>21</v>
      </c>
      <c r="I2038" s="95" t="s">
        <v>567</v>
      </c>
      <c r="J2038" s="97">
        <v>46021.50546121527</v>
      </c>
      <c r="K2038" s="95" t="s">
        <v>11523</v>
      </c>
      <c r="L2038" s="96" t="s">
        <v>11524</v>
      </c>
      <c r="M2038" s="95" t="s">
        <v>503</v>
      </c>
      <c r="N2038" s="95" t="s">
        <v>3824</v>
      </c>
      <c r="O2038" s="95" t="s">
        <v>3824</v>
      </c>
      <c r="P2038" s="95" t="s">
        <v>3825</v>
      </c>
      <c r="Q2038" s="98">
        <v>2.0</v>
      </c>
      <c r="R2038" s="97">
        <v>45904.7775925926</v>
      </c>
      <c r="S2038" s="99">
        <v>50.0</v>
      </c>
      <c r="T2038" s="99">
        <v>451.0</v>
      </c>
      <c r="U2038" s="99">
        <v>7.0</v>
      </c>
      <c r="V2038" s="99">
        <v>19.0</v>
      </c>
      <c r="W2038" s="99">
        <v>24558.0</v>
      </c>
    </row>
    <row r="2039" ht="15.75" customHeight="1">
      <c r="A2039" s="95" t="s">
        <v>11525</v>
      </c>
      <c r="B2039" s="95" t="s">
        <v>22</v>
      </c>
      <c r="C2039" s="96" t="s">
        <v>11526</v>
      </c>
      <c r="D2039" s="95" t="s">
        <v>29</v>
      </c>
      <c r="E2039" s="95" t="s">
        <v>29</v>
      </c>
      <c r="F2039" s="95" t="s">
        <v>19</v>
      </c>
      <c r="G2039" s="95" t="s">
        <v>19</v>
      </c>
      <c r="H2039" s="95" t="s">
        <v>21</v>
      </c>
      <c r="I2039" s="95" t="s">
        <v>677</v>
      </c>
      <c r="J2039" s="97">
        <v>45993.7854622338</v>
      </c>
      <c r="K2039" s="96" t="s">
        <v>11527</v>
      </c>
      <c r="L2039" s="95"/>
      <c r="M2039" s="95" t="s">
        <v>17</v>
      </c>
      <c r="N2039" s="95" t="s">
        <v>11528</v>
      </c>
      <c r="O2039" s="95" t="s">
        <v>11528</v>
      </c>
      <c r="P2039" s="95" t="s">
        <v>11529</v>
      </c>
      <c r="Q2039" s="98">
        <v>2.0</v>
      </c>
      <c r="R2039" s="97">
        <v>45730.5031712963</v>
      </c>
      <c r="S2039" s="99">
        <v>9749.0</v>
      </c>
      <c r="T2039" s="99">
        <v>3543.0</v>
      </c>
      <c r="U2039" s="99">
        <v>8.0</v>
      </c>
      <c r="V2039" s="99">
        <v>64.0</v>
      </c>
      <c r="W2039" s="99">
        <v>57349.0</v>
      </c>
    </row>
    <row r="2040" ht="15.75" customHeight="1">
      <c r="A2040" s="95" t="s">
        <v>11530</v>
      </c>
      <c r="B2040" s="95" t="s">
        <v>22</v>
      </c>
      <c r="C2040" s="96" t="s">
        <v>11531</v>
      </c>
      <c r="D2040" s="95" t="s">
        <v>168</v>
      </c>
      <c r="E2040" s="95" t="s">
        <v>3036</v>
      </c>
      <c r="F2040" s="95" t="s">
        <v>19</v>
      </c>
      <c r="G2040" s="95" t="s">
        <v>574</v>
      </c>
      <c r="H2040" s="95" t="s">
        <v>21</v>
      </c>
      <c r="I2040" s="95" t="s">
        <v>567</v>
      </c>
      <c r="J2040" s="97">
        <v>46008.62902928241</v>
      </c>
      <c r="K2040" s="96" t="s">
        <v>11532</v>
      </c>
      <c r="L2040" s="96" t="s">
        <v>11533</v>
      </c>
      <c r="M2040" s="95" t="s">
        <v>17</v>
      </c>
      <c r="N2040" s="95" t="s">
        <v>11534</v>
      </c>
      <c r="O2040" s="95" t="s">
        <v>11534</v>
      </c>
      <c r="P2040" s="95" t="s">
        <v>11535</v>
      </c>
      <c r="Q2040" s="98">
        <v>2.0</v>
      </c>
      <c r="R2040" s="97">
        <v>45904.37810185185</v>
      </c>
      <c r="S2040" s="99">
        <v>74.0</v>
      </c>
      <c r="T2040" s="99">
        <v>15.0</v>
      </c>
      <c r="U2040" s="99">
        <v>2.0</v>
      </c>
      <c r="V2040" s="99">
        <v>67.0</v>
      </c>
      <c r="W2040" s="99">
        <v>47499.0</v>
      </c>
    </row>
    <row r="2041" ht="15.75" customHeight="1">
      <c r="A2041" s="95" t="s">
        <v>11536</v>
      </c>
      <c r="B2041" s="95" t="s">
        <v>22</v>
      </c>
      <c r="C2041" s="96" t="s">
        <v>11537</v>
      </c>
      <c r="D2041" s="95" t="s">
        <v>39</v>
      </c>
      <c r="E2041" s="95" t="s">
        <v>39</v>
      </c>
      <c r="F2041" s="95" t="s">
        <v>19</v>
      </c>
      <c r="G2041" s="95" t="s">
        <v>19</v>
      </c>
      <c r="H2041" s="95" t="s">
        <v>21</v>
      </c>
      <c r="I2041" s="95" t="s">
        <v>567</v>
      </c>
      <c r="J2041" s="97">
        <v>46039.6048721875</v>
      </c>
      <c r="K2041" s="95" t="s">
        <v>11538</v>
      </c>
      <c r="L2041" s="95"/>
      <c r="M2041" s="95" t="s">
        <v>93</v>
      </c>
      <c r="N2041" s="95" t="s">
        <v>3903</v>
      </c>
      <c r="O2041" s="95" t="s">
        <v>3903</v>
      </c>
      <c r="P2041" s="95" t="s">
        <v>3904</v>
      </c>
      <c r="Q2041" s="98">
        <v>2.0</v>
      </c>
      <c r="R2041" s="97">
        <v>45695.81813657407</v>
      </c>
      <c r="S2041" s="99">
        <v>3683.0</v>
      </c>
      <c r="T2041" s="99">
        <v>3524.0</v>
      </c>
      <c r="U2041" s="99">
        <v>1.0</v>
      </c>
      <c r="V2041" s="99">
        <v>52.0</v>
      </c>
      <c r="W2041" s="99">
        <v>247668.0</v>
      </c>
    </row>
    <row r="2042" ht="15.75" customHeight="1">
      <c r="A2042" s="95" t="s">
        <v>11539</v>
      </c>
      <c r="B2042" s="95" t="s">
        <v>22</v>
      </c>
      <c r="C2042" s="96" t="s">
        <v>11540</v>
      </c>
      <c r="D2042" s="95" t="s">
        <v>20</v>
      </c>
      <c r="E2042" s="95" t="s">
        <v>2261</v>
      </c>
      <c r="F2042" s="95" t="s">
        <v>19</v>
      </c>
      <c r="G2042" s="95" t="s">
        <v>588</v>
      </c>
      <c r="H2042" s="95" t="s">
        <v>21</v>
      </c>
      <c r="I2042" s="95" t="s">
        <v>589</v>
      </c>
      <c r="J2042" s="97">
        <v>45975.67934009259</v>
      </c>
      <c r="K2042" s="96" t="s">
        <v>11541</v>
      </c>
      <c r="L2042" s="96" t="s">
        <v>11542</v>
      </c>
      <c r="M2042" s="95" t="s">
        <v>17</v>
      </c>
      <c r="N2042" s="95" t="s">
        <v>11543</v>
      </c>
      <c r="O2042" s="95" t="s">
        <v>11543</v>
      </c>
      <c r="P2042" s="95" t="s">
        <v>11544</v>
      </c>
      <c r="Q2042" s="98">
        <v>2.0</v>
      </c>
      <c r="R2042" s="97">
        <v>45699.6755324074</v>
      </c>
      <c r="S2042" s="99">
        <v>6694.0</v>
      </c>
      <c r="T2042" s="99">
        <v>4.0</v>
      </c>
      <c r="U2042" s="99">
        <v>1.0</v>
      </c>
      <c r="V2042" s="99">
        <v>16.0</v>
      </c>
      <c r="W2042" s="99">
        <v>331362.0</v>
      </c>
    </row>
    <row r="2043" ht="15.75" customHeight="1">
      <c r="A2043" s="95" t="s">
        <v>11545</v>
      </c>
      <c r="B2043" s="95" t="s">
        <v>22</v>
      </c>
      <c r="C2043" s="96" t="s">
        <v>11546</v>
      </c>
      <c r="D2043" s="95" t="s">
        <v>29</v>
      </c>
      <c r="E2043" s="95" t="s">
        <v>3335</v>
      </c>
      <c r="F2043" s="95" t="s">
        <v>19</v>
      </c>
      <c r="G2043" s="95" t="s">
        <v>19</v>
      </c>
      <c r="H2043" s="95" t="s">
        <v>21</v>
      </c>
      <c r="I2043" s="95" t="s">
        <v>589</v>
      </c>
      <c r="J2043" s="97">
        <v>45975.67938763889</v>
      </c>
      <c r="K2043" s="96" t="s">
        <v>11547</v>
      </c>
      <c r="L2043" s="96" t="s">
        <v>11548</v>
      </c>
      <c r="M2043" s="95" t="s">
        <v>74</v>
      </c>
      <c r="N2043" s="95" t="s">
        <v>11549</v>
      </c>
      <c r="O2043" s="95" t="s">
        <v>11549</v>
      </c>
      <c r="P2043" s="95" t="s">
        <v>11550</v>
      </c>
      <c r="Q2043" s="98">
        <v>2.0</v>
      </c>
      <c r="R2043" s="97">
        <v>45780.92664351852</v>
      </c>
      <c r="S2043" s="99">
        <v>15240.0</v>
      </c>
      <c r="T2043" s="99">
        <v>243.0</v>
      </c>
      <c r="U2043" s="99">
        <v>75.0</v>
      </c>
      <c r="V2043" s="99">
        <v>18.0</v>
      </c>
      <c r="W2043" s="99">
        <v>65813.0</v>
      </c>
    </row>
    <row r="2044" ht="15.75" customHeight="1">
      <c r="A2044" s="95" t="s">
        <v>11551</v>
      </c>
      <c r="B2044" s="95" t="s">
        <v>22</v>
      </c>
      <c r="C2044" s="96" t="s">
        <v>11552</v>
      </c>
      <c r="D2044" s="95" t="s">
        <v>20</v>
      </c>
      <c r="E2044" s="95" t="s">
        <v>1991</v>
      </c>
      <c r="F2044" s="95" t="s">
        <v>19</v>
      </c>
      <c r="G2044" s="95" t="s">
        <v>588</v>
      </c>
      <c r="H2044" s="95" t="s">
        <v>21</v>
      </c>
      <c r="I2044" s="95" t="s">
        <v>589</v>
      </c>
      <c r="J2044" s="97">
        <v>45986.53189861111</v>
      </c>
      <c r="K2044" s="95" t="s">
        <v>11553</v>
      </c>
      <c r="L2044" s="96" t="s">
        <v>11554</v>
      </c>
      <c r="M2044" s="95" t="s">
        <v>17</v>
      </c>
      <c r="N2044" s="95" t="s">
        <v>11555</v>
      </c>
      <c r="O2044" s="95" t="s">
        <v>11555</v>
      </c>
      <c r="P2044" s="95" t="s">
        <v>11556</v>
      </c>
      <c r="Q2044" s="98">
        <v>2.0</v>
      </c>
      <c r="R2044" s="97">
        <v>45843.05949074074</v>
      </c>
      <c r="S2044" s="99">
        <v>2195.0</v>
      </c>
      <c r="T2044" s="99">
        <v>41.0</v>
      </c>
      <c r="U2044" s="99">
        <v>11.0</v>
      </c>
      <c r="V2044" s="99">
        <v>49.0</v>
      </c>
      <c r="W2044" s="99">
        <v>56375.0</v>
      </c>
    </row>
    <row r="2045" ht="15.75" customHeight="1">
      <c r="A2045" s="95" t="s">
        <v>11557</v>
      </c>
      <c r="B2045" s="95" t="s">
        <v>22</v>
      </c>
      <c r="C2045" s="96" t="s">
        <v>11558</v>
      </c>
      <c r="D2045" s="95" t="s">
        <v>168</v>
      </c>
      <c r="E2045" s="95" t="s">
        <v>168</v>
      </c>
      <c r="F2045" s="95" t="s">
        <v>19</v>
      </c>
      <c r="G2045" s="95" t="s">
        <v>19</v>
      </c>
      <c r="H2045" s="95" t="s">
        <v>21</v>
      </c>
      <c r="I2045" s="95" t="s">
        <v>943</v>
      </c>
      <c r="J2045" s="97">
        <v>46009.8503700463</v>
      </c>
      <c r="K2045" s="95" t="s">
        <v>11559</v>
      </c>
      <c r="L2045" s="96" t="s">
        <v>11560</v>
      </c>
      <c r="M2045" s="95" t="s">
        <v>105</v>
      </c>
      <c r="N2045" s="95" t="s">
        <v>11561</v>
      </c>
      <c r="O2045" s="95" t="s">
        <v>11561</v>
      </c>
      <c r="P2045" s="95" t="s">
        <v>11562</v>
      </c>
      <c r="Q2045" s="98">
        <v>2.0</v>
      </c>
      <c r="R2045" s="97">
        <v>45718.75288194444</v>
      </c>
      <c r="S2045" s="99">
        <v>1014.0</v>
      </c>
      <c r="T2045" s="99">
        <v>60.0</v>
      </c>
      <c r="U2045" s="99">
        <v>2.0</v>
      </c>
      <c r="V2045" s="99">
        <v>32.0</v>
      </c>
      <c r="W2045" s="99">
        <v>70128.0</v>
      </c>
    </row>
    <row r="2046" ht="15.75" customHeight="1">
      <c r="A2046" s="95" t="s">
        <v>11563</v>
      </c>
      <c r="B2046" s="95" t="s">
        <v>22</v>
      </c>
      <c r="C2046" s="96" t="s">
        <v>11564</v>
      </c>
      <c r="D2046" s="95" t="s">
        <v>20</v>
      </c>
      <c r="E2046" s="95" t="s">
        <v>20</v>
      </c>
      <c r="F2046" s="95" t="s">
        <v>19</v>
      </c>
      <c r="G2046" s="95" t="s">
        <v>19</v>
      </c>
      <c r="H2046" s="95" t="s">
        <v>21</v>
      </c>
      <c r="I2046" s="95" t="s">
        <v>711</v>
      </c>
      <c r="J2046" s="97">
        <v>46072.52226574074</v>
      </c>
      <c r="K2046" s="95" t="s">
        <v>11565</v>
      </c>
      <c r="L2046" s="96" t="s">
        <v>11566</v>
      </c>
      <c r="M2046" s="95" t="s">
        <v>74</v>
      </c>
      <c r="N2046" s="95" t="s">
        <v>4001</v>
      </c>
      <c r="O2046" s="95" t="s">
        <v>4001</v>
      </c>
      <c r="P2046" s="95" t="s">
        <v>4002</v>
      </c>
      <c r="Q2046" s="98">
        <v>2.0</v>
      </c>
      <c r="R2046" s="97">
        <v>45964.39777777778</v>
      </c>
      <c r="S2046" s="99">
        <v>76.0</v>
      </c>
      <c r="T2046" s="99">
        <v>192.0</v>
      </c>
      <c r="U2046" s="99">
        <v>7.0</v>
      </c>
      <c r="V2046" s="99">
        <v>61.0</v>
      </c>
      <c r="W2046" s="99">
        <v>24799.0</v>
      </c>
    </row>
    <row r="2047" ht="15.75" customHeight="1">
      <c r="A2047" s="95" t="s">
        <v>11567</v>
      </c>
      <c r="B2047" s="95" t="s">
        <v>22</v>
      </c>
      <c r="C2047" s="96" t="s">
        <v>11568</v>
      </c>
      <c r="D2047" s="95" t="s">
        <v>20</v>
      </c>
      <c r="E2047" s="95" t="s">
        <v>20</v>
      </c>
      <c r="F2047" s="95" t="s">
        <v>19</v>
      </c>
      <c r="G2047" s="95" t="s">
        <v>19</v>
      </c>
      <c r="H2047" s="95" t="s">
        <v>21</v>
      </c>
      <c r="I2047" s="95" t="s">
        <v>567</v>
      </c>
      <c r="J2047" s="97">
        <v>45993.7854622338</v>
      </c>
      <c r="K2047" s="96" t="s">
        <v>11569</v>
      </c>
      <c r="L2047" s="96" t="s">
        <v>11570</v>
      </c>
      <c r="M2047" s="95" t="s">
        <v>17</v>
      </c>
      <c r="N2047" s="95" t="s">
        <v>11571</v>
      </c>
      <c r="O2047" s="95" t="s">
        <v>11571</v>
      </c>
      <c r="P2047" s="95" t="s">
        <v>11572</v>
      </c>
      <c r="Q2047" s="98">
        <v>2.0</v>
      </c>
      <c r="R2047" s="97">
        <v>45774.75599537037</v>
      </c>
      <c r="S2047" s="99">
        <v>14355.0</v>
      </c>
      <c r="T2047" s="99">
        <v>69.0</v>
      </c>
      <c r="U2047" s="99">
        <v>4.0</v>
      </c>
      <c r="V2047" s="99">
        <v>177.0</v>
      </c>
      <c r="W2047" s="99">
        <v>59903.0</v>
      </c>
    </row>
    <row r="2048" ht="15.75" customHeight="1">
      <c r="A2048" s="95" t="s">
        <v>11573</v>
      </c>
      <c r="B2048" s="95" t="s">
        <v>22</v>
      </c>
      <c r="C2048" s="96" t="s">
        <v>11574</v>
      </c>
      <c r="D2048" s="95" t="s">
        <v>39</v>
      </c>
      <c r="E2048" s="95" t="s">
        <v>697</v>
      </c>
      <c r="F2048" s="95" t="s">
        <v>19</v>
      </c>
      <c r="G2048" s="95" t="s">
        <v>19</v>
      </c>
      <c r="H2048" s="95" t="s">
        <v>21</v>
      </c>
      <c r="I2048" s="95" t="s">
        <v>567</v>
      </c>
      <c r="J2048" s="97">
        <v>46021.49299090278</v>
      </c>
      <c r="K2048" s="95" t="s">
        <v>11575</v>
      </c>
      <c r="L2048" s="96" t="s">
        <v>11576</v>
      </c>
      <c r="M2048" s="95" t="s">
        <v>74</v>
      </c>
      <c r="N2048" s="95" t="s">
        <v>11577</v>
      </c>
      <c r="O2048" s="95" t="s">
        <v>11577</v>
      </c>
      <c r="P2048" s="95" t="s">
        <v>11578</v>
      </c>
      <c r="Q2048" s="98">
        <v>2.0</v>
      </c>
      <c r="R2048" s="97">
        <v>45943.6728125</v>
      </c>
      <c r="S2048" s="99">
        <v>75.0</v>
      </c>
      <c r="T2048" s="99">
        <v>18.0</v>
      </c>
      <c r="U2048" s="99">
        <v>1.0</v>
      </c>
      <c r="V2048" s="99">
        <v>26.0</v>
      </c>
      <c r="W2048" s="99">
        <v>140449.0</v>
      </c>
    </row>
    <row r="2049" ht="15.75" customHeight="1">
      <c r="A2049" s="95" t="s">
        <v>11579</v>
      </c>
      <c r="B2049" s="95" t="s">
        <v>22</v>
      </c>
      <c r="C2049" s="96" t="s">
        <v>11580</v>
      </c>
      <c r="D2049" s="95" t="s">
        <v>130</v>
      </c>
      <c r="E2049" s="95" t="s">
        <v>917</v>
      </c>
      <c r="F2049" s="95" t="s">
        <v>19</v>
      </c>
      <c r="G2049" s="95" t="s">
        <v>19</v>
      </c>
      <c r="H2049" s="95" t="s">
        <v>21</v>
      </c>
      <c r="I2049" s="95" t="s">
        <v>567</v>
      </c>
      <c r="J2049" s="97">
        <v>45980.95945864583</v>
      </c>
      <c r="K2049" s="95" t="s">
        <v>11581</v>
      </c>
      <c r="L2049" s="96" t="s">
        <v>11582</v>
      </c>
      <c r="M2049" s="95" t="s">
        <v>67</v>
      </c>
      <c r="N2049" s="95" t="s">
        <v>11583</v>
      </c>
      <c r="O2049" s="95" t="s">
        <v>11583</v>
      </c>
      <c r="P2049" s="95" t="s">
        <v>11584</v>
      </c>
      <c r="Q2049" s="98">
        <v>2.0</v>
      </c>
      <c r="R2049" s="97">
        <v>45805.37815972222</v>
      </c>
      <c r="S2049" s="99">
        <v>13395.0</v>
      </c>
      <c r="T2049" s="99">
        <v>43.0</v>
      </c>
      <c r="U2049" s="99">
        <v>1.0</v>
      </c>
      <c r="V2049" s="99">
        <v>24.0</v>
      </c>
      <c r="W2049" s="99">
        <v>90440.0</v>
      </c>
    </row>
    <row r="2050" ht="15.75" customHeight="1">
      <c r="A2050" s="95" t="s">
        <v>11585</v>
      </c>
      <c r="B2050" s="95" t="s">
        <v>22</v>
      </c>
      <c r="C2050" s="96" t="s">
        <v>11586</v>
      </c>
      <c r="D2050" s="95" t="s">
        <v>39</v>
      </c>
      <c r="E2050" s="95" t="s">
        <v>39</v>
      </c>
      <c r="F2050" s="95" t="s">
        <v>19</v>
      </c>
      <c r="G2050" s="95" t="s">
        <v>19</v>
      </c>
      <c r="H2050" s="95" t="s">
        <v>21</v>
      </c>
      <c r="I2050" s="95" t="s">
        <v>567</v>
      </c>
      <c r="J2050" s="97">
        <v>45975.67928111111</v>
      </c>
      <c r="K2050" s="96" t="s">
        <v>11587</v>
      </c>
      <c r="L2050" s="96" t="s">
        <v>11588</v>
      </c>
      <c r="M2050" s="95" t="s">
        <v>105</v>
      </c>
      <c r="N2050" s="95" t="s">
        <v>11589</v>
      </c>
      <c r="O2050" s="95" t="s">
        <v>11589</v>
      </c>
      <c r="P2050" s="95" t="s">
        <v>11590</v>
      </c>
      <c r="Q2050" s="98">
        <v>2.0</v>
      </c>
      <c r="R2050" s="97">
        <v>45368.93494212963</v>
      </c>
      <c r="S2050" s="99">
        <v>23007.0</v>
      </c>
      <c r="T2050" s="99">
        <v>513.0</v>
      </c>
      <c r="U2050" s="99">
        <v>2.0</v>
      </c>
      <c r="V2050" s="99">
        <v>60.0</v>
      </c>
      <c r="W2050" s="99">
        <v>57364.0</v>
      </c>
    </row>
    <row r="2051" ht="15.75" customHeight="1">
      <c r="A2051" s="95" t="s">
        <v>11591</v>
      </c>
      <c r="B2051" s="95" t="s">
        <v>69</v>
      </c>
      <c r="C2051" s="96" t="s">
        <v>11592</v>
      </c>
      <c r="D2051" s="95" t="s">
        <v>29</v>
      </c>
      <c r="E2051" s="95" t="s">
        <v>29</v>
      </c>
      <c r="F2051" s="95" t="s">
        <v>88</v>
      </c>
      <c r="G2051" s="95" t="s">
        <v>88</v>
      </c>
      <c r="H2051" s="95" t="s">
        <v>89</v>
      </c>
      <c r="I2051" s="95" t="s">
        <v>640</v>
      </c>
      <c r="J2051" s="97">
        <v>46061.01620353009</v>
      </c>
      <c r="K2051" s="95" t="s">
        <v>11593</v>
      </c>
      <c r="L2051" s="96" t="s">
        <v>11594</v>
      </c>
      <c r="M2051" s="95" t="s">
        <v>74</v>
      </c>
      <c r="N2051" s="95" t="s">
        <v>11595</v>
      </c>
      <c r="O2051" s="95" t="s">
        <v>11595</v>
      </c>
      <c r="P2051" s="95" t="s">
        <v>11596</v>
      </c>
      <c r="Q2051" s="98">
        <v>2.0</v>
      </c>
      <c r="R2051" s="97">
        <v>45828.31306712963</v>
      </c>
      <c r="S2051" s="99">
        <v>453.0</v>
      </c>
      <c r="T2051" s="99">
        <v>45.0</v>
      </c>
      <c r="U2051" s="99">
        <v>1.0</v>
      </c>
      <c r="V2051" s="99">
        <v>24.0</v>
      </c>
      <c r="W2051" s="99">
        <v>2850.0</v>
      </c>
    </row>
    <row r="2052" ht="15.75" customHeight="1">
      <c r="A2052" s="95" t="s">
        <v>11597</v>
      </c>
      <c r="B2052" s="95" t="s">
        <v>22</v>
      </c>
      <c r="C2052" s="96" t="s">
        <v>11598</v>
      </c>
      <c r="D2052" s="95" t="s">
        <v>130</v>
      </c>
      <c r="E2052" s="95" t="s">
        <v>1521</v>
      </c>
      <c r="F2052" s="95" t="s">
        <v>19</v>
      </c>
      <c r="G2052" s="95" t="s">
        <v>19</v>
      </c>
      <c r="H2052" s="95" t="s">
        <v>21</v>
      </c>
      <c r="I2052" s="95" t="s">
        <v>567</v>
      </c>
      <c r="J2052" s="97">
        <v>46021.51218559028</v>
      </c>
      <c r="K2052" s="95" t="s">
        <v>11599</v>
      </c>
      <c r="L2052" s="96" t="s">
        <v>11600</v>
      </c>
      <c r="M2052" s="95" t="s">
        <v>93</v>
      </c>
      <c r="N2052" s="95" t="s">
        <v>11601</v>
      </c>
      <c r="O2052" s="95" t="s">
        <v>11601</v>
      </c>
      <c r="P2052" s="95" t="s">
        <v>11602</v>
      </c>
      <c r="Q2052" s="98">
        <v>2.0</v>
      </c>
      <c r="R2052" s="97">
        <v>45790.51400462963</v>
      </c>
      <c r="S2052" s="99">
        <v>147.0</v>
      </c>
      <c r="T2052" s="99">
        <v>3926.0</v>
      </c>
      <c r="U2052" s="99">
        <v>5.0</v>
      </c>
      <c r="V2052" s="99">
        <v>23.0</v>
      </c>
      <c r="W2052" s="99">
        <v>500757.0</v>
      </c>
    </row>
    <row r="2053" ht="15.75" customHeight="1">
      <c r="A2053" s="95" t="s">
        <v>11603</v>
      </c>
      <c r="B2053" s="95" t="s">
        <v>22</v>
      </c>
      <c r="C2053" s="96" t="s">
        <v>11604</v>
      </c>
      <c r="D2053" s="95" t="s">
        <v>130</v>
      </c>
      <c r="E2053" s="95" t="s">
        <v>130</v>
      </c>
      <c r="F2053" s="95" t="s">
        <v>19</v>
      </c>
      <c r="G2053" s="95" t="s">
        <v>1427</v>
      </c>
      <c r="H2053" s="95" t="s">
        <v>21</v>
      </c>
      <c r="I2053" s="95" t="s">
        <v>567</v>
      </c>
      <c r="J2053" s="97">
        <v>46021.50993377315</v>
      </c>
      <c r="K2053" s="95" t="s">
        <v>11605</v>
      </c>
      <c r="L2053" s="96" t="s">
        <v>11606</v>
      </c>
      <c r="M2053" s="95" t="s">
        <v>93</v>
      </c>
      <c r="N2053" s="95" t="s">
        <v>11601</v>
      </c>
      <c r="O2053" s="95" t="s">
        <v>11601</v>
      </c>
      <c r="P2053" s="95" t="s">
        <v>11602</v>
      </c>
      <c r="Q2053" s="98">
        <v>2.0</v>
      </c>
      <c r="R2053" s="97">
        <v>45958.71021990741</v>
      </c>
      <c r="S2053" s="99">
        <v>147.0</v>
      </c>
      <c r="T2053" s="99">
        <v>4627.0</v>
      </c>
      <c r="U2053" s="99">
        <v>1.0</v>
      </c>
      <c r="V2053" s="99">
        <v>49.0</v>
      </c>
      <c r="W2053" s="99">
        <v>500757.0</v>
      </c>
    </row>
    <row r="2054" ht="15.75" customHeight="1">
      <c r="A2054" s="95" t="s">
        <v>11607</v>
      </c>
      <c r="B2054" s="95" t="s">
        <v>22</v>
      </c>
      <c r="C2054" s="96" t="s">
        <v>11608</v>
      </c>
      <c r="D2054" s="95" t="s">
        <v>124</v>
      </c>
      <c r="E2054" s="95" t="s">
        <v>11609</v>
      </c>
      <c r="F2054" s="95" t="s">
        <v>19</v>
      </c>
      <c r="G2054" s="95" t="s">
        <v>588</v>
      </c>
      <c r="H2054" s="95" t="s">
        <v>21</v>
      </c>
      <c r="I2054" s="95" t="s">
        <v>567</v>
      </c>
      <c r="J2054" s="97">
        <v>45978.46270384259</v>
      </c>
      <c r="K2054" s="95" t="s">
        <v>11610</v>
      </c>
      <c r="L2054" s="95"/>
      <c r="M2054" s="95" t="s">
        <v>17</v>
      </c>
      <c r="N2054" s="95" t="s">
        <v>4067</v>
      </c>
      <c r="O2054" s="95" t="s">
        <v>4067</v>
      </c>
      <c r="P2054" s="95" t="s">
        <v>4068</v>
      </c>
      <c r="Q2054" s="98">
        <v>2.0</v>
      </c>
      <c r="R2054" s="97">
        <v>45856.20442129629</v>
      </c>
      <c r="S2054" s="99">
        <v>46660.0</v>
      </c>
      <c r="T2054" s="99">
        <v>0.0</v>
      </c>
      <c r="U2054" s="99">
        <v>2.0</v>
      </c>
      <c r="V2054" s="99">
        <v>312.0</v>
      </c>
      <c r="W2054" s="99">
        <v>999999.0</v>
      </c>
    </row>
    <row r="2055" ht="15.75" customHeight="1">
      <c r="A2055" s="95" t="s">
        <v>11611</v>
      </c>
      <c r="B2055" s="95" t="s">
        <v>101</v>
      </c>
      <c r="C2055" s="96" t="s">
        <v>11612</v>
      </c>
      <c r="D2055" s="95" t="s">
        <v>39</v>
      </c>
      <c r="E2055" s="95" t="s">
        <v>960</v>
      </c>
      <c r="F2055" s="95" t="s">
        <v>19</v>
      </c>
      <c r="G2055" s="95" t="s">
        <v>1367</v>
      </c>
      <c r="H2055" s="95" t="s">
        <v>21</v>
      </c>
      <c r="I2055" s="95" t="s">
        <v>11613</v>
      </c>
      <c r="J2055" s="97">
        <v>45993.7854622338</v>
      </c>
      <c r="K2055" s="96" t="s">
        <v>11614</v>
      </c>
      <c r="L2055" s="96" t="s">
        <v>11615</v>
      </c>
      <c r="M2055" s="95" t="s">
        <v>17</v>
      </c>
      <c r="N2055" s="95" t="s">
        <v>11616</v>
      </c>
      <c r="O2055" s="95" t="s">
        <v>11616</v>
      </c>
      <c r="P2055" s="95" t="s">
        <v>11617</v>
      </c>
      <c r="Q2055" s="98">
        <v>2.0</v>
      </c>
      <c r="R2055" s="97">
        <v>45884.6337037037</v>
      </c>
      <c r="S2055" s="99">
        <v>339.0</v>
      </c>
      <c r="T2055" s="99">
        <v>1193.0</v>
      </c>
      <c r="U2055" s="99">
        <v>21.0</v>
      </c>
      <c r="V2055" s="99">
        <v>59.0</v>
      </c>
      <c r="W2055" s="99">
        <v>28467.0</v>
      </c>
    </row>
    <row r="2056" ht="15.75" customHeight="1">
      <c r="A2056" s="95" t="s">
        <v>11618</v>
      </c>
      <c r="B2056" s="95" t="s">
        <v>22</v>
      </c>
      <c r="C2056" s="96" t="s">
        <v>11619</v>
      </c>
      <c r="D2056" s="95" t="s">
        <v>49</v>
      </c>
      <c r="E2056" s="95" t="s">
        <v>1082</v>
      </c>
      <c r="F2056" s="95" t="s">
        <v>19</v>
      </c>
      <c r="G2056" s="95" t="s">
        <v>19</v>
      </c>
      <c r="H2056" s="95" t="s">
        <v>21</v>
      </c>
      <c r="I2056" s="95" t="s">
        <v>677</v>
      </c>
      <c r="J2056" s="97">
        <v>45975.67937972222</v>
      </c>
      <c r="K2056" s="96" t="s">
        <v>11620</v>
      </c>
      <c r="L2056" s="95"/>
      <c r="M2056" s="95" t="s">
        <v>74</v>
      </c>
      <c r="N2056" s="95" t="s">
        <v>11621</v>
      </c>
      <c r="O2056" s="95" t="s">
        <v>11621</v>
      </c>
      <c r="P2056" s="95" t="s">
        <v>11622</v>
      </c>
      <c r="Q2056" s="98">
        <v>2.0</v>
      </c>
      <c r="R2056" s="97">
        <v>45839.30512731482</v>
      </c>
      <c r="S2056" s="99">
        <v>43379.0</v>
      </c>
      <c r="T2056" s="99">
        <v>13.0</v>
      </c>
      <c r="U2056" s="99">
        <v>8.0</v>
      </c>
      <c r="V2056" s="99">
        <v>79.0</v>
      </c>
      <c r="W2056" s="99">
        <v>122938.0</v>
      </c>
    </row>
    <row r="2057" ht="15.75" customHeight="1">
      <c r="A2057" s="95" t="s">
        <v>11623</v>
      </c>
      <c r="B2057" s="95" t="s">
        <v>22</v>
      </c>
      <c r="C2057" s="96" t="s">
        <v>11624</v>
      </c>
      <c r="D2057" s="95" t="s">
        <v>49</v>
      </c>
      <c r="E2057" s="95" t="s">
        <v>1082</v>
      </c>
      <c r="F2057" s="95" t="s">
        <v>19</v>
      </c>
      <c r="G2057" s="95" t="s">
        <v>19</v>
      </c>
      <c r="H2057" s="95" t="s">
        <v>21</v>
      </c>
      <c r="I2057" s="95" t="s">
        <v>567</v>
      </c>
      <c r="J2057" s="97">
        <v>45975.67937972222</v>
      </c>
      <c r="K2057" s="96" t="s">
        <v>11625</v>
      </c>
      <c r="L2057" s="95"/>
      <c r="M2057" s="95" t="s">
        <v>74</v>
      </c>
      <c r="N2057" s="95" t="s">
        <v>11621</v>
      </c>
      <c r="O2057" s="95" t="s">
        <v>11621</v>
      </c>
      <c r="P2057" s="95" t="s">
        <v>11622</v>
      </c>
      <c r="Q2057" s="98">
        <v>2.0</v>
      </c>
      <c r="R2057" s="97">
        <v>45721.60560185185</v>
      </c>
      <c r="S2057" s="99">
        <v>43379.0</v>
      </c>
      <c r="T2057" s="99">
        <v>4.0</v>
      </c>
      <c r="U2057" s="99">
        <v>2.0</v>
      </c>
      <c r="V2057" s="99">
        <v>26.0</v>
      </c>
      <c r="W2057" s="99">
        <v>122938.0</v>
      </c>
    </row>
    <row r="2058" ht="15.75" customHeight="1">
      <c r="A2058" s="95" t="s">
        <v>11626</v>
      </c>
      <c r="B2058" s="95" t="s">
        <v>22</v>
      </c>
      <c r="C2058" s="96" t="s">
        <v>11627</v>
      </c>
      <c r="D2058" s="95" t="s">
        <v>168</v>
      </c>
      <c r="E2058" s="95" t="s">
        <v>780</v>
      </c>
      <c r="F2058" s="95" t="s">
        <v>19</v>
      </c>
      <c r="G2058" s="95" t="s">
        <v>19</v>
      </c>
      <c r="H2058" s="95" t="s">
        <v>21</v>
      </c>
      <c r="I2058" s="95" t="s">
        <v>567</v>
      </c>
      <c r="J2058" s="97">
        <v>46021.50546121527</v>
      </c>
      <c r="K2058" s="95" t="s">
        <v>11628</v>
      </c>
      <c r="L2058" s="96" t="s">
        <v>11629</v>
      </c>
      <c r="M2058" s="95" t="s">
        <v>38</v>
      </c>
      <c r="N2058" s="95" t="s">
        <v>11630</v>
      </c>
      <c r="O2058" s="95" t="s">
        <v>11630</v>
      </c>
      <c r="P2058" s="95" t="s">
        <v>11631</v>
      </c>
      <c r="Q2058" s="98">
        <v>2.0</v>
      </c>
      <c r="R2058" s="97">
        <v>45904.8320949074</v>
      </c>
      <c r="S2058" s="99">
        <v>96.0</v>
      </c>
      <c r="T2058" s="99">
        <v>324.0</v>
      </c>
      <c r="U2058" s="99">
        <v>2.0</v>
      </c>
      <c r="V2058" s="99">
        <v>54.0</v>
      </c>
      <c r="W2058" s="99">
        <v>5632.0</v>
      </c>
    </row>
    <row r="2059" ht="15.75" customHeight="1">
      <c r="A2059" s="95" t="s">
        <v>11632</v>
      </c>
      <c r="B2059" s="95" t="s">
        <v>131</v>
      </c>
      <c r="C2059" s="96" t="s">
        <v>11633</v>
      </c>
      <c r="D2059" s="95" t="s">
        <v>59</v>
      </c>
      <c r="E2059" s="95" t="s">
        <v>59</v>
      </c>
      <c r="F2059" s="95" t="s">
        <v>58</v>
      </c>
      <c r="G2059" s="95" t="s">
        <v>58</v>
      </c>
      <c r="H2059" s="95" t="s">
        <v>136</v>
      </c>
      <c r="I2059" s="95" t="s">
        <v>2306</v>
      </c>
      <c r="J2059" s="97">
        <v>45975.67931630787</v>
      </c>
      <c r="K2059" s="96" t="s">
        <v>11634</v>
      </c>
      <c r="L2059" s="95"/>
      <c r="M2059" s="95" t="s">
        <v>54</v>
      </c>
      <c r="N2059" s="95" t="s">
        <v>11635</v>
      </c>
      <c r="O2059" s="95" t="s">
        <v>11635</v>
      </c>
      <c r="P2059" s="95" t="s">
        <v>11636</v>
      </c>
      <c r="Q2059" s="98">
        <v>2.0</v>
      </c>
      <c r="R2059" s="97">
        <v>45729.53782407408</v>
      </c>
      <c r="S2059" s="99">
        <v>3271.0</v>
      </c>
      <c r="T2059" s="99">
        <v>4.0</v>
      </c>
      <c r="U2059" s="99">
        <v>1.0</v>
      </c>
      <c r="V2059" s="99">
        <v>60.0</v>
      </c>
      <c r="W2059" s="99">
        <v>1123086.0</v>
      </c>
    </row>
    <row r="2060" ht="15.75" customHeight="1">
      <c r="A2060" s="95" t="s">
        <v>11637</v>
      </c>
      <c r="B2060" s="95" t="s">
        <v>22</v>
      </c>
      <c r="C2060" s="96" t="s">
        <v>11638</v>
      </c>
      <c r="D2060" s="95" t="s">
        <v>39</v>
      </c>
      <c r="E2060" s="95" t="s">
        <v>614</v>
      </c>
      <c r="F2060" s="95" t="s">
        <v>19</v>
      </c>
      <c r="G2060" s="95" t="s">
        <v>19</v>
      </c>
      <c r="H2060" s="95" t="s">
        <v>21</v>
      </c>
      <c r="I2060" s="95" t="s">
        <v>567</v>
      </c>
      <c r="J2060" s="97">
        <v>46021.50546121527</v>
      </c>
      <c r="K2060" s="95" t="s">
        <v>11639</v>
      </c>
      <c r="L2060" s="96" t="s">
        <v>11640</v>
      </c>
      <c r="M2060" s="95" t="s">
        <v>93</v>
      </c>
      <c r="N2060" s="95" t="s">
        <v>11641</v>
      </c>
      <c r="O2060" s="95" t="s">
        <v>11641</v>
      </c>
      <c r="P2060" s="95" t="s">
        <v>11642</v>
      </c>
      <c r="Q2060" s="98">
        <v>2.0</v>
      </c>
      <c r="R2060" s="97">
        <v>45746.40719907408</v>
      </c>
      <c r="S2060" s="99">
        <v>1039.0</v>
      </c>
      <c r="T2060" s="99">
        <v>42.0</v>
      </c>
      <c r="U2060" s="99">
        <v>2.0</v>
      </c>
      <c r="V2060" s="99">
        <v>105.0</v>
      </c>
      <c r="W2060" s="99">
        <v>4009.0</v>
      </c>
    </row>
    <row r="2061" ht="15.75" customHeight="1">
      <c r="A2061" s="95" t="s">
        <v>11643</v>
      </c>
      <c r="B2061" s="95" t="s">
        <v>131</v>
      </c>
      <c r="C2061" s="96" t="s">
        <v>11644</v>
      </c>
      <c r="D2061" s="95" t="s">
        <v>59</v>
      </c>
      <c r="E2061" s="95" t="s">
        <v>1347</v>
      </c>
      <c r="F2061" s="95" t="s">
        <v>58</v>
      </c>
      <c r="G2061" s="95" t="s">
        <v>1450</v>
      </c>
      <c r="H2061" s="95" t="s">
        <v>21</v>
      </c>
      <c r="I2061" s="95" t="s">
        <v>647</v>
      </c>
      <c r="J2061" s="97">
        <v>46039.60542217593</v>
      </c>
      <c r="K2061" s="96" t="s">
        <v>11645</v>
      </c>
      <c r="L2061" s="96" t="s">
        <v>11646</v>
      </c>
      <c r="M2061" s="95" t="s">
        <v>93</v>
      </c>
      <c r="N2061" s="95" t="s">
        <v>4149</v>
      </c>
      <c r="O2061" s="95" t="s">
        <v>4149</v>
      </c>
      <c r="P2061" s="95" t="s">
        <v>4150</v>
      </c>
      <c r="Q2061" s="98">
        <v>2.0</v>
      </c>
      <c r="R2061" s="97">
        <v>45854.61600694444</v>
      </c>
      <c r="S2061" s="99">
        <v>90.0</v>
      </c>
      <c r="T2061" s="99">
        <v>575.0</v>
      </c>
      <c r="U2061" s="99">
        <v>3.0</v>
      </c>
      <c r="V2061" s="99">
        <v>22.0</v>
      </c>
      <c r="W2061" s="99">
        <v>514222.0</v>
      </c>
    </row>
    <row r="2062" ht="15.75" customHeight="1">
      <c r="A2062" s="95" t="s">
        <v>166</v>
      </c>
      <c r="B2062" s="95" t="s">
        <v>157</v>
      </c>
      <c r="C2062" s="96" t="s">
        <v>171</v>
      </c>
      <c r="D2062" s="95" t="s">
        <v>168</v>
      </c>
      <c r="E2062" s="95" t="s">
        <v>1228</v>
      </c>
      <c r="F2062" s="95" t="s">
        <v>88</v>
      </c>
      <c r="G2062" s="95" t="s">
        <v>88</v>
      </c>
      <c r="H2062" s="95" t="s">
        <v>89</v>
      </c>
      <c r="I2062" s="95" t="s">
        <v>859</v>
      </c>
      <c r="J2062" s="97">
        <v>46008.62902929398</v>
      </c>
      <c r="K2062" s="96" t="s">
        <v>170</v>
      </c>
      <c r="L2062" s="96" t="s">
        <v>169</v>
      </c>
      <c r="M2062" s="95" t="s">
        <v>17</v>
      </c>
      <c r="N2062" s="95" t="s">
        <v>167</v>
      </c>
      <c r="O2062" s="95" t="s">
        <v>167</v>
      </c>
      <c r="P2062" s="95" t="s">
        <v>11647</v>
      </c>
      <c r="Q2062" s="98">
        <v>2.0</v>
      </c>
      <c r="R2062" s="97">
        <v>45676.88133101852</v>
      </c>
      <c r="S2062" s="99">
        <v>584.0</v>
      </c>
      <c r="T2062" s="99">
        <v>116.0</v>
      </c>
      <c r="U2062" s="99">
        <v>1.0</v>
      </c>
      <c r="V2062" s="99">
        <v>27.0</v>
      </c>
      <c r="W2062" s="99">
        <v>9354.0</v>
      </c>
    </row>
    <row r="2063" ht="15.75" customHeight="1">
      <c r="A2063" s="95" t="s">
        <v>11648</v>
      </c>
      <c r="B2063" s="95" t="s">
        <v>69</v>
      </c>
      <c r="C2063" s="96" t="s">
        <v>11649</v>
      </c>
      <c r="D2063" s="95" t="s">
        <v>168</v>
      </c>
      <c r="E2063" s="95" t="s">
        <v>3707</v>
      </c>
      <c r="F2063" s="95" t="s">
        <v>58</v>
      </c>
      <c r="G2063" s="95" t="s">
        <v>2409</v>
      </c>
      <c r="H2063" s="95" t="s">
        <v>89</v>
      </c>
      <c r="I2063" s="95" t="s">
        <v>640</v>
      </c>
      <c r="J2063" s="97">
        <v>46008.62902929398</v>
      </c>
      <c r="K2063" s="96" t="s">
        <v>11650</v>
      </c>
      <c r="L2063" s="95"/>
      <c r="M2063" s="95" t="s">
        <v>17</v>
      </c>
      <c r="N2063" s="95" t="s">
        <v>11651</v>
      </c>
      <c r="O2063" s="95" t="s">
        <v>11651</v>
      </c>
      <c r="P2063" s="95" t="s">
        <v>11652</v>
      </c>
      <c r="Q2063" s="98">
        <v>2.0</v>
      </c>
      <c r="R2063" s="97">
        <v>45924.46953703704</v>
      </c>
      <c r="S2063" s="99">
        <v>5042.0</v>
      </c>
      <c r="T2063" s="99">
        <v>267.0</v>
      </c>
      <c r="U2063" s="99">
        <v>12.0</v>
      </c>
      <c r="V2063" s="99">
        <v>29.0</v>
      </c>
      <c r="W2063" s="99">
        <v>50208.0</v>
      </c>
    </row>
    <row r="2064" ht="15.75" customHeight="1">
      <c r="A2064" s="95" t="s">
        <v>11653</v>
      </c>
      <c r="B2064" s="95" t="s">
        <v>22</v>
      </c>
      <c r="C2064" s="96" t="s">
        <v>11654</v>
      </c>
      <c r="D2064" s="95" t="s">
        <v>168</v>
      </c>
      <c r="E2064" s="95" t="s">
        <v>168</v>
      </c>
      <c r="F2064" s="95" t="s">
        <v>19</v>
      </c>
      <c r="G2064" s="95" t="s">
        <v>19</v>
      </c>
      <c r="H2064" s="95" t="s">
        <v>21</v>
      </c>
      <c r="I2064" s="95" t="s">
        <v>567</v>
      </c>
      <c r="J2064" s="97">
        <v>45975.67934811342</v>
      </c>
      <c r="K2064" s="96" t="s">
        <v>11655</v>
      </c>
      <c r="L2064" s="96" t="s">
        <v>11656</v>
      </c>
      <c r="M2064" s="95" t="s">
        <v>17</v>
      </c>
      <c r="N2064" s="95" t="s">
        <v>11657</v>
      </c>
      <c r="O2064" s="95" t="s">
        <v>11657</v>
      </c>
      <c r="P2064" s="95" t="s">
        <v>11658</v>
      </c>
      <c r="Q2064" s="98">
        <v>2.0</v>
      </c>
      <c r="R2064" s="97">
        <v>45630.31474537037</v>
      </c>
      <c r="S2064" s="99">
        <v>155.0</v>
      </c>
      <c r="T2064" s="99">
        <v>1.0</v>
      </c>
      <c r="U2064" s="99">
        <v>1.0</v>
      </c>
      <c r="V2064" s="99">
        <v>27.0</v>
      </c>
      <c r="W2064" s="99">
        <v>24600.0</v>
      </c>
    </row>
    <row r="2065" ht="15.75" customHeight="1">
      <c r="A2065" s="95" t="s">
        <v>11659</v>
      </c>
      <c r="B2065" s="95" t="s">
        <v>69</v>
      </c>
      <c r="C2065" s="96" t="s">
        <v>11660</v>
      </c>
      <c r="D2065" s="95" t="s">
        <v>59</v>
      </c>
      <c r="E2065" s="95" t="s">
        <v>738</v>
      </c>
      <c r="F2065" s="95" t="s">
        <v>88</v>
      </c>
      <c r="G2065" s="95" t="s">
        <v>88</v>
      </c>
      <c r="H2065" s="95" t="s">
        <v>89</v>
      </c>
      <c r="I2065" s="95" t="s">
        <v>1477</v>
      </c>
      <c r="J2065" s="97">
        <v>45977.67848078704</v>
      </c>
      <c r="K2065" s="95" t="s">
        <v>11661</v>
      </c>
      <c r="L2065" s="95"/>
      <c r="M2065" s="95" t="s">
        <v>17</v>
      </c>
      <c r="N2065" s="95" t="s">
        <v>4200</v>
      </c>
      <c r="O2065" s="95" t="s">
        <v>4200</v>
      </c>
      <c r="P2065" s="95" t="s">
        <v>4201</v>
      </c>
      <c r="Q2065" s="98">
        <v>2.0</v>
      </c>
      <c r="R2065" s="97">
        <v>45648.70086805556</v>
      </c>
      <c r="S2065" s="99">
        <v>8190.0</v>
      </c>
      <c r="T2065" s="99">
        <v>16.0</v>
      </c>
      <c r="U2065" s="99">
        <v>3.0</v>
      </c>
      <c r="V2065" s="99">
        <v>44.0</v>
      </c>
      <c r="W2065" s="99">
        <v>3144328.0</v>
      </c>
    </row>
    <row r="2066" ht="15.75" customHeight="1">
      <c r="A2066" s="95" t="s">
        <v>11662</v>
      </c>
      <c r="B2066" s="95" t="s">
        <v>157</v>
      </c>
      <c r="C2066" s="96" t="s">
        <v>11663</v>
      </c>
      <c r="D2066" s="95" t="s">
        <v>59</v>
      </c>
      <c r="E2066" s="95" t="s">
        <v>738</v>
      </c>
      <c r="F2066" s="95" t="s">
        <v>19</v>
      </c>
      <c r="G2066" s="95" t="s">
        <v>1367</v>
      </c>
      <c r="H2066" s="95" t="s">
        <v>89</v>
      </c>
      <c r="I2066" s="95" t="s">
        <v>859</v>
      </c>
      <c r="J2066" s="97">
        <v>45978.46270384259</v>
      </c>
      <c r="K2066" s="95" t="s">
        <v>11664</v>
      </c>
      <c r="L2066" s="95"/>
      <c r="M2066" s="95" t="s">
        <v>17</v>
      </c>
      <c r="N2066" s="95" t="s">
        <v>4200</v>
      </c>
      <c r="O2066" s="95" t="s">
        <v>4200</v>
      </c>
      <c r="P2066" s="95" t="s">
        <v>4201</v>
      </c>
      <c r="Q2066" s="98">
        <v>2.0</v>
      </c>
      <c r="R2066" s="97">
        <v>45808.91189814815</v>
      </c>
      <c r="S2066" s="99">
        <v>8190.0</v>
      </c>
      <c r="T2066" s="99">
        <v>11.0</v>
      </c>
      <c r="U2066" s="99">
        <v>1.0</v>
      </c>
      <c r="V2066" s="99">
        <v>53.0</v>
      </c>
      <c r="W2066" s="99">
        <v>3144328.0</v>
      </c>
    </row>
    <row r="2067" ht="15.75" customHeight="1">
      <c r="A2067" s="95" t="s">
        <v>11665</v>
      </c>
      <c r="B2067" s="95" t="s">
        <v>69</v>
      </c>
      <c r="C2067" s="96" t="s">
        <v>11666</v>
      </c>
      <c r="D2067" s="95" t="s">
        <v>59</v>
      </c>
      <c r="E2067" s="95" t="s">
        <v>738</v>
      </c>
      <c r="F2067" s="95" t="s">
        <v>88</v>
      </c>
      <c r="G2067" s="95" t="s">
        <v>88</v>
      </c>
      <c r="H2067" s="95" t="s">
        <v>89</v>
      </c>
      <c r="I2067" s="95" t="s">
        <v>640</v>
      </c>
      <c r="J2067" s="97">
        <v>45993.7854622338</v>
      </c>
      <c r="K2067" s="96" t="s">
        <v>11667</v>
      </c>
      <c r="L2067" s="95"/>
      <c r="M2067" s="95" t="s">
        <v>17</v>
      </c>
      <c r="N2067" s="95" t="s">
        <v>4200</v>
      </c>
      <c r="O2067" s="95" t="s">
        <v>4200</v>
      </c>
      <c r="P2067" s="95" t="s">
        <v>4201</v>
      </c>
      <c r="Q2067" s="98">
        <v>2.0</v>
      </c>
      <c r="R2067" s="97">
        <v>45652.78798611111</v>
      </c>
      <c r="S2067" s="99">
        <v>8190.0</v>
      </c>
      <c r="T2067" s="99">
        <v>12.0</v>
      </c>
      <c r="U2067" s="99">
        <v>3.0</v>
      </c>
      <c r="V2067" s="99">
        <v>43.0</v>
      </c>
      <c r="W2067" s="99">
        <v>3144328.0</v>
      </c>
    </row>
    <row r="2068" ht="15.75" customHeight="1">
      <c r="A2068" s="95" t="s">
        <v>11668</v>
      </c>
      <c r="B2068" s="95" t="s">
        <v>22</v>
      </c>
      <c r="C2068" s="96" t="s">
        <v>11669</v>
      </c>
      <c r="D2068" s="95" t="s">
        <v>39</v>
      </c>
      <c r="E2068" s="95" t="s">
        <v>718</v>
      </c>
      <c r="F2068" s="95" t="s">
        <v>19</v>
      </c>
      <c r="G2068" s="95" t="s">
        <v>588</v>
      </c>
      <c r="H2068" s="95" t="s">
        <v>21</v>
      </c>
      <c r="I2068" s="95" t="s">
        <v>567</v>
      </c>
      <c r="J2068" s="97">
        <v>46021.51245517361</v>
      </c>
      <c r="K2068" s="95" t="s">
        <v>11670</v>
      </c>
      <c r="L2068" s="96" t="s">
        <v>11671</v>
      </c>
      <c r="M2068" s="95" t="s">
        <v>54</v>
      </c>
      <c r="N2068" s="95" t="s">
        <v>11672</v>
      </c>
      <c r="O2068" s="95" t="s">
        <v>11672</v>
      </c>
      <c r="P2068" s="95" t="s">
        <v>11673</v>
      </c>
      <c r="Q2068" s="98">
        <v>2.0</v>
      </c>
      <c r="R2068" s="97">
        <v>45831.34206018518</v>
      </c>
      <c r="S2068" s="99">
        <v>1005.0</v>
      </c>
      <c r="T2068" s="99">
        <v>834.0</v>
      </c>
      <c r="U2068" s="99">
        <v>48.0</v>
      </c>
      <c r="V2068" s="99">
        <v>204.0</v>
      </c>
      <c r="W2068" s="99">
        <v>34509.0</v>
      </c>
    </row>
    <row r="2069" ht="15.75" customHeight="1">
      <c r="A2069" s="95" t="s">
        <v>11674</v>
      </c>
      <c r="B2069" s="95" t="s">
        <v>22</v>
      </c>
      <c r="C2069" s="96" t="s">
        <v>11675</v>
      </c>
      <c r="D2069" s="95" t="s">
        <v>39</v>
      </c>
      <c r="E2069" s="95" t="s">
        <v>960</v>
      </c>
      <c r="F2069" s="95" t="s">
        <v>19</v>
      </c>
      <c r="G2069" s="95" t="s">
        <v>19</v>
      </c>
      <c r="H2069" s="95" t="s">
        <v>21</v>
      </c>
      <c r="I2069" s="95" t="s">
        <v>567</v>
      </c>
      <c r="J2069" s="97">
        <v>45986.53189861111</v>
      </c>
      <c r="K2069" s="95" t="s">
        <v>11676</v>
      </c>
      <c r="L2069" s="96" t="s">
        <v>11677</v>
      </c>
      <c r="M2069" s="95" t="s">
        <v>17</v>
      </c>
      <c r="N2069" s="95" t="s">
        <v>4221</v>
      </c>
      <c r="O2069" s="95" t="s">
        <v>4221</v>
      </c>
      <c r="P2069" s="95" t="s">
        <v>4222</v>
      </c>
      <c r="Q2069" s="98">
        <v>2.0</v>
      </c>
      <c r="R2069" s="97">
        <v>45743.36959490741</v>
      </c>
      <c r="S2069" s="99">
        <v>2093.0</v>
      </c>
      <c r="T2069" s="99">
        <v>8.0</v>
      </c>
      <c r="U2069" s="99">
        <v>2.0</v>
      </c>
      <c r="V2069" s="99">
        <v>159.0</v>
      </c>
      <c r="W2069" s="99">
        <v>100335.0</v>
      </c>
    </row>
    <row r="2070" ht="15.75" customHeight="1">
      <c r="A2070" s="95" t="s">
        <v>11678</v>
      </c>
      <c r="B2070" s="95" t="s">
        <v>22</v>
      </c>
      <c r="C2070" s="96" t="s">
        <v>11679</v>
      </c>
      <c r="D2070" s="95" t="s">
        <v>39</v>
      </c>
      <c r="E2070" s="95" t="s">
        <v>1404</v>
      </c>
      <c r="F2070" s="95" t="s">
        <v>19</v>
      </c>
      <c r="G2070" s="95" t="s">
        <v>19</v>
      </c>
      <c r="H2070" s="95" t="s">
        <v>21</v>
      </c>
      <c r="I2070" s="95" t="s">
        <v>567</v>
      </c>
      <c r="J2070" s="97">
        <v>45978.45911076389</v>
      </c>
      <c r="K2070" s="95" t="s">
        <v>11680</v>
      </c>
      <c r="L2070" s="96" t="s">
        <v>11681</v>
      </c>
      <c r="M2070" s="95" t="s">
        <v>38</v>
      </c>
      <c r="N2070" s="95" t="s">
        <v>11682</v>
      </c>
      <c r="O2070" s="95" t="s">
        <v>11682</v>
      </c>
      <c r="P2070" s="95" t="s">
        <v>11683</v>
      </c>
      <c r="Q2070" s="98">
        <v>2.0</v>
      </c>
      <c r="R2070" s="97">
        <v>45866.6769212963</v>
      </c>
      <c r="S2070" s="99">
        <v>689.0</v>
      </c>
      <c r="T2070" s="99">
        <v>17.0</v>
      </c>
      <c r="U2070" s="99">
        <v>1.0</v>
      </c>
      <c r="V2070" s="99">
        <v>41.0</v>
      </c>
      <c r="W2070" s="99">
        <v>19223.0</v>
      </c>
    </row>
    <row r="2071" ht="15.75" customHeight="1">
      <c r="A2071" s="95" t="s">
        <v>11684</v>
      </c>
      <c r="B2071" s="95" t="s">
        <v>22</v>
      </c>
      <c r="C2071" s="96" t="s">
        <v>11685</v>
      </c>
      <c r="D2071" s="95" t="s">
        <v>39</v>
      </c>
      <c r="E2071" s="95" t="s">
        <v>960</v>
      </c>
      <c r="F2071" s="95" t="s">
        <v>19</v>
      </c>
      <c r="G2071" s="95" t="s">
        <v>19</v>
      </c>
      <c r="H2071" s="95" t="s">
        <v>21</v>
      </c>
      <c r="I2071" s="95" t="s">
        <v>567</v>
      </c>
      <c r="J2071" s="97">
        <v>46003.09290072916</v>
      </c>
      <c r="K2071" s="95" t="s">
        <v>11686</v>
      </c>
      <c r="L2071" s="96" t="s">
        <v>11687</v>
      </c>
      <c r="M2071" s="95" t="s">
        <v>38</v>
      </c>
      <c r="N2071" s="95" t="s">
        <v>11682</v>
      </c>
      <c r="O2071" s="95" t="s">
        <v>11682</v>
      </c>
      <c r="P2071" s="95" t="s">
        <v>11683</v>
      </c>
      <c r="Q2071" s="98">
        <v>2.0</v>
      </c>
      <c r="R2071" s="97">
        <v>45804.57162037037</v>
      </c>
      <c r="S2071" s="99">
        <v>689.0</v>
      </c>
      <c r="T2071" s="99">
        <v>11.0</v>
      </c>
      <c r="U2071" s="99">
        <v>1.0</v>
      </c>
      <c r="V2071" s="99">
        <v>89.0</v>
      </c>
      <c r="W2071" s="99">
        <v>19223.0</v>
      </c>
    </row>
    <row r="2072" ht="15.75" customHeight="1">
      <c r="A2072" s="95" t="s">
        <v>11688</v>
      </c>
      <c r="B2072" s="95" t="s">
        <v>22</v>
      </c>
      <c r="C2072" s="96" t="s">
        <v>11689</v>
      </c>
      <c r="D2072" s="95" t="s">
        <v>124</v>
      </c>
      <c r="E2072" s="95" t="s">
        <v>2195</v>
      </c>
      <c r="F2072" s="95" t="s">
        <v>19</v>
      </c>
      <c r="G2072" s="95" t="s">
        <v>19</v>
      </c>
      <c r="H2072" s="95" t="s">
        <v>21</v>
      </c>
      <c r="I2072" s="95" t="s">
        <v>567</v>
      </c>
      <c r="J2072" s="97">
        <v>46056.931625</v>
      </c>
      <c r="K2072" s="95" t="s">
        <v>11690</v>
      </c>
      <c r="L2072" s="95"/>
      <c r="M2072" s="95" t="s">
        <v>503</v>
      </c>
      <c r="N2072" s="95" t="s">
        <v>11691</v>
      </c>
      <c r="O2072" s="95" t="s">
        <v>11691</v>
      </c>
      <c r="P2072" s="95" t="s">
        <v>11692</v>
      </c>
      <c r="Q2072" s="98">
        <v>2.0</v>
      </c>
      <c r="R2072" s="97">
        <v>46038.4959837963</v>
      </c>
      <c r="S2072" s="99">
        <v>1637.0</v>
      </c>
      <c r="T2072" s="99">
        <v>3.0</v>
      </c>
      <c r="U2072" s="99">
        <v>10.0</v>
      </c>
      <c r="V2072" s="99">
        <v>65.0</v>
      </c>
      <c r="W2072" s="99">
        <v>45854.0</v>
      </c>
    </row>
    <row r="2073" ht="15.75" customHeight="1">
      <c r="A2073" s="95" t="s">
        <v>11693</v>
      </c>
      <c r="B2073" s="95" t="s">
        <v>22</v>
      </c>
      <c r="C2073" s="96" t="s">
        <v>11694</v>
      </c>
      <c r="D2073" s="95" t="s">
        <v>39</v>
      </c>
      <c r="E2073" s="95" t="s">
        <v>1208</v>
      </c>
      <c r="F2073" s="95" t="s">
        <v>19</v>
      </c>
      <c r="G2073" s="95" t="s">
        <v>588</v>
      </c>
      <c r="H2073" s="95" t="s">
        <v>21</v>
      </c>
      <c r="I2073" s="95" t="s">
        <v>589</v>
      </c>
      <c r="J2073" s="97">
        <v>46021.49299090278</v>
      </c>
      <c r="K2073" s="95" t="s">
        <v>11695</v>
      </c>
      <c r="L2073" s="96" t="s">
        <v>11696</v>
      </c>
      <c r="M2073" s="95" t="s">
        <v>105</v>
      </c>
      <c r="N2073" s="95" t="s">
        <v>4264</v>
      </c>
      <c r="O2073" s="95" t="s">
        <v>4264</v>
      </c>
      <c r="P2073" s="95" t="s">
        <v>4265</v>
      </c>
      <c r="Q2073" s="98">
        <v>2.0</v>
      </c>
      <c r="R2073" s="97">
        <v>45826.83599537037</v>
      </c>
      <c r="S2073" s="99">
        <v>267.0</v>
      </c>
      <c r="T2073" s="99">
        <v>87.0</v>
      </c>
      <c r="U2073" s="99">
        <v>1.0</v>
      </c>
      <c r="V2073" s="99">
        <v>15.0</v>
      </c>
      <c r="W2073" s="99">
        <v>10593.0</v>
      </c>
    </row>
    <row r="2074" ht="15.75" customHeight="1">
      <c r="A2074" s="95" t="s">
        <v>11697</v>
      </c>
      <c r="B2074" s="95" t="s">
        <v>22</v>
      </c>
      <c r="C2074" s="96" t="s">
        <v>11698</v>
      </c>
      <c r="D2074" s="95" t="s">
        <v>39</v>
      </c>
      <c r="E2074" s="95" t="s">
        <v>4293</v>
      </c>
      <c r="F2074" s="95" t="s">
        <v>19</v>
      </c>
      <c r="G2074" s="95" t="s">
        <v>19</v>
      </c>
      <c r="H2074" s="95" t="s">
        <v>21</v>
      </c>
      <c r="I2074" s="95" t="s">
        <v>589</v>
      </c>
      <c r="J2074" s="97">
        <v>45975.67931630787</v>
      </c>
      <c r="K2074" s="96" t="s">
        <v>11699</v>
      </c>
      <c r="L2074" s="96" t="s">
        <v>11700</v>
      </c>
      <c r="M2074" s="95" t="s">
        <v>54</v>
      </c>
      <c r="N2074" s="95" t="s">
        <v>11701</v>
      </c>
      <c r="O2074" s="95" t="s">
        <v>11701</v>
      </c>
      <c r="P2074" s="95" t="s">
        <v>11702</v>
      </c>
      <c r="Q2074" s="98">
        <v>2.0</v>
      </c>
      <c r="R2074" s="97">
        <v>45748.90879629629</v>
      </c>
      <c r="S2074" s="99">
        <v>24216.0</v>
      </c>
      <c r="T2074" s="99">
        <v>167.0</v>
      </c>
      <c r="U2074" s="99">
        <v>4.0</v>
      </c>
      <c r="V2074" s="99">
        <v>96.0</v>
      </c>
      <c r="W2074" s="99">
        <v>51426.0</v>
      </c>
    </row>
    <row r="2075" ht="15.75" customHeight="1">
      <c r="A2075" s="95" t="s">
        <v>11703</v>
      </c>
      <c r="B2075" s="95" t="s">
        <v>22</v>
      </c>
      <c r="C2075" s="96" t="s">
        <v>11704</v>
      </c>
      <c r="D2075" s="95" t="s">
        <v>39</v>
      </c>
      <c r="E2075" s="95" t="s">
        <v>1201</v>
      </c>
      <c r="F2075" s="95" t="s">
        <v>19</v>
      </c>
      <c r="G2075" s="95" t="s">
        <v>588</v>
      </c>
      <c r="H2075" s="95" t="s">
        <v>21</v>
      </c>
      <c r="I2075" s="95" t="s">
        <v>589</v>
      </c>
      <c r="J2075" s="97">
        <v>45975.67931630787</v>
      </c>
      <c r="K2075" s="96" t="s">
        <v>11705</v>
      </c>
      <c r="L2075" s="96" t="s">
        <v>11706</v>
      </c>
      <c r="M2075" s="95" t="s">
        <v>54</v>
      </c>
      <c r="N2075" s="95" t="s">
        <v>11701</v>
      </c>
      <c r="O2075" s="95" t="s">
        <v>11701</v>
      </c>
      <c r="P2075" s="95" t="s">
        <v>11702</v>
      </c>
      <c r="Q2075" s="98">
        <v>2.0</v>
      </c>
      <c r="R2075" s="97">
        <v>45883.22603009259</v>
      </c>
      <c r="S2075" s="99">
        <v>24216.0</v>
      </c>
      <c r="T2075" s="99">
        <v>517.0</v>
      </c>
      <c r="U2075" s="99">
        <v>4.0</v>
      </c>
      <c r="V2075" s="99">
        <v>76.0</v>
      </c>
      <c r="W2075" s="99">
        <v>51426.0</v>
      </c>
    </row>
    <row r="2076" ht="15.75" customHeight="1">
      <c r="A2076" s="95" t="s">
        <v>11707</v>
      </c>
      <c r="B2076" s="95" t="s">
        <v>22</v>
      </c>
      <c r="C2076" s="96" t="s">
        <v>11708</v>
      </c>
      <c r="D2076" s="95" t="s">
        <v>20</v>
      </c>
      <c r="E2076" s="95" t="s">
        <v>4300</v>
      </c>
      <c r="F2076" s="95" t="s">
        <v>19</v>
      </c>
      <c r="G2076" s="95" t="s">
        <v>19</v>
      </c>
      <c r="H2076" s="95" t="s">
        <v>21</v>
      </c>
      <c r="I2076" s="95" t="s">
        <v>567</v>
      </c>
      <c r="J2076" s="97">
        <v>45975.67931630787</v>
      </c>
      <c r="K2076" s="96" t="s">
        <v>11709</v>
      </c>
      <c r="L2076" s="96" t="s">
        <v>11710</v>
      </c>
      <c r="M2076" s="95" t="s">
        <v>54</v>
      </c>
      <c r="N2076" s="95" t="s">
        <v>11701</v>
      </c>
      <c r="O2076" s="95" t="s">
        <v>11701</v>
      </c>
      <c r="P2076" s="95" t="s">
        <v>11702</v>
      </c>
      <c r="Q2076" s="98">
        <v>2.0</v>
      </c>
      <c r="R2076" s="97">
        <v>45867.41534722222</v>
      </c>
      <c r="S2076" s="99">
        <v>24216.0</v>
      </c>
      <c r="T2076" s="99">
        <v>404.0</v>
      </c>
      <c r="U2076" s="99">
        <v>4.0</v>
      </c>
      <c r="V2076" s="99">
        <v>132.0</v>
      </c>
      <c r="W2076" s="99">
        <v>51426.0</v>
      </c>
    </row>
    <row r="2077" ht="15.75" customHeight="1">
      <c r="A2077" s="95" t="s">
        <v>11711</v>
      </c>
      <c r="B2077" s="95" t="s">
        <v>22</v>
      </c>
      <c r="C2077" s="96" t="s">
        <v>11712</v>
      </c>
      <c r="D2077" s="95" t="s">
        <v>39</v>
      </c>
      <c r="E2077" s="95" t="s">
        <v>4293</v>
      </c>
      <c r="F2077" s="95" t="s">
        <v>19</v>
      </c>
      <c r="G2077" s="95" t="s">
        <v>19</v>
      </c>
      <c r="H2077" s="95" t="s">
        <v>21</v>
      </c>
      <c r="I2077" s="95" t="s">
        <v>677</v>
      </c>
      <c r="J2077" s="97">
        <v>46003.09685071759</v>
      </c>
      <c r="K2077" s="95" t="s">
        <v>11713</v>
      </c>
      <c r="L2077" s="96" t="s">
        <v>11714</v>
      </c>
      <c r="M2077" s="95" t="s">
        <v>54</v>
      </c>
      <c r="N2077" s="95" t="s">
        <v>4296</v>
      </c>
      <c r="O2077" s="95" t="s">
        <v>4296</v>
      </c>
      <c r="P2077" s="95" t="s">
        <v>4297</v>
      </c>
      <c r="Q2077" s="98">
        <v>2.0</v>
      </c>
      <c r="R2077" s="97">
        <v>45888.68078703704</v>
      </c>
      <c r="S2077" s="99">
        <v>210.0</v>
      </c>
      <c r="T2077" s="99">
        <v>1079.0</v>
      </c>
      <c r="U2077" s="99">
        <v>33.0</v>
      </c>
      <c r="V2077" s="99">
        <v>48.0</v>
      </c>
      <c r="W2077" s="99">
        <v>582623.0</v>
      </c>
    </row>
    <row r="2078" ht="15.75" customHeight="1">
      <c r="A2078" s="95" t="s">
        <v>11715</v>
      </c>
      <c r="B2078" s="95" t="s">
        <v>101</v>
      </c>
      <c r="C2078" s="96" t="s">
        <v>11716</v>
      </c>
      <c r="D2078" s="95" t="s">
        <v>20</v>
      </c>
      <c r="E2078" s="95" t="s">
        <v>638</v>
      </c>
      <c r="F2078" s="95" t="s">
        <v>19</v>
      </c>
      <c r="G2078" s="95" t="s">
        <v>19</v>
      </c>
      <c r="H2078" s="95" t="s">
        <v>21</v>
      </c>
      <c r="I2078" s="95" t="s">
        <v>955</v>
      </c>
      <c r="J2078" s="97">
        <v>46003.09685071759</v>
      </c>
      <c r="K2078" s="95" t="s">
        <v>11717</v>
      </c>
      <c r="L2078" s="96" t="s">
        <v>11718</v>
      </c>
      <c r="M2078" s="95" t="s">
        <v>54</v>
      </c>
      <c r="N2078" s="95" t="s">
        <v>4296</v>
      </c>
      <c r="O2078" s="95" t="s">
        <v>4296</v>
      </c>
      <c r="P2078" s="95" t="s">
        <v>4297</v>
      </c>
      <c r="Q2078" s="98">
        <v>2.0</v>
      </c>
      <c r="R2078" s="97">
        <v>45915.7909375</v>
      </c>
      <c r="S2078" s="99">
        <v>210.0</v>
      </c>
      <c r="T2078" s="99">
        <v>19.0</v>
      </c>
      <c r="U2078" s="99">
        <v>21.0</v>
      </c>
      <c r="V2078" s="99">
        <v>112.0</v>
      </c>
      <c r="W2078" s="99">
        <v>582623.0</v>
      </c>
    </row>
    <row r="2079" ht="15.75" customHeight="1">
      <c r="A2079" s="95" t="s">
        <v>11719</v>
      </c>
      <c r="B2079" s="95" t="s">
        <v>22</v>
      </c>
      <c r="C2079" s="96" t="s">
        <v>11720</v>
      </c>
      <c r="D2079" s="95" t="s">
        <v>59</v>
      </c>
      <c r="E2079" s="95" t="s">
        <v>738</v>
      </c>
      <c r="F2079" s="95" t="s">
        <v>19</v>
      </c>
      <c r="G2079" s="95" t="s">
        <v>1427</v>
      </c>
      <c r="H2079" s="95" t="s">
        <v>21</v>
      </c>
      <c r="I2079" s="95" t="s">
        <v>711</v>
      </c>
      <c r="J2079" s="97">
        <v>45988.61454574074</v>
      </c>
      <c r="K2079" s="95" t="s">
        <v>11721</v>
      </c>
      <c r="L2079" s="96" t="s">
        <v>11722</v>
      </c>
      <c r="M2079" s="95" t="s">
        <v>17</v>
      </c>
      <c r="N2079" s="95" t="s">
        <v>11723</v>
      </c>
      <c r="O2079" s="95" t="s">
        <v>11723</v>
      </c>
      <c r="P2079" s="95" t="s">
        <v>11724</v>
      </c>
      <c r="Q2079" s="98">
        <v>2.0</v>
      </c>
      <c r="R2079" s="97">
        <v>45868.35788194444</v>
      </c>
      <c r="S2079" s="99">
        <v>452.0</v>
      </c>
      <c r="T2079" s="99">
        <v>104.0</v>
      </c>
      <c r="U2079" s="99">
        <v>2.0</v>
      </c>
      <c r="V2079" s="99">
        <v>45.0</v>
      </c>
      <c r="W2079" s="99">
        <v>19531.0</v>
      </c>
    </row>
    <row r="2080" ht="15.75" customHeight="1">
      <c r="A2080" s="95" t="s">
        <v>11725</v>
      </c>
      <c r="B2080" s="95" t="s">
        <v>22</v>
      </c>
      <c r="C2080" s="96" t="s">
        <v>11726</v>
      </c>
      <c r="D2080" s="95" t="s">
        <v>39</v>
      </c>
      <c r="E2080" s="95" t="s">
        <v>39</v>
      </c>
      <c r="F2080" s="95" t="s">
        <v>19</v>
      </c>
      <c r="G2080" s="95" t="s">
        <v>588</v>
      </c>
      <c r="H2080" s="95" t="s">
        <v>21</v>
      </c>
      <c r="I2080" s="95" t="s">
        <v>711</v>
      </c>
      <c r="J2080" s="97">
        <v>46021.51245517361</v>
      </c>
      <c r="K2080" s="95" t="s">
        <v>11727</v>
      </c>
      <c r="L2080" s="96" t="s">
        <v>11728</v>
      </c>
      <c r="M2080" s="95" t="s">
        <v>54</v>
      </c>
      <c r="N2080" s="95" t="s">
        <v>11729</v>
      </c>
      <c r="O2080" s="95" t="s">
        <v>11729</v>
      </c>
      <c r="P2080" s="95" t="s">
        <v>11730</v>
      </c>
      <c r="Q2080" s="98">
        <v>2.0</v>
      </c>
      <c r="R2080" s="97">
        <v>45860.39349537037</v>
      </c>
      <c r="S2080" s="99">
        <v>75.0</v>
      </c>
      <c r="T2080" s="99">
        <v>101.0</v>
      </c>
      <c r="U2080" s="99">
        <v>13.0</v>
      </c>
      <c r="V2080" s="99">
        <v>247.0</v>
      </c>
      <c r="W2080" s="99">
        <v>22217.0</v>
      </c>
    </row>
    <row r="2081" ht="15.75" customHeight="1">
      <c r="A2081" s="95" t="s">
        <v>11731</v>
      </c>
      <c r="B2081" s="95" t="s">
        <v>22</v>
      </c>
      <c r="C2081" s="96" t="s">
        <v>11732</v>
      </c>
      <c r="D2081" s="95" t="s">
        <v>39</v>
      </c>
      <c r="E2081" s="95" t="s">
        <v>39</v>
      </c>
      <c r="F2081" s="95" t="s">
        <v>19</v>
      </c>
      <c r="G2081" s="95" t="s">
        <v>19</v>
      </c>
      <c r="H2081" s="95" t="s">
        <v>21</v>
      </c>
      <c r="I2081" s="95" t="s">
        <v>567</v>
      </c>
      <c r="J2081" s="97">
        <v>45992.53624017361</v>
      </c>
      <c r="K2081" s="95" t="s">
        <v>11733</v>
      </c>
      <c r="L2081" s="96" t="s">
        <v>11734</v>
      </c>
      <c r="M2081" s="95" t="s">
        <v>38</v>
      </c>
      <c r="N2081" s="95" t="s">
        <v>4338</v>
      </c>
      <c r="O2081" s="95" t="s">
        <v>4338</v>
      </c>
      <c r="P2081" s="95" t="s">
        <v>4339</v>
      </c>
      <c r="Q2081" s="98">
        <v>2.0</v>
      </c>
      <c r="R2081" s="97">
        <v>45789.4100462963</v>
      </c>
      <c r="S2081" s="99">
        <v>20725.0</v>
      </c>
      <c r="T2081" s="99">
        <v>4008.0</v>
      </c>
      <c r="U2081" s="99">
        <v>4.0</v>
      </c>
      <c r="V2081" s="99">
        <v>78.0</v>
      </c>
      <c r="W2081" s="99">
        <v>190285.0</v>
      </c>
    </row>
    <row r="2082" ht="15.75" customHeight="1">
      <c r="A2082" s="95" t="s">
        <v>11735</v>
      </c>
      <c r="B2082" s="95" t="s">
        <v>101</v>
      </c>
      <c r="C2082" s="96" t="s">
        <v>11736</v>
      </c>
      <c r="D2082" s="95" t="s">
        <v>39</v>
      </c>
      <c r="E2082" s="95" t="s">
        <v>39</v>
      </c>
      <c r="F2082" s="95" t="s">
        <v>19</v>
      </c>
      <c r="G2082" s="95" t="s">
        <v>19</v>
      </c>
      <c r="H2082" s="95" t="s">
        <v>21</v>
      </c>
      <c r="I2082" s="95" t="s">
        <v>955</v>
      </c>
      <c r="J2082" s="97">
        <v>46003.08208643518</v>
      </c>
      <c r="K2082" s="95" t="s">
        <v>11737</v>
      </c>
      <c r="L2082" s="96" t="s">
        <v>11738</v>
      </c>
      <c r="M2082" s="95" t="s">
        <v>105</v>
      </c>
      <c r="N2082" s="95" t="s">
        <v>4360</v>
      </c>
      <c r="O2082" s="95" t="s">
        <v>4360</v>
      </c>
      <c r="P2082" s="95" t="s">
        <v>4361</v>
      </c>
      <c r="Q2082" s="98">
        <v>2.0</v>
      </c>
      <c r="R2082" s="97">
        <v>45903.67978009259</v>
      </c>
      <c r="S2082" s="99">
        <v>122.0</v>
      </c>
      <c r="T2082" s="99">
        <v>11.0</v>
      </c>
      <c r="U2082" s="99">
        <v>1.0</v>
      </c>
      <c r="V2082" s="99">
        <v>37.0</v>
      </c>
      <c r="W2082" s="99">
        <v>26254.0</v>
      </c>
    </row>
    <row r="2083" ht="15.75" customHeight="1">
      <c r="A2083" s="95" t="s">
        <v>11739</v>
      </c>
      <c r="B2083" s="95" t="s">
        <v>22</v>
      </c>
      <c r="C2083" s="96" t="s">
        <v>11740</v>
      </c>
      <c r="D2083" s="95" t="s">
        <v>39</v>
      </c>
      <c r="E2083" s="95" t="s">
        <v>39</v>
      </c>
      <c r="F2083" s="95" t="s">
        <v>19</v>
      </c>
      <c r="G2083" s="95" t="s">
        <v>19</v>
      </c>
      <c r="H2083" s="95" t="s">
        <v>21</v>
      </c>
      <c r="I2083" s="95" t="s">
        <v>567</v>
      </c>
      <c r="J2083" s="97">
        <v>46003.08208643518</v>
      </c>
      <c r="K2083" s="95" t="s">
        <v>11741</v>
      </c>
      <c r="L2083" s="96" t="s">
        <v>11742</v>
      </c>
      <c r="M2083" s="95" t="s">
        <v>105</v>
      </c>
      <c r="N2083" s="95" t="s">
        <v>4360</v>
      </c>
      <c r="O2083" s="95" t="s">
        <v>4360</v>
      </c>
      <c r="P2083" s="95" t="s">
        <v>4361</v>
      </c>
      <c r="Q2083" s="98">
        <v>2.0</v>
      </c>
      <c r="R2083" s="97">
        <v>45933.65728009259</v>
      </c>
      <c r="S2083" s="99">
        <v>122.0</v>
      </c>
      <c r="T2083" s="99">
        <v>49.0</v>
      </c>
      <c r="U2083" s="99">
        <v>1.0</v>
      </c>
      <c r="V2083" s="99">
        <v>66.0</v>
      </c>
      <c r="W2083" s="99">
        <v>26254.0</v>
      </c>
    </row>
    <row r="2084" ht="15.75" customHeight="1">
      <c r="A2084" s="95" t="s">
        <v>11743</v>
      </c>
      <c r="B2084" s="95" t="s">
        <v>22</v>
      </c>
      <c r="C2084" s="96" t="s">
        <v>11744</v>
      </c>
      <c r="D2084" s="95" t="s">
        <v>39</v>
      </c>
      <c r="E2084" s="95" t="s">
        <v>614</v>
      </c>
      <c r="F2084" s="95" t="s">
        <v>19</v>
      </c>
      <c r="G2084" s="95" t="s">
        <v>19</v>
      </c>
      <c r="H2084" s="95" t="s">
        <v>21</v>
      </c>
      <c r="I2084" s="95" t="s">
        <v>567</v>
      </c>
      <c r="J2084" s="97">
        <v>45975.67931630787</v>
      </c>
      <c r="K2084" s="96" t="s">
        <v>11745</v>
      </c>
      <c r="L2084" s="96" t="s">
        <v>11746</v>
      </c>
      <c r="M2084" s="95" t="s">
        <v>54</v>
      </c>
      <c r="N2084" s="95" t="s">
        <v>4390</v>
      </c>
      <c r="O2084" s="95" t="s">
        <v>4390</v>
      </c>
      <c r="P2084" s="95" t="s">
        <v>4391</v>
      </c>
      <c r="Q2084" s="98">
        <v>2.0</v>
      </c>
      <c r="R2084" s="97">
        <v>45662.89092592592</v>
      </c>
      <c r="S2084" s="99">
        <v>11328.0</v>
      </c>
      <c r="T2084" s="99">
        <v>489.0</v>
      </c>
      <c r="U2084" s="99">
        <v>7.0</v>
      </c>
      <c r="V2084" s="99">
        <v>34.0</v>
      </c>
      <c r="W2084" s="99">
        <v>16182.0</v>
      </c>
    </row>
    <row r="2085" ht="15.75" customHeight="1">
      <c r="A2085" s="95" t="s">
        <v>11747</v>
      </c>
      <c r="B2085" s="95" t="s">
        <v>22</v>
      </c>
      <c r="C2085" s="96" t="s">
        <v>11748</v>
      </c>
      <c r="D2085" s="95" t="s">
        <v>29</v>
      </c>
      <c r="E2085" s="95" t="s">
        <v>658</v>
      </c>
      <c r="F2085" s="95" t="s">
        <v>19</v>
      </c>
      <c r="G2085" s="95" t="s">
        <v>19</v>
      </c>
      <c r="H2085" s="95" t="s">
        <v>21</v>
      </c>
      <c r="I2085" s="95" t="s">
        <v>567</v>
      </c>
      <c r="J2085" s="97">
        <v>45975.67937972222</v>
      </c>
      <c r="K2085" s="96" t="s">
        <v>11749</v>
      </c>
      <c r="L2085" s="96" t="s">
        <v>11750</v>
      </c>
      <c r="M2085" s="95" t="s">
        <v>74</v>
      </c>
      <c r="N2085" s="95" t="s">
        <v>11751</v>
      </c>
      <c r="O2085" s="95" t="s">
        <v>11751</v>
      </c>
      <c r="P2085" s="95" t="s">
        <v>11752</v>
      </c>
      <c r="Q2085" s="98">
        <v>2.0</v>
      </c>
      <c r="R2085" s="97">
        <v>45840.85914351852</v>
      </c>
      <c r="S2085" s="99">
        <v>2686.0</v>
      </c>
      <c r="T2085" s="99">
        <v>11.0</v>
      </c>
      <c r="U2085" s="99">
        <v>3.0</v>
      </c>
      <c r="V2085" s="99">
        <v>56.0</v>
      </c>
      <c r="W2085" s="99">
        <v>25995.0</v>
      </c>
    </row>
    <row r="2086" ht="15.75" customHeight="1">
      <c r="A2086" s="95" t="s">
        <v>11753</v>
      </c>
      <c r="B2086" s="95" t="s">
        <v>22</v>
      </c>
      <c r="C2086" s="96" t="s">
        <v>11754</v>
      </c>
      <c r="D2086" s="95" t="s">
        <v>39</v>
      </c>
      <c r="E2086" s="95" t="s">
        <v>39</v>
      </c>
      <c r="F2086" s="95" t="s">
        <v>19</v>
      </c>
      <c r="G2086" s="95" t="s">
        <v>588</v>
      </c>
      <c r="H2086" s="95" t="s">
        <v>21</v>
      </c>
      <c r="I2086" s="95" t="s">
        <v>589</v>
      </c>
      <c r="J2086" s="97">
        <v>46021.49299090278</v>
      </c>
      <c r="K2086" s="95" t="s">
        <v>11755</v>
      </c>
      <c r="L2086" s="96" t="s">
        <v>11756</v>
      </c>
      <c r="M2086" s="95" t="s">
        <v>105</v>
      </c>
      <c r="N2086" s="95" t="s">
        <v>4446</v>
      </c>
      <c r="O2086" s="95" t="s">
        <v>4446</v>
      </c>
      <c r="P2086" s="95" t="s">
        <v>4447</v>
      </c>
      <c r="Q2086" s="98">
        <v>2.0</v>
      </c>
      <c r="R2086" s="97">
        <v>45758.47623842592</v>
      </c>
      <c r="S2086" s="99">
        <v>9876.0</v>
      </c>
      <c r="T2086" s="99">
        <v>81.0</v>
      </c>
      <c r="U2086" s="99">
        <v>1.0</v>
      </c>
      <c r="V2086" s="99">
        <v>22.0</v>
      </c>
      <c r="W2086" s="99">
        <v>22100.0</v>
      </c>
    </row>
    <row r="2087" ht="15.75" customHeight="1">
      <c r="A2087" s="95" t="s">
        <v>11757</v>
      </c>
      <c r="B2087" s="95" t="s">
        <v>22</v>
      </c>
      <c r="C2087" s="96" t="s">
        <v>11758</v>
      </c>
      <c r="D2087" s="95" t="s">
        <v>39</v>
      </c>
      <c r="E2087" s="95" t="s">
        <v>960</v>
      </c>
      <c r="F2087" s="95" t="s">
        <v>19</v>
      </c>
      <c r="G2087" s="95" t="s">
        <v>19</v>
      </c>
      <c r="H2087" s="95" t="s">
        <v>21</v>
      </c>
      <c r="I2087" s="95" t="s">
        <v>589</v>
      </c>
      <c r="J2087" s="97">
        <v>45975.67931630787</v>
      </c>
      <c r="K2087" s="96" t="s">
        <v>11759</v>
      </c>
      <c r="L2087" s="96" t="s">
        <v>11760</v>
      </c>
      <c r="M2087" s="95" t="s">
        <v>54</v>
      </c>
      <c r="N2087" s="95" t="s">
        <v>11761</v>
      </c>
      <c r="O2087" s="95" t="s">
        <v>11761</v>
      </c>
      <c r="P2087" s="95" t="s">
        <v>11762</v>
      </c>
      <c r="Q2087" s="98">
        <v>2.0</v>
      </c>
      <c r="R2087" s="97">
        <v>45838.66481481482</v>
      </c>
      <c r="S2087" s="99">
        <v>10997.0</v>
      </c>
      <c r="T2087" s="99">
        <v>6205.0</v>
      </c>
      <c r="U2087" s="99">
        <v>2.0</v>
      </c>
      <c r="V2087" s="99">
        <v>34.0</v>
      </c>
      <c r="W2087" s="99">
        <v>213774.0</v>
      </c>
    </row>
    <row r="2088" ht="15.75" customHeight="1">
      <c r="A2088" s="95" t="s">
        <v>11763</v>
      </c>
      <c r="B2088" s="95" t="s">
        <v>22</v>
      </c>
      <c r="C2088" s="96" t="s">
        <v>11764</v>
      </c>
      <c r="D2088" s="95" t="s">
        <v>124</v>
      </c>
      <c r="E2088" s="95" t="s">
        <v>3127</v>
      </c>
      <c r="F2088" s="95" t="s">
        <v>19</v>
      </c>
      <c r="G2088" s="95" t="s">
        <v>574</v>
      </c>
      <c r="H2088" s="95" t="s">
        <v>21</v>
      </c>
      <c r="I2088" s="95" t="s">
        <v>567</v>
      </c>
      <c r="J2088" s="97">
        <v>46021.50557226852</v>
      </c>
      <c r="K2088" s="95" t="s">
        <v>11765</v>
      </c>
      <c r="L2088" s="96" t="s">
        <v>11766</v>
      </c>
      <c r="M2088" s="95" t="s">
        <v>503</v>
      </c>
      <c r="N2088" s="95" t="s">
        <v>4484</v>
      </c>
      <c r="O2088" s="95" t="s">
        <v>4484</v>
      </c>
      <c r="P2088" s="95" t="s">
        <v>4485</v>
      </c>
      <c r="Q2088" s="98">
        <v>2.0</v>
      </c>
      <c r="R2088" s="97">
        <v>45611.62989583334</v>
      </c>
      <c r="S2088" s="99">
        <v>1331.0</v>
      </c>
      <c r="T2088" s="99">
        <v>11.0</v>
      </c>
      <c r="U2088" s="99">
        <v>4.0</v>
      </c>
      <c r="V2088" s="99">
        <v>104.0</v>
      </c>
      <c r="W2088" s="99">
        <v>999999.0</v>
      </c>
    </row>
    <row r="2089" ht="15.75" customHeight="1">
      <c r="A2089" s="95" t="s">
        <v>11767</v>
      </c>
      <c r="B2089" s="95" t="s">
        <v>22</v>
      </c>
      <c r="C2089" s="96" t="s">
        <v>11768</v>
      </c>
      <c r="D2089" s="95" t="s">
        <v>29</v>
      </c>
      <c r="E2089" s="95" t="s">
        <v>29</v>
      </c>
      <c r="F2089" s="95" t="s">
        <v>19</v>
      </c>
      <c r="G2089" s="95" t="s">
        <v>19</v>
      </c>
      <c r="H2089" s="95" t="s">
        <v>21</v>
      </c>
      <c r="I2089" s="95" t="s">
        <v>567</v>
      </c>
      <c r="J2089" s="97">
        <v>46021.50557226852</v>
      </c>
      <c r="K2089" s="95" t="s">
        <v>11769</v>
      </c>
      <c r="L2089" s="96" t="s">
        <v>11770</v>
      </c>
      <c r="M2089" s="95" t="s">
        <v>503</v>
      </c>
      <c r="N2089" s="95" t="s">
        <v>4484</v>
      </c>
      <c r="O2089" s="95" t="s">
        <v>4484</v>
      </c>
      <c r="P2089" s="95" t="s">
        <v>4485</v>
      </c>
      <c r="Q2089" s="98">
        <v>2.0</v>
      </c>
      <c r="R2089" s="97">
        <v>45629.4886574074</v>
      </c>
      <c r="S2089" s="99">
        <v>1331.0</v>
      </c>
      <c r="T2089" s="99">
        <v>10.0</v>
      </c>
      <c r="U2089" s="99">
        <v>3.0</v>
      </c>
      <c r="V2089" s="99">
        <v>98.0</v>
      </c>
      <c r="W2089" s="99">
        <v>999999.0</v>
      </c>
    </row>
    <row r="2090" ht="15.75" customHeight="1">
      <c r="A2090" s="95" t="s">
        <v>11771</v>
      </c>
      <c r="B2090" s="95" t="s">
        <v>22</v>
      </c>
      <c r="C2090" s="96" t="s">
        <v>11772</v>
      </c>
      <c r="D2090" s="95" t="s">
        <v>39</v>
      </c>
      <c r="E2090" s="95" t="s">
        <v>614</v>
      </c>
      <c r="F2090" s="95" t="s">
        <v>19</v>
      </c>
      <c r="G2090" s="95" t="s">
        <v>19</v>
      </c>
      <c r="H2090" s="95" t="s">
        <v>21</v>
      </c>
      <c r="I2090" s="95" t="s">
        <v>567</v>
      </c>
      <c r="J2090" s="97">
        <v>46021.49299090278</v>
      </c>
      <c r="K2090" s="95" t="s">
        <v>11773</v>
      </c>
      <c r="L2090" s="96" t="s">
        <v>11774</v>
      </c>
      <c r="M2090" s="95" t="s">
        <v>28</v>
      </c>
      <c r="N2090" s="95" t="s">
        <v>11775</v>
      </c>
      <c r="O2090" s="95" t="s">
        <v>11775</v>
      </c>
      <c r="P2090" s="95" t="s">
        <v>11776</v>
      </c>
      <c r="Q2090" s="98">
        <v>2.0</v>
      </c>
      <c r="R2090" s="97">
        <v>45610.60966435185</v>
      </c>
      <c r="S2090" s="99">
        <v>83.0</v>
      </c>
      <c r="T2090" s="99">
        <v>38.0</v>
      </c>
      <c r="U2090" s="99">
        <v>3.0</v>
      </c>
      <c r="V2090" s="99">
        <v>51.0</v>
      </c>
      <c r="W2090" s="99">
        <v>2396393.0</v>
      </c>
    </row>
    <row r="2091" ht="15.75" customHeight="1">
      <c r="A2091" s="95" t="s">
        <v>11777</v>
      </c>
      <c r="B2091" s="95" t="s">
        <v>69</v>
      </c>
      <c r="C2091" s="96" t="s">
        <v>11778</v>
      </c>
      <c r="D2091" s="95" t="s">
        <v>59</v>
      </c>
      <c r="E2091" s="95" t="s">
        <v>738</v>
      </c>
      <c r="F2091" s="95" t="s">
        <v>58</v>
      </c>
      <c r="G2091" s="95" t="s">
        <v>58</v>
      </c>
      <c r="H2091" s="95" t="s">
        <v>60</v>
      </c>
      <c r="I2091" s="95" t="s">
        <v>2126</v>
      </c>
      <c r="J2091" s="97">
        <v>46021.50557226852</v>
      </c>
      <c r="K2091" s="95" t="s">
        <v>11779</v>
      </c>
      <c r="L2091" s="96" t="s">
        <v>11780</v>
      </c>
      <c r="M2091" s="95" t="s">
        <v>74</v>
      </c>
      <c r="N2091" s="95" t="s">
        <v>11781</v>
      </c>
      <c r="O2091" s="95" t="s">
        <v>11781</v>
      </c>
      <c r="P2091" s="95" t="s">
        <v>11782</v>
      </c>
      <c r="Q2091" s="98">
        <v>2.0</v>
      </c>
      <c r="R2091" s="97">
        <v>45695.78717592593</v>
      </c>
      <c r="S2091" s="99">
        <v>58.0</v>
      </c>
      <c r="T2091" s="99">
        <v>52.0</v>
      </c>
      <c r="U2091" s="99">
        <v>2.0</v>
      </c>
      <c r="V2091" s="99">
        <v>31.0</v>
      </c>
      <c r="W2091" s="99">
        <v>770.0</v>
      </c>
    </row>
    <row r="2092" ht="15.75" customHeight="1">
      <c r="A2092" s="95" t="s">
        <v>11783</v>
      </c>
      <c r="B2092" s="95" t="s">
        <v>22</v>
      </c>
      <c r="C2092" s="96" t="s">
        <v>11784</v>
      </c>
      <c r="D2092" s="95" t="s">
        <v>39</v>
      </c>
      <c r="E2092" s="95" t="s">
        <v>1269</v>
      </c>
      <c r="F2092" s="95" t="s">
        <v>19</v>
      </c>
      <c r="G2092" s="95" t="s">
        <v>19</v>
      </c>
      <c r="H2092" s="95" t="s">
        <v>21</v>
      </c>
      <c r="I2092" s="95" t="s">
        <v>567</v>
      </c>
      <c r="J2092" s="97">
        <v>46021.49299090278</v>
      </c>
      <c r="K2092" s="95" t="s">
        <v>11785</v>
      </c>
      <c r="L2092" s="96" t="s">
        <v>11786</v>
      </c>
      <c r="M2092" s="95" t="s">
        <v>54</v>
      </c>
      <c r="N2092" s="95" t="s">
        <v>4529</v>
      </c>
      <c r="O2092" s="95" t="s">
        <v>4529</v>
      </c>
      <c r="P2092" s="95" t="s">
        <v>4530</v>
      </c>
      <c r="Q2092" s="98">
        <v>2.0</v>
      </c>
      <c r="R2092" s="97">
        <v>45679.74304398148</v>
      </c>
      <c r="S2092" s="99">
        <v>117.0</v>
      </c>
      <c r="T2092" s="99">
        <v>236.0</v>
      </c>
      <c r="U2092" s="99">
        <v>1.0</v>
      </c>
      <c r="V2092" s="99">
        <v>161.0</v>
      </c>
      <c r="W2092" s="99">
        <v>82642.0</v>
      </c>
    </row>
    <row r="2093" ht="15.75" customHeight="1">
      <c r="A2093" s="95" t="s">
        <v>11787</v>
      </c>
      <c r="B2093" s="95" t="s">
        <v>69</v>
      </c>
      <c r="C2093" s="96" t="s">
        <v>11788</v>
      </c>
      <c r="D2093" s="95" t="s">
        <v>59</v>
      </c>
      <c r="E2093" s="95" t="s">
        <v>738</v>
      </c>
      <c r="F2093" s="95" t="s">
        <v>88</v>
      </c>
      <c r="G2093" s="95" t="s">
        <v>88</v>
      </c>
      <c r="H2093" s="95" t="s">
        <v>89</v>
      </c>
      <c r="I2093" s="95" t="s">
        <v>1477</v>
      </c>
      <c r="J2093" s="97">
        <v>46039.60595685185</v>
      </c>
      <c r="K2093" s="95" t="s">
        <v>11789</v>
      </c>
      <c r="L2093" s="95"/>
      <c r="M2093" s="95" t="s">
        <v>93</v>
      </c>
      <c r="N2093" s="95" t="s">
        <v>11790</v>
      </c>
      <c r="O2093" s="95" t="s">
        <v>11790</v>
      </c>
      <c r="P2093" s="95" t="s">
        <v>11791</v>
      </c>
      <c r="Q2093" s="98">
        <v>2.0</v>
      </c>
      <c r="R2093" s="97">
        <v>45684.39179398148</v>
      </c>
      <c r="S2093" s="99">
        <v>77.0</v>
      </c>
      <c r="T2093" s="99">
        <v>6371.0</v>
      </c>
      <c r="U2093" s="99">
        <v>97.0</v>
      </c>
      <c r="V2093" s="99">
        <v>79.0</v>
      </c>
      <c r="W2093" s="99">
        <v>647248.0</v>
      </c>
    </row>
    <row r="2094" ht="15.75" customHeight="1">
      <c r="A2094" s="95" t="s">
        <v>11792</v>
      </c>
      <c r="B2094" s="95" t="s">
        <v>22</v>
      </c>
      <c r="C2094" s="96" t="s">
        <v>11793</v>
      </c>
      <c r="D2094" s="95" t="s">
        <v>59</v>
      </c>
      <c r="E2094" s="95" t="s">
        <v>738</v>
      </c>
      <c r="F2094" s="95" t="s">
        <v>19</v>
      </c>
      <c r="G2094" s="95" t="s">
        <v>19</v>
      </c>
      <c r="H2094" s="95" t="s">
        <v>21</v>
      </c>
      <c r="I2094" s="95" t="s">
        <v>567</v>
      </c>
      <c r="J2094" s="97">
        <v>45975.67931630787</v>
      </c>
      <c r="K2094" s="96" t="s">
        <v>11794</v>
      </c>
      <c r="L2094" s="96" t="s">
        <v>11795</v>
      </c>
      <c r="M2094" s="95" t="s">
        <v>54</v>
      </c>
      <c r="N2094" s="95" t="s">
        <v>11796</v>
      </c>
      <c r="O2094" s="95" t="s">
        <v>11796</v>
      </c>
      <c r="P2094" s="95" t="s">
        <v>11797</v>
      </c>
      <c r="Q2094" s="98">
        <v>2.0</v>
      </c>
      <c r="R2094" s="97">
        <v>45734.64947916667</v>
      </c>
      <c r="S2094" s="99">
        <v>15578.0</v>
      </c>
      <c r="T2094" s="99">
        <v>157.0</v>
      </c>
      <c r="U2094" s="99">
        <v>3.0</v>
      </c>
      <c r="V2094" s="99">
        <v>40.0</v>
      </c>
      <c r="W2094" s="99">
        <v>2959697.0</v>
      </c>
    </row>
    <row r="2095" ht="15.75" customHeight="1">
      <c r="A2095" s="95" t="s">
        <v>11798</v>
      </c>
      <c r="B2095" s="95" t="s">
        <v>69</v>
      </c>
      <c r="C2095" s="96" t="s">
        <v>11799</v>
      </c>
      <c r="D2095" s="95" t="s">
        <v>29</v>
      </c>
      <c r="E2095" s="95" t="s">
        <v>598</v>
      </c>
      <c r="F2095" s="95" t="s">
        <v>58</v>
      </c>
      <c r="G2095" s="95" t="s">
        <v>1450</v>
      </c>
      <c r="H2095" s="95" t="s">
        <v>77</v>
      </c>
      <c r="I2095" s="95" t="s">
        <v>7417</v>
      </c>
      <c r="J2095" s="97">
        <v>46021.51245517361</v>
      </c>
      <c r="K2095" s="95" t="s">
        <v>11800</v>
      </c>
      <c r="L2095" s="96" t="s">
        <v>11801</v>
      </c>
      <c r="M2095" s="95" t="s">
        <v>54</v>
      </c>
      <c r="N2095" s="95" t="s">
        <v>11802</v>
      </c>
      <c r="O2095" s="95" t="s">
        <v>11802</v>
      </c>
      <c r="P2095" s="95" t="s">
        <v>11803</v>
      </c>
      <c r="Q2095" s="98">
        <v>2.0</v>
      </c>
      <c r="R2095" s="97">
        <v>45839.29108796296</v>
      </c>
      <c r="S2095" s="99">
        <v>487.0</v>
      </c>
      <c r="T2095" s="99">
        <v>4.0</v>
      </c>
      <c r="U2095" s="99">
        <v>10.0</v>
      </c>
      <c r="V2095" s="99">
        <v>40.0</v>
      </c>
      <c r="W2095" s="99">
        <v>182778.0</v>
      </c>
    </row>
    <row r="2096" ht="15.75" customHeight="1">
      <c r="A2096" s="95" t="s">
        <v>11804</v>
      </c>
      <c r="B2096" s="95" t="s">
        <v>22</v>
      </c>
      <c r="C2096" s="96" t="s">
        <v>11805</v>
      </c>
      <c r="D2096" s="95" t="s">
        <v>59</v>
      </c>
      <c r="E2096" s="95" t="s">
        <v>1347</v>
      </c>
      <c r="F2096" s="95" t="s">
        <v>19</v>
      </c>
      <c r="G2096" s="95" t="s">
        <v>19</v>
      </c>
      <c r="H2096" s="95" t="s">
        <v>21</v>
      </c>
      <c r="I2096" s="95" t="s">
        <v>589</v>
      </c>
      <c r="J2096" s="97">
        <v>45975.67931630787</v>
      </c>
      <c r="K2096" s="96" t="s">
        <v>11806</v>
      </c>
      <c r="L2096" s="96" t="s">
        <v>11807</v>
      </c>
      <c r="M2096" s="95" t="s">
        <v>54</v>
      </c>
      <c r="N2096" s="95" t="s">
        <v>95</v>
      </c>
      <c r="O2096" s="95" t="s">
        <v>95</v>
      </c>
      <c r="P2096" s="95" t="s">
        <v>4559</v>
      </c>
      <c r="Q2096" s="98">
        <v>2.0</v>
      </c>
      <c r="R2096" s="97">
        <v>45797.37475694445</v>
      </c>
      <c r="S2096" s="99">
        <v>2585.0</v>
      </c>
      <c r="T2096" s="99">
        <v>373.0</v>
      </c>
      <c r="U2096" s="99">
        <v>4.0</v>
      </c>
      <c r="V2096" s="99">
        <v>26.0</v>
      </c>
      <c r="W2096" s="99">
        <v>365703.0</v>
      </c>
    </row>
    <row r="2097" ht="15.75" customHeight="1">
      <c r="A2097" s="95" t="s">
        <v>11808</v>
      </c>
      <c r="B2097" s="95" t="s">
        <v>22</v>
      </c>
      <c r="C2097" s="96" t="s">
        <v>11809</v>
      </c>
      <c r="D2097" s="95" t="s">
        <v>68</v>
      </c>
      <c r="E2097" s="95" t="s">
        <v>1901</v>
      </c>
      <c r="F2097" s="95" t="s">
        <v>19</v>
      </c>
      <c r="G2097" s="95" t="s">
        <v>19</v>
      </c>
      <c r="H2097" s="95" t="s">
        <v>21</v>
      </c>
      <c r="I2097" s="95" t="s">
        <v>567</v>
      </c>
      <c r="J2097" s="97">
        <v>45993.78544196759</v>
      </c>
      <c r="K2097" s="96" t="s">
        <v>11810</v>
      </c>
      <c r="L2097" s="96" t="s">
        <v>11811</v>
      </c>
      <c r="M2097" s="95" t="s">
        <v>54</v>
      </c>
      <c r="N2097" s="95" t="s">
        <v>11812</v>
      </c>
      <c r="O2097" s="95" t="s">
        <v>11812</v>
      </c>
      <c r="P2097" s="95" t="s">
        <v>11813</v>
      </c>
      <c r="Q2097" s="98">
        <v>2.0</v>
      </c>
      <c r="R2097" s="97">
        <v>45839.08637731482</v>
      </c>
      <c r="S2097" s="99">
        <v>19326.0</v>
      </c>
      <c r="T2097" s="99">
        <v>2071.0</v>
      </c>
      <c r="U2097" s="99">
        <v>5.0</v>
      </c>
      <c r="V2097" s="99">
        <v>219.0</v>
      </c>
      <c r="W2097" s="99">
        <v>999999.0</v>
      </c>
    </row>
    <row r="2098" ht="15.75" customHeight="1">
      <c r="A2098" s="95" t="s">
        <v>11814</v>
      </c>
      <c r="B2098" s="95" t="s">
        <v>22</v>
      </c>
      <c r="C2098" s="96" t="s">
        <v>11815</v>
      </c>
      <c r="D2098" s="95" t="s">
        <v>29</v>
      </c>
      <c r="E2098" s="95" t="s">
        <v>689</v>
      </c>
      <c r="F2098" s="95" t="s">
        <v>19</v>
      </c>
      <c r="G2098" s="95" t="s">
        <v>19</v>
      </c>
      <c r="H2098" s="95" t="s">
        <v>21</v>
      </c>
      <c r="I2098" s="95" t="s">
        <v>567</v>
      </c>
      <c r="J2098" s="97">
        <v>45993.78544196759</v>
      </c>
      <c r="K2098" s="96" t="s">
        <v>11816</v>
      </c>
      <c r="L2098" s="95"/>
      <c r="M2098" s="95" t="s">
        <v>93</v>
      </c>
      <c r="N2098" s="95" t="s">
        <v>4654</v>
      </c>
      <c r="O2098" s="95" t="s">
        <v>4654</v>
      </c>
      <c r="P2098" s="95" t="s">
        <v>4655</v>
      </c>
      <c r="Q2098" s="98">
        <v>2.0</v>
      </c>
      <c r="R2098" s="97">
        <v>45182.01916666667</v>
      </c>
      <c r="S2098" s="99">
        <v>11981.0</v>
      </c>
      <c r="T2098" s="99">
        <v>111.0</v>
      </c>
      <c r="U2098" s="99">
        <v>2.0</v>
      </c>
      <c r="V2098" s="99">
        <v>53.0</v>
      </c>
      <c r="W2098" s="99">
        <v>317088.0</v>
      </c>
    </row>
    <row r="2099" ht="15.75" customHeight="1">
      <c r="A2099" s="95" t="s">
        <v>11817</v>
      </c>
      <c r="B2099" s="95" t="s">
        <v>22</v>
      </c>
      <c r="C2099" s="96" t="s">
        <v>11818</v>
      </c>
      <c r="D2099" s="95" t="s">
        <v>130</v>
      </c>
      <c r="E2099" s="95" t="s">
        <v>2109</v>
      </c>
      <c r="F2099" s="95" t="s">
        <v>88</v>
      </c>
      <c r="G2099" s="95" t="s">
        <v>858</v>
      </c>
      <c r="H2099" s="95" t="s">
        <v>21</v>
      </c>
      <c r="I2099" s="95" t="s">
        <v>567</v>
      </c>
      <c r="J2099" s="97">
        <v>46003.09730728009</v>
      </c>
      <c r="K2099" s="95" t="s">
        <v>11819</v>
      </c>
      <c r="L2099" s="96" t="s">
        <v>11820</v>
      </c>
      <c r="M2099" s="95" t="s">
        <v>54</v>
      </c>
      <c r="N2099" s="95" t="s">
        <v>11821</v>
      </c>
      <c r="O2099" s="95" t="s">
        <v>11821</v>
      </c>
      <c r="P2099" s="95" t="s">
        <v>11822</v>
      </c>
      <c r="Q2099" s="98">
        <v>2.0</v>
      </c>
      <c r="R2099" s="97">
        <v>45687.71302083333</v>
      </c>
      <c r="S2099" s="99">
        <v>487.0</v>
      </c>
      <c r="T2099" s="99">
        <v>1281.0</v>
      </c>
      <c r="U2099" s="99">
        <v>5.0</v>
      </c>
      <c r="V2099" s="99">
        <v>70.0</v>
      </c>
      <c r="W2099" s="99">
        <v>27094.0</v>
      </c>
    </row>
    <row r="2100" ht="15.75" customHeight="1">
      <c r="A2100" s="95" t="s">
        <v>11823</v>
      </c>
      <c r="B2100" s="95" t="s">
        <v>22</v>
      </c>
      <c r="C2100" s="96" t="s">
        <v>11824</v>
      </c>
      <c r="D2100" s="95" t="s">
        <v>29</v>
      </c>
      <c r="E2100" s="95" t="s">
        <v>11825</v>
      </c>
      <c r="F2100" s="95" t="s">
        <v>19</v>
      </c>
      <c r="G2100" s="95" t="s">
        <v>574</v>
      </c>
      <c r="H2100" s="95" t="s">
        <v>21</v>
      </c>
      <c r="I2100" s="95" t="s">
        <v>567</v>
      </c>
      <c r="J2100" s="97">
        <v>46041.42514399305</v>
      </c>
      <c r="K2100" s="95" t="s">
        <v>11826</v>
      </c>
      <c r="L2100" s="96" t="s">
        <v>11827</v>
      </c>
      <c r="M2100" s="95" t="s">
        <v>93</v>
      </c>
      <c r="N2100" s="95" t="s">
        <v>11828</v>
      </c>
      <c r="O2100" s="95" t="s">
        <v>11828</v>
      </c>
      <c r="P2100" s="95" t="s">
        <v>11829</v>
      </c>
      <c r="Q2100" s="98">
        <v>2.0</v>
      </c>
      <c r="R2100" s="97">
        <v>45996.61930555556</v>
      </c>
      <c r="S2100" s="99">
        <v>2270.0</v>
      </c>
      <c r="T2100" s="99">
        <v>5235.0</v>
      </c>
      <c r="U2100" s="99">
        <v>45.0</v>
      </c>
      <c r="V2100" s="99">
        <v>561.0</v>
      </c>
      <c r="W2100" s="99">
        <v>999999.0</v>
      </c>
    </row>
    <row r="2101" ht="15.75" customHeight="1">
      <c r="A2101" s="95" t="s">
        <v>11830</v>
      </c>
      <c r="B2101" s="95" t="s">
        <v>22</v>
      </c>
      <c r="C2101" s="96" t="s">
        <v>11831</v>
      </c>
      <c r="D2101" s="95" t="s">
        <v>59</v>
      </c>
      <c r="E2101" s="95" t="s">
        <v>738</v>
      </c>
      <c r="F2101" s="95" t="s">
        <v>19</v>
      </c>
      <c r="G2101" s="95" t="s">
        <v>19</v>
      </c>
      <c r="H2101" s="95" t="s">
        <v>21</v>
      </c>
      <c r="I2101" s="95" t="s">
        <v>567</v>
      </c>
      <c r="J2101" s="97">
        <v>45993.78544196759</v>
      </c>
      <c r="K2101" s="96" t="s">
        <v>11832</v>
      </c>
      <c r="L2101" s="96" t="s">
        <v>11833</v>
      </c>
      <c r="M2101" s="95" t="s">
        <v>54</v>
      </c>
      <c r="N2101" s="95" t="s">
        <v>11834</v>
      </c>
      <c r="O2101" s="95" t="s">
        <v>11834</v>
      </c>
      <c r="P2101" s="95" t="s">
        <v>11835</v>
      </c>
      <c r="Q2101" s="98">
        <v>2.0</v>
      </c>
      <c r="R2101" s="97">
        <v>45679.69587962963</v>
      </c>
      <c r="S2101" s="99">
        <v>47016.0</v>
      </c>
      <c r="T2101" s="99">
        <v>11.0</v>
      </c>
      <c r="U2101" s="99">
        <v>5.0</v>
      </c>
      <c r="V2101" s="99">
        <v>94.0</v>
      </c>
      <c r="W2101" s="99">
        <v>538814.0</v>
      </c>
    </row>
    <row r="2102" ht="15.75" customHeight="1">
      <c r="A2102" s="95" t="s">
        <v>11836</v>
      </c>
      <c r="B2102" s="95" t="s">
        <v>22</v>
      </c>
      <c r="C2102" s="96" t="s">
        <v>11837</v>
      </c>
      <c r="D2102" s="95" t="s">
        <v>124</v>
      </c>
      <c r="E2102" s="95" t="s">
        <v>625</v>
      </c>
      <c r="F2102" s="95" t="s">
        <v>19</v>
      </c>
      <c r="G2102" s="95" t="s">
        <v>19</v>
      </c>
      <c r="H2102" s="95" t="s">
        <v>21</v>
      </c>
      <c r="I2102" s="95" t="s">
        <v>567</v>
      </c>
      <c r="J2102" s="97">
        <v>46069.66215004629</v>
      </c>
      <c r="K2102" s="95" t="s">
        <v>11838</v>
      </c>
      <c r="L2102" s="96" t="s">
        <v>11839</v>
      </c>
      <c r="M2102" s="95" t="s">
        <v>74</v>
      </c>
      <c r="N2102" s="95" t="s">
        <v>11840</v>
      </c>
      <c r="O2102" s="95" t="s">
        <v>11840</v>
      </c>
      <c r="P2102" s="95" t="s">
        <v>11841</v>
      </c>
      <c r="Q2102" s="98">
        <v>2.0</v>
      </c>
      <c r="R2102" s="97">
        <v>45740.46579861111</v>
      </c>
      <c r="S2102" s="99">
        <v>914.0</v>
      </c>
      <c r="T2102" s="99">
        <v>39.0</v>
      </c>
      <c r="U2102" s="99">
        <v>1.0</v>
      </c>
      <c r="V2102" s="99">
        <v>65.0</v>
      </c>
      <c r="W2102" s="99">
        <v>81359.0</v>
      </c>
    </row>
    <row r="2103" ht="15.75" customHeight="1">
      <c r="A2103" s="95" t="s">
        <v>11842</v>
      </c>
      <c r="B2103" s="95" t="s">
        <v>157</v>
      </c>
      <c r="C2103" s="96" t="s">
        <v>11843</v>
      </c>
      <c r="D2103" s="95" t="s">
        <v>49</v>
      </c>
      <c r="E2103" s="95" t="s">
        <v>1082</v>
      </c>
      <c r="F2103" s="95" t="s">
        <v>88</v>
      </c>
      <c r="G2103" s="95" t="s">
        <v>858</v>
      </c>
      <c r="H2103" s="95" t="s">
        <v>89</v>
      </c>
      <c r="I2103" s="95" t="s">
        <v>5323</v>
      </c>
      <c r="J2103" s="97">
        <v>46069.66372851852</v>
      </c>
      <c r="K2103" s="95" t="s">
        <v>11844</v>
      </c>
      <c r="L2103" s="96" t="s">
        <v>11845</v>
      </c>
      <c r="M2103" s="95" t="s">
        <v>503</v>
      </c>
      <c r="N2103" s="95" t="s">
        <v>4862</v>
      </c>
      <c r="O2103" s="95" t="s">
        <v>4862</v>
      </c>
      <c r="P2103" s="95" t="s">
        <v>4863</v>
      </c>
      <c r="Q2103" s="98">
        <v>2.0</v>
      </c>
      <c r="R2103" s="97">
        <v>45958.54731481482</v>
      </c>
      <c r="S2103" s="99">
        <v>309.0</v>
      </c>
      <c r="T2103" s="99">
        <v>826.0</v>
      </c>
      <c r="U2103" s="99">
        <v>2.0</v>
      </c>
      <c r="V2103" s="99">
        <v>34.0</v>
      </c>
      <c r="W2103" s="99">
        <v>136487.0</v>
      </c>
    </row>
    <row r="2104" ht="15.75" customHeight="1">
      <c r="A2104" s="95" t="s">
        <v>11846</v>
      </c>
      <c r="B2104" s="95" t="s">
        <v>22</v>
      </c>
      <c r="C2104" s="96" t="s">
        <v>11847</v>
      </c>
      <c r="D2104" s="95" t="s">
        <v>124</v>
      </c>
      <c r="E2104" s="95" t="s">
        <v>5240</v>
      </c>
      <c r="F2104" s="95" t="s">
        <v>19</v>
      </c>
      <c r="G2104" s="95" t="s">
        <v>19</v>
      </c>
      <c r="H2104" s="95" t="s">
        <v>21</v>
      </c>
      <c r="I2104" s="95" t="s">
        <v>589</v>
      </c>
      <c r="J2104" s="97">
        <v>45975.67934811342</v>
      </c>
      <c r="K2104" s="96" t="s">
        <v>11848</v>
      </c>
      <c r="L2104" s="96" t="s">
        <v>11849</v>
      </c>
      <c r="M2104" s="95" t="s">
        <v>17</v>
      </c>
      <c r="N2104" s="95" t="s">
        <v>4925</v>
      </c>
      <c r="O2104" s="95" t="s">
        <v>4925</v>
      </c>
      <c r="P2104" s="95" t="s">
        <v>4926</v>
      </c>
      <c r="Q2104" s="98">
        <v>2.0</v>
      </c>
      <c r="R2104" s="97">
        <v>45770.92505787037</v>
      </c>
      <c r="S2104" s="99">
        <v>5583.0</v>
      </c>
      <c r="T2104" s="99">
        <v>7.0</v>
      </c>
      <c r="U2104" s="99">
        <v>1.0</v>
      </c>
      <c r="V2104" s="99">
        <v>51.0</v>
      </c>
      <c r="W2104" s="99">
        <v>186927.0</v>
      </c>
    </row>
    <row r="2105" ht="15.75" customHeight="1">
      <c r="A2105" s="95" t="s">
        <v>11850</v>
      </c>
      <c r="B2105" s="95" t="s">
        <v>22</v>
      </c>
      <c r="C2105" s="96" t="s">
        <v>11851</v>
      </c>
      <c r="D2105" s="95" t="s">
        <v>39</v>
      </c>
      <c r="E2105" s="95" t="s">
        <v>697</v>
      </c>
      <c r="F2105" s="95" t="s">
        <v>19</v>
      </c>
      <c r="G2105" s="95" t="s">
        <v>19</v>
      </c>
      <c r="H2105" s="95" t="s">
        <v>21</v>
      </c>
      <c r="I2105" s="95" t="s">
        <v>589</v>
      </c>
      <c r="J2105" s="97">
        <v>45988.61454574074</v>
      </c>
      <c r="K2105" s="95" t="s">
        <v>11852</v>
      </c>
      <c r="L2105" s="96" t="s">
        <v>11853</v>
      </c>
      <c r="M2105" s="95" t="s">
        <v>17</v>
      </c>
      <c r="N2105" s="95" t="s">
        <v>11854</v>
      </c>
      <c r="O2105" s="95" t="s">
        <v>11854</v>
      </c>
      <c r="P2105" s="95" t="s">
        <v>11855</v>
      </c>
      <c r="Q2105" s="98">
        <v>2.0</v>
      </c>
      <c r="R2105" s="97">
        <v>45709.46825231481</v>
      </c>
      <c r="S2105" s="99">
        <v>500.0</v>
      </c>
      <c r="T2105" s="99">
        <v>8.0</v>
      </c>
      <c r="U2105" s="99">
        <v>18.0</v>
      </c>
      <c r="V2105" s="99">
        <v>34.0</v>
      </c>
      <c r="W2105" s="99">
        <v>36150.0</v>
      </c>
    </row>
    <row r="2106" ht="15.75" customHeight="1">
      <c r="A2106" s="95" t="s">
        <v>11856</v>
      </c>
      <c r="B2106" s="95" t="s">
        <v>157</v>
      </c>
      <c r="C2106" s="96" t="s">
        <v>11857</v>
      </c>
      <c r="D2106" s="95" t="s">
        <v>20</v>
      </c>
      <c r="E2106" s="95" t="s">
        <v>638</v>
      </c>
      <c r="F2106" s="95" t="s">
        <v>88</v>
      </c>
      <c r="G2106" s="95" t="s">
        <v>88</v>
      </c>
      <c r="H2106" s="95" t="s">
        <v>89</v>
      </c>
      <c r="I2106" s="95" t="s">
        <v>897</v>
      </c>
      <c r="J2106" s="97">
        <v>45975.67934811342</v>
      </c>
      <c r="K2106" s="96" t="s">
        <v>11858</v>
      </c>
      <c r="L2106" s="96" t="s">
        <v>11859</v>
      </c>
      <c r="M2106" s="95" t="s">
        <v>17</v>
      </c>
      <c r="N2106" s="95" t="s">
        <v>11860</v>
      </c>
      <c r="O2106" s="95" t="s">
        <v>11860</v>
      </c>
      <c r="P2106" s="95" t="s">
        <v>11861</v>
      </c>
      <c r="Q2106" s="98">
        <v>2.0</v>
      </c>
      <c r="R2106" s="97">
        <v>45679.5300462963</v>
      </c>
      <c r="S2106" s="99">
        <v>25385.0</v>
      </c>
      <c r="T2106" s="99">
        <v>2.0</v>
      </c>
      <c r="U2106" s="99">
        <v>11.0</v>
      </c>
      <c r="V2106" s="99">
        <v>58.0</v>
      </c>
      <c r="W2106" s="99">
        <v>36629.0</v>
      </c>
    </row>
    <row r="2107" ht="15.75" customHeight="1">
      <c r="A2107" s="95" t="s">
        <v>11862</v>
      </c>
      <c r="B2107" s="95" t="s">
        <v>22</v>
      </c>
      <c r="C2107" s="96" t="s">
        <v>11863</v>
      </c>
      <c r="D2107" s="95" t="s">
        <v>20</v>
      </c>
      <c r="E2107" s="95" t="s">
        <v>20</v>
      </c>
      <c r="F2107" s="95" t="s">
        <v>19</v>
      </c>
      <c r="G2107" s="95" t="s">
        <v>19</v>
      </c>
      <c r="H2107" s="95" t="s">
        <v>21</v>
      </c>
      <c r="I2107" s="95" t="s">
        <v>589</v>
      </c>
      <c r="J2107" s="97">
        <v>45975.67934811342</v>
      </c>
      <c r="K2107" s="96" t="s">
        <v>11864</v>
      </c>
      <c r="L2107" s="96" t="s">
        <v>11865</v>
      </c>
      <c r="M2107" s="95" t="s">
        <v>17</v>
      </c>
      <c r="N2107" s="95" t="s">
        <v>11866</v>
      </c>
      <c r="O2107" s="95" t="s">
        <v>11866</v>
      </c>
      <c r="P2107" s="95" t="s">
        <v>11867</v>
      </c>
      <c r="Q2107" s="98">
        <v>2.0</v>
      </c>
      <c r="R2107" s="97">
        <v>45904.40625</v>
      </c>
      <c r="S2107" s="99">
        <v>156327.0</v>
      </c>
      <c r="T2107" s="99">
        <v>147.0</v>
      </c>
      <c r="U2107" s="99">
        <v>1.0</v>
      </c>
      <c r="V2107" s="99">
        <v>19.0</v>
      </c>
      <c r="W2107" s="99">
        <v>1299950.0</v>
      </c>
    </row>
    <row r="2108" ht="15.75" customHeight="1">
      <c r="A2108" s="95" t="s">
        <v>11868</v>
      </c>
      <c r="B2108" s="95" t="s">
        <v>22</v>
      </c>
      <c r="C2108" s="96" t="s">
        <v>11869</v>
      </c>
      <c r="D2108" s="95" t="s">
        <v>20</v>
      </c>
      <c r="E2108" s="95" t="s">
        <v>20</v>
      </c>
      <c r="F2108" s="95" t="s">
        <v>19</v>
      </c>
      <c r="G2108" s="95" t="s">
        <v>19</v>
      </c>
      <c r="H2108" s="95" t="s">
        <v>21</v>
      </c>
      <c r="I2108" s="95" t="s">
        <v>589</v>
      </c>
      <c r="J2108" s="97">
        <v>45975.67934811342</v>
      </c>
      <c r="K2108" s="96" t="s">
        <v>11870</v>
      </c>
      <c r="L2108" s="95"/>
      <c r="M2108" s="95" t="s">
        <v>17</v>
      </c>
      <c r="N2108" s="95" t="s">
        <v>11871</v>
      </c>
      <c r="O2108" s="95" t="s">
        <v>11871</v>
      </c>
      <c r="P2108" s="95" t="s">
        <v>11872</v>
      </c>
      <c r="Q2108" s="98">
        <v>2.0</v>
      </c>
      <c r="R2108" s="97">
        <v>45681.81327546296</v>
      </c>
      <c r="S2108" s="99">
        <v>17333.0</v>
      </c>
      <c r="T2108" s="99">
        <v>4.0</v>
      </c>
      <c r="U2108" s="99">
        <v>5.0</v>
      </c>
      <c r="V2108" s="99">
        <v>22.0</v>
      </c>
      <c r="W2108" s="99">
        <v>76564.0</v>
      </c>
    </row>
    <row r="2109" ht="15.75" customHeight="1">
      <c r="A2109" s="95" t="s">
        <v>11873</v>
      </c>
      <c r="B2109" s="95" t="s">
        <v>22</v>
      </c>
      <c r="C2109" s="96" t="s">
        <v>11874</v>
      </c>
      <c r="D2109" s="95" t="s">
        <v>29</v>
      </c>
      <c r="E2109" s="95" t="s">
        <v>29</v>
      </c>
      <c r="F2109" s="95" t="s">
        <v>19</v>
      </c>
      <c r="G2109" s="95" t="s">
        <v>19</v>
      </c>
      <c r="H2109" s="95" t="s">
        <v>21</v>
      </c>
      <c r="I2109" s="95" t="s">
        <v>684</v>
      </c>
      <c r="J2109" s="97">
        <v>46056.93007912037</v>
      </c>
      <c r="K2109" s="95" t="s">
        <v>11875</v>
      </c>
      <c r="L2109" s="96" t="s">
        <v>11876</v>
      </c>
      <c r="M2109" s="95" t="s">
        <v>503</v>
      </c>
      <c r="N2109" s="95" t="s">
        <v>11877</v>
      </c>
      <c r="O2109" s="95" t="s">
        <v>11877</v>
      </c>
      <c r="P2109" s="95" t="s">
        <v>11878</v>
      </c>
      <c r="Q2109" s="98">
        <v>2.0</v>
      </c>
      <c r="R2109" s="97">
        <v>46023.97403935185</v>
      </c>
      <c r="S2109" s="99">
        <v>666.0</v>
      </c>
      <c r="T2109" s="99">
        <v>12.0</v>
      </c>
      <c r="U2109" s="99">
        <v>1.0</v>
      </c>
      <c r="V2109" s="99">
        <v>47.0</v>
      </c>
      <c r="W2109" s="99">
        <v>554.0</v>
      </c>
    </row>
    <row r="2110" ht="15.75" customHeight="1">
      <c r="A2110" s="95" t="s">
        <v>11879</v>
      </c>
      <c r="B2110" s="95" t="s">
        <v>22</v>
      </c>
      <c r="C2110" s="96" t="s">
        <v>11880</v>
      </c>
      <c r="D2110" s="95" t="s">
        <v>39</v>
      </c>
      <c r="E2110" s="95" t="s">
        <v>39</v>
      </c>
      <c r="F2110" s="95" t="s">
        <v>19</v>
      </c>
      <c r="G2110" s="95" t="s">
        <v>19</v>
      </c>
      <c r="H2110" s="95" t="s">
        <v>21</v>
      </c>
      <c r="I2110" s="95" t="s">
        <v>567</v>
      </c>
      <c r="J2110" s="97">
        <v>46021.50388815972</v>
      </c>
      <c r="K2110" s="95" t="s">
        <v>11881</v>
      </c>
      <c r="L2110" s="96" t="s">
        <v>11882</v>
      </c>
      <c r="M2110" s="95" t="s">
        <v>38</v>
      </c>
      <c r="N2110" s="95" t="s">
        <v>11883</v>
      </c>
      <c r="O2110" s="95" t="s">
        <v>11883</v>
      </c>
      <c r="P2110" s="95" t="s">
        <v>11884</v>
      </c>
      <c r="Q2110" s="98">
        <v>2.0</v>
      </c>
      <c r="R2110" s="97">
        <v>45736.48418981482</v>
      </c>
      <c r="S2110" s="99">
        <v>1116.0</v>
      </c>
      <c r="T2110" s="99">
        <v>50.0</v>
      </c>
      <c r="U2110" s="99">
        <v>4.0</v>
      </c>
      <c r="V2110" s="99">
        <v>92.0</v>
      </c>
      <c r="W2110" s="99">
        <v>4004.0</v>
      </c>
    </row>
    <row r="2111" ht="15.75" customHeight="1">
      <c r="A2111" s="95" t="s">
        <v>11885</v>
      </c>
      <c r="B2111" s="95" t="s">
        <v>22</v>
      </c>
      <c r="C2111" s="96" t="s">
        <v>11886</v>
      </c>
      <c r="D2111" s="95" t="s">
        <v>168</v>
      </c>
      <c r="E2111" s="95" t="s">
        <v>780</v>
      </c>
      <c r="F2111" s="95" t="s">
        <v>19</v>
      </c>
      <c r="G2111" s="95" t="s">
        <v>19</v>
      </c>
      <c r="H2111" s="95" t="s">
        <v>21</v>
      </c>
      <c r="I2111" s="95" t="s">
        <v>589</v>
      </c>
      <c r="J2111" s="97">
        <v>46008.62903157408</v>
      </c>
      <c r="K2111" s="96" t="s">
        <v>11887</v>
      </c>
      <c r="L2111" s="96" t="s">
        <v>11888</v>
      </c>
      <c r="M2111" s="95" t="s">
        <v>17</v>
      </c>
      <c r="N2111" s="95" t="s">
        <v>11889</v>
      </c>
      <c r="O2111" s="95" t="s">
        <v>11889</v>
      </c>
      <c r="P2111" s="95" t="s">
        <v>11890</v>
      </c>
      <c r="Q2111" s="98">
        <v>2.0</v>
      </c>
      <c r="R2111" s="97">
        <v>45839.43050925926</v>
      </c>
      <c r="S2111" s="99">
        <v>0.0</v>
      </c>
      <c r="T2111" s="99">
        <v>663.0</v>
      </c>
      <c r="U2111" s="99">
        <v>8.0</v>
      </c>
      <c r="V2111" s="99">
        <v>302.0</v>
      </c>
      <c r="W2111" s="99">
        <v>58307.0</v>
      </c>
    </row>
    <row r="2112" ht="15.75" customHeight="1">
      <c r="A2112" s="95" t="s">
        <v>11891</v>
      </c>
      <c r="B2112" s="95" t="s">
        <v>131</v>
      </c>
      <c r="C2112" s="96" t="s">
        <v>11892</v>
      </c>
      <c r="D2112" s="95" t="s">
        <v>59</v>
      </c>
      <c r="E2112" s="95" t="s">
        <v>11893</v>
      </c>
      <c r="F2112" s="95" t="s">
        <v>19</v>
      </c>
      <c r="G2112" s="95" t="s">
        <v>1367</v>
      </c>
      <c r="H2112" s="95" t="s">
        <v>60</v>
      </c>
      <c r="I2112" s="95" t="s">
        <v>795</v>
      </c>
      <c r="J2112" s="97">
        <v>45975.67937189815</v>
      </c>
      <c r="K2112" s="96" t="s">
        <v>11894</v>
      </c>
      <c r="L2112" s="96" t="s">
        <v>11895</v>
      </c>
      <c r="M2112" s="95" t="s">
        <v>38</v>
      </c>
      <c r="N2112" s="95" t="s">
        <v>5116</v>
      </c>
      <c r="O2112" s="95" t="s">
        <v>5116</v>
      </c>
      <c r="P2112" s="95" t="s">
        <v>5117</v>
      </c>
      <c r="Q2112" s="98">
        <v>2.0</v>
      </c>
      <c r="R2112" s="97">
        <v>45719.82792824074</v>
      </c>
      <c r="S2112" s="99">
        <v>30942.0</v>
      </c>
      <c r="T2112" s="99">
        <v>79.0</v>
      </c>
      <c r="U2112" s="99">
        <v>1.0</v>
      </c>
      <c r="V2112" s="99">
        <v>43.0</v>
      </c>
      <c r="W2112" s="99">
        <v>98736.0</v>
      </c>
    </row>
    <row r="2113" ht="15.75" customHeight="1">
      <c r="A2113" s="95" t="s">
        <v>11896</v>
      </c>
      <c r="B2113" s="95" t="s">
        <v>22</v>
      </c>
      <c r="C2113" s="96" t="s">
        <v>11897</v>
      </c>
      <c r="D2113" s="95" t="s">
        <v>59</v>
      </c>
      <c r="E2113" s="95" t="s">
        <v>2797</v>
      </c>
      <c r="F2113" s="95" t="s">
        <v>19</v>
      </c>
      <c r="G2113" s="95" t="s">
        <v>19</v>
      </c>
      <c r="H2113" s="95" t="s">
        <v>21</v>
      </c>
      <c r="I2113" s="95" t="s">
        <v>567</v>
      </c>
      <c r="J2113" s="97">
        <v>45975.67937972222</v>
      </c>
      <c r="K2113" s="96" t="s">
        <v>11898</v>
      </c>
      <c r="L2113" s="96" t="s">
        <v>11899</v>
      </c>
      <c r="M2113" s="95" t="s">
        <v>38</v>
      </c>
      <c r="N2113" s="95" t="s">
        <v>5116</v>
      </c>
      <c r="O2113" s="95" t="s">
        <v>5116</v>
      </c>
      <c r="P2113" s="95" t="s">
        <v>5117</v>
      </c>
      <c r="Q2113" s="98">
        <v>2.0</v>
      </c>
      <c r="R2113" s="97">
        <v>45665.03714120371</v>
      </c>
      <c r="S2113" s="99">
        <v>30942.0</v>
      </c>
      <c r="T2113" s="99">
        <v>64.0</v>
      </c>
      <c r="U2113" s="99">
        <v>1.0</v>
      </c>
      <c r="V2113" s="99">
        <v>87.0</v>
      </c>
      <c r="W2113" s="99">
        <v>98736.0</v>
      </c>
    </row>
    <row r="2114" ht="15.75" customHeight="1">
      <c r="A2114" s="95" t="s">
        <v>11900</v>
      </c>
      <c r="B2114" s="95" t="s">
        <v>22</v>
      </c>
      <c r="C2114" s="96" t="s">
        <v>11901</v>
      </c>
      <c r="D2114" s="95" t="s">
        <v>130</v>
      </c>
      <c r="E2114" s="95" t="s">
        <v>2360</v>
      </c>
      <c r="F2114" s="95" t="s">
        <v>19</v>
      </c>
      <c r="G2114" s="95" t="s">
        <v>588</v>
      </c>
      <c r="H2114" s="95" t="s">
        <v>21</v>
      </c>
      <c r="I2114" s="95" t="s">
        <v>567</v>
      </c>
      <c r="J2114" s="97">
        <v>45980.94050246528</v>
      </c>
      <c r="K2114" s="95" t="s">
        <v>11902</v>
      </c>
      <c r="L2114" s="96" t="s">
        <v>11903</v>
      </c>
      <c r="M2114" s="95" t="s">
        <v>54</v>
      </c>
      <c r="N2114" s="95" t="s">
        <v>11904</v>
      </c>
      <c r="O2114" s="95" t="s">
        <v>11904</v>
      </c>
      <c r="P2114" s="95" t="s">
        <v>11905</v>
      </c>
      <c r="Q2114" s="98">
        <v>2.0</v>
      </c>
      <c r="R2114" s="97">
        <v>45742.58537037037</v>
      </c>
      <c r="S2114" s="99">
        <v>16430.0</v>
      </c>
      <c r="T2114" s="99">
        <v>11.0</v>
      </c>
      <c r="U2114" s="99">
        <v>2.0</v>
      </c>
      <c r="V2114" s="99">
        <v>72.0</v>
      </c>
      <c r="W2114" s="99">
        <v>577224.0</v>
      </c>
    </row>
    <row r="2115" ht="15.75" customHeight="1">
      <c r="A2115" s="95" t="s">
        <v>11906</v>
      </c>
      <c r="B2115" s="95" t="s">
        <v>22</v>
      </c>
      <c r="C2115" s="96" t="s">
        <v>11907</v>
      </c>
      <c r="D2115" s="95" t="s">
        <v>59</v>
      </c>
      <c r="E2115" s="95" t="s">
        <v>1347</v>
      </c>
      <c r="F2115" s="95" t="s">
        <v>19</v>
      </c>
      <c r="G2115" s="95" t="s">
        <v>19</v>
      </c>
      <c r="H2115" s="95" t="s">
        <v>21</v>
      </c>
      <c r="I2115" s="95" t="s">
        <v>567</v>
      </c>
      <c r="J2115" s="97">
        <v>45975.67932418981</v>
      </c>
      <c r="K2115" s="96" t="s">
        <v>11908</v>
      </c>
      <c r="L2115" s="96" t="s">
        <v>11909</v>
      </c>
      <c r="M2115" s="95" t="s">
        <v>54</v>
      </c>
      <c r="N2115" s="95" t="s">
        <v>11904</v>
      </c>
      <c r="O2115" s="95" t="s">
        <v>11904</v>
      </c>
      <c r="P2115" s="95" t="s">
        <v>11905</v>
      </c>
      <c r="Q2115" s="98">
        <v>2.0</v>
      </c>
      <c r="R2115" s="97">
        <v>45673.71925925926</v>
      </c>
      <c r="S2115" s="99">
        <v>16430.0</v>
      </c>
      <c r="T2115" s="99">
        <v>4.0</v>
      </c>
      <c r="U2115" s="99">
        <v>2.0</v>
      </c>
      <c r="V2115" s="99">
        <v>165.0</v>
      </c>
      <c r="W2115" s="99">
        <v>577224.0</v>
      </c>
    </row>
    <row r="2116" ht="15.75" customHeight="1">
      <c r="A2116" s="95" t="s">
        <v>11910</v>
      </c>
      <c r="B2116" s="95" t="s">
        <v>22</v>
      </c>
      <c r="C2116" s="96" t="s">
        <v>11911</v>
      </c>
      <c r="D2116" s="95" t="s">
        <v>59</v>
      </c>
      <c r="E2116" s="95" t="s">
        <v>738</v>
      </c>
      <c r="F2116" s="95" t="s">
        <v>19</v>
      </c>
      <c r="G2116" s="95" t="s">
        <v>19</v>
      </c>
      <c r="H2116" s="95" t="s">
        <v>21</v>
      </c>
      <c r="I2116" s="95" t="s">
        <v>567</v>
      </c>
      <c r="J2116" s="97">
        <v>46039.71414675926</v>
      </c>
      <c r="K2116" s="95" t="s">
        <v>11912</v>
      </c>
      <c r="L2116" s="96" t="s">
        <v>11913</v>
      </c>
      <c r="M2116" s="95" t="s">
        <v>93</v>
      </c>
      <c r="N2116" s="95" t="s">
        <v>5137</v>
      </c>
      <c r="O2116" s="95" t="s">
        <v>5137</v>
      </c>
      <c r="P2116" s="95" t="s">
        <v>5138</v>
      </c>
      <c r="Q2116" s="98">
        <v>2.0</v>
      </c>
      <c r="R2116" s="97">
        <v>45782.34361111111</v>
      </c>
      <c r="S2116" s="99">
        <v>216.0</v>
      </c>
      <c r="T2116" s="99">
        <v>844.0</v>
      </c>
      <c r="U2116" s="99">
        <v>11.0</v>
      </c>
      <c r="V2116" s="99">
        <v>160.0</v>
      </c>
      <c r="W2116" s="99">
        <v>165481.0</v>
      </c>
    </row>
    <row r="2117" ht="15.75" customHeight="1">
      <c r="A2117" s="95" t="s">
        <v>11914</v>
      </c>
      <c r="B2117" s="95" t="s">
        <v>22</v>
      </c>
      <c r="C2117" s="96" t="s">
        <v>11915</v>
      </c>
      <c r="D2117" s="95" t="s">
        <v>39</v>
      </c>
      <c r="E2117" s="95" t="s">
        <v>1201</v>
      </c>
      <c r="F2117" s="95" t="s">
        <v>19</v>
      </c>
      <c r="G2117" s="95" t="s">
        <v>19</v>
      </c>
      <c r="H2117" s="95" t="s">
        <v>21</v>
      </c>
      <c r="I2117" s="95" t="s">
        <v>589</v>
      </c>
      <c r="J2117" s="97">
        <v>46069.66215004629</v>
      </c>
      <c r="K2117" s="95" t="s">
        <v>11916</v>
      </c>
      <c r="L2117" s="96" t="s">
        <v>11917</v>
      </c>
      <c r="M2117" s="95" t="s">
        <v>74</v>
      </c>
      <c r="N2117" s="95" t="s">
        <v>5153</v>
      </c>
      <c r="O2117" s="95" t="s">
        <v>5153</v>
      </c>
      <c r="P2117" s="95" t="s">
        <v>5154</v>
      </c>
      <c r="Q2117" s="98">
        <v>2.0</v>
      </c>
      <c r="R2117" s="97">
        <v>45897.33553240741</v>
      </c>
      <c r="S2117" s="99">
        <v>2462.0</v>
      </c>
      <c r="T2117" s="99">
        <v>495.0</v>
      </c>
      <c r="U2117" s="99">
        <v>10.0</v>
      </c>
      <c r="V2117" s="99">
        <v>107.0</v>
      </c>
      <c r="W2117" s="99">
        <v>20764.0</v>
      </c>
    </row>
    <row r="2118" ht="15.75" customHeight="1">
      <c r="A2118" s="95" t="s">
        <v>11918</v>
      </c>
      <c r="B2118" s="95" t="s">
        <v>22</v>
      </c>
      <c r="C2118" s="96" t="s">
        <v>11919</v>
      </c>
      <c r="D2118" s="95" t="s">
        <v>130</v>
      </c>
      <c r="E2118" s="95" t="s">
        <v>130</v>
      </c>
      <c r="F2118" s="95" t="s">
        <v>19</v>
      </c>
      <c r="G2118" s="95" t="s">
        <v>19</v>
      </c>
      <c r="H2118" s="95" t="s">
        <v>21</v>
      </c>
      <c r="I2118" s="95" t="s">
        <v>567</v>
      </c>
      <c r="J2118" s="97">
        <v>46075.71565079861</v>
      </c>
      <c r="K2118" s="95" t="s">
        <v>11920</v>
      </c>
      <c r="L2118" s="96" t="s">
        <v>11921</v>
      </c>
      <c r="M2118" s="95" t="s">
        <v>93</v>
      </c>
      <c r="N2118" s="95" t="s">
        <v>11922</v>
      </c>
      <c r="O2118" s="95" t="s">
        <v>11922</v>
      </c>
      <c r="P2118" s="95" t="s">
        <v>11923</v>
      </c>
      <c r="Q2118" s="98">
        <v>2.0</v>
      </c>
      <c r="R2118" s="97">
        <v>45817.02379629629</v>
      </c>
      <c r="S2118" s="99">
        <v>3189.0</v>
      </c>
      <c r="T2118" s="99">
        <v>220.0</v>
      </c>
      <c r="U2118" s="99">
        <v>1.0</v>
      </c>
      <c r="V2118" s="99">
        <v>150.0</v>
      </c>
      <c r="W2118" s="99">
        <v>88788.0</v>
      </c>
    </row>
    <row r="2119" ht="15.75" customHeight="1">
      <c r="A2119" s="95" t="s">
        <v>11924</v>
      </c>
      <c r="B2119" s="95" t="s">
        <v>22</v>
      </c>
      <c r="C2119" s="96" t="s">
        <v>11925</v>
      </c>
      <c r="D2119" s="95" t="s">
        <v>49</v>
      </c>
      <c r="E2119" s="95" t="s">
        <v>948</v>
      </c>
      <c r="F2119" s="95" t="s">
        <v>58</v>
      </c>
      <c r="G2119" s="95" t="s">
        <v>4690</v>
      </c>
      <c r="H2119" s="95" t="s">
        <v>21</v>
      </c>
      <c r="I2119" s="95" t="s">
        <v>677</v>
      </c>
      <c r="J2119" s="97">
        <v>45975.67932418981</v>
      </c>
      <c r="K2119" s="96" t="s">
        <v>11926</v>
      </c>
      <c r="L2119" s="96" t="s">
        <v>11927</v>
      </c>
      <c r="M2119" s="95" t="s">
        <v>54</v>
      </c>
      <c r="N2119" s="95" t="s">
        <v>11928</v>
      </c>
      <c r="O2119" s="95" t="s">
        <v>11928</v>
      </c>
      <c r="P2119" s="95" t="s">
        <v>11929</v>
      </c>
      <c r="Q2119" s="98">
        <v>2.0</v>
      </c>
      <c r="R2119" s="97">
        <v>45698.63395833333</v>
      </c>
      <c r="S2119" s="99">
        <v>16782.0</v>
      </c>
      <c r="T2119" s="99">
        <v>388.0</v>
      </c>
      <c r="U2119" s="99">
        <v>1.0</v>
      </c>
      <c r="V2119" s="99">
        <v>17.0</v>
      </c>
      <c r="W2119" s="99">
        <v>113942.0</v>
      </c>
    </row>
    <row r="2120" ht="15.75" customHeight="1">
      <c r="A2120" s="95" t="s">
        <v>11930</v>
      </c>
      <c r="B2120" s="95" t="s">
        <v>22</v>
      </c>
      <c r="C2120" s="96" t="s">
        <v>11931</v>
      </c>
      <c r="D2120" s="95" t="s">
        <v>49</v>
      </c>
      <c r="E2120" s="95" t="s">
        <v>1082</v>
      </c>
      <c r="F2120" s="95" t="s">
        <v>58</v>
      </c>
      <c r="G2120" s="95" t="s">
        <v>58</v>
      </c>
      <c r="H2120" s="95" t="s">
        <v>21</v>
      </c>
      <c r="I2120" s="95" t="s">
        <v>677</v>
      </c>
      <c r="J2120" s="97">
        <v>45993.78544196759</v>
      </c>
      <c r="K2120" s="96" t="s">
        <v>11932</v>
      </c>
      <c r="L2120" s="96" t="s">
        <v>11933</v>
      </c>
      <c r="M2120" s="95" t="s">
        <v>54</v>
      </c>
      <c r="N2120" s="95" t="s">
        <v>11928</v>
      </c>
      <c r="O2120" s="95" t="s">
        <v>11928</v>
      </c>
      <c r="P2120" s="95" t="s">
        <v>11929</v>
      </c>
      <c r="Q2120" s="98">
        <v>2.0</v>
      </c>
      <c r="R2120" s="97">
        <v>45877.01180555556</v>
      </c>
      <c r="S2120" s="99">
        <v>16782.0</v>
      </c>
      <c r="T2120" s="99">
        <v>410.0</v>
      </c>
      <c r="U2120" s="99">
        <v>1.0</v>
      </c>
      <c r="V2120" s="99">
        <v>224.0</v>
      </c>
      <c r="W2120" s="99">
        <v>113942.0</v>
      </c>
    </row>
    <row r="2121" ht="15.75" customHeight="1">
      <c r="A2121" s="95" t="s">
        <v>11934</v>
      </c>
      <c r="B2121" s="95" t="s">
        <v>22</v>
      </c>
      <c r="C2121" s="96" t="s">
        <v>11935</v>
      </c>
      <c r="D2121" s="95" t="s">
        <v>39</v>
      </c>
      <c r="E2121" s="95" t="s">
        <v>960</v>
      </c>
      <c r="F2121" s="95" t="s">
        <v>19</v>
      </c>
      <c r="G2121" s="95" t="s">
        <v>19</v>
      </c>
      <c r="H2121" s="95" t="s">
        <v>21</v>
      </c>
      <c r="I2121" s="95" t="s">
        <v>567</v>
      </c>
      <c r="J2121" s="97">
        <v>46021.5125787037</v>
      </c>
      <c r="K2121" s="95" t="s">
        <v>11936</v>
      </c>
      <c r="L2121" s="96" t="s">
        <v>11937</v>
      </c>
      <c r="M2121" s="95" t="s">
        <v>93</v>
      </c>
      <c r="N2121" s="95" t="s">
        <v>11938</v>
      </c>
      <c r="O2121" s="95" t="s">
        <v>11938</v>
      </c>
      <c r="P2121" s="95" t="s">
        <v>11939</v>
      </c>
      <c r="Q2121" s="98">
        <v>2.0</v>
      </c>
      <c r="R2121" s="97">
        <v>45819.52230324074</v>
      </c>
      <c r="S2121" s="99">
        <v>84.0</v>
      </c>
      <c r="T2121" s="99">
        <v>348.0</v>
      </c>
      <c r="U2121" s="99">
        <v>5.0</v>
      </c>
      <c r="V2121" s="99">
        <v>225.0</v>
      </c>
      <c r="W2121" s="99">
        <v>39766.0</v>
      </c>
    </row>
    <row r="2122" ht="15.75" customHeight="1">
      <c r="A2122" s="95" t="s">
        <v>11940</v>
      </c>
      <c r="B2122" s="95" t="s">
        <v>22</v>
      </c>
      <c r="C2122" s="96" t="s">
        <v>11941</v>
      </c>
      <c r="D2122" s="95" t="s">
        <v>547</v>
      </c>
      <c r="E2122" s="95" t="s">
        <v>11942</v>
      </c>
      <c r="F2122" s="95" t="s">
        <v>19</v>
      </c>
      <c r="G2122" s="95" t="s">
        <v>574</v>
      </c>
      <c r="H2122" s="95" t="s">
        <v>21</v>
      </c>
      <c r="I2122" s="95" t="s">
        <v>567</v>
      </c>
      <c r="J2122" s="97">
        <v>45975.67934811342</v>
      </c>
      <c r="K2122" s="96" t="s">
        <v>11943</v>
      </c>
      <c r="L2122" s="96" t="s">
        <v>11944</v>
      </c>
      <c r="M2122" s="95" t="s">
        <v>17</v>
      </c>
      <c r="N2122" s="95" t="s">
        <v>11945</v>
      </c>
      <c r="O2122" s="95" t="s">
        <v>11945</v>
      </c>
      <c r="P2122" s="95" t="s">
        <v>11946</v>
      </c>
      <c r="Q2122" s="98">
        <v>2.0</v>
      </c>
      <c r="R2122" s="97">
        <v>45749.42497685185</v>
      </c>
      <c r="S2122" s="99">
        <v>2162.0</v>
      </c>
      <c r="T2122" s="99">
        <v>10.0</v>
      </c>
      <c r="U2122" s="99">
        <v>2.0</v>
      </c>
      <c r="V2122" s="99">
        <v>54.0</v>
      </c>
      <c r="W2122" s="99">
        <v>12518.0</v>
      </c>
    </row>
    <row r="2123" ht="15.75" customHeight="1">
      <c r="A2123" s="95" t="s">
        <v>11947</v>
      </c>
      <c r="B2123" s="95" t="s">
        <v>22</v>
      </c>
      <c r="C2123" s="96" t="s">
        <v>11948</v>
      </c>
      <c r="D2123" s="95" t="s">
        <v>29</v>
      </c>
      <c r="E2123" s="95" t="s">
        <v>672</v>
      </c>
      <c r="F2123" s="95" t="s">
        <v>19</v>
      </c>
      <c r="G2123" s="95" t="s">
        <v>588</v>
      </c>
      <c r="H2123" s="95" t="s">
        <v>21</v>
      </c>
      <c r="I2123" s="95" t="s">
        <v>589</v>
      </c>
      <c r="J2123" s="97">
        <v>46072.52378248842</v>
      </c>
      <c r="K2123" s="95" t="s">
        <v>11949</v>
      </c>
      <c r="L2123" s="96" t="s">
        <v>11950</v>
      </c>
      <c r="M2123" s="95" t="s">
        <v>74</v>
      </c>
      <c r="N2123" s="95" t="s">
        <v>5264</v>
      </c>
      <c r="O2123" s="95" t="s">
        <v>5264</v>
      </c>
      <c r="P2123" s="95" t="s">
        <v>5265</v>
      </c>
      <c r="Q2123" s="98">
        <v>2.0</v>
      </c>
      <c r="R2123" s="97">
        <v>45994.37975694444</v>
      </c>
      <c r="S2123" s="99">
        <v>224.0</v>
      </c>
      <c r="T2123" s="99">
        <v>295.0</v>
      </c>
      <c r="U2123" s="99">
        <v>2.0</v>
      </c>
      <c r="V2123" s="99">
        <v>27.0</v>
      </c>
      <c r="W2123" s="99">
        <v>16713.0</v>
      </c>
    </row>
    <row r="2124" ht="15.75" customHeight="1">
      <c r="A2124" s="95" t="s">
        <v>11951</v>
      </c>
      <c r="B2124" s="95" t="s">
        <v>22</v>
      </c>
      <c r="C2124" s="96" t="s">
        <v>11952</v>
      </c>
      <c r="D2124" s="95" t="s">
        <v>29</v>
      </c>
      <c r="E2124" s="95" t="s">
        <v>11953</v>
      </c>
      <c r="F2124" s="95" t="s">
        <v>19</v>
      </c>
      <c r="G2124" s="95" t="s">
        <v>19</v>
      </c>
      <c r="H2124" s="95" t="s">
        <v>21</v>
      </c>
      <c r="I2124" s="95" t="s">
        <v>567</v>
      </c>
      <c r="J2124" s="97">
        <v>46021.49564868055</v>
      </c>
      <c r="K2124" s="95" t="s">
        <v>11954</v>
      </c>
      <c r="L2124" s="96" t="s">
        <v>11955</v>
      </c>
      <c r="M2124" s="95" t="s">
        <v>28</v>
      </c>
      <c r="N2124" s="95" t="s">
        <v>11956</v>
      </c>
      <c r="O2124" s="95" t="s">
        <v>11956</v>
      </c>
      <c r="P2124" s="95" t="s">
        <v>11957</v>
      </c>
      <c r="Q2124" s="98">
        <v>2.0</v>
      </c>
      <c r="R2124" s="97">
        <v>45857.3947800926</v>
      </c>
      <c r="S2124" s="99">
        <v>196.0</v>
      </c>
      <c r="T2124" s="99">
        <v>138.0</v>
      </c>
      <c r="U2124" s="99">
        <v>26.0</v>
      </c>
      <c r="V2124" s="99">
        <v>184.0</v>
      </c>
      <c r="W2124" s="99">
        <v>133781.0</v>
      </c>
    </row>
    <row r="2125" ht="15.75" customHeight="1">
      <c r="A2125" s="95" t="s">
        <v>11958</v>
      </c>
      <c r="B2125" s="95" t="s">
        <v>22</v>
      </c>
      <c r="C2125" s="96" t="s">
        <v>11959</v>
      </c>
      <c r="D2125" s="95" t="s">
        <v>39</v>
      </c>
      <c r="E2125" s="95" t="s">
        <v>718</v>
      </c>
      <c r="F2125" s="95" t="s">
        <v>19</v>
      </c>
      <c r="G2125" s="95" t="s">
        <v>588</v>
      </c>
      <c r="H2125" s="95" t="s">
        <v>21</v>
      </c>
      <c r="I2125" s="95" t="s">
        <v>589</v>
      </c>
      <c r="J2125" s="97">
        <v>45975.67939547454</v>
      </c>
      <c r="K2125" s="96" t="s">
        <v>11960</v>
      </c>
      <c r="L2125" s="96" t="s">
        <v>11961</v>
      </c>
      <c r="M2125" s="95" t="s">
        <v>74</v>
      </c>
      <c r="N2125" s="95" t="s">
        <v>11962</v>
      </c>
      <c r="O2125" s="95" t="s">
        <v>11962</v>
      </c>
      <c r="P2125" s="95" t="s">
        <v>11963</v>
      </c>
      <c r="Q2125" s="98">
        <v>2.0</v>
      </c>
      <c r="R2125" s="97">
        <v>45715.75993055556</v>
      </c>
      <c r="S2125" s="99">
        <v>2389.0</v>
      </c>
      <c r="T2125" s="99">
        <v>257.0</v>
      </c>
      <c r="U2125" s="99">
        <v>1.0</v>
      </c>
      <c r="V2125" s="99">
        <v>81.0</v>
      </c>
      <c r="W2125" s="99">
        <v>13115.0</v>
      </c>
    </row>
    <row r="2126" ht="15.75" customHeight="1">
      <c r="A2126" s="95" t="s">
        <v>11964</v>
      </c>
      <c r="B2126" s="95" t="s">
        <v>22</v>
      </c>
      <c r="C2126" s="96" t="s">
        <v>11965</v>
      </c>
      <c r="D2126" s="95" t="s">
        <v>39</v>
      </c>
      <c r="E2126" s="95" t="s">
        <v>39</v>
      </c>
      <c r="F2126" s="95" t="s">
        <v>19</v>
      </c>
      <c r="G2126" s="95" t="s">
        <v>19</v>
      </c>
      <c r="H2126" s="95" t="s">
        <v>21</v>
      </c>
      <c r="I2126" s="95" t="s">
        <v>567</v>
      </c>
      <c r="J2126" s="97">
        <v>45975.67932418981</v>
      </c>
      <c r="K2126" s="96" t="s">
        <v>11966</v>
      </c>
      <c r="L2126" s="96" t="s">
        <v>11967</v>
      </c>
      <c r="M2126" s="95" t="s">
        <v>93</v>
      </c>
      <c r="N2126" s="95" t="s">
        <v>11968</v>
      </c>
      <c r="O2126" s="95" t="s">
        <v>11968</v>
      </c>
      <c r="P2126" s="95" t="s">
        <v>11969</v>
      </c>
      <c r="Q2126" s="98">
        <v>2.0</v>
      </c>
      <c r="R2126" s="97">
        <v>45951.6271412037</v>
      </c>
      <c r="S2126" s="99">
        <v>6050.0</v>
      </c>
      <c r="T2126" s="99">
        <v>2367.0</v>
      </c>
      <c r="U2126" s="99">
        <v>2.0</v>
      </c>
      <c r="V2126" s="99">
        <v>46.0</v>
      </c>
      <c r="W2126" s="99">
        <v>249856.0</v>
      </c>
    </row>
    <row r="2127" ht="15.75" customHeight="1">
      <c r="A2127" s="95" t="s">
        <v>11970</v>
      </c>
      <c r="B2127" s="95" t="s">
        <v>22</v>
      </c>
      <c r="C2127" s="96" t="s">
        <v>11971</v>
      </c>
      <c r="D2127" s="95" t="s">
        <v>20</v>
      </c>
      <c r="E2127" s="95" t="s">
        <v>20</v>
      </c>
      <c r="F2127" s="95" t="s">
        <v>19</v>
      </c>
      <c r="G2127" s="95" t="s">
        <v>588</v>
      </c>
      <c r="H2127" s="95" t="s">
        <v>21</v>
      </c>
      <c r="I2127" s="95" t="s">
        <v>589</v>
      </c>
      <c r="J2127" s="97">
        <v>45988.61454574074</v>
      </c>
      <c r="K2127" s="95" t="s">
        <v>11972</v>
      </c>
      <c r="L2127" s="96" t="s">
        <v>11973</v>
      </c>
      <c r="M2127" s="95" t="s">
        <v>17</v>
      </c>
      <c r="N2127" s="95" t="s">
        <v>11974</v>
      </c>
      <c r="O2127" s="95" t="s">
        <v>11974</v>
      </c>
      <c r="P2127" s="95" t="s">
        <v>11975</v>
      </c>
      <c r="Q2127" s="98">
        <v>2.0</v>
      </c>
      <c r="R2127" s="97">
        <v>45903.45270833333</v>
      </c>
      <c r="S2127" s="99">
        <v>1008.0</v>
      </c>
      <c r="T2127" s="99">
        <v>7.0</v>
      </c>
      <c r="U2127" s="99">
        <v>5.0</v>
      </c>
      <c r="V2127" s="99">
        <v>58.0</v>
      </c>
      <c r="W2127" s="99">
        <v>124363.0</v>
      </c>
    </row>
    <row r="2128" ht="15.75" customHeight="1">
      <c r="A2128" s="95" t="s">
        <v>11976</v>
      </c>
      <c r="B2128" s="95" t="s">
        <v>69</v>
      </c>
      <c r="C2128" s="96" t="s">
        <v>11977</v>
      </c>
      <c r="D2128" s="95" t="s">
        <v>39</v>
      </c>
      <c r="E2128" s="95" t="s">
        <v>39</v>
      </c>
      <c r="F2128" s="95" t="s">
        <v>88</v>
      </c>
      <c r="G2128" s="95" t="s">
        <v>639</v>
      </c>
      <c r="H2128" s="95" t="s">
        <v>89</v>
      </c>
      <c r="I2128" s="95" t="s">
        <v>640</v>
      </c>
      <c r="J2128" s="97">
        <v>46040.56592947917</v>
      </c>
      <c r="K2128" s="95" t="s">
        <v>11978</v>
      </c>
      <c r="L2128" s="96" t="s">
        <v>11979</v>
      </c>
      <c r="M2128" s="95" t="s">
        <v>93</v>
      </c>
      <c r="N2128" s="95" t="s">
        <v>11980</v>
      </c>
      <c r="O2128" s="95" t="s">
        <v>11980</v>
      </c>
      <c r="P2128" s="95" t="s">
        <v>11981</v>
      </c>
      <c r="Q2128" s="98">
        <v>2.0</v>
      </c>
      <c r="R2128" s="97">
        <v>45716.43546296296</v>
      </c>
      <c r="S2128" s="99">
        <v>284.0</v>
      </c>
      <c r="T2128" s="99">
        <v>88.0</v>
      </c>
      <c r="U2128" s="99">
        <v>1.0</v>
      </c>
      <c r="V2128" s="99">
        <v>17.0</v>
      </c>
      <c r="W2128" s="99">
        <v>33813.0</v>
      </c>
    </row>
    <row r="2129" ht="15.75" customHeight="1">
      <c r="A2129" s="95" t="s">
        <v>11982</v>
      </c>
      <c r="B2129" s="95" t="s">
        <v>22</v>
      </c>
      <c r="C2129" s="96" t="s">
        <v>11983</v>
      </c>
      <c r="D2129" s="95" t="s">
        <v>39</v>
      </c>
      <c r="E2129" s="95" t="s">
        <v>39</v>
      </c>
      <c r="F2129" s="95" t="s">
        <v>19</v>
      </c>
      <c r="G2129" s="95" t="s">
        <v>19</v>
      </c>
      <c r="H2129" s="95" t="s">
        <v>21</v>
      </c>
      <c r="I2129" s="95" t="s">
        <v>567</v>
      </c>
      <c r="J2129" s="97">
        <v>46008.62903810186</v>
      </c>
      <c r="K2129" s="96" t="s">
        <v>11984</v>
      </c>
      <c r="L2129" s="96" t="s">
        <v>11985</v>
      </c>
      <c r="M2129" s="95" t="s">
        <v>17</v>
      </c>
      <c r="N2129" s="95" t="s">
        <v>5350</v>
      </c>
      <c r="O2129" s="95" t="s">
        <v>5350</v>
      </c>
      <c r="P2129" s="95" t="s">
        <v>5351</v>
      </c>
      <c r="Q2129" s="98">
        <v>2.0</v>
      </c>
      <c r="R2129" s="97">
        <v>45805.87363425926</v>
      </c>
      <c r="S2129" s="99">
        <v>2203.0</v>
      </c>
      <c r="T2129" s="99">
        <v>168.0</v>
      </c>
      <c r="U2129" s="99">
        <v>22.0</v>
      </c>
      <c r="V2129" s="99">
        <v>217.0</v>
      </c>
      <c r="W2129" s="99">
        <v>119123.0</v>
      </c>
    </row>
    <row r="2130" ht="15.75" customHeight="1">
      <c r="A2130" s="95" t="s">
        <v>11986</v>
      </c>
      <c r="B2130" s="95" t="s">
        <v>22</v>
      </c>
      <c r="C2130" s="96" t="s">
        <v>11987</v>
      </c>
      <c r="D2130" s="95" t="s">
        <v>39</v>
      </c>
      <c r="E2130" s="95" t="s">
        <v>39</v>
      </c>
      <c r="F2130" s="95" t="s">
        <v>19</v>
      </c>
      <c r="G2130" s="95" t="s">
        <v>19</v>
      </c>
      <c r="H2130" s="95" t="s">
        <v>21</v>
      </c>
      <c r="I2130" s="95" t="s">
        <v>567</v>
      </c>
      <c r="J2130" s="97">
        <v>46003.08208643518</v>
      </c>
      <c r="K2130" s="95" t="s">
        <v>11988</v>
      </c>
      <c r="L2130" s="96" t="s">
        <v>11989</v>
      </c>
      <c r="M2130" s="95" t="s">
        <v>105</v>
      </c>
      <c r="N2130" s="95" t="s">
        <v>11990</v>
      </c>
      <c r="O2130" s="95" t="s">
        <v>11990</v>
      </c>
      <c r="P2130" s="95" t="s">
        <v>11991</v>
      </c>
      <c r="Q2130" s="98">
        <v>2.0</v>
      </c>
      <c r="R2130" s="97">
        <v>45831.04072916666</v>
      </c>
      <c r="S2130" s="99">
        <v>1288.0</v>
      </c>
      <c r="T2130" s="99">
        <v>150.0</v>
      </c>
      <c r="U2130" s="99">
        <v>5.0</v>
      </c>
      <c r="V2130" s="99">
        <v>69.0</v>
      </c>
      <c r="W2130" s="99">
        <v>21703.0</v>
      </c>
    </row>
    <row r="2131" ht="15.75" customHeight="1">
      <c r="A2131" s="95" t="s">
        <v>11992</v>
      </c>
      <c r="B2131" s="95" t="s">
        <v>101</v>
      </c>
      <c r="C2131" s="96" t="s">
        <v>11993</v>
      </c>
      <c r="D2131" s="95" t="s">
        <v>168</v>
      </c>
      <c r="E2131" s="95" t="s">
        <v>818</v>
      </c>
      <c r="F2131" s="95" t="s">
        <v>19</v>
      </c>
      <c r="G2131" s="95" t="s">
        <v>19</v>
      </c>
      <c r="H2131" s="95" t="s">
        <v>21</v>
      </c>
      <c r="I2131" s="95" t="s">
        <v>955</v>
      </c>
      <c r="J2131" s="97">
        <v>45975.67930055556</v>
      </c>
      <c r="K2131" s="96" t="s">
        <v>11994</v>
      </c>
      <c r="L2131" s="95"/>
      <c r="M2131" s="95" t="s">
        <v>105</v>
      </c>
      <c r="N2131" s="95" t="s">
        <v>11995</v>
      </c>
      <c r="O2131" s="95" t="s">
        <v>11995</v>
      </c>
      <c r="P2131" s="95" t="s">
        <v>11996</v>
      </c>
      <c r="Q2131" s="98">
        <v>2.0</v>
      </c>
      <c r="R2131" s="97">
        <v>45257.94387731481</v>
      </c>
      <c r="S2131" s="99">
        <v>2530.0</v>
      </c>
      <c r="T2131" s="99">
        <v>10.0</v>
      </c>
      <c r="U2131" s="99">
        <v>1.0</v>
      </c>
      <c r="V2131" s="99">
        <v>108.0</v>
      </c>
      <c r="W2131" s="99">
        <v>27940.0</v>
      </c>
    </row>
    <row r="2132" ht="15.75" customHeight="1">
      <c r="A2132" s="95" t="s">
        <v>11997</v>
      </c>
      <c r="B2132" s="95" t="s">
        <v>22</v>
      </c>
      <c r="C2132" s="96" t="s">
        <v>11998</v>
      </c>
      <c r="D2132" s="95" t="s">
        <v>20</v>
      </c>
      <c r="E2132" s="95" t="s">
        <v>638</v>
      </c>
      <c r="F2132" s="95" t="s">
        <v>19</v>
      </c>
      <c r="G2132" s="95" t="s">
        <v>19</v>
      </c>
      <c r="H2132" s="95" t="s">
        <v>21</v>
      </c>
      <c r="I2132" s="95" t="s">
        <v>567</v>
      </c>
      <c r="J2132" s="97">
        <v>45993.7854622338</v>
      </c>
      <c r="K2132" s="96" t="s">
        <v>11999</v>
      </c>
      <c r="L2132" s="96" t="s">
        <v>12000</v>
      </c>
      <c r="M2132" s="95" t="s">
        <v>17</v>
      </c>
      <c r="N2132" s="95" t="s">
        <v>5412</v>
      </c>
      <c r="O2132" s="95" t="s">
        <v>5412</v>
      </c>
      <c r="P2132" s="95" t="s">
        <v>5413</v>
      </c>
      <c r="Q2132" s="98">
        <v>2.0</v>
      </c>
      <c r="R2132" s="97">
        <v>45797.61703703704</v>
      </c>
      <c r="S2132" s="99">
        <v>22740.0</v>
      </c>
      <c r="T2132" s="99">
        <v>122.0</v>
      </c>
      <c r="U2132" s="99">
        <v>5.0</v>
      </c>
      <c r="V2132" s="99">
        <v>42.0</v>
      </c>
      <c r="W2132" s="99">
        <v>133445.0</v>
      </c>
    </row>
    <row r="2133" ht="15.75" customHeight="1">
      <c r="A2133" s="95" t="s">
        <v>12001</v>
      </c>
      <c r="B2133" s="95" t="s">
        <v>22</v>
      </c>
      <c r="C2133" s="96" t="s">
        <v>12002</v>
      </c>
      <c r="D2133" s="95" t="s">
        <v>39</v>
      </c>
      <c r="E2133" s="95" t="s">
        <v>39</v>
      </c>
      <c r="F2133" s="95" t="s">
        <v>19</v>
      </c>
      <c r="G2133" s="95" t="s">
        <v>19</v>
      </c>
      <c r="H2133" s="95" t="s">
        <v>21</v>
      </c>
      <c r="I2133" s="95" t="s">
        <v>567</v>
      </c>
      <c r="J2133" s="97">
        <v>46075.71565079861</v>
      </c>
      <c r="K2133" s="95" t="s">
        <v>12003</v>
      </c>
      <c r="L2133" s="96" t="s">
        <v>12004</v>
      </c>
      <c r="M2133" s="95" t="s">
        <v>93</v>
      </c>
      <c r="N2133" s="95" t="s">
        <v>12005</v>
      </c>
      <c r="O2133" s="95" t="s">
        <v>12005</v>
      </c>
      <c r="P2133" s="95" t="s">
        <v>12006</v>
      </c>
      <c r="Q2133" s="98">
        <v>2.0</v>
      </c>
      <c r="R2133" s="97">
        <v>46060.70707175926</v>
      </c>
      <c r="S2133" s="99">
        <v>6362.0</v>
      </c>
      <c r="T2133" s="99">
        <v>899.0</v>
      </c>
      <c r="U2133" s="99">
        <v>15.0</v>
      </c>
      <c r="V2133" s="99">
        <v>249.0</v>
      </c>
      <c r="W2133" s="99">
        <v>27569.0</v>
      </c>
    </row>
    <row r="2134" ht="15.75" customHeight="1">
      <c r="A2134" s="95" t="s">
        <v>12007</v>
      </c>
      <c r="B2134" s="95" t="s">
        <v>22</v>
      </c>
      <c r="C2134" s="96" t="s">
        <v>12008</v>
      </c>
      <c r="D2134" s="95" t="s">
        <v>39</v>
      </c>
      <c r="E2134" s="95" t="s">
        <v>39</v>
      </c>
      <c r="F2134" s="95" t="s">
        <v>19</v>
      </c>
      <c r="G2134" s="95" t="s">
        <v>588</v>
      </c>
      <c r="H2134" s="95" t="s">
        <v>21</v>
      </c>
      <c r="I2134" s="95" t="s">
        <v>677</v>
      </c>
      <c r="J2134" s="97">
        <v>46021.49564868055</v>
      </c>
      <c r="K2134" s="95" t="s">
        <v>12009</v>
      </c>
      <c r="L2134" s="96" t="s">
        <v>12010</v>
      </c>
      <c r="M2134" s="95" t="s">
        <v>54</v>
      </c>
      <c r="N2134" s="95" t="s">
        <v>12011</v>
      </c>
      <c r="O2134" s="95" t="s">
        <v>12011</v>
      </c>
      <c r="P2134" s="95" t="s">
        <v>12012</v>
      </c>
      <c r="Q2134" s="98">
        <v>2.0</v>
      </c>
      <c r="R2134" s="97">
        <v>45842.37578703704</v>
      </c>
      <c r="S2134" s="99">
        <v>1343.0</v>
      </c>
      <c r="T2134" s="99">
        <v>68.0</v>
      </c>
      <c r="U2134" s="99">
        <v>2.0</v>
      </c>
      <c r="V2134" s="99">
        <v>56.0</v>
      </c>
      <c r="W2134" s="99">
        <v>5541.0</v>
      </c>
    </row>
    <row r="2135" ht="15.75" customHeight="1">
      <c r="A2135" s="95" t="s">
        <v>12013</v>
      </c>
      <c r="B2135" s="95" t="s">
        <v>22</v>
      </c>
      <c r="C2135" s="96" t="s">
        <v>12014</v>
      </c>
      <c r="D2135" s="95" t="s">
        <v>29</v>
      </c>
      <c r="E2135" s="95" t="s">
        <v>29</v>
      </c>
      <c r="F2135" s="95" t="s">
        <v>19</v>
      </c>
      <c r="G2135" s="95" t="s">
        <v>588</v>
      </c>
      <c r="H2135" s="95" t="s">
        <v>21</v>
      </c>
      <c r="I2135" s="95" t="s">
        <v>589</v>
      </c>
      <c r="J2135" s="97">
        <v>46069.13722578704</v>
      </c>
      <c r="K2135" s="95" t="s">
        <v>12015</v>
      </c>
      <c r="L2135" s="96" t="s">
        <v>12016</v>
      </c>
      <c r="M2135" s="95" t="s">
        <v>74</v>
      </c>
      <c r="N2135" s="95" t="s">
        <v>12017</v>
      </c>
      <c r="O2135" s="95" t="s">
        <v>12017</v>
      </c>
      <c r="P2135" s="95" t="s">
        <v>12018</v>
      </c>
      <c r="Q2135" s="98">
        <v>2.0</v>
      </c>
      <c r="R2135" s="97">
        <v>45791.47635416667</v>
      </c>
      <c r="S2135" s="99">
        <v>3407.0</v>
      </c>
      <c r="T2135" s="99">
        <v>121.0</v>
      </c>
      <c r="U2135" s="99">
        <v>14.0</v>
      </c>
      <c r="V2135" s="99">
        <v>90.0</v>
      </c>
      <c r="W2135" s="99">
        <v>7576.0</v>
      </c>
    </row>
    <row r="2136" ht="15.75" customHeight="1">
      <c r="A2136" s="95" t="s">
        <v>12019</v>
      </c>
      <c r="B2136" s="95" t="s">
        <v>22</v>
      </c>
      <c r="C2136" s="96" t="s">
        <v>12020</v>
      </c>
      <c r="D2136" s="95" t="s">
        <v>124</v>
      </c>
      <c r="E2136" s="95" t="s">
        <v>1731</v>
      </c>
      <c r="F2136" s="95" t="s">
        <v>19</v>
      </c>
      <c r="G2136" s="95" t="s">
        <v>19</v>
      </c>
      <c r="H2136" s="95" t="s">
        <v>21</v>
      </c>
      <c r="I2136" s="95" t="s">
        <v>567</v>
      </c>
      <c r="J2136" s="97">
        <v>46021.50388815972</v>
      </c>
      <c r="K2136" s="95" t="s">
        <v>12021</v>
      </c>
      <c r="L2136" s="96" t="s">
        <v>12022</v>
      </c>
      <c r="M2136" s="95" t="s">
        <v>503</v>
      </c>
      <c r="N2136" s="95" t="s">
        <v>12023</v>
      </c>
      <c r="O2136" s="95" t="s">
        <v>12023</v>
      </c>
      <c r="P2136" s="95" t="s">
        <v>12024</v>
      </c>
      <c r="Q2136" s="98">
        <v>2.0</v>
      </c>
      <c r="R2136" s="97">
        <v>45620.59149305556</v>
      </c>
      <c r="S2136" s="99">
        <v>248.0</v>
      </c>
      <c r="T2136" s="99">
        <v>21.0</v>
      </c>
      <c r="U2136" s="99">
        <v>4.0</v>
      </c>
      <c r="V2136" s="99">
        <v>20.0</v>
      </c>
      <c r="W2136" s="99">
        <v>1152.0</v>
      </c>
    </row>
    <row r="2137" ht="15.75" customHeight="1">
      <c r="A2137" s="95" t="s">
        <v>12025</v>
      </c>
      <c r="B2137" s="95" t="s">
        <v>69</v>
      </c>
      <c r="C2137" s="96" t="s">
        <v>12026</v>
      </c>
      <c r="D2137" s="95" t="s">
        <v>39</v>
      </c>
      <c r="E2137" s="95" t="s">
        <v>39</v>
      </c>
      <c r="F2137" s="95" t="s">
        <v>19</v>
      </c>
      <c r="G2137" s="95" t="s">
        <v>574</v>
      </c>
      <c r="H2137" s="95" t="s">
        <v>77</v>
      </c>
      <c r="I2137" s="95" t="s">
        <v>599</v>
      </c>
      <c r="J2137" s="97">
        <v>46008.62903822917</v>
      </c>
      <c r="K2137" s="96" t="s">
        <v>12027</v>
      </c>
      <c r="L2137" s="96" t="s">
        <v>12028</v>
      </c>
      <c r="M2137" s="95" t="s">
        <v>17</v>
      </c>
      <c r="N2137" s="95" t="s">
        <v>12029</v>
      </c>
      <c r="O2137" s="95" t="s">
        <v>12029</v>
      </c>
      <c r="P2137" s="95" t="s">
        <v>12030</v>
      </c>
      <c r="Q2137" s="98">
        <v>2.0</v>
      </c>
      <c r="R2137" s="97">
        <v>45698.76521990741</v>
      </c>
      <c r="S2137" s="99">
        <v>19073.0</v>
      </c>
      <c r="T2137" s="99">
        <v>120.0</v>
      </c>
      <c r="U2137" s="99">
        <v>1.0</v>
      </c>
      <c r="V2137" s="99">
        <v>31.0</v>
      </c>
      <c r="W2137" s="99">
        <v>354555.0</v>
      </c>
    </row>
    <row r="2138" ht="15.75" customHeight="1">
      <c r="A2138" s="95" t="s">
        <v>12031</v>
      </c>
      <c r="B2138" s="95" t="s">
        <v>22</v>
      </c>
      <c r="C2138" s="96" t="s">
        <v>12032</v>
      </c>
      <c r="D2138" s="95" t="s">
        <v>39</v>
      </c>
      <c r="E2138" s="95" t="s">
        <v>697</v>
      </c>
      <c r="F2138" s="95" t="s">
        <v>19</v>
      </c>
      <c r="G2138" s="95" t="s">
        <v>19</v>
      </c>
      <c r="H2138" s="95" t="s">
        <v>21</v>
      </c>
      <c r="I2138" s="95" t="s">
        <v>589</v>
      </c>
      <c r="J2138" s="97">
        <v>45975.67934811342</v>
      </c>
      <c r="K2138" s="96" t="s">
        <v>12033</v>
      </c>
      <c r="L2138" s="96" t="s">
        <v>12034</v>
      </c>
      <c r="M2138" s="95" t="s">
        <v>17</v>
      </c>
      <c r="N2138" s="95" t="s">
        <v>12035</v>
      </c>
      <c r="O2138" s="95" t="s">
        <v>12035</v>
      </c>
      <c r="P2138" s="95" t="s">
        <v>12036</v>
      </c>
      <c r="Q2138" s="98">
        <v>2.0</v>
      </c>
      <c r="R2138" s="97">
        <v>45677.77538194445</v>
      </c>
      <c r="S2138" s="99">
        <v>67.0</v>
      </c>
      <c r="T2138" s="99">
        <v>863.0</v>
      </c>
      <c r="U2138" s="99">
        <v>258.0</v>
      </c>
      <c r="V2138" s="99">
        <v>88.0</v>
      </c>
      <c r="W2138" s="99">
        <v>12995.0</v>
      </c>
    </row>
    <row r="2139" ht="15.75" customHeight="1">
      <c r="A2139" s="95" t="s">
        <v>12037</v>
      </c>
      <c r="B2139" s="95" t="s">
        <v>22</v>
      </c>
      <c r="C2139" s="96" t="s">
        <v>12038</v>
      </c>
      <c r="D2139" s="95" t="s">
        <v>29</v>
      </c>
      <c r="E2139" s="95" t="s">
        <v>29</v>
      </c>
      <c r="F2139" s="95" t="s">
        <v>19</v>
      </c>
      <c r="G2139" s="95" t="s">
        <v>588</v>
      </c>
      <c r="H2139" s="95" t="s">
        <v>21</v>
      </c>
      <c r="I2139" s="95" t="s">
        <v>589</v>
      </c>
      <c r="J2139" s="97">
        <v>46021.50566978009</v>
      </c>
      <c r="K2139" s="95" t="s">
        <v>12039</v>
      </c>
      <c r="L2139" s="96" t="s">
        <v>12040</v>
      </c>
      <c r="M2139" s="95" t="s">
        <v>74</v>
      </c>
      <c r="N2139" s="95" t="s">
        <v>12041</v>
      </c>
      <c r="O2139" s="95" t="s">
        <v>12041</v>
      </c>
      <c r="P2139" s="95" t="s">
        <v>12042</v>
      </c>
      <c r="Q2139" s="98">
        <v>2.0</v>
      </c>
      <c r="R2139" s="97">
        <v>45748.33677083333</v>
      </c>
      <c r="S2139" s="99">
        <v>76.0</v>
      </c>
      <c r="T2139" s="99">
        <v>9.0</v>
      </c>
      <c r="U2139" s="99">
        <v>1.0</v>
      </c>
      <c r="V2139" s="99">
        <v>20.0</v>
      </c>
      <c r="W2139" s="99">
        <v>1094.0</v>
      </c>
    </row>
    <row r="2140" ht="15.75" customHeight="1">
      <c r="A2140" s="95" t="s">
        <v>12043</v>
      </c>
      <c r="B2140" s="95" t="s">
        <v>22</v>
      </c>
      <c r="C2140" s="96" t="s">
        <v>12044</v>
      </c>
      <c r="D2140" s="95" t="s">
        <v>39</v>
      </c>
      <c r="E2140" s="95" t="s">
        <v>39</v>
      </c>
      <c r="F2140" s="95" t="s">
        <v>19</v>
      </c>
      <c r="G2140" s="95" t="s">
        <v>19</v>
      </c>
      <c r="H2140" s="95" t="s">
        <v>21</v>
      </c>
      <c r="I2140" s="95" t="s">
        <v>677</v>
      </c>
      <c r="J2140" s="97">
        <v>46021.49564868055</v>
      </c>
      <c r="K2140" s="95" t="s">
        <v>12045</v>
      </c>
      <c r="L2140" s="96" t="s">
        <v>12046</v>
      </c>
      <c r="M2140" s="95" t="s">
        <v>74</v>
      </c>
      <c r="N2140" s="95" t="s">
        <v>12047</v>
      </c>
      <c r="O2140" s="95" t="s">
        <v>12047</v>
      </c>
      <c r="P2140" s="95" t="s">
        <v>12048</v>
      </c>
      <c r="Q2140" s="98">
        <v>2.0</v>
      </c>
      <c r="R2140" s="97">
        <v>45933.42120370371</v>
      </c>
      <c r="S2140" s="99">
        <v>464.0</v>
      </c>
      <c r="T2140" s="99">
        <v>140.0</v>
      </c>
      <c r="U2140" s="99">
        <v>4.0</v>
      </c>
      <c r="V2140" s="99">
        <v>37.0</v>
      </c>
      <c r="W2140" s="99">
        <v>2796.0</v>
      </c>
    </row>
    <row r="2141" ht="15.75" customHeight="1">
      <c r="A2141" s="95" t="s">
        <v>12049</v>
      </c>
      <c r="B2141" s="95" t="s">
        <v>101</v>
      </c>
      <c r="C2141" s="96" t="s">
        <v>12050</v>
      </c>
      <c r="D2141" s="95" t="s">
        <v>39</v>
      </c>
      <c r="E2141" s="95" t="s">
        <v>39</v>
      </c>
      <c r="F2141" s="95" t="s">
        <v>19</v>
      </c>
      <c r="G2141" s="95" t="s">
        <v>588</v>
      </c>
      <c r="H2141" s="95" t="s">
        <v>21</v>
      </c>
      <c r="I2141" s="95" t="s">
        <v>890</v>
      </c>
      <c r="J2141" s="97">
        <v>45980.94076530093</v>
      </c>
      <c r="K2141" s="96" t="s">
        <v>12051</v>
      </c>
      <c r="L2141" s="96" t="s">
        <v>12052</v>
      </c>
      <c r="M2141" s="95" t="s">
        <v>74</v>
      </c>
      <c r="N2141" s="95" t="s">
        <v>5451</v>
      </c>
      <c r="O2141" s="95" t="s">
        <v>5451</v>
      </c>
      <c r="P2141" s="95" t="s">
        <v>5452</v>
      </c>
      <c r="Q2141" s="98">
        <v>2.0</v>
      </c>
      <c r="R2141" s="97">
        <v>45944.63739583334</v>
      </c>
      <c r="S2141" s="99">
        <v>85.0</v>
      </c>
      <c r="T2141" s="99">
        <v>362.0</v>
      </c>
      <c r="U2141" s="99">
        <v>7.0</v>
      </c>
      <c r="V2141" s="99">
        <v>55.0</v>
      </c>
      <c r="W2141" s="99">
        <v>116207.0</v>
      </c>
    </row>
    <row r="2142" ht="15.75" customHeight="1">
      <c r="A2142" s="95" t="s">
        <v>12053</v>
      </c>
      <c r="B2142" s="95" t="s">
        <v>22</v>
      </c>
      <c r="C2142" s="96" t="s">
        <v>12054</v>
      </c>
      <c r="D2142" s="95" t="s">
        <v>39</v>
      </c>
      <c r="E2142" s="95" t="s">
        <v>39</v>
      </c>
      <c r="F2142" s="95" t="s">
        <v>19</v>
      </c>
      <c r="G2142" s="95" t="s">
        <v>588</v>
      </c>
      <c r="H2142" s="95" t="s">
        <v>21</v>
      </c>
      <c r="I2142" s="95" t="s">
        <v>589</v>
      </c>
      <c r="J2142" s="97">
        <v>46021.5125787037</v>
      </c>
      <c r="K2142" s="95" t="s">
        <v>12055</v>
      </c>
      <c r="L2142" s="96" t="s">
        <v>12056</v>
      </c>
      <c r="M2142" s="95" t="s">
        <v>74</v>
      </c>
      <c r="N2142" s="95" t="s">
        <v>5451</v>
      </c>
      <c r="O2142" s="95" t="s">
        <v>5451</v>
      </c>
      <c r="P2142" s="95" t="s">
        <v>5452</v>
      </c>
      <c r="Q2142" s="98">
        <v>2.0</v>
      </c>
      <c r="R2142" s="97">
        <v>45947.88585648148</v>
      </c>
      <c r="S2142" s="99">
        <v>85.0</v>
      </c>
      <c r="T2142" s="99">
        <v>881.0</v>
      </c>
      <c r="U2142" s="99">
        <v>12.0</v>
      </c>
      <c r="V2142" s="99">
        <v>60.0</v>
      </c>
      <c r="W2142" s="99">
        <v>116207.0</v>
      </c>
    </row>
    <row r="2143" ht="15.75" customHeight="1">
      <c r="A2143" s="95" t="s">
        <v>12057</v>
      </c>
      <c r="B2143" s="95" t="s">
        <v>22</v>
      </c>
      <c r="C2143" s="96" t="s">
        <v>12058</v>
      </c>
      <c r="D2143" s="95" t="s">
        <v>39</v>
      </c>
      <c r="E2143" s="95" t="s">
        <v>39</v>
      </c>
      <c r="F2143" s="95" t="s">
        <v>19</v>
      </c>
      <c r="G2143" s="95" t="s">
        <v>19</v>
      </c>
      <c r="H2143" s="95" t="s">
        <v>21</v>
      </c>
      <c r="I2143" s="95" t="s">
        <v>589</v>
      </c>
      <c r="J2143" s="97">
        <v>46069.13722578704</v>
      </c>
      <c r="K2143" s="95" t="s">
        <v>12059</v>
      </c>
      <c r="L2143" s="96" t="s">
        <v>12060</v>
      </c>
      <c r="M2143" s="95" t="s">
        <v>74</v>
      </c>
      <c r="N2143" s="95" t="s">
        <v>5451</v>
      </c>
      <c r="O2143" s="95" t="s">
        <v>5451</v>
      </c>
      <c r="P2143" s="95" t="s">
        <v>5452</v>
      </c>
      <c r="Q2143" s="98">
        <v>2.0</v>
      </c>
      <c r="R2143" s="97">
        <v>45957.90902777778</v>
      </c>
      <c r="S2143" s="99">
        <v>85.0</v>
      </c>
      <c r="T2143" s="99">
        <v>1295.0</v>
      </c>
      <c r="U2143" s="99">
        <v>14.0</v>
      </c>
      <c r="V2143" s="99">
        <v>44.0</v>
      </c>
      <c r="W2143" s="99">
        <v>116207.0</v>
      </c>
    </row>
    <row r="2144" ht="15.75" customHeight="1">
      <c r="A2144" s="95" t="s">
        <v>12061</v>
      </c>
      <c r="B2144" s="95" t="s">
        <v>22</v>
      </c>
      <c r="C2144" s="96" t="s">
        <v>12062</v>
      </c>
      <c r="D2144" s="95" t="s">
        <v>39</v>
      </c>
      <c r="E2144" s="95" t="s">
        <v>39</v>
      </c>
      <c r="F2144" s="95" t="s">
        <v>19</v>
      </c>
      <c r="G2144" s="95" t="s">
        <v>19</v>
      </c>
      <c r="H2144" s="95" t="s">
        <v>21</v>
      </c>
      <c r="I2144" s="95" t="s">
        <v>589</v>
      </c>
      <c r="J2144" s="97">
        <v>46069.13714284722</v>
      </c>
      <c r="K2144" s="95" t="s">
        <v>12063</v>
      </c>
      <c r="L2144" s="95"/>
      <c r="M2144" s="95" t="s">
        <v>74</v>
      </c>
      <c r="N2144" s="95" t="s">
        <v>5451</v>
      </c>
      <c r="O2144" s="95" t="s">
        <v>5451</v>
      </c>
      <c r="P2144" s="95" t="s">
        <v>5452</v>
      </c>
      <c r="Q2144" s="98">
        <v>2.0</v>
      </c>
      <c r="R2144" s="97">
        <v>45957.91627314815</v>
      </c>
      <c r="S2144" s="99">
        <v>85.0</v>
      </c>
      <c r="T2144" s="99">
        <v>714.0</v>
      </c>
      <c r="U2144" s="99">
        <v>15.0</v>
      </c>
      <c r="V2144" s="99">
        <v>66.0</v>
      </c>
      <c r="W2144" s="99">
        <v>116207.0</v>
      </c>
    </row>
    <row r="2145" ht="15.75" customHeight="1">
      <c r="A2145" s="95" t="s">
        <v>12064</v>
      </c>
      <c r="B2145" s="95" t="s">
        <v>22</v>
      </c>
      <c r="C2145" s="96" t="s">
        <v>12065</v>
      </c>
      <c r="D2145" s="95" t="s">
        <v>39</v>
      </c>
      <c r="E2145" s="95" t="s">
        <v>39</v>
      </c>
      <c r="F2145" s="95" t="s">
        <v>19</v>
      </c>
      <c r="G2145" s="95" t="s">
        <v>588</v>
      </c>
      <c r="H2145" s="95" t="s">
        <v>21</v>
      </c>
      <c r="I2145" s="95" t="s">
        <v>567</v>
      </c>
      <c r="J2145" s="97">
        <v>46072.52226574074</v>
      </c>
      <c r="K2145" s="95" t="s">
        <v>12066</v>
      </c>
      <c r="L2145" s="96" t="s">
        <v>12067</v>
      </c>
      <c r="M2145" s="95" t="s">
        <v>74</v>
      </c>
      <c r="N2145" s="95" t="s">
        <v>12068</v>
      </c>
      <c r="O2145" s="95" t="s">
        <v>12068</v>
      </c>
      <c r="P2145" s="95" t="s">
        <v>12069</v>
      </c>
      <c r="Q2145" s="98">
        <v>2.0</v>
      </c>
      <c r="R2145" s="97">
        <v>45964.78166666667</v>
      </c>
      <c r="S2145" s="99">
        <v>109.0</v>
      </c>
      <c r="T2145" s="99">
        <v>18.0</v>
      </c>
      <c r="U2145" s="99">
        <v>8.0</v>
      </c>
      <c r="V2145" s="99">
        <v>25.0</v>
      </c>
      <c r="W2145" s="99">
        <v>7133.0</v>
      </c>
    </row>
    <row r="2146" ht="15.75" customHeight="1">
      <c r="A2146" s="95" t="s">
        <v>12070</v>
      </c>
      <c r="B2146" s="95" t="s">
        <v>22</v>
      </c>
      <c r="C2146" s="96" t="s">
        <v>12071</v>
      </c>
      <c r="D2146" s="95" t="s">
        <v>39</v>
      </c>
      <c r="E2146" s="95" t="s">
        <v>39</v>
      </c>
      <c r="F2146" s="95" t="s">
        <v>19</v>
      </c>
      <c r="G2146" s="95" t="s">
        <v>19</v>
      </c>
      <c r="H2146" s="95" t="s">
        <v>21</v>
      </c>
      <c r="I2146" s="95" t="s">
        <v>567</v>
      </c>
      <c r="J2146" s="97">
        <v>46056.93639954861</v>
      </c>
      <c r="K2146" s="95" t="s">
        <v>12072</v>
      </c>
      <c r="L2146" s="96" t="s">
        <v>12073</v>
      </c>
      <c r="M2146" s="95" t="s">
        <v>74</v>
      </c>
      <c r="N2146" s="95" t="s">
        <v>12068</v>
      </c>
      <c r="O2146" s="95" t="s">
        <v>12068</v>
      </c>
      <c r="P2146" s="95" t="s">
        <v>12069</v>
      </c>
      <c r="Q2146" s="98">
        <v>2.0</v>
      </c>
      <c r="R2146" s="97">
        <v>45957.73679398148</v>
      </c>
      <c r="S2146" s="99">
        <v>109.0</v>
      </c>
      <c r="T2146" s="99">
        <v>1.0</v>
      </c>
      <c r="U2146" s="99">
        <v>12.0</v>
      </c>
      <c r="V2146" s="99">
        <v>50.0</v>
      </c>
      <c r="W2146" s="99">
        <v>7133.0</v>
      </c>
    </row>
    <row r="2147" ht="15.75" customHeight="1">
      <c r="A2147" s="95" t="s">
        <v>12074</v>
      </c>
      <c r="B2147" s="95" t="s">
        <v>22</v>
      </c>
      <c r="C2147" s="96" t="s">
        <v>12075</v>
      </c>
      <c r="D2147" s="95" t="s">
        <v>29</v>
      </c>
      <c r="E2147" s="95" t="s">
        <v>598</v>
      </c>
      <c r="F2147" s="95" t="s">
        <v>19</v>
      </c>
      <c r="G2147" s="95" t="s">
        <v>19</v>
      </c>
      <c r="H2147" s="95" t="s">
        <v>21</v>
      </c>
      <c r="I2147" s="95" t="s">
        <v>567</v>
      </c>
      <c r="J2147" s="97">
        <v>46008.62903819444</v>
      </c>
      <c r="K2147" s="96" t="s">
        <v>12076</v>
      </c>
      <c r="L2147" s="96" t="s">
        <v>12077</v>
      </c>
      <c r="M2147" s="95" t="s">
        <v>17</v>
      </c>
      <c r="N2147" s="95" t="s">
        <v>12078</v>
      </c>
      <c r="O2147" s="95" t="s">
        <v>12078</v>
      </c>
      <c r="P2147" s="95" t="s">
        <v>12079</v>
      </c>
      <c r="Q2147" s="98">
        <v>2.0</v>
      </c>
      <c r="R2147" s="97">
        <v>45623.06465277778</v>
      </c>
      <c r="S2147" s="99">
        <v>495.0</v>
      </c>
      <c r="T2147" s="99">
        <v>27.0</v>
      </c>
      <c r="U2147" s="99">
        <v>3.0</v>
      </c>
      <c r="V2147" s="99">
        <v>17.0</v>
      </c>
      <c r="W2147" s="99">
        <v>6999.0</v>
      </c>
    </row>
    <row r="2148" ht="15.75" customHeight="1">
      <c r="A2148" s="95" t="s">
        <v>12080</v>
      </c>
      <c r="B2148" s="95" t="s">
        <v>22</v>
      </c>
      <c r="C2148" s="96" t="s">
        <v>12081</v>
      </c>
      <c r="D2148" s="95" t="s">
        <v>29</v>
      </c>
      <c r="E2148" s="95" t="s">
        <v>658</v>
      </c>
      <c r="F2148" s="95" t="s">
        <v>88</v>
      </c>
      <c r="G2148" s="95" t="s">
        <v>3380</v>
      </c>
      <c r="H2148" s="95" t="s">
        <v>21</v>
      </c>
      <c r="I2148" s="95" t="s">
        <v>1026</v>
      </c>
      <c r="J2148" s="97">
        <v>46008.62903822917</v>
      </c>
      <c r="K2148" s="96" t="s">
        <v>12082</v>
      </c>
      <c r="L2148" s="96" t="s">
        <v>12083</v>
      </c>
      <c r="M2148" s="95" t="s">
        <v>17</v>
      </c>
      <c r="N2148" s="95" t="s">
        <v>12084</v>
      </c>
      <c r="O2148" s="95" t="s">
        <v>12084</v>
      </c>
      <c r="P2148" s="95" t="s">
        <v>12085</v>
      </c>
      <c r="Q2148" s="98">
        <v>2.0</v>
      </c>
      <c r="R2148" s="97">
        <v>45705.84978009259</v>
      </c>
      <c r="S2148" s="99">
        <v>2931.0</v>
      </c>
      <c r="T2148" s="99">
        <v>35.0</v>
      </c>
      <c r="U2148" s="99">
        <v>5.0</v>
      </c>
      <c r="V2148" s="99">
        <v>28.0</v>
      </c>
      <c r="W2148" s="99">
        <v>7322.0</v>
      </c>
    </row>
    <row r="2149" ht="15.75" customHeight="1">
      <c r="A2149" s="95" t="s">
        <v>12086</v>
      </c>
      <c r="B2149" s="95" t="s">
        <v>22</v>
      </c>
      <c r="C2149" s="96" t="s">
        <v>12087</v>
      </c>
      <c r="D2149" s="95" t="s">
        <v>168</v>
      </c>
      <c r="E2149" s="95" t="s">
        <v>12088</v>
      </c>
      <c r="F2149" s="95" t="s">
        <v>19</v>
      </c>
      <c r="G2149" s="95" t="s">
        <v>588</v>
      </c>
      <c r="H2149" s="95" t="s">
        <v>21</v>
      </c>
      <c r="I2149" s="95" t="s">
        <v>589</v>
      </c>
      <c r="J2149" s="97">
        <v>46021.50566978009</v>
      </c>
      <c r="K2149" s="95" t="s">
        <v>12089</v>
      </c>
      <c r="L2149" s="96" t="s">
        <v>12090</v>
      </c>
      <c r="M2149" s="95" t="s">
        <v>74</v>
      </c>
      <c r="N2149" s="95" t="s">
        <v>12091</v>
      </c>
      <c r="O2149" s="95" t="s">
        <v>12091</v>
      </c>
      <c r="P2149" s="95" t="s">
        <v>12092</v>
      </c>
      <c r="Q2149" s="98">
        <v>2.0</v>
      </c>
      <c r="R2149" s="97">
        <v>45628.73350694445</v>
      </c>
      <c r="S2149" s="99">
        <v>1166.0</v>
      </c>
      <c r="T2149" s="99">
        <v>13.0</v>
      </c>
      <c r="U2149" s="99">
        <v>2.0</v>
      </c>
      <c r="V2149" s="99">
        <v>83.0</v>
      </c>
      <c r="W2149" s="99">
        <v>196233.0</v>
      </c>
    </row>
    <row r="2150" ht="15.75" customHeight="1">
      <c r="A2150" s="95" t="s">
        <v>12093</v>
      </c>
      <c r="B2150" s="95" t="s">
        <v>22</v>
      </c>
      <c r="C2150" s="96" t="s">
        <v>12094</v>
      </c>
      <c r="D2150" s="95" t="s">
        <v>168</v>
      </c>
      <c r="E2150" s="95" t="s">
        <v>12088</v>
      </c>
      <c r="F2150" s="95" t="s">
        <v>19</v>
      </c>
      <c r="G2150" s="95" t="s">
        <v>588</v>
      </c>
      <c r="H2150" s="95" t="s">
        <v>21</v>
      </c>
      <c r="I2150" s="95" t="s">
        <v>567</v>
      </c>
      <c r="J2150" s="97">
        <v>46021.50566978009</v>
      </c>
      <c r="K2150" s="95" t="s">
        <v>12095</v>
      </c>
      <c r="L2150" s="96" t="s">
        <v>12096</v>
      </c>
      <c r="M2150" s="95" t="s">
        <v>74</v>
      </c>
      <c r="N2150" s="95" t="s">
        <v>12091</v>
      </c>
      <c r="O2150" s="95" t="s">
        <v>12091</v>
      </c>
      <c r="P2150" s="95" t="s">
        <v>12092</v>
      </c>
      <c r="Q2150" s="98">
        <v>2.0</v>
      </c>
      <c r="R2150" s="97">
        <v>45616.78385416666</v>
      </c>
      <c r="S2150" s="99">
        <v>1166.0</v>
      </c>
      <c r="T2150" s="99">
        <v>46.0</v>
      </c>
      <c r="U2150" s="99">
        <v>5.0</v>
      </c>
      <c r="V2150" s="99">
        <v>19.0</v>
      </c>
      <c r="W2150" s="99">
        <v>196233.0</v>
      </c>
    </row>
    <row r="2151" ht="15.75" customHeight="1">
      <c r="A2151" s="95" t="s">
        <v>12097</v>
      </c>
      <c r="B2151" s="95" t="s">
        <v>22</v>
      </c>
      <c r="C2151" s="96" t="s">
        <v>12098</v>
      </c>
      <c r="D2151" s="95" t="s">
        <v>168</v>
      </c>
      <c r="E2151" s="95" t="s">
        <v>3021</v>
      </c>
      <c r="F2151" s="95" t="s">
        <v>19</v>
      </c>
      <c r="G2151" s="95" t="s">
        <v>19</v>
      </c>
      <c r="H2151" s="95" t="s">
        <v>21</v>
      </c>
      <c r="I2151" s="95" t="s">
        <v>589</v>
      </c>
      <c r="J2151" s="97">
        <v>45980.93902726852</v>
      </c>
      <c r="K2151" s="95" t="s">
        <v>12099</v>
      </c>
      <c r="L2151" s="96" t="s">
        <v>12100</v>
      </c>
      <c r="M2151" s="95" t="s">
        <v>17</v>
      </c>
      <c r="N2151" s="95" t="s">
        <v>12101</v>
      </c>
      <c r="O2151" s="95" t="s">
        <v>12101</v>
      </c>
      <c r="P2151" s="95" t="s">
        <v>12102</v>
      </c>
      <c r="Q2151" s="98">
        <v>2.0</v>
      </c>
      <c r="R2151" s="97">
        <v>45714.64547453704</v>
      </c>
      <c r="S2151" s="99">
        <v>80.0</v>
      </c>
      <c r="T2151" s="99">
        <v>3.0</v>
      </c>
      <c r="U2151" s="99">
        <v>1.0</v>
      </c>
      <c r="V2151" s="99">
        <v>61.0</v>
      </c>
      <c r="W2151" s="99">
        <v>999999.0</v>
      </c>
    </row>
    <row r="2152" ht="15.75" customHeight="1">
      <c r="A2152" s="95" t="s">
        <v>12103</v>
      </c>
      <c r="B2152" s="95" t="s">
        <v>22</v>
      </c>
      <c r="C2152" s="96" t="s">
        <v>12104</v>
      </c>
      <c r="D2152" s="95" t="s">
        <v>59</v>
      </c>
      <c r="E2152" s="95" t="s">
        <v>1347</v>
      </c>
      <c r="F2152" s="95" t="s">
        <v>19</v>
      </c>
      <c r="G2152" s="95" t="s">
        <v>574</v>
      </c>
      <c r="H2152" s="95" t="s">
        <v>21</v>
      </c>
      <c r="I2152" s="95" t="s">
        <v>567</v>
      </c>
      <c r="J2152" s="97">
        <v>45975.67930844907</v>
      </c>
      <c r="K2152" s="96" t="s">
        <v>12105</v>
      </c>
      <c r="L2152" s="96" t="s">
        <v>12106</v>
      </c>
      <c r="M2152" s="95" t="s">
        <v>54</v>
      </c>
      <c r="N2152" s="95" t="s">
        <v>12107</v>
      </c>
      <c r="O2152" s="95" t="s">
        <v>12107</v>
      </c>
      <c r="P2152" s="95" t="s">
        <v>12108</v>
      </c>
      <c r="Q2152" s="98">
        <v>2.0</v>
      </c>
      <c r="R2152" s="97">
        <v>45867.35898148148</v>
      </c>
      <c r="S2152" s="99">
        <v>2557.0</v>
      </c>
      <c r="T2152" s="99">
        <v>1.0</v>
      </c>
      <c r="U2152" s="99">
        <v>1.0</v>
      </c>
      <c r="V2152" s="99">
        <v>32.0</v>
      </c>
      <c r="W2152" s="99">
        <v>1418830.0</v>
      </c>
    </row>
    <row r="2153" ht="15.75" customHeight="1">
      <c r="A2153" s="95" t="s">
        <v>12109</v>
      </c>
      <c r="B2153" s="95" t="s">
        <v>22</v>
      </c>
      <c r="C2153" s="96" t="s">
        <v>12110</v>
      </c>
      <c r="D2153" s="95" t="s">
        <v>39</v>
      </c>
      <c r="E2153" s="95" t="s">
        <v>614</v>
      </c>
      <c r="F2153" s="95" t="s">
        <v>19</v>
      </c>
      <c r="G2153" s="95" t="s">
        <v>19</v>
      </c>
      <c r="H2153" s="95" t="s">
        <v>21</v>
      </c>
      <c r="I2153" s="95" t="s">
        <v>677</v>
      </c>
      <c r="J2153" s="97">
        <v>46021.50566978009</v>
      </c>
      <c r="K2153" s="95" t="s">
        <v>12111</v>
      </c>
      <c r="L2153" s="96" t="s">
        <v>12112</v>
      </c>
      <c r="M2153" s="95" t="s">
        <v>74</v>
      </c>
      <c r="N2153" s="95" t="s">
        <v>12113</v>
      </c>
      <c r="O2153" s="95" t="s">
        <v>12113</v>
      </c>
      <c r="P2153" s="95" t="s">
        <v>12114</v>
      </c>
      <c r="Q2153" s="98">
        <v>2.0</v>
      </c>
      <c r="R2153" s="97">
        <v>45802.92291666667</v>
      </c>
      <c r="S2153" s="99">
        <v>227.0</v>
      </c>
      <c r="T2153" s="99">
        <v>13.0</v>
      </c>
      <c r="U2153" s="99">
        <v>2.0</v>
      </c>
      <c r="V2153" s="99">
        <v>56.0</v>
      </c>
      <c r="W2153" s="99">
        <v>1034.0</v>
      </c>
    </row>
    <row r="2154" ht="15.75" customHeight="1">
      <c r="A2154" s="95" t="s">
        <v>12115</v>
      </c>
      <c r="B2154" s="95" t="s">
        <v>22</v>
      </c>
      <c r="C2154" s="96" t="s">
        <v>12116</v>
      </c>
      <c r="D2154" s="95" t="s">
        <v>39</v>
      </c>
      <c r="E2154" s="95" t="s">
        <v>39</v>
      </c>
      <c r="F2154" s="95" t="s">
        <v>19</v>
      </c>
      <c r="G2154" s="95" t="s">
        <v>588</v>
      </c>
      <c r="H2154" s="95" t="s">
        <v>21</v>
      </c>
      <c r="I2154" s="95" t="s">
        <v>589</v>
      </c>
      <c r="J2154" s="97">
        <v>45975.67932418981</v>
      </c>
      <c r="K2154" s="96" t="s">
        <v>12117</v>
      </c>
      <c r="L2154" s="95"/>
      <c r="M2154" s="95" t="s">
        <v>93</v>
      </c>
      <c r="N2154" s="95" t="s">
        <v>5515</v>
      </c>
      <c r="O2154" s="95" t="s">
        <v>5515</v>
      </c>
      <c r="P2154" s="95" t="s">
        <v>5516</v>
      </c>
      <c r="Q2154" s="98">
        <v>2.0</v>
      </c>
      <c r="R2154" s="97">
        <v>45698.74930555555</v>
      </c>
      <c r="S2154" s="99">
        <v>6968.0</v>
      </c>
      <c r="T2154" s="99">
        <v>2697.0</v>
      </c>
      <c r="U2154" s="99">
        <v>2.0</v>
      </c>
      <c r="V2154" s="99">
        <v>35.0</v>
      </c>
      <c r="W2154" s="99">
        <v>152898.0</v>
      </c>
    </row>
    <row r="2155" ht="15.75" customHeight="1">
      <c r="A2155" s="95" t="s">
        <v>12118</v>
      </c>
      <c r="B2155" s="95" t="s">
        <v>157</v>
      </c>
      <c r="C2155" s="96" t="s">
        <v>12119</v>
      </c>
      <c r="D2155" s="95" t="s">
        <v>39</v>
      </c>
      <c r="E2155" s="95" t="s">
        <v>39</v>
      </c>
      <c r="F2155" s="95" t="s">
        <v>19</v>
      </c>
      <c r="G2155" s="95" t="s">
        <v>19</v>
      </c>
      <c r="H2155" s="95" t="s">
        <v>89</v>
      </c>
      <c r="I2155" s="95" t="s">
        <v>897</v>
      </c>
      <c r="J2155" s="97">
        <v>46056.94379803241</v>
      </c>
      <c r="K2155" s="95" t="s">
        <v>12120</v>
      </c>
      <c r="L2155" s="96" t="s">
        <v>12121</v>
      </c>
      <c r="M2155" s="95" t="s">
        <v>93</v>
      </c>
      <c r="N2155" s="95" t="s">
        <v>5515</v>
      </c>
      <c r="O2155" s="95" t="s">
        <v>5515</v>
      </c>
      <c r="P2155" s="95" t="s">
        <v>5516</v>
      </c>
      <c r="Q2155" s="98">
        <v>2.0</v>
      </c>
      <c r="R2155" s="97">
        <v>46007.12291666667</v>
      </c>
      <c r="S2155" s="99">
        <v>6968.0</v>
      </c>
      <c r="T2155" s="99">
        <v>1029.0</v>
      </c>
      <c r="U2155" s="99">
        <v>7.0</v>
      </c>
      <c r="V2155" s="99">
        <v>53.0</v>
      </c>
      <c r="W2155" s="99">
        <v>152898.0</v>
      </c>
    </row>
    <row r="2156" ht="15.75" customHeight="1">
      <c r="A2156" s="95" t="s">
        <v>12122</v>
      </c>
      <c r="B2156" s="95" t="s">
        <v>22</v>
      </c>
      <c r="C2156" s="96" t="s">
        <v>12123</v>
      </c>
      <c r="D2156" s="95" t="s">
        <v>39</v>
      </c>
      <c r="E2156" s="95" t="s">
        <v>39</v>
      </c>
      <c r="F2156" s="95" t="s">
        <v>19</v>
      </c>
      <c r="G2156" s="95" t="s">
        <v>588</v>
      </c>
      <c r="H2156" s="95" t="s">
        <v>21</v>
      </c>
      <c r="I2156" s="95" t="s">
        <v>567</v>
      </c>
      <c r="J2156" s="97">
        <v>45993.78544196759</v>
      </c>
      <c r="K2156" s="96" t="s">
        <v>12124</v>
      </c>
      <c r="L2156" s="95"/>
      <c r="M2156" s="95" t="s">
        <v>93</v>
      </c>
      <c r="N2156" s="95" t="s">
        <v>5544</v>
      </c>
      <c r="O2156" s="95" t="s">
        <v>5544</v>
      </c>
      <c r="P2156" s="95" t="s">
        <v>5545</v>
      </c>
      <c r="Q2156" s="98">
        <v>2.0</v>
      </c>
      <c r="R2156" s="97">
        <v>45698.74930555555</v>
      </c>
      <c r="S2156" s="99">
        <v>6844.0</v>
      </c>
      <c r="T2156" s="99">
        <v>2697.0</v>
      </c>
      <c r="U2156" s="99">
        <v>2.0</v>
      </c>
      <c r="V2156" s="99">
        <v>35.0</v>
      </c>
      <c r="W2156" s="99">
        <v>152898.0</v>
      </c>
    </row>
    <row r="2157" ht="15.75" customHeight="1">
      <c r="A2157" s="95" t="s">
        <v>12125</v>
      </c>
      <c r="B2157" s="95" t="s">
        <v>101</v>
      </c>
      <c r="C2157" s="96" t="s">
        <v>12126</v>
      </c>
      <c r="D2157" s="95" t="s">
        <v>39</v>
      </c>
      <c r="E2157" s="95" t="s">
        <v>1208</v>
      </c>
      <c r="F2157" s="95" t="s">
        <v>19</v>
      </c>
      <c r="G2157" s="95" t="s">
        <v>574</v>
      </c>
      <c r="H2157" s="95" t="s">
        <v>21</v>
      </c>
      <c r="I2157" s="95" t="s">
        <v>10062</v>
      </c>
      <c r="J2157" s="97">
        <v>46021.49564868055</v>
      </c>
      <c r="K2157" s="95" t="s">
        <v>12127</v>
      </c>
      <c r="L2157" s="96" t="s">
        <v>12128</v>
      </c>
      <c r="M2157" s="95" t="s">
        <v>54</v>
      </c>
      <c r="N2157" s="95" t="s">
        <v>5639</v>
      </c>
      <c r="O2157" s="95" t="s">
        <v>5639</v>
      </c>
      <c r="P2157" s="95" t="s">
        <v>5640</v>
      </c>
      <c r="Q2157" s="98">
        <v>2.0</v>
      </c>
      <c r="R2157" s="97">
        <v>45839.39149305555</v>
      </c>
      <c r="S2157" s="99">
        <v>927.0</v>
      </c>
      <c r="T2157" s="99">
        <v>171.0</v>
      </c>
      <c r="U2157" s="99">
        <v>2.0</v>
      </c>
      <c r="V2157" s="99">
        <v>23.0</v>
      </c>
      <c r="W2157" s="99">
        <v>16021.0</v>
      </c>
    </row>
    <row r="2158" ht="15.75" customHeight="1">
      <c r="A2158" s="95" t="s">
        <v>12129</v>
      </c>
      <c r="B2158" s="95" t="s">
        <v>22</v>
      </c>
      <c r="C2158" s="96" t="s">
        <v>12130</v>
      </c>
      <c r="D2158" s="95" t="s">
        <v>20</v>
      </c>
      <c r="E2158" s="95" t="s">
        <v>996</v>
      </c>
      <c r="F2158" s="95" t="s">
        <v>19</v>
      </c>
      <c r="G2158" s="95" t="s">
        <v>19</v>
      </c>
      <c r="H2158" s="95" t="s">
        <v>21</v>
      </c>
      <c r="I2158" s="95" t="s">
        <v>567</v>
      </c>
      <c r="J2158" s="97">
        <v>45975.67934811342</v>
      </c>
      <c r="K2158" s="96" t="s">
        <v>12131</v>
      </c>
      <c r="L2158" s="96" t="s">
        <v>12132</v>
      </c>
      <c r="M2158" s="95" t="s">
        <v>17</v>
      </c>
      <c r="N2158" s="95" t="s">
        <v>12133</v>
      </c>
      <c r="O2158" s="95" t="s">
        <v>12133</v>
      </c>
      <c r="P2158" s="95" t="s">
        <v>12134</v>
      </c>
      <c r="Q2158" s="98">
        <v>2.0</v>
      </c>
      <c r="R2158" s="97">
        <v>45754.32953703704</v>
      </c>
      <c r="S2158" s="99">
        <v>134.0</v>
      </c>
      <c r="T2158" s="99">
        <v>2.0</v>
      </c>
      <c r="U2158" s="99">
        <v>1.0</v>
      </c>
      <c r="V2158" s="99">
        <v>42.0</v>
      </c>
      <c r="W2158" s="99">
        <v>39987.0</v>
      </c>
    </row>
    <row r="2159" ht="15.75" customHeight="1">
      <c r="A2159" s="95" t="s">
        <v>12135</v>
      </c>
      <c r="B2159" s="95" t="s">
        <v>22</v>
      </c>
      <c r="C2159" s="96" t="s">
        <v>12136</v>
      </c>
      <c r="D2159" s="95" t="s">
        <v>29</v>
      </c>
      <c r="E2159" s="95" t="s">
        <v>598</v>
      </c>
      <c r="F2159" s="95" t="s">
        <v>19</v>
      </c>
      <c r="G2159" s="95" t="s">
        <v>19</v>
      </c>
      <c r="H2159" s="95" t="s">
        <v>21</v>
      </c>
      <c r="I2159" s="95" t="s">
        <v>567</v>
      </c>
      <c r="J2159" s="97">
        <v>46021.49308912037</v>
      </c>
      <c r="K2159" s="95" t="s">
        <v>12137</v>
      </c>
      <c r="L2159" s="96" t="s">
        <v>12138</v>
      </c>
      <c r="M2159" s="95" t="s">
        <v>28</v>
      </c>
      <c r="N2159" s="95" t="s">
        <v>5669</v>
      </c>
      <c r="O2159" s="95" t="s">
        <v>5669</v>
      </c>
      <c r="P2159" s="95" t="s">
        <v>5670</v>
      </c>
      <c r="Q2159" s="98">
        <v>2.0</v>
      </c>
      <c r="R2159" s="97">
        <v>45643.59457175926</v>
      </c>
      <c r="S2159" s="99">
        <v>235.0</v>
      </c>
      <c r="T2159" s="99">
        <v>24.0</v>
      </c>
      <c r="U2159" s="99">
        <v>6.0</v>
      </c>
      <c r="V2159" s="99">
        <v>30.0</v>
      </c>
      <c r="W2159" s="99">
        <v>32019.0</v>
      </c>
    </row>
    <row r="2160" ht="15.75" customHeight="1">
      <c r="A2160" s="95" t="s">
        <v>12139</v>
      </c>
      <c r="B2160" s="95" t="s">
        <v>22</v>
      </c>
      <c r="C2160" s="96" t="s">
        <v>12140</v>
      </c>
      <c r="D2160" s="95" t="s">
        <v>59</v>
      </c>
      <c r="E2160" s="95" t="s">
        <v>738</v>
      </c>
      <c r="F2160" s="95" t="s">
        <v>19</v>
      </c>
      <c r="G2160" s="95" t="s">
        <v>19</v>
      </c>
      <c r="H2160" s="95" t="s">
        <v>21</v>
      </c>
      <c r="I2160" s="95" t="s">
        <v>567</v>
      </c>
      <c r="J2160" s="97">
        <v>46021.49564868055</v>
      </c>
      <c r="K2160" s="95" t="s">
        <v>12141</v>
      </c>
      <c r="L2160" s="96" t="s">
        <v>12142</v>
      </c>
      <c r="M2160" s="95" t="s">
        <v>105</v>
      </c>
      <c r="N2160" s="95" t="s">
        <v>12143</v>
      </c>
      <c r="O2160" s="95" t="s">
        <v>12143</v>
      </c>
      <c r="P2160" s="95" t="s">
        <v>12144</v>
      </c>
      <c r="Q2160" s="98">
        <v>2.0</v>
      </c>
      <c r="R2160" s="97">
        <v>45328.86599537037</v>
      </c>
      <c r="S2160" s="99">
        <v>461.0</v>
      </c>
      <c r="T2160" s="99">
        <v>117.0</v>
      </c>
      <c r="U2160" s="99">
        <v>2.0</v>
      </c>
      <c r="V2160" s="99">
        <v>47.0</v>
      </c>
      <c r="W2160" s="99">
        <v>12895.0</v>
      </c>
    </row>
    <row r="2161" ht="15.75" customHeight="1">
      <c r="A2161" s="95" t="s">
        <v>12145</v>
      </c>
      <c r="B2161" s="95" t="s">
        <v>22</v>
      </c>
      <c r="C2161" s="96" t="s">
        <v>12146</v>
      </c>
      <c r="D2161" s="95" t="s">
        <v>39</v>
      </c>
      <c r="E2161" s="95" t="s">
        <v>614</v>
      </c>
      <c r="F2161" s="95" t="s">
        <v>19</v>
      </c>
      <c r="G2161" s="95" t="s">
        <v>19</v>
      </c>
      <c r="H2161" s="95" t="s">
        <v>21</v>
      </c>
      <c r="I2161" s="95" t="s">
        <v>567</v>
      </c>
      <c r="J2161" s="97">
        <v>46021.50581828703</v>
      </c>
      <c r="K2161" s="95" t="s">
        <v>12147</v>
      </c>
      <c r="L2161" s="96" t="s">
        <v>12148</v>
      </c>
      <c r="M2161" s="95" t="s">
        <v>67</v>
      </c>
      <c r="N2161" s="95" t="s">
        <v>12149</v>
      </c>
      <c r="O2161" s="95" t="s">
        <v>12149</v>
      </c>
      <c r="P2161" s="95" t="s">
        <v>12150</v>
      </c>
      <c r="Q2161" s="98">
        <v>2.0</v>
      </c>
      <c r="R2161" s="97">
        <v>45730.9516087963</v>
      </c>
      <c r="S2161" s="99">
        <v>346.0</v>
      </c>
      <c r="T2161" s="99">
        <v>17.0</v>
      </c>
      <c r="U2161" s="99">
        <v>5.0</v>
      </c>
      <c r="V2161" s="99">
        <v>26.0</v>
      </c>
      <c r="W2161" s="99">
        <v>1989.0</v>
      </c>
    </row>
    <row r="2162" ht="15.75" customHeight="1">
      <c r="A2162" s="95" t="s">
        <v>12151</v>
      </c>
      <c r="B2162" s="95" t="s">
        <v>22</v>
      </c>
      <c r="C2162" s="96" t="s">
        <v>12152</v>
      </c>
      <c r="D2162" s="95" t="s">
        <v>130</v>
      </c>
      <c r="E2162" s="95" t="s">
        <v>1323</v>
      </c>
      <c r="F2162" s="95" t="s">
        <v>19</v>
      </c>
      <c r="G2162" s="95" t="s">
        <v>1367</v>
      </c>
      <c r="H2162" s="95" t="s">
        <v>21</v>
      </c>
      <c r="I2162" s="95" t="s">
        <v>567</v>
      </c>
      <c r="J2162" s="97">
        <v>46008.62903820602</v>
      </c>
      <c r="K2162" s="96" t="s">
        <v>12153</v>
      </c>
      <c r="L2162" s="96" t="s">
        <v>12154</v>
      </c>
      <c r="M2162" s="95" t="s">
        <v>17</v>
      </c>
      <c r="N2162" s="95" t="s">
        <v>5703</v>
      </c>
      <c r="O2162" s="95" t="s">
        <v>5703</v>
      </c>
      <c r="P2162" s="95" t="s">
        <v>5704</v>
      </c>
      <c r="Q2162" s="98">
        <v>2.0</v>
      </c>
      <c r="R2162" s="97">
        <v>45797.48528935185</v>
      </c>
      <c r="S2162" s="99">
        <v>10756.0</v>
      </c>
      <c r="T2162" s="99">
        <v>67.0</v>
      </c>
      <c r="U2162" s="99">
        <v>10.0</v>
      </c>
      <c r="V2162" s="99">
        <v>17.0</v>
      </c>
      <c r="W2162" s="99">
        <v>77746.0</v>
      </c>
    </row>
    <row r="2163" ht="15.75" customHeight="1">
      <c r="A2163" s="95" t="s">
        <v>12155</v>
      </c>
      <c r="B2163" s="95" t="s">
        <v>157</v>
      </c>
      <c r="C2163" s="96" t="s">
        <v>12156</v>
      </c>
      <c r="D2163" s="95" t="s">
        <v>39</v>
      </c>
      <c r="E2163" s="95" t="s">
        <v>39</v>
      </c>
      <c r="F2163" s="95" t="s">
        <v>88</v>
      </c>
      <c r="G2163" s="95" t="s">
        <v>88</v>
      </c>
      <c r="H2163" s="95" t="s">
        <v>89</v>
      </c>
      <c r="I2163" s="95" t="s">
        <v>12157</v>
      </c>
      <c r="J2163" s="97">
        <v>46017.67709827546</v>
      </c>
      <c r="K2163" s="95" t="s">
        <v>12158</v>
      </c>
      <c r="L2163" s="96" t="s">
        <v>12159</v>
      </c>
      <c r="M2163" s="95" t="s">
        <v>503</v>
      </c>
      <c r="N2163" s="95" t="s">
        <v>12160</v>
      </c>
      <c r="O2163" s="95" t="s">
        <v>12160</v>
      </c>
      <c r="P2163" s="95" t="s">
        <v>12161</v>
      </c>
      <c r="Q2163" s="98">
        <v>2.0</v>
      </c>
      <c r="R2163" s="97">
        <v>46005.40109953703</v>
      </c>
      <c r="S2163" s="99">
        <v>900.0</v>
      </c>
      <c r="T2163" s="99">
        <v>247.0</v>
      </c>
      <c r="U2163" s="99">
        <v>2.0</v>
      </c>
      <c r="V2163" s="99">
        <v>174.0</v>
      </c>
      <c r="W2163" s="99">
        <v>5964.0</v>
      </c>
    </row>
    <row r="2164" ht="15.75" customHeight="1">
      <c r="A2164" s="95" t="s">
        <v>12162</v>
      </c>
      <c r="B2164" s="95" t="s">
        <v>22</v>
      </c>
      <c r="C2164" s="96" t="s">
        <v>12163</v>
      </c>
      <c r="D2164" s="95" t="s">
        <v>39</v>
      </c>
      <c r="E2164" s="95" t="s">
        <v>1269</v>
      </c>
      <c r="F2164" s="95" t="s">
        <v>19</v>
      </c>
      <c r="G2164" s="95" t="s">
        <v>19</v>
      </c>
      <c r="H2164" s="95" t="s">
        <v>21</v>
      </c>
      <c r="I2164" s="95" t="s">
        <v>589</v>
      </c>
      <c r="J2164" s="97">
        <v>45975.67939547454</v>
      </c>
      <c r="K2164" s="96" t="s">
        <v>12164</v>
      </c>
      <c r="L2164" s="96" t="s">
        <v>12165</v>
      </c>
      <c r="M2164" s="95" t="s">
        <v>74</v>
      </c>
      <c r="N2164" s="95" t="s">
        <v>12166</v>
      </c>
      <c r="O2164" s="95" t="s">
        <v>12166</v>
      </c>
      <c r="P2164" s="95" t="s">
        <v>12167</v>
      </c>
      <c r="Q2164" s="98">
        <v>2.0</v>
      </c>
      <c r="R2164" s="97">
        <v>45666.31016203704</v>
      </c>
      <c r="S2164" s="99">
        <v>8897.0</v>
      </c>
      <c r="T2164" s="99">
        <v>69.0</v>
      </c>
      <c r="U2164" s="99">
        <v>2.0</v>
      </c>
      <c r="V2164" s="99">
        <v>24.0</v>
      </c>
      <c r="W2164" s="99">
        <v>5204.0</v>
      </c>
    </row>
    <row r="2165" ht="15.75" customHeight="1">
      <c r="A2165" s="95" t="s">
        <v>12168</v>
      </c>
      <c r="B2165" s="95" t="s">
        <v>22</v>
      </c>
      <c r="C2165" s="96" t="s">
        <v>12169</v>
      </c>
      <c r="D2165" s="95" t="s">
        <v>39</v>
      </c>
      <c r="E2165" s="95" t="s">
        <v>9167</v>
      </c>
      <c r="F2165" s="95" t="s">
        <v>19</v>
      </c>
      <c r="G2165" s="95" t="s">
        <v>588</v>
      </c>
      <c r="H2165" s="95" t="s">
        <v>21</v>
      </c>
      <c r="I2165" s="95" t="s">
        <v>589</v>
      </c>
      <c r="J2165" s="97">
        <v>45975.67939547454</v>
      </c>
      <c r="K2165" s="96" t="s">
        <v>12170</v>
      </c>
      <c r="L2165" s="96" t="s">
        <v>12171</v>
      </c>
      <c r="M2165" s="95" t="s">
        <v>74</v>
      </c>
      <c r="N2165" s="95" t="s">
        <v>12166</v>
      </c>
      <c r="O2165" s="95" t="s">
        <v>12166</v>
      </c>
      <c r="P2165" s="95" t="s">
        <v>12167</v>
      </c>
      <c r="Q2165" s="98">
        <v>2.0</v>
      </c>
      <c r="R2165" s="97">
        <v>45712.65393518518</v>
      </c>
      <c r="S2165" s="99">
        <v>8897.0</v>
      </c>
      <c r="T2165" s="99">
        <v>80.0</v>
      </c>
      <c r="U2165" s="99">
        <v>2.0</v>
      </c>
      <c r="V2165" s="99">
        <v>17.0</v>
      </c>
      <c r="W2165" s="99">
        <v>5204.0</v>
      </c>
    </row>
    <row r="2166" ht="15.75" customHeight="1">
      <c r="A2166" s="95" t="s">
        <v>12172</v>
      </c>
      <c r="B2166" s="95" t="s">
        <v>22</v>
      </c>
      <c r="C2166" s="96" t="s">
        <v>12173</v>
      </c>
      <c r="D2166" s="95" t="s">
        <v>124</v>
      </c>
      <c r="E2166" s="95" t="s">
        <v>2195</v>
      </c>
      <c r="F2166" s="95" t="s">
        <v>19</v>
      </c>
      <c r="G2166" s="95" t="s">
        <v>574</v>
      </c>
      <c r="H2166" s="95" t="s">
        <v>21</v>
      </c>
      <c r="I2166" s="95" t="s">
        <v>567</v>
      </c>
      <c r="J2166" s="97">
        <v>46041.0681202199</v>
      </c>
      <c r="K2166" s="95" t="s">
        <v>12174</v>
      </c>
      <c r="L2166" s="95"/>
      <c r="M2166" s="95" t="s">
        <v>93</v>
      </c>
      <c r="N2166" s="95" t="s">
        <v>5755</v>
      </c>
      <c r="O2166" s="95" t="s">
        <v>5755</v>
      </c>
      <c r="P2166" s="95" t="s">
        <v>5756</v>
      </c>
      <c r="Q2166" s="98">
        <v>2.0</v>
      </c>
      <c r="R2166" s="97">
        <v>45855.58751157407</v>
      </c>
      <c r="S2166" s="99">
        <v>32884.0</v>
      </c>
      <c r="T2166" s="99">
        <v>235.0</v>
      </c>
      <c r="U2166" s="99">
        <v>2.0</v>
      </c>
      <c r="V2166" s="99">
        <v>58.0</v>
      </c>
      <c r="W2166" s="99">
        <v>999999.0</v>
      </c>
    </row>
    <row r="2167" ht="15.75" customHeight="1">
      <c r="A2167" s="95" t="s">
        <v>12175</v>
      </c>
      <c r="B2167" s="95" t="s">
        <v>22</v>
      </c>
      <c r="C2167" s="96" t="s">
        <v>12176</v>
      </c>
      <c r="D2167" s="95" t="s">
        <v>68</v>
      </c>
      <c r="E2167" s="95" t="s">
        <v>3150</v>
      </c>
      <c r="F2167" s="95" t="s">
        <v>19</v>
      </c>
      <c r="G2167" s="95" t="s">
        <v>19</v>
      </c>
      <c r="H2167" s="95" t="s">
        <v>21</v>
      </c>
      <c r="I2167" s="95" t="s">
        <v>567</v>
      </c>
      <c r="J2167" s="97">
        <v>46056.94211379629</v>
      </c>
      <c r="K2167" s="95" t="s">
        <v>12177</v>
      </c>
      <c r="L2167" s="96" t="s">
        <v>12178</v>
      </c>
      <c r="M2167" s="95" t="s">
        <v>93</v>
      </c>
      <c r="N2167" s="95" t="s">
        <v>5755</v>
      </c>
      <c r="O2167" s="95" t="s">
        <v>5755</v>
      </c>
      <c r="P2167" s="95" t="s">
        <v>5756</v>
      </c>
      <c r="Q2167" s="98">
        <v>2.0</v>
      </c>
      <c r="R2167" s="97">
        <v>45707.57255787037</v>
      </c>
      <c r="S2167" s="99">
        <v>32884.0</v>
      </c>
      <c r="T2167" s="99">
        <v>14.0</v>
      </c>
      <c r="U2167" s="99">
        <v>1.0</v>
      </c>
      <c r="V2167" s="99">
        <v>57.0</v>
      </c>
      <c r="W2167" s="99">
        <v>999999.0</v>
      </c>
    </row>
    <row r="2168" ht="15.75" customHeight="1">
      <c r="A2168" s="95" t="s">
        <v>12179</v>
      </c>
      <c r="B2168" s="95" t="s">
        <v>157</v>
      </c>
      <c r="C2168" s="96" t="s">
        <v>12180</v>
      </c>
      <c r="D2168" s="95" t="s">
        <v>68</v>
      </c>
      <c r="E2168" s="95" t="s">
        <v>3150</v>
      </c>
      <c r="F2168" s="95" t="s">
        <v>88</v>
      </c>
      <c r="G2168" s="95" t="s">
        <v>88</v>
      </c>
      <c r="H2168" s="95" t="s">
        <v>89</v>
      </c>
      <c r="I2168" s="95" t="s">
        <v>859</v>
      </c>
      <c r="J2168" s="97">
        <v>46075.71552525463</v>
      </c>
      <c r="K2168" s="95" t="s">
        <v>12181</v>
      </c>
      <c r="L2168" s="95"/>
      <c r="M2168" s="95" t="s">
        <v>93</v>
      </c>
      <c r="N2168" s="95" t="s">
        <v>5755</v>
      </c>
      <c r="O2168" s="95" t="s">
        <v>5755</v>
      </c>
      <c r="P2168" s="95" t="s">
        <v>5756</v>
      </c>
      <c r="Q2168" s="98">
        <v>2.0</v>
      </c>
      <c r="R2168" s="97">
        <v>45783.50292824074</v>
      </c>
      <c r="S2168" s="99">
        <v>32884.0</v>
      </c>
      <c r="T2168" s="99">
        <v>1225.0</v>
      </c>
      <c r="U2168" s="99">
        <v>4.0</v>
      </c>
      <c r="V2168" s="99">
        <v>26.0</v>
      </c>
      <c r="W2168" s="99">
        <v>999999.0</v>
      </c>
    </row>
    <row r="2169" ht="15.75" customHeight="1">
      <c r="A2169" s="95" t="s">
        <v>12182</v>
      </c>
      <c r="B2169" s="95" t="s">
        <v>157</v>
      </c>
      <c r="C2169" s="96" t="s">
        <v>12183</v>
      </c>
      <c r="D2169" s="95" t="s">
        <v>68</v>
      </c>
      <c r="E2169" s="95" t="s">
        <v>1671</v>
      </c>
      <c r="F2169" s="95" t="s">
        <v>517</v>
      </c>
      <c r="G2169" s="95" t="s">
        <v>12184</v>
      </c>
      <c r="H2169" s="95" t="s">
        <v>89</v>
      </c>
      <c r="I2169" s="95" t="s">
        <v>12185</v>
      </c>
      <c r="J2169" s="97">
        <v>46072.52339202546</v>
      </c>
      <c r="K2169" s="96" t="s">
        <v>12186</v>
      </c>
      <c r="L2169" s="96" t="s">
        <v>12187</v>
      </c>
      <c r="M2169" s="95" t="s">
        <v>74</v>
      </c>
      <c r="N2169" s="95" t="s">
        <v>12188</v>
      </c>
      <c r="O2169" s="95" t="s">
        <v>12188</v>
      </c>
      <c r="P2169" s="95" t="s">
        <v>12189</v>
      </c>
      <c r="Q2169" s="98">
        <v>2.0</v>
      </c>
      <c r="R2169" s="97">
        <v>46060.5609375</v>
      </c>
      <c r="S2169" s="99">
        <v>556.0</v>
      </c>
      <c r="T2169" s="99">
        <v>5.0</v>
      </c>
      <c r="U2169" s="99">
        <v>3.0</v>
      </c>
      <c r="V2169" s="99">
        <v>39.0</v>
      </c>
      <c r="W2169" s="99">
        <v>433.0</v>
      </c>
    </row>
    <row r="2170" ht="15.75" customHeight="1">
      <c r="A2170" s="95" t="s">
        <v>12190</v>
      </c>
      <c r="B2170" s="95" t="s">
        <v>157</v>
      </c>
      <c r="C2170" s="96" t="s">
        <v>12191</v>
      </c>
      <c r="D2170" s="95" t="s">
        <v>59</v>
      </c>
      <c r="E2170" s="95" t="s">
        <v>738</v>
      </c>
      <c r="F2170" s="95" t="s">
        <v>19</v>
      </c>
      <c r="G2170" s="95" t="s">
        <v>574</v>
      </c>
      <c r="H2170" s="95" t="s">
        <v>89</v>
      </c>
      <c r="I2170" s="95" t="s">
        <v>897</v>
      </c>
      <c r="J2170" s="97">
        <v>45993.78544196759</v>
      </c>
      <c r="K2170" s="96" t="s">
        <v>12192</v>
      </c>
      <c r="L2170" s="96" t="s">
        <v>12193</v>
      </c>
      <c r="M2170" s="95" t="s">
        <v>54</v>
      </c>
      <c r="N2170" s="95" t="s">
        <v>5815</v>
      </c>
      <c r="O2170" s="95" t="s">
        <v>5815</v>
      </c>
      <c r="P2170" s="95" t="s">
        <v>5816</v>
      </c>
      <c r="Q2170" s="98">
        <v>2.0</v>
      </c>
      <c r="R2170" s="97">
        <v>45740.4881712963</v>
      </c>
      <c r="S2170" s="99">
        <v>330.0</v>
      </c>
      <c r="T2170" s="99">
        <v>552.0</v>
      </c>
      <c r="U2170" s="99">
        <v>4.0</v>
      </c>
      <c r="V2170" s="99">
        <v>70.0</v>
      </c>
      <c r="W2170" s="99">
        <v>117529.0</v>
      </c>
    </row>
    <row r="2171" ht="15.75" customHeight="1">
      <c r="A2171" s="95" t="s">
        <v>12194</v>
      </c>
      <c r="B2171" s="95" t="s">
        <v>22</v>
      </c>
      <c r="C2171" s="96" t="s">
        <v>12195</v>
      </c>
      <c r="D2171" s="95" t="s">
        <v>59</v>
      </c>
      <c r="E2171" s="95" t="s">
        <v>1151</v>
      </c>
      <c r="F2171" s="95" t="s">
        <v>19</v>
      </c>
      <c r="G2171" s="95" t="s">
        <v>574</v>
      </c>
      <c r="H2171" s="95" t="s">
        <v>21</v>
      </c>
      <c r="I2171" s="95" t="s">
        <v>567</v>
      </c>
      <c r="J2171" s="97">
        <v>46021.49564868055</v>
      </c>
      <c r="K2171" s="95" t="s">
        <v>12196</v>
      </c>
      <c r="L2171" s="96" t="s">
        <v>12197</v>
      </c>
      <c r="M2171" s="95" t="s">
        <v>54</v>
      </c>
      <c r="N2171" s="95" t="s">
        <v>5837</v>
      </c>
      <c r="O2171" s="95" t="s">
        <v>5837</v>
      </c>
      <c r="P2171" s="95" t="s">
        <v>5838</v>
      </c>
      <c r="Q2171" s="98">
        <v>2.0</v>
      </c>
      <c r="R2171" s="97">
        <v>45847.69578703704</v>
      </c>
      <c r="S2171" s="99">
        <v>534.0</v>
      </c>
      <c r="T2171" s="99">
        <v>147.0</v>
      </c>
      <c r="U2171" s="99">
        <v>21.0</v>
      </c>
      <c r="V2171" s="99">
        <v>53.0</v>
      </c>
      <c r="W2171" s="99">
        <v>116287.0</v>
      </c>
    </row>
    <row r="2172" ht="15.75" customHeight="1">
      <c r="A2172" s="95" t="s">
        <v>12198</v>
      </c>
      <c r="B2172" s="95" t="s">
        <v>22</v>
      </c>
      <c r="C2172" s="96" t="s">
        <v>12199</v>
      </c>
      <c r="D2172" s="95" t="s">
        <v>39</v>
      </c>
      <c r="E2172" s="95" t="s">
        <v>39</v>
      </c>
      <c r="F2172" s="95" t="s">
        <v>19</v>
      </c>
      <c r="G2172" s="95"/>
      <c r="H2172" s="95" t="s">
        <v>21</v>
      </c>
      <c r="I2172" s="95" t="s">
        <v>567</v>
      </c>
      <c r="J2172" s="97">
        <v>46003.09379704861</v>
      </c>
      <c r="K2172" s="95" t="s">
        <v>12200</v>
      </c>
      <c r="L2172" s="96" t="s">
        <v>12201</v>
      </c>
      <c r="M2172" s="95" t="s">
        <v>38</v>
      </c>
      <c r="N2172" s="95" t="s">
        <v>5886</v>
      </c>
      <c r="O2172" s="95" t="s">
        <v>5886</v>
      </c>
      <c r="P2172" s="95" t="s">
        <v>5887</v>
      </c>
      <c r="Q2172" s="98">
        <v>2.0</v>
      </c>
      <c r="R2172" s="97">
        <v>45812.66099537037</v>
      </c>
      <c r="S2172" s="99">
        <v>845.0</v>
      </c>
      <c r="T2172" s="99">
        <v>539.0</v>
      </c>
      <c r="U2172" s="99">
        <v>1.0</v>
      </c>
      <c r="V2172" s="99">
        <v>26.0</v>
      </c>
      <c r="W2172" s="99">
        <v>61272.0</v>
      </c>
    </row>
    <row r="2173" ht="15.75" customHeight="1">
      <c r="A2173" s="95" t="s">
        <v>12202</v>
      </c>
      <c r="B2173" s="95" t="s">
        <v>22</v>
      </c>
      <c r="C2173" s="96" t="s">
        <v>12203</v>
      </c>
      <c r="D2173" s="95" t="s">
        <v>59</v>
      </c>
      <c r="E2173" s="95" t="s">
        <v>59</v>
      </c>
      <c r="F2173" s="95" t="s">
        <v>19</v>
      </c>
      <c r="G2173" s="95" t="s">
        <v>19</v>
      </c>
      <c r="H2173" s="95" t="s">
        <v>21</v>
      </c>
      <c r="I2173" s="95" t="s">
        <v>567</v>
      </c>
      <c r="J2173" s="97">
        <v>46021.49574680556</v>
      </c>
      <c r="K2173" s="95" t="s">
        <v>12204</v>
      </c>
      <c r="L2173" s="96" t="s">
        <v>12205</v>
      </c>
      <c r="M2173" s="95" t="s">
        <v>54</v>
      </c>
      <c r="N2173" s="95" t="s">
        <v>12206</v>
      </c>
      <c r="O2173" s="95" t="s">
        <v>12206</v>
      </c>
      <c r="P2173" s="95" t="s">
        <v>12207</v>
      </c>
      <c r="Q2173" s="98">
        <v>2.0</v>
      </c>
      <c r="R2173" s="97">
        <v>45887.24390046296</v>
      </c>
      <c r="S2173" s="99">
        <v>164.0</v>
      </c>
      <c r="T2173" s="99">
        <v>88.0</v>
      </c>
      <c r="U2173" s="99">
        <v>18.0</v>
      </c>
      <c r="V2173" s="99">
        <v>26.0</v>
      </c>
      <c r="W2173" s="99">
        <v>2427791.0</v>
      </c>
    </row>
    <row r="2174" ht="15.75" customHeight="1">
      <c r="A2174" s="95" t="s">
        <v>12208</v>
      </c>
      <c r="B2174" s="95" t="s">
        <v>22</v>
      </c>
      <c r="C2174" s="96" t="s">
        <v>12209</v>
      </c>
      <c r="D2174" s="95" t="s">
        <v>59</v>
      </c>
      <c r="E2174" s="95" t="s">
        <v>738</v>
      </c>
      <c r="F2174" s="95" t="s">
        <v>19</v>
      </c>
      <c r="G2174" s="95" t="s">
        <v>19</v>
      </c>
      <c r="H2174" s="95" t="s">
        <v>21</v>
      </c>
      <c r="I2174" s="95" t="s">
        <v>677</v>
      </c>
      <c r="J2174" s="97">
        <v>45988.61478482639</v>
      </c>
      <c r="K2174" s="95" t="s">
        <v>12210</v>
      </c>
      <c r="L2174" s="96" t="s">
        <v>12211</v>
      </c>
      <c r="M2174" s="95" t="s">
        <v>17</v>
      </c>
      <c r="N2174" s="95" t="s">
        <v>12212</v>
      </c>
      <c r="O2174" s="95" t="s">
        <v>12212</v>
      </c>
      <c r="P2174" s="95" t="s">
        <v>12213</v>
      </c>
      <c r="Q2174" s="98">
        <v>2.0</v>
      </c>
      <c r="R2174" s="97">
        <v>45694.28974537037</v>
      </c>
      <c r="S2174" s="99">
        <v>424.0</v>
      </c>
      <c r="T2174" s="99">
        <v>326.0</v>
      </c>
      <c r="U2174" s="99">
        <v>2.0</v>
      </c>
      <c r="V2174" s="99">
        <v>39.0</v>
      </c>
      <c r="W2174" s="99">
        <v>34784.0</v>
      </c>
    </row>
    <row r="2175" ht="15.75" customHeight="1">
      <c r="A2175" s="95" t="s">
        <v>12214</v>
      </c>
      <c r="B2175" s="95" t="s">
        <v>22</v>
      </c>
      <c r="C2175" s="96" t="s">
        <v>12215</v>
      </c>
      <c r="D2175" s="95" t="s">
        <v>20</v>
      </c>
      <c r="E2175" s="95" t="s">
        <v>638</v>
      </c>
      <c r="F2175" s="95" t="s">
        <v>19</v>
      </c>
      <c r="G2175" s="95" t="s">
        <v>19</v>
      </c>
      <c r="H2175" s="95" t="s">
        <v>21</v>
      </c>
      <c r="I2175" s="95" t="s">
        <v>567</v>
      </c>
      <c r="J2175" s="97">
        <v>46069.13581600694</v>
      </c>
      <c r="K2175" s="95" t="s">
        <v>12216</v>
      </c>
      <c r="L2175" s="96" t="s">
        <v>12217</v>
      </c>
      <c r="M2175" s="95" t="s">
        <v>93</v>
      </c>
      <c r="N2175" s="95" t="s">
        <v>6034</v>
      </c>
      <c r="O2175" s="95" t="s">
        <v>6034</v>
      </c>
      <c r="P2175" s="95" t="s">
        <v>6035</v>
      </c>
      <c r="Q2175" s="98">
        <v>2.0</v>
      </c>
      <c r="R2175" s="97">
        <v>46049.63673611111</v>
      </c>
      <c r="S2175" s="99">
        <v>10765.0</v>
      </c>
      <c r="T2175" s="99">
        <v>2123.0</v>
      </c>
      <c r="U2175" s="99">
        <v>1.0</v>
      </c>
      <c r="V2175" s="99">
        <v>37.0</v>
      </c>
      <c r="W2175" s="99">
        <v>601005.0</v>
      </c>
    </row>
    <row r="2176" ht="15.75" customHeight="1">
      <c r="A2176" s="95" t="s">
        <v>12218</v>
      </c>
      <c r="B2176" s="95" t="s">
        <v>22</v>
      </c>
      <c r="C2176" s="96" t="s">
        <v>12219</v>
      </c>
      <c r="D2176" s="95" t="s">
        <v>20</v>
      </c>
      <c r="E2176" s="95" t="s">
        <v>2261</v>
      </c>
      <c r="F2176" s="95" t="s">
        <v>19</v>
      </c>
      <c r="G2176" s="95" t="s">
        <v>19</v>
      </c>
      <c r="H2176" s="95" t="s">
        <v>21</v>
      </c>
      <c r="I2176" s="95" t="s">
        <v>677</v>
      </c>
      <c r="J2176" s="97">
        <v>45993.7854622338</v>
      </c>
      <c r="K2176" s="96" t="s">
        <v>12220</v>
      </c>
      <c r="L2176" s="96" t="s">
        <v>12221</v>
      </c>
      <c r="M2176" s="95" t="s">
        <v>17</v>
      </c>
      <c r="N2176" s="95" t="s">
        <v>12222</v>
      </c>
      <c r="O2176" s="95" t="s">
        <v>12222</v>
      </c>
      <c r="P2176" s="95" t="s">
        <v>12223</v>
      </c>
      <c r="Q2176" s="98">
        <v>2.0</v>
      </c>
      <c r="R2176" s="97">
        <v>45679.88123842593</v>
      </c>
      <c r="S2176" s="99">
        <v>575.0</v>
      </c>
      <c r="T2176" s="99">
        <v>37.0</v>
      </c>
      <c r="U2176" s="99">
        <v>2.0</v>
      </c>
      <c r="V2176" s="99">
        <v>35.0</v>
      </c>
      <c r="W2176" s="99">
        <v>25636.0</v>
      </c>
    </row>
    <row r="2177" ht="15.75" customHeight="1">
      <c r="A2177" s="95" t="s">
        <v>12224</v>
      </c>
      <c r="B2177" s="95" t="s">
        <v>69</v>
      </c>
      <c r="C2177" s="96" t="s">
        <v>12225</v>
      </c>
      <c r="D2177" s="95" t="s">
        <v>20</v>
      </c>
      <c r="E2177" s="95" t="s">
        <v>2261</v>
      </c>
      <c r="F2177" s="95" t="s">
        <v>88</v>
      </c>
      <c r="G2177" s="95" t="s">
        <v>88</v>
      </c>
      <c r="H2177" s="95" t="s">
        <v>89</v>
      </c>
      <c r="I2177" s="95" t="s">
        <v>1984</v>
      </c>
      <c r="J2177" s="97">
        <v>45993.7854622338</v>
      </c>
      <c r="K2177" s="96" t="s">
        <v>12226</v>
      </c>
      <c r="L2177" s="96" t="s">
        <v>12227</v>
      </c>
      <c r="M2177" s="95" t="s">
        <v>17</v>
      </c>
      <c r="N2177" s="95" t="s">
        <v>12222</v>
      </c>
      <c r="O2177" s="95" t="s">
        <v>12222</v>
      </c>
      <c r="P2177" s="95" t="s">
        <v>12223</v>
      </c>
      <c r="Q2177" s="98">
        <v>2.0</v>
      </c>
      <c r="R2177" s="97">
        <v>45624.73725694444</v>
      </c>
      <c r="S2177" s="99">
        <v>575.0</v>
      </c>
      <c r="T2177" s="99">
        <v>16.0</v>
      </c>
      <c r="U2177" s="99">
        <v>1.0</v>
      </c>
      <c r="V2177" s="99">
        <v>15.0</v>
      </c>
      <c r="W2177" s="99">
        <v>25636.0</v>
      </c>
    </row>
    <row r="2178" ht="15.75" customHeight="1">
      <c r="A2178" s="95" t="s">
        <v>12228</v>
      </c>
      <c r="B2178" s="95" t="s">
        <v>22</v>
      </c>
      <c r="C2178" s="96" t="s">
        <v>12229</v>
      </c>
      <c r="D2178" s="95" t="s">
        <v>20</v>
      </c>
      <c r="E2178" s="95" t="s">
        <v>762</v>
      </c>
      <c r="F2178" s="95" t="s">
        <v>19</v>
      </c>
      <c r="G2178" s="95" t="s">
        <v>574</v>
      </c>
      <c r="H2178" s="95" t="s">
        <v>21</v>
      </c>
      <c r="I2178" s="95" t="s">
        <v>567</v>
      </c>
      <c r="J2178" s="97">
        <v>45975.67934811342</v>
      </c>
      <c r="K2178" s="96" t="s">
        <v>12230</v>
      </c>
      <c r="L2178" s="96" t="s">
        <v>12231</v>
      </c>
      <c r="M2178" s="95" t="s">
        <v>17</v>
      </c>
      <c r="N2178" s="95" t="s">
        <v>12232</v>
      </c>
      <c r="O2178" s="95" t="s">
        <v>12232</v>
      </c>
      <c r="P2178" s="95" t="s">
        <v>12233</v>
      </c>
      <c r="Q2178" s="98">
        <v>2.0</v>
      </c>
      <c r="R2178" s="97">
        <v>45860.38553240741</v>
      </c>
      <c r="S2178" s="99">
        <v>3802.0</v>
      </c>
      <c r="T2178" s="99">
        <v>21.0</v>
      </c>
      <c r="U2178" s="99">
        <v>1.0</v>
      </c>
      <c r="V2178" s="99">
        <v>42.0</v>
      </c>
      <c r="W2178" s="99">
        <v>12555.0</v>
      </c>
    </row>
    <row r="2179" ht="15.75" customHeight="1">
      <c r="A2179" s="95" t="s">
        <v>12234</v>
      </c>
      <c r="B2179" s="95" t="s">
        <v>22</v>
      </c>
      <c r="C2179" s="96" t="s">
        <v>12235</v>
      </c>
      <c r="D2179" s="95" t="s">
        <v>20</v>
      </c>
      <c r="E2179" s="95" t="s">
        <v>20</v>
      </c>
      <c r="F2179" s="95" t="s">
        <v>19</v>
      </c>
      <c r="G2179" s="95" t="s">
        <v>19</v>
      </c>
      <c r="H2179" s="95" t="s">
        <v>21</v>
      </c>
      <c r="I2179" s="95" t="s">
        <v>589</v>
      </c>
      <c r="J2179" s="97">
        <v>45975.67934811342</v>
      </c>
      <c r="K2179" s="96" t="s">
        <v>12236</v>
      </c>
      <c r="L2179" s="96" t="s">
        <v>12237</v>
      </c>
      <c r="M2179" s="95" t="s">
        <v>17</v>
      </c>
      <c r="N2179" s="95" t="s">
        <v>6105</v>
      </c>
      <c r="O2179" s="95" t="s">
        <v>6105</v>
      </c>
      <c r="P2179" s="95" t="s">
        <v>6106</v>
      </c>
      <c r="Q2179" s="98">
        <v>2.0</v>
      </c>
      <c r="R2179" s="97">
        <v>45818.6955787037</v>
      </c>
      <c r="S2179" s="99">
        <v>30827.0</v>
      </c>
      <c r="T2179" s="99">
        <v>22.0</v>
      </c>
      <c r="U2179" s="99">
        <v>1.0</v>
      </c>
      <c r="V2179" s="99">
        <v>22.0</v>
      </c>
      <c r="W2179" s="99">
        <v>132369.0</v>
      </c>
    </row>
    <row r="2180" ht="15.75" customHeight="1">
      <c r="A2180" s="95" t="s">
        <v>12238</v>
      </c>
      <c r="B2180" s="95" t="s">
        <v>22</v>
      </c>
      <c r="C2180" s="96" t="s">
        <v>12239</v>
      </c>
      <c r="D2180" s="95" t="s">
        <v>20</v>
      </c>
      <c r="E2180" s="95" t="s">
        <v>20</v>
      </c>
      <c r="F2180" s="95" t="s">
        <v>19</v>
      </c>
      <c r="G2180" s="95" t="s">
        <v>19</v>
      </c>
      <c r="H2180" s="95" t="s">
        <v>21</v>
      </c>
      <c r="I2180" s="95" t="s">
        <v>589</v>
      </c>
      <c r="J2180" s="97">
        <v>45975.67934811342</v>
      </c>
      <c r="K2180" s="96" t="s">
        <v>12240</v>
      </c>
      <c r="L2180" s="96" t="s">
        <v>12241</v>
      </c>
      <c r="M2180" s="95" t="s">
        <v>17</v>
      </c>
      <c r="N2180" s="95" t="s">
        <v>6105</v>
      </c>
      <c r="O2180" s="95" t="s">
        <v>6105</v>
      </c>
      <c r="P2180" s="95" t="s">
        <v>6106</v>
      </c>
      <c r="Q2180" s="98">
        <v>2.0</v>
      </c>
      <c r="R2180" s="97">
        <v>45726.55214120371</v>
      </c>
      <c r="S2180" s="99">
        <v>30827.0</v>
      </c>
      <c r="T2180" s="99">
        <v>19.0</v>
      </c>
      <c r="U2180" s="99">
        <v>1.0</v>
      </c>
      <c r="V2180" s="99">
        <v>5.0</v>
      </c>
      <c r="W2180" s="99">
        <v>132369.0</v>
      </c>
    </row>
    <row r="2181" ht="15.75" customHeight="1">
      <c r="A2181" s="95" t="s">
        <v>12242</v>
      </c>
      <c r="B2181" s="95" t="s">
        <v>22</v>
      </c>
      <c r="C2181" s="96" t="s">
        <v>12243</v>
      </c>
      <c r="D2181" s="95" t="s">
        <v>547</v>
      </c>
      <c r="E2181" s="95" t="s">
        <v>547</v>
      </c>
      <c r="F2181" s="95" t="s">
        <v>19</v>
      </c>
      <c r="G2181" s="95" t="s">
        <v>19</v>
      </c>
      <c r="H2181" s="95" t="s">
        <v>21</v>
      </c>
      <c r="I2181" s="95" t="s">
        <v>567</v>
      </c>
      <c r="J2181" s="97">
        <v>45994.72131434028</v>
      </c>
      <c r="K2181" s="96" t="s">
        <v>12244</v>
      </c>
      <c r="L2181" s="96" t="s">
        <v>12245</v>
      </c>
      <c r="M2181" s="95" t="s">
        <v>38</v>
      </c>
      <c r="N2181" s="95" t="s">
        <v>12246</v>
      </c>
      <c r="O2181" s="95" t="s">
        <v>12246</v>
      </c>
      <c r="P2181" s="95" t="s">
        <v>12247</v>
      </c>
      <c r="Q2181" s="98">
        <v>2.0</v>
      </c>
      <c r="R2181" s="97">
        <v>45739.98310185185</v>
      </c>
      <c r="S2181" s="99">
        <v>463.0</v>
      </c>
      <c r="T2181" s="99">
        <v>11.0</v>
      </c>
      <c r="U2181" s="99">
        <v>2.0</v>
      </c>
      <c r="V2181" s="99">
        <v>103.0</v>
      </c>
      <c r="W2181" s="99">
        <v>28008.0</v>
      </c>
    </row>
    <row r="2182" ht="15.75" customHeight="1">
      <c r="A2182" s="95" t="s">
        <v>12248</v>
      </c>
      <c r="B2182" s="95" t="s">
        <v>101</v>
      </c>
      <c r="C2182" s="96" t="s">
        <v>12249</v>
      </c>
      <c r="D2182" s="95" t="s">
        <v>39</v>
      </c>
      <c r="E2182" s="95" t="s">
        <v>39</v>
      </c>
      <c r="F2182" s="95" t="s">
        <v>19</v>
      </c>
      <c r="G2182" s="95" t="s">
        <v>19</v>
      </c>
      <c r="H2182" s="95" t="s">
        <v>21</v>
      </c>
      <c r="I2182" s="95" t="s">
        <v>1497</v>
      </c>
      <c r="J2182" s="97">
        <v>46021.50581828703</v>
      </c>
      <c r="K2182" s="95" t="s">
        <v>12250</v>
      </c>
      <c r="L2182" s="96" t="s">
        <v>12251</v>
      </c>
      <c r="M2182" s="95" t="s">
        <v>74</v>
      </c>
      <c r="N2182" s="95" t="s">
        <v>12252</v>
      </c>
      <c r="O2182" s="95" t="s">
        <v>12252</v>
      </c>
      <c r="P2182" s="95" t="s">
        <v>12253</v>
      </c>
      <c r="Q2182" s="98">
        <v>2.0</v>
      </c>
      <c r="R2182" s="97">
        <v>45773.81092592593</v>
      </c>
      <c r="S2182" s="99">
        <v>135.0</v>
      </c>
      <c r="T2182" s="99">
        <v>13.0</v>
      </c>
      <c r="U2182" s="99">
        <v>1.0</v>
      </c>
      <c r="V2182" s="99">
        <v>65.0</v>
      </c>
      <c r="W2182" s="99">
        <v>17230.0</v>
      </c>
    </row>
    <row r="2183" ht="15.75" customHeight="1">
      <c r="A2183" s="95" t="s">
        <v>12254</v>
      </c>
      <c r="B2183" s="95" t="s">
        <v>22</v>
      </c>
      <c r="C2183" s="96" t="s">
        <v>12255</v>
      </c>
      <c r="D2183" s="95" t="s">
        <v>39</v>
      </c>
      <c r="E2183" s="95" t="s">
        <v>614</v>
      </c>
      <c r="F2183" s="95" t="s">
        <v>19</v>
      </c>
      <c r="G2183" s="95"/>
      <c r="H2183" s="95" t="s">
        <v>21</v>
      </c>
      <c r="I2183" s="95" t="s">
        <v>567</v>
      </c>
      <c r="J2183" s="97">
        <v>46072.52339202546</v>
      </c>
      <c r="K2183" s="95" t="s">
        <v>12256</v>
      </c>
      <c r="L2183" s="96" t="s">
        <v>12257</v>
      </c>
      <c r="M2183" s="95" t="s">
        <v>74</v>
      </c>
      <c r="N2183" s="95" t="s">
        <v>12258</v>
      </c>
      <c r="O2183" s="95" t="s">
        <v>12258</v>
      </c>
      <c r="P2183" s="95" t="s">
        <v>12259</v>
      </c>
      <c r="Q2183" s="98">
        <v>2.0</v>
      </c>
      <c r="R2183" s="97">
        <v>46038.36506944444</v>
      </c>
      <c r="S2183" s="99">
        <v>5609.0</v>
      </c>
      <c r="T2183" s="99">
        <v>31.0</v>
      </c>
      <c r="U2183" s="99">
        <v>1.0</v>
      </c>
      <c r="V2183" s="99">
        <v>108.0</v>
      </c>
      <c r="W2183" s="99">
        <v>41025.0</v>
      </c>
    </row>
    <row r="2184" ht="15.75" customHeight="1">
      <c r="A2184" s="95" t="s">
        <v>12260</v>
      </c>
      <c r="B2184" s="95" t="s">
        <v>22</v>
      </c>
      <c r="C2184" s="96" t="s">
        <v>12261</v>
      </c>
      <c r="D2184" s="95" t="s">
        <v>68</v>
      </c>
      <c r="E2184" s="95" t="s">
        <v>769</v>
      </c>
      <c r="F2184" s="95" t="s">
        <v>19</v>
      </c>
      <c r="G2184" s="95" t="s">
        <v>19</v>
      </c>
      <c r="H2184" s="95" t="s">
        <v>21</v>
      </c>
      <c r="I2184" s="95" t="s">
        <v>589</v>
      </c>
      <c r="J2184" s="97">
        <v>46021.50581828703</v>
      </c>
      <c r="K2184" s="95" t="s">
        <v>12262</v>
      </c>
      <c r="L2184" s="96" t="s">
        <v>12263</v>
      </c>
      <c r="M2184" s="95" t="s">
        <v>503</v>
      </c>
      <c r="N2184" s="95" t="s">
        <v>12264</v>
      </c>
      <c r="O2184" s="95" t="s">
        <v>12264</v>
      </c>
      <c r="P2184" s="95" t="s">
        <v>12265</v>
      </c>
      <c r="Q2184" s="98">
        <v>2.0</v>
      </c>
      <c r="R2184" s="97">
        <v>45829.74414351852</v>
      </c>
      <c r="S2184" s="99">
        <v>1551.0</v>
      </c>
      <c r="T2184" s="99">
        <v>61.0</v>
      </c>
      <c r="U2184" s="99">
        <v>8.0</v>
      </c>
      <c r="V2184" s="99">
        <v>55.0</v>
      </c>
      <c r="W2184" s="99">
        <v>59901.0</v>
      </c>
    </row>
    <row r="2185" ht="15.75" customHeight="1">
      <c r="A2185" s="95" t="s">
        <v>12266</v>
      </c>
      <c r="B2185" s="95" t="s">
        <v>69</v>
      </c>
      <c r="C2185" s="96" t="s">
        <v>12267</v>
      </c>
      <c r="D2185" s="95" t="s">
        <v>130</v>
      </c>
      <c r="E2185" s="95" t="s">
        <v>2109</v>
      </c>
      <c r="F2185" s="95" t="s">
        <v>88</v>
      </c>
      <c r="G2185" s="95" t="s">
        <v>88</v>
      </c>
      <c r="H2185" s="95" t="s">
        <v>89</v>
      </c>
      <c r="I2185" s="95" t="s">
        <v>1477</v>
      </c>
      <c r="J2185" s="97">
        <v>45975.67928111111</v>
      </c>
      <c r="K2185" s="96" t="s">
        <v>12268</v>
      </c>
      <c r="L2185" s="96" t="s">
        <v>12269</v>
      </c>
      <c r="M2185" s="95" t="s">
        <v>28</v>
      </c>
      <c r="N2185" s="95" t="s">
        <v>12270</v>
      </c>
      <c r="O2185" s="95" t="s">
        <v>12270</v>
      </c>
      <c r="P2185" s="95" t="s">
        <v>12271</v>
      </c>
      <c r="Q2185" s="98">
        <v>2.0</v>
      </c>
      <c r="R2185" s="97">
        <v>45935.78033564815</v>
      </c>
      <c r="S2185" s="99">
        <v>9231.0</v>
      </c>
      <c r="T2185" s="99">
        <v>280.0</v>
      </c>
      <c r="U2185" s="99">
        <v>1.0</v>
      </c>
      <c r="V2185" s="99">
        <v>100.0</v>
      </c>
      <c r="W2185" s="99">
        <v>63171.0</v>
      </c>
    </row>
    <row r="2186" ht="15.75" customHeight="1">
      <c r="A2186" s="95" t="s">
        <v>12272</v>
      </c>
      <c r="B2186" s="95" t="s">
        <v>22</v>
      </c>
      <c r="C2186" s="96" t="s">
        <v>12273</v>
      </c>
      <c r="D2186" s="95" t="s">
        <v>29</v>
      </c>
      <c r="E2186" s="95" t="s">
        <v>598</v>
      </c>
      <c r="F2186" s="95" t="s">
        <v>19</v>
      </c>
      <c r="G2186" s="95" t="s">
        <v>19</v>
      </c>
      <c r="H2186" s="95" t="s">
        <v>21</v>
      </c>
      <c r="I2186" s="95" t="s">
        <v>589</v>
      </c>
      <c r="J2186" s="97">
        <v>45975.6793321412</v>
      </c>
      <c r="K2186" s="96" t="s">
        <v>12274</v>
      </c>
      <c r="L2186" s="96" t="s">
        <v>12275</v>
      </c>
      <c r="M2186" s="95" t="s">
        <v>503</v>
      </c>
      <c r="N2186" s="95" t="s">
        <v>12276</v>
      </c>
      <c r="O2186" s="95" t="s">
        <v>12276</v>
      </c>
      <c r="P2186" s="95" t="s">
        <v>12277</v>
      </c>
      <c r="Q2186" s="98">
        <v>2.0</v>
      </c>
      <c r="R2186" s="97">
        <v>45613.91511574074</v>
      </c>
      <c r="S2186" s="99">
        <v>8904.0</v>
      </c>
      <c r="T2186" s="99">
        <v>244.0</v>
      </c>
      <c r="U2186" s="99">
        <v>4.0</v>
      </c>
      <c r="V2186" s="99">
        <v>32.0</v>
      </c>
      <c r="W2186" s="99">
        <v>5292.0</v>
      </c>
    </row>
    <row r="2187" ht="15.75" customHeight="1">
      <c r="A2187" s="95" t="s">
        <v>12278</v>
      </c>
      <c r="B2187" s="95" t="s">
        <v>22</v>
      </c>
      <c r="C2187" s="96" t="s">
        <v>12279</v>
      </c>
      <c r="D2187" s="95" t="s">
        <v>168</v>
      </c>
      <c r="E2187" s="95" t="s">
        <v>168</v>
      </c>
      <c r="F2187" s="95" t="s">
        <v>19</v>
      </c>
      <c r="G2187" s="95" t="s">
        <v>574</v>
      </c>
      <c r="H2187" s="95" t="s">
        <v>21</v>
      </c>
      <c r="I2187" s="95" t="s">
        <v>567</v>
      </c>
      <c r="J2187" s="97">
        <v>46021.49308912037</v>
      </c>
      <c r="K2187" s="95" t="s">
        <v>12280</v>
      </c>
      <c r="L2187" s="96" t="s">
        <v>12281</v>
      </c>
      <c r="M2187" s="95" t="s">
        <v>105</v>
      </c>
      <c r="N2187" s="95" t="s">
        <v>6228</v>
      </c>
      <c r="O2187" s="95" t="s">
        <v>6228</v>
      </c>
      <c r="P2187" s="95" t="s">
        <v>6229</v>
      </c>
      <c r="Q2187" s="98">
        <v>2.0</v>
      </c>
      <c r="R2187" s="97">
        <v>45482.85810185185</v>
      </c>
      <c r="S2187" s="99">
        <v>178.0</v>
      </c>
      <c r="T2187" s="99">
        <v>7.0</v>
      </c>
      <c r="U2187" s="99">
        <v>1.0</v>
      </c>
      <c r="V2187" s="99">
        <v>78.0</v>
      </c>
      <c r="W2187" s="99">
        <v>396460.0</v>
      </c>
    </row>
    <row r="2188" ht="15.75" customHeight="1">
      <c r="A2188" s="95" t="s">
        <v>12282</v>
      </c>
      <c r="B2188" s="95" t="s">
        <v>22</v>
      </c>
      <c r="C2188" s="96" t="s">
        <v>12283</v>
      </c>
      <c r="D2188" s="95" t="s">
        <v>20</v>
      </c>
      <c r="E2188" s="95" t="s">
        <v>872</v>
      </c>
      <c r="F2188" s="95" t="s">
        <v>19</v>
      </c>
      <c r="G2188" s="95" t="s">
        <v>19</v>
      </c>
      <c r="H2188" s="95" t="s">
        <v>21</v>
      </c>
      <c r="I2188" s="95" t="s">
        <v>567</v>
      </c>
      <c r="J2188" s="97">
        <v>46008.62903814814</v>
      </c>
      <c r="K2188" s="96" t="s">
        <v>12284</v>
      </c>
      <c r="L2188" s="96" t="s">
        <v>12285</v>
      </c>
      <c r="M2188" s="95" t="s">
        <v>17</v>
      </c>
      <c r="N2188" s="95" t="s">
        <v>12286</v>
      </c>
      <c r="O2188" s="95" t="s">
        <v>12286</v>
      </c>
      <c r="P2188" s="95" t="s">
        <v>12287</v>
      </c>
      <c r="Q2188" s="98">
        <v>2.0</v>
      </c>
      <c r="R2188" s="97">
        <v>45609.14378472222</v>
      </c>
      <c r="S2188" s="99">
        <v>6864.0</v>
      </c>
      <c r="T2188" s="99">
        <v>1.0</v>
      </c>
      <c r="U2188" s="99">
        <v>14.0</v>
      </c>
      <c r="V2188" s="99">
        <v>121.0</v>
      </c>
      <c r="W2188" s="99">
        <v>87244.0</v>
      </c>
    </row>
    <row r="2189" ht="15.75" customHeight="1">
      <c r="A2189" s="95" t="s">
        <v>12288</v>
      </c>
      <c r="B2189" s="95" t="s">
        <v>22</v>
      </c>
      <c r="C2189" s="96" t="s">
        <v>12289</v>
      </c>
      <c r="D2189" s="95" t="s">
        <v>39</v>
      </c>
      <c r="E2189" s="95" t="s">
        <v>960</v>
      </c>
      <c r="F2189" s="95" t="s">
        <v>19</v>
      </c>
      <c r="G2189" s="95" t="s">
        <v>588</v>
      </c>
      <c r="H2189" s="95" t="s">
        <v>21</v>
      </c>
      <c r="I2189" s="95" t="s">
        <v>677</v>
      </c>
      <c r="J2189" s="97">
        <v>45993.78544196759</v>
      </c>
      <c r="K2189" s="96" t="s">
        <v>12290</v>
      </c>
      <c r="L2189" s="96" t="s">
        <v>12291</v>
      </c>
      <c r="M2189" s="95" t="s">
        <v>93</v>
      </c>
      <c r="N2189" s="95" t="s">
        <v>12292</v>
      </c>
      <c r="O2189" s="95" t="s">
        <v>12292</v>
      </c>
      <c r="P2189" s="95" t="s">
        <v>12293</v>
      </c>
      <c r="Q2189" s="98">
        <v>2.0</v>
      </c>
      <c r="R2189" s="97">
        <v>45956.78053240741</v>
      </c>
      <c r="S2189" s="99">
        <v>2522.0</v>
      </c>
      <c r="T2189" s="99">
        <v>576.0</v>
      </c>
      <c r="U2189" s="99">
        <v>1.0</v>
      </c>
      <c r="V2189" s="99">
        <v>103.0</v>
      </c>
      <c r="W2189" s="99">
        <v>25177.0</v>
      </c>
    </row>
    <row r="2190" ht="15.75" customHeight="1">
      <c r="A2190" s="95" t="s">
        <v>12294</v>
      </c>
      <c r="B2190" s="95" t="s">
        <v>22</v>
      </c>
      <c r="C2190" s="96" t="s">
        <v>12295</v>
      </c>
      <c r="D2190" s="95" t="s">
        <v>130</v>
      </c>
      <c r="E2190" s="95" t="s">
        <v>12296</v>
      </c>
      <c r="F2190" s="95" t="s">
        <v>19</v>
      </c>
      <c r="G2190" s="95" t="s">
        <v>1018</v>
      </c>
      <c r="H2190" s="95" t="s">
        <v>21</v>
      </c>
      <c r="I2190" s="95" t="s">
        <v>567</v>
      </c>
      <c r="J2190" s="97">
        <v>45988.61492553241</v>
      </c>
      <c r="K2190" s="95" t="s">
        <v>12297</v>
      </c>
      <c r="L2190" s="96" t="s">
        <v>12298</v>
      </c>
      <c r="M2190" s="95" t="s">
        <v>17</v>
      </c>
      <c r="N2190" s="95" t="s">
        <v>12299</v>
      </c>
      <c r="O2190" s="95" t="s">
        <v>12299</v>
      </c>
      <c r="P2190" s="95" t="s">
        <v>12300</v>
      </c>
      <c r="Q2190" s="98">
        <v>2.0</v>
      </c>
      <c r="R2190" s="97">
        <v>45801.48446759259</v>
      </c>
      <c r="S2190" s="99">
        <v>232.0</v>
      </c>
      <c r="T2190" s="99">
        <v>167.0</v>
      </c>
      <c r="U2190" s="99">
        <v>1.0</v>
      </c>
      <c r="V2190" s="99">
        <v>79.0</v>
      </c>
      <c r="W2190" s="99">
        <v>13414.0</v>
      </c>
    </row>
    <row r="2191" ht="15.75" customHeight="1">
      <c r="A2191" s="95" t="s">
        <v>12301</v>
      </c>
      <c r="B2191" s="95" t="s">
        <v>157</v>
      </c>
      <c r="C2191" s="96" t="s">
        <v>12302</v>
      </c>
      <c r="D2191" s="95" t="s">
        <v>20</v>
      </c>
      <c r="E2191" s="95" t="s">
        <v>638</v>
      </c>
      <c r="F2191" s="95" t="s">
        <v>88</v>
      </c>
      <c r="G2191" s="95" t="s">
        <v>858</v>
      </c>
      <c r="H2191" s="95" t="s">
        <v>89</v>
      </c>
      <c r="I2191" s="95" t="s">
        <v>897</v>
      </c>
      <c r="J2191" s="97">
        <v>45975.67930844907</v>
      </c>
      <c r="K2191" s="96" t="s">
        <v>12303</v>
      </c>
      <c r="L2191" s="96" t="s">
        <v>12304</v>
      </c>
      <c r="M2191" s="95" t="s">
        <v>54</v>
      </c>
      <c r="N2191" s="95" t="s">
        <v>6407</v>
      </c>
      <c r="O2191" s="95" t="s">
        <v>6407</v>
      </c>
      <c r="P2191" s="95" t="s">
        <v>6408</v>
      </c>
      <c r="Q2191" s="98">
        <v>2.0</v>
      </c>
      <c r="R2191" s="97">
        <v>45734.56373842592</v>
      </c>
      <c r="S2191" s="99">
        <v>7557.0</v>
      </c>
      <c r="T2191" s="99">
        <v>71.0</v>
      </c>
      <c r="U2191" s="99">
        <v>7.0</v>
      </c>
      <c r="V2191" s="99">
        <v>187.0</v>
      </c>
      <c r="W2191" s="99">
        <v>50083.0</v>
      </c>
    </row>
    <row r="2192" ht="15.75" customHeight="1">
      <c r="A2192" s="95" t="s">
        <v>12305</v>
      </c>
      <c r="B2192" s="95" t="s">
        <v>69</v>
      </c>
      <c r="C2192" s="96" t="s">
        <v>12306</v>
      </c>
      <c r="D2192" s="95" t="s">
        <v>20</v>
      </c>
      <c r="E2192" s="95" t="s">
        <v>2261</v>
      </c>
      <c r="F2192" s="95" t="s">
        <v>88</v>
      </c>
      <c r="G2192" s="95" t="s">
        <v>88</v>
      </c>
      <c r="H2192" s="95" t="s">
        <v>89</v>
      </c>
      <c r="I2192" s="95" t="s">
        <v>640</v>
      </c>
      <c r="J2192" s="97">
        <v>45978.46329891204</v>
      </c>
      <c r="K2192" s="95" t="s">
        <v>12307</v>
      </c>
      <c r="L2192" s="96" t="s">
        <v>12308</v>
      </c>
      <c r="M2192" s="95" t="s">
        <v>17</v>
      </c>
      <c r="N2192" s="95" t="s">
        <v>12309</v>
      </c>
      <c r="O2192" s="95" t="s">
        <v>12309</v>
      </c>
      <c r="P2192" s="95" t="s">
        <v>12310</v>
      </c>
      <c r="Q2192" s="98">
        <v>2.0</v>
      </c>
      <c r="R2192" s="97">
        <v>45606.6531712963</v>
      </c>
      <c r="S2192" s="99">
        <v>4560.0</v>
      </c>
      <c r="T2192" s="99">
        <v>23.0</v>
      </c>
      <c r="U2192" s="99">
        <v>2.0</v>
      </c>
      <c r="V2192" s="99">
        <v>23.0</v>
      </c>
      <c r="W2192" s="99">
        <v>45412.0</v>
      </c>
    </row>
    <row r="2193" ht="15.75" customHeight="1">
      <c r="A2193" s="95" t="s">
        <v>12311</v>
      </c>
      <c r="B2193" s="95" t="s">
        <v>157</v>
      </c>
      <c r="C2193" s="96" t="s">
        <v>12312</v>
      </c>
      <c r="D2193" s="95" t="s">
        <v>39</v>
      </c>
      <c r="E2193" s="95" t="s">
        <v>39</v>
      </c>
      <c r="F2193" s="95" t="s">
        <v>88</v>
      </c>
      <c r="G2193" s="95" t="s">
        <v>88</v>
      </c>
      <c r="H2193" s="95" t="s">
        <v>89</v>
      </c>
      <c r="I2193" s="95" t="s">
        <v>859</v>
      </c>
      <c r="J2193" s="97">
        <v>45975.67934811342</v>
      </c>
      <c r="K2193" s="96" t="s">
        <v>12313</v>
      </c>
      <c r="L2193" s="96" t="s">
        <v>12314</v>
      </c>
      <c r="M2193" s="95" t="s">
        <v>17</v>
      </c>
      <c r="N2193" s="95" t="s">
        <v>12315</v>
      </c>
      <c r="O2193" s="95" t="s">
        <v>12315</v>
      </c>
      <c r="P2193" s="95" t="s">
        <v>12316</v>
      </c>
      <c r="Q2193" s="98">
        <v>2.0</v>
      </c>
      <c r="R2193" s="97">
        <v>45803.48929398148</v>
      </c>
      <c r="S2193" s="99">
        <v>0.0</v>
      </c>
      <c r="T2193" s="99">
        <v>1.0</v>
      </c>
      <c r="U2193" s="99">
        <v>2.0</v>
      </c>
      <c r="V2193" s="99">
        <v>90.0</v>
      </c>
      <c r="W2193" s="99">
        <v>95449.0</v>
      </c>
    </row>
    <row r="2194" ht="15.75" customHeight="1">
      <c r="A2194" s="95" t="s">
        <v>12317</v>
      </c>
      <c r="B2194" s="95" t="s">
        <v>22</v>
      </c>
      <c r="C2194" s="96" t="s">
        <v>12318</v>
      </c>
      <c r="D2194" s="95" t="s">
        <v>29</v>
      </c>
      <c r="E2194" s="95" t="s">
        <v>29</v>
      </c>
      <c r="F2194" s="95" t="s">
        <v>19</v>
      </c>
      <c r="G2194" s="95" t="s">
        <v>19</v>
      </c>
      <c r="H2194" s="95" t="s">
        <v>21</v>
      </c>
      <c r="I2194" s="95" t="s">
        <v>589</v>
      </c>
      <c r="J2194" s="97">
        <v>46072.5234825</v>
      </c>
      <c r="K2194" s="95" t="s">
        <v>12319</v>
      </c>
      <c r="L2194" s="96" t="s">
        <v>12320</v>
      </c>
      <c r="M2194" s="95" t="s">
        <v>74</v>
      </c>
      <c r="N2194" s="95" t="s">
        <v>6413</v>
      </c>
      <c r="O2194" s="95" t="s">
        <v>6413</v>
      </c>
      <c r="P2194" s="95" t="s">
        <v>6414</v>
      </c>
      <c r="Q2194" s="98">
        <v>2.0</v>
      </c>
      <c r="R2194" s="97">
        <v>45681.61755787037</v>
      </c>
      <c r="S2194" s="99">
        <v>26535.0</v>
      </c>
      <c r="T2194" s="99">
        <v>4.0</v>
      </c>
      <c r="U2194" s="99">
        <v>1.0</v>
      </c>
      <c r="V2194" s="99">
        <v>153.0</v>
      </c>
      <c r="W2194" s="99">
        <v>311397.0</v>
      </c>
    </row>
    <row r="2195" ht="15.75" customHeight="1">
      <c r="A2195" s="95" t="s">
        <v>12321</v>
      </c>
      <c r="B2195" s="95" t="s">
        <v>69</v>
      </c>
      <c r="C2195" s="96" t="s">
        <v>12322</v>
      </c>
      <c r="D2195" s="95" t="s">
        <v>168</v>
      </c>
      <c r="E2195" s="95" t="s">
        <v>168</v>
      </c>
      <c r="F2195" s="95" t="s">
        <v>88</v>
      </c>
      <c r="G2195" s="95" t="s">
        <v>88</v>
      </c>
      <c r="H2195" s="95" t="s">
        <v>89</v>
      </c>
      <c r="I2195" s="95" t="s">
        <v>1477</v>
      </c>
      <c r="J2195" s="97">
        <v>45975.67934811342</v>
      </c>
      <c r="K2195" s="96" t="s">
        <v>12323</v>
      </c>
      <c r="L2195" s="96" t="s">
        <v>12324</v>
      </c>
      <c r="M2195" s="95" t="s">
        <v>17</v>
      </c>
      <c r="N2195" s="95" t="s">
        <v>12325</v>
      </c>
      <c r="O2195" s="95" t="s">
        <v>12325</v>
      </c>
      <c r="P2195" s="95" t="s">
        <v>12326</v>
      </c>
      <c r="Q2195" s="98">
        <v>2.0</v>
      </c>
      <c r="R2195" s="97">
        <v>45786.86318287037</v>
      </c>
      <c r="S2195" s="99">
        <v>1800.0</v>
      </c>
      <c r="T2195" s="99">
        <v>24.0</v>
      </c>
      <c r="U2195" s="99">
        <v>1.0</v>
      </c>
      <c r="V2195" s="99">
        <v>42.0</v>
      </c>
      <c r="W2195" s="99">
        <v>999999.0</v>
      </c>
    </row>
    <row r="2196" ht="15.75" customHeight="1">
      <c r="A2196" s="95" t="s">
        <v>12327</v>
      </c>
      <c r="B2196" s="95" t="s">
        <v>22</v>
      </c>
      <c r="C2196" s="96" t="s">
        <v>12328</v>
      </c>
      <c r="D2196" s="95" t="s">
        <v>39</v>
      </c>
      <c r="E2196" s="95" t="s">
        <v>960</v>
      </c>
      <c r="F2196" s="95" t="s">
        <v>19</v>
      </c>
      <c r="G2196" s="95" t="s">
        <v>19</v>
      </c>
      <c r="H2196" s="95" t="s">
        <v>21</v>
      </c>
      <c r="I2196" s="95" t="s">
        <v>567</v>
      </c>
      <c r="J2196" s="97">
        <v>46021.49308912037</v>
      </c>
      <c r="K2196" s="95" t="s">
        <v>12329</v>
      </c>
      <c r="L2196" s="96" t="s">
        <v>12330</v>
      </c>
      <c r="M2196" s="95" t="s">
        <v>28</v>
      </c>
      <c r="N2196" s="95" t="s">
        <v>12331</v>
      </c>
      <c r="O2196" s="95" t="s">
        <v>12331</v>
      </c>
      <c r="P2196" s="95" t="s">
        <v>12332</v>
      </c>
      <c r="Q2196" s="98">
        <v>2.0</v>
      </c>
      <c r="R2196" s="97">
        <v>45817.90295138889</v>
      </c>
      <c r="S2196" s="99">
        <v>72.0</v>
      </c>
      <c r="T2196" s="99">
        <v>22.0</v>
      </c>
      <c r="U2196" s="99">
        <v>5.0</v>
      </c>
      <c r="V2196" s="99">
        <v>72.0</v>
      </c>
      <c r="W2196" s="99">
        <v>12828.0</v>
      </c>
    </row>
    <row r="2197" ht="15.75" customHeight="1">
      <c r="A2197" s="95" t="s">
        <v>12333</v>
      </c>
      <c r="B2197" s="95" t="s">
        <v>101</v>
      </c>
      <c r="C2197" s="96" t="s">
        <v>12334</v>
      </c>
      <c r="D2197" s="95" t="s">
        <v>548</v>
      </c>
      <c r="E2197" s="95" t="s">
        <v>2757</v>
      </c>
      <c r="F2197" s="95" t="s">
        <v>19</v>
      </c>
      <c r="G2197" s="95" t="s">
        <v>19</v>
      </c>
      <c r="H2197" s="95" t="s">
        <v>21</v>
      </c>
      <c r="I2197" s="95" t="s">
        <v>955</v>
      </c>
      <c r="J2197" s="97">
        <v>46008.62904039352</v>
      </c>
      <c r="K2197" s="96" t="s">
        <v>12335</v>
      </c>
      <c r="L2197" s="96" t="s">
        <v>12336</v>
      </c>
      <c r="M2197" s="95" t="s">
        <v>17</v>
      </c>
      <c r="N2197" s="95" t="s">
        <v>12337</v>
      </c>
      <c r="O2197" s="95" t="s">
        <v>12337</v>
      </c>
      <c r="P2197" s="95" t="s">
        <v>12338</v>
      </c>
      <c r="Q2197" s="98">
        <v>2.0</v>
      </c>
      <c r="R2197" s="97">
        <v>45848.5737037037</v>
      </c>
      <c r="S2197" s="99">
        <v>115.0</v>
      </c>
      <c r="T2197" s="99">
        <v>2848.0</v>
      </c>
      <c r="U2197" s="99">
        <v>17.0</v>
      </c>
      <c r="V2197" s="99">
        <v>55.0</v>
      </c>
      <c r="W2197" s="99">
        <v>72846.0</v>
      </c>
    </row>
    <row r="2198" ht="15.75" customHeight="1">
      <c r="A2198" s="95" t="s">
        <v>12339</v>
      </c>
      <c r="B2198" s="95" t="s">
        <v>22</v>
      </c>
      <c r="C2198" s="96" t="s">
        <v>12340</v>
      </c>
      <c r="D2198" s="95" t="s">
        <v>168</v>
      </c>
      <c r="E2198" s="95" t="s">
        <v>168</v>
      </c>
      <c r="F2198" s="95" t="s">
        <v>19</v>
      </c>
      <c r="G2198" s="95" t="s">
        <v>19</v>
      </c>
      <c r="H2198" s="95" t="s">
        <v>21</v>
      </c>
      <c r="I2198" s="95" t="s">
        <v>567</v>
      </c>
      <c r="J2198" s="97">
        <v>46008.6290404051</v>
      </c>
      <c r="K2198" s="96" t="s">
        <v>12341</v>
      </c>
      <c r="L2198" s="96" t="s">
        <v>12342</v>
      </c>
      <c r="M2198" s="95" t="s">
        <v>17</v>
      </c>
      <c r="N2198" s="95" t="s">
        <v>12343</v>
      </c>
      <c r="O2198" s="95" t="s">
        <v>12343</v>
      </c>
      <c r="P2198" s="95" t="s">
        <v>12344</v>
      </c>
      <c r="Q2198" s="98">
        <v>2.0</v>
      </c>
      <c r="R2198" s="97">
        <v>45875.68767361111</v>
      </c>
      <c r="S2198" s="99">
        <v>1481.0</v>
      </c>
      <c r="T2198" s="99">
        <v>18.0</v>
      </c>
      <c r="U2198" s="99">
        <v>2.0</v>
      </c>
      <c r="V2198" s="99">
        <v>39.0</v>
      </c>
      <c r="W2198" s="99">
        <v>999999.0</v>
      </c>
    </row>
    <row r="2199" ht="15.75" customHeight="1">
      <c r="A2199" s="95" t="s">
        <v>12345</v>
      </c>
      <c r="B2199" s="95" t="s">
        <v>22</v>
      </c>
      <c r="C2199" s="96" t="s">
        <v>12346</v>
      </c>
      <c r="D2199" s="95" t="s">
        <v>168</v>
      </c>
      <c r="E2199" s="95" t="s">
        <v>168</v>
      </c>
      <c r="F2199" s="95" t="s">
        <v>19</v>
      </c>
      <c r="G2199" s="95" t="s">
        <v>19</v>
      </c>
      <c r="H2199" s="95" t="s">
        <v>21</v>
      </c>
      <c r="I2199" s="95" t="s">
        <v>567</v>
      </c>
      <c r="J2199" s="97">
        <v>45975.67934811342</v>
      </c>
      <c r="K2199" s="96" t="s">
        <v>12347</v>
      </c>
      <c r="L2199" s="96" t="s">
        <v>12348</v>
      </c>
      <c r="M2199" s="95" t="s">
        <v>17</v>
      </c>
      <c r="N2199" s="95" t="s">
        <v>12349</v>
      </c>
      <c r="O2199" s="95" t="s">
        <v>12349</v>
      </c>
      <c r="P2199" s="95" t="s">
        <v>12350</v>
      </c>
      <c r="Q2199" s="98">
        <v>2.0</v>
      </c>
      <c r="R2199" s="97">
        <v>45903.07184027778</v>
      </c>
      <c r="S2199" s="99">
        <v>482.0</v>
      </c>
      <c r="T2199" s="99">
        <v>180.0</v>
      </c>
      <c r="U2199" s="99">
        <v>1.0</v>
      </c>
      <c r="V2199" s="99">
        <v>51.0</v>
      </c>
      <c r="W2199" s="99">
        <v>4556.0</v>
      </c>
    </row>
    <row r="2200" ht="15.75" customHeight="1">
      <c r="A2200" s="95" t="s">
        <v>12351</v>
      </c>
      <c r="B2200" s="95" t="s">
        <v>22</v>
      </c>
      <c r="C2200" s="96" t="s">
        <v>12352</v>
      </c>
      <c r="D2200" s="95" t="s">
        <v>124</v>
      </c>
      <c r="E2200" s="95" t="s">
        <v>983</v>
      </c>
      <c r="F2200" s="95" t="s">
        <v>19</v>
      </c>
      <c r="G2200" s="95" t="s">
        <v>19</v>
      </c>
      <c r="H2200" s="95" t="s">
        <v>21</v>
      </c>
      <c r="I2200" s="95" t="s">
        <v>567</v>
      </c>
      <c r="J2200" s="97">
        <v>46069.65910748843</v>
      </c>
      <c r="K2200" s="95" t="s">
        <v>12353</v>
      </c>
      <c r="L2200" s="96" t="s">
        <v>12354</v>
      </c>
      <c r="M2200" s="95" t="s">
        <v>93</v>
      </c>
      <c r="N2200" s="95" t="s">
        <v>12355</v>
      </c>
      <c r="O2200" s="95" t="s">
        <v>12355</v>
      </c>
      <c r="P2200" s="95" t="s">
        <v>12356</v>
      </c>
      <c r="Q2200" s="98">
        <v>2.0</v>
      </c>
      <c r="R2200" s="97">
        <v>46057.69828703703</v>
      </c>
      <c r="S2200" s="99">
        <v>335.0</v>
      </c>
      <c r="T2200" s="99">
        <v>12450.0</v>
      </c>
      <c r="U2200" s="99">
        <v>5.0</v>
      </c>
      <c r="V2200" s="99">
        <v>143.0</v>
      </c>
      <c r="W2200" s="99">
        <v>999999.0</v>
      </c>
    </row>
    <row r="2201" ht="15.75" customHeight="1">
      <c r="A2201" s="95" t="s">
        <v>12357</v>
      </c>
      <c r="B2201" s="95" t="s">
        <v>22</v>
      </c>
      <c r="C2201" s="96" t="s">
        <v>12358</v>
      </c>
      <c r="D2201" s="95" t="s">
        <v>20</v>
      </c>
      <c r="E2201" s="95" t="s">
        <v>638</v>
      </c>
      <c r="F2201" s="95" t="s">
        <v>19</v>
      </c>
      <c r="G2201" s="95" t="s">
        <v>588</v>
      </c>
      <c r="H2201" s="95" t="s">
        <v>21</v>
      </c>
      <c r="I2201" s="95" t="s">
        <v>677</v>
      </c>
      <c r="J2201" s="97">
        <v>46021.49308912037</v>
      </c>
      <c r="K2201" s="95" t="s">
        <v>12359</v>
      </c>
      <c r="L2201" s="96" t="s">
        <v>12360</v>
      </c>
      <c r="M2201" s="95" t="s">
        <v>28</v>
      </c>
      <c r="N2201" s="95" t="s">
        <v>12361</v>
      </c>
      <c r="O2201" s="95" t="s">
        <v>12361</v>
      </c>
      <c r="P2201" s="95" t="s">
        <v>12362</v>
      </c>
      <c r="Q2201" s="98">
        <v>2.0</v>
      </c>
      <c r="R2201" s="97">
        <v>45888.87121527778</v>
      </c>
      <c r="S2201" s="99">
        <v>165.0</v>
      </c>
      <c r="T2201" s="99">
        <v>15.0</v>
      </c>
      <c r="U2201" s="99">
        <v>4.0</v>
      </c>
      <c r="V2201" s="99">
        <v>102.0</v>
      </c>
      <c r="W2201" s="99">
        <v>5489.0</v>
      </c>
    </row>
    <row r="2202" ht="15.75" customHeight="1">
      <c r="A2202" s="95" t="s">
        <v>12363</v>
      </c>
      <c r="B2202" s="95" t="s">
        <v>22</v>
      </c>
      <c r="C2202" s="96" t="s">
        <v>12364</v>
      </c>
      <c r="D2202" s="95" t="s">
        <v>130</v>
      </c>
      <c r="E2202" s="95" t="s">
        <v>2109</v>
      </c>
      <c r="F2202" s="95" t="s">
        <v>19</v>
      </c>
      <c r="G2202" s="95" t="s">
        <v>588</v>
      </c>
      <c r="H2202" s="95" t="s">
        <v>21</v>
      </c>
      <c r="I2202" s="95" t="s">
        <v>567</v>
      </c>
      <c r="J2202" s="97">
        <v>45975.67934811342</v>
      </c>
      <c r="K2202" s="96" t="s">
        <v>12365</v>
      </c>
      <c r="L2202" s="96" t="s">
        <v>12366</v>
      </c>
      <c r="M2202" s="95" t="s">
        <v>17</v>
      </c>
      <c r="N2202" s="95" t="s">
        <v>6523</v>
      </c>
      <c r="O2202" s="95" t="s">
        <v>6523</v>
      </c>
      <c r="P2202" s="95" t="s">
        <v>6524</v>
      </c>
      <c r="Q2202" s="98">
        <v>2.0</v>
      </c>
      <c r="R2202" s="97">
        <v>45832.73567129629</v>
      </c>
      <c r="S2202" s="99">
        <v>2343.0</v>
      </c>
      <c r="T2202" s="99">
        <v>3.0</v>
      </c>
      <c r="U2202" s="99">
        <v>2.0</v>
      </c>
      <c r="V2202" s="99">
        <v>83.0</v>
      </c>
      <c r="W2202" s="99">
        <v>103450.0</v>
      </c>
    </row>
    <row r="2203" ht="15.75" customHeight="1">
      <c r="A2203" s="95" t="s">
        <v>12367</v>
      </c>
      <c r="B2203" s="95" t="s">
        <v>22</v>
      </c>
      <c r="C2203" s="96" t="s">
        <v>12368</v>
      </c>
      <c r="D2203" s="95" t="s">
        <v>130</v>
      </c>
      <c r="E2203" s="95" t="s">
        <v>2109</v>
      </c>
      <c r="F2203" s="95" t="s">
        <v>19</v>
      </c>
      <c r="G2203" s="95" t="s">
        <v>19</v>
      </c>
      <c r="H2203" s="95" t="s">
        <v>21</v>
      </c>
      <c r="I2203" s="95" t="s">
        <v>589</v>
      </c>
      <c r="J2203" s="97">
        <v>45975.67934811342</v>
      </c>
      <c r="K2203" s="96" t="s">
        <v>12369</v>
      </c>
      <c r="L2203" s="96" t="s">
        <v>12370</v>
      </c>
      <c r="M2203" s="95" t="s">
        <v>17</v>
      </c>
      <c r="N2203" s="95" t="s">
        <v>6523</v>
      </c>
      <c r="O2203" s="95" t="s">
        <v>6523</v>
      </c>
      <c r="P2203" s="95" t="s">
        <v>6524</v>
      </c>
      <c r="Q2203" s="98">
        <v>2.0</v>
      </c>
      <c r="R2203" s="97">
        <v>45833.8002662037</v>
      </c>
      <c r="S2203" s="99">
        <v>2343.0</v>
      </c>
      <c r="T2203" s="99">
        <v>10.0</v>
      </c>
      <c r="U2203" s="99">
        <v>1.0</v>
      </c>
      <c r="V2203" s="99">
        <v>20.0</v>
      </c>
      <c r="W2203" s="99">
        <v>103450.0</v>
      </c>
    </row>
    <row r="2204" ht="15.75" customHeight="1">
      <c r="A2204" s="95" t="s">
        <v>12371</v>
      </c>
      <c r="B2204" s="95" t="s">
        <v>22</v>
      </c>
      <c r="C2204" s="96" t="s">
        <v>12372</v>
      </c>
      <c r="D2204" s="95" t="s">
        <v>20</v>
      </c>
      <c r="E2204" s="95" t="s">
        <v>20</v>
      </c>
      <c r="F2204" s="95" t="s">
        <v>19</v>
      </c>
      <c r="G2204" s="95" t="s">
        <v>588</v>
      </c>
      <c r="H2204" s="95" t="s">
        <v>21</v>
      </c>
      <c r="I2204" s="95" t="s">
        <v>589</v>
      </c>
      <c r="J2204" s="97">
        <v>45993.7854622338</v>
      </c>
      <c r="K2204" s="96" t="s">
        <v>12373</v>
      </c>
      <c r="L2204" s="96" t="s">
        <v>12374</v>
      </c>
      <c r="M2204" s="95" t="s">
        <v>17</v>
      </c>
      <c r="N2204" s="95" t="s">
        <v>12375</v>
      </c>
      <c r="O2204" s="95" t="s">
        <v>12375</v>
      </c>
      <c r="P2204" s="95" t="s">
        <v>12376</v>
      </c>
      <c r="Q2204" s="98">
        <v>2.0</v>
      </c>
      <c r="R2204" s="97">
        <v>45734.2115162037</v>
      </c>
      <c r="S2204" s="99">
        <v>0.0</v>
      </c>
      <c r="T2204" s="99">
        <v>10.0</v>
      </c>
      <c r="U2204" s="99">
        <v>1.0</v>
      </c>
      <c r="V2204" s="99">
        <v>39.0</v>
      </c>
      <c r="W2204" s="99">
        <v>151841.0</v>
      </c>
    </row>
    <row r="2205" ht="15.75" customHeight="1">
      <c r="A2205" s="95" t="s">
        <v>12377</v>
      </c>
      <c r="B2205" s="95" t="s">
        <v>22</v>
      </c>
      <c r="C2205" s="96" t="s">
        <v>12378</v>
      </c>
      <c r="D2205" s="95" t="s">
        <v>29</v>
      </c>
      <c r="E2205" s="95" t="s">
        <v>598</v>
      </c>
      <c r="F2205" s="95" t="s">
        <v>19</v>
      </c>
      <c r="G2205" s="95" t="s">
        <v>19</v>
      </c>
      <c r="H2205" s="95" t="s">
        <v>21</v>
      </c>
      <c r="I2205" s="95" t="s">
        <v>589</v>
      </c>
      <c r="J2205" s="97">
        <v>46021.50993377315</v>
      </c>
      <c r="K2205" s="95" t="s">
        <v>12379</v>
      </c>
      <c r="L2205" s="96" t="s">
        <v>12380</v>
      </c>
      <c r="M2205" s="95" t="s">
        <v>503</v>
      </c>
      <c r="N2205" s="95" t="s">
        <v>12381</v>
      </c>
      <c r="O2205" s="95" t="s">
        <v>12381</v>
      </c>
      <c r="P2205" s="95" t="s">
        <v>12382</v>
      </c>
      <c r="Q2205" s="98">
        <v>2.0</v>
      </c>
      <c r="R2205" s="97">
        <v>45651.74642361111</v>
      </c>
      <c r="S2205" s="99">
        <v>380.0</v>
      </c>
      <c r="T2205" s="99">
        <v>5.0</v>
      </c>
      <c r="U2205" s="99">
        <v>1.0</v>
      </c>
      <c r="V2205" s="99">
        <v>15.0</v>
      </c>
      <c r="W2205" s="99">
        <v>7211.0</v>
      </c>
    </row>
    <row r="2206" ht="15.75" customHeight="1">
      <c r="A2206" s="95" t="s">
        <v>12383</v>
      </c>
      <c r="B2206" s="95" t="s">
        <v>22</v>
      </c>
      <c r="C2206" s="96" t="s">
        <v>12384</v>
      </c>
      <c r="D2206" s="95" t="s">
        <v>59</v>
      </c>
      <c r="E2206" s="95" t="s">
        <v>738</v>
      </c>
      <c r="F2206" s="95" t="s">
        <v>19</v>
      </c>
      <c r="G2206" s="95" t="s">
        <v>19</v>
      </c>
      <c r="H2206" s="95" t="s">
        <v>21</v>
      </c>
      <c r="I2206" s="95" t="s">
        <v>567</v>
      </c>
      <c r="J2206" s="97">
        <v>45975.67932418981</v>
      </c>
      <c r="K2206" s="96" t="s">
        <v>12385</v>
      </c>
      <c r="L2206" s="95"/>
      <c r="M2206" s="95" t="s">
        <v>93</v>
      </c>
      <c r="N2206" s="95" t="s">
        <v>12386</v>
      </c>
      <c r="O2206" s="95" t="s">
        <v>12386</v>
      </c>
      <c r="P2206" s="95" t="s">
        <v>12387</v>
      </c>
      <c r="Q2206" s="98">
        <v>2.0</v>
      </c>
      <c r="R2206" s="97">
        <v>45762.17546296296</v>
      </c>
      <c r="S2206" s="99">
        <v>4808.0</v>
      </c>
      <c r="T2206" s="99">
        <v>125.0</v>
      </c>
      <c r="U2206" s="99">
        <v>73.0</v>
      </c>
      <c r="V2206" s="99">
        <v>118.0</v>
      </c>
      <c r="W2206" s="99">
        <v>106119.0</v>
      </c>
    </row>
    <row r="2207" ht="15.75" customHeight="1">
      <c r="A2207" s="95" t="s">
        <v>12388</v>
      </c>
      <c r="B2207" s="95" t="s">
        <v>69</v>
      </c>
      <c r="C2207" s="96" t="s">
        <v>12389</v>
      </c>
      <c r="D2207" s="95" t="s">
        <v>59</v>
      </c>
      <c r="E2207" s="95" t="s">
        <v>738</v>
      </c>
      <c r="F2207" s="95" t="s">
        <v>88</v>
      </c>
      <c r="G2207" s="95" t="s">
        <v>6225</v>
      </c>
      <c r="H2207" s="95" t="s">
        <v>89</v>
      </c>
      <c r="I2207" s="95" t="s">
        <v>640</v>
      </c>
      <c r="J2207" s="97">
        <v>46069.13581600694</v>
      </c>
      <c r="K2207" s="95" t="s">
        <v>12390</v>
      </c>
      <c r="L2207" s="96" t="s">
        <v>12391</v>
      </c>
      <c r="M2207" s="95" t="s">
        <v>93</v>
      </c>
      <c r="N2207" s="95" t="s">
        <v>12386</v>
      </c>
      <c r="O2207" s="95" t="s">
        <v>12386</v>
      </c>
      <c r="P2207" s="95" t="s">
        <v>12387</v>
      </c>
      <c r="Q2207" s="98">
        <v>2.0</v>
      </c>
      <c r="R2207" s="97">
        <v>45968.27293981481</v>
      </c>
      <c r="S2207" s="99">
        <v>4808.0</v>
      </c>
      <c r="T2207" s="99">
        <v>1011.0</v>
      </c>
      <c r="U2207" s="99">
        <v>10.0</v>
      </c>
      <c r="V2207" s="99">
        <v>126.0</v>
      </c>
      <c r="W2207" s="99">
        <v>106119.0</v>
      </c>
    </row>
    <row r="2208" ht="15.75" customHeight="1">
      <c r="A2208" s="95" t="s">
        <v>12392</v>
      </c>
      <c r="B2208" s="95" t="s">
        <v>22</v>
      </c>
      <c r="C2208" s="96" t="s">
        <v>12393</v>
      </c>
      <c r="D2208" s="95" t="s">
        <v>20</v>
      </c>
      <c r="E2208" s="95" t="s">
        <v>12394</v>
      </c>
      <c r="F2208" s="95" t="s">
        <v>19</v>
      </c>
      <c r="G2208" s="95" t="s">
        <v>19</v>
      </c>
      <c r="H2208" s="95" t="s">
        <v>21</v>
      </c>
      <c r="I2208" s="95" t="s">
        <v>567</v>
      </c>
      <c r="J2208" s="97">
        <v>46021.49584533564</v>
      </c>
      <c r="K2208" s="95" t="s">
        <v>12395</v>
      </c>
      <c r="L2208" s="96" t="s">
        <v>12396</v>
      </c>
      <c r="M2208" s="95" t="s">
        <v>28</v>
      </c>
      <c r="N2208" s="95" t="s">
        <v>12397</v>
      </c>
      <c r="O2208" s="95" t="s">
        <v>12397</v>
      </c>
      <c r="P2208" s="95" t="s">
        <v>12398</v>
      </c>
      <c r="Q2208" s="98">
        <v>2.0</v>
      </c>
      <c r="R2208" s="97">
        <v>45839.67320601852</v>
      </c>
      <c r="S2208" s="99">
        <v>130.0</v>
      </c>
      <c r="T2208" s="99">
        <v>50.0</v>
      </c>
      <c r="U2208" s="99">
        <v>5.0</v>
      </c>
      <c r="V2208" s="99">
        <v>35.0</v>
      </c>
      <c r="W2208" s="99">
        <v>104464.0</v>
      </c>
    </row>
    <row r="2209" ht="15.75" customHeight="1">
      <c r="A2209" s="95" t="s">
        <v>12399</v>
      </c>
      <c r="B2209" s="95" t="s">
        <v>22</v>
      </c>
      <c r="C2209" s="96" t="s">
        <v>12400</v>
      </c>
      <c r="D2209" s="95" t="s">
        <v>39</v>
      </c>
      <c r="E2209" s="95" t="s">
        <v>1201</v>
      </c>
      <c r="F2209" s="95" t="s">
        <v>19</v>
      </c>
      <c r="G2209" s="95" t="s">
        <v>19</v>
      </c>
      <c r="H2209" s="95" t="s">
        <v>21</v>
      </c>
      <c r="I2209" s="95" t="s">
        <v>589</v>
      </c>
      <c r="J2209" s="97">
        <v>46021.50597040509</v>
      </c>
      <c r="K2209" s="95" t="s">
        <v>12401</v>
      </c>
      <c r="L2209" s="96" t="s">
        <v>12402</v>
      </c>
      <c r="M2209" s="95" t="s">
        <v>74</v>
      </c>
      <c r="N2209" s="95" t="s">
        <v>6599</v>
      </c>
      <c r="O2209" s="95" t="s">
        <v>6599</v>
      </c>
      <c r="P2209" s="95" t="s">
        <v>6600</v>
      </c>
      <c r="Q2209" s="98">
        <v>2.0</v>
      </c>
      <c r="R2209" s="97">
        <v>45881.69255787037</v>
      </c>
      <c r="S2209" s="99">
        <v>1277.0</v>
      </c>
      <c r="T2209" s="99">
        <v>61.0</v>
      </c>
      <c r="U2209" s="99">
        <v>3.0</v>
      </c>
      <c r="V2209" s="99">
        <v>134.0</v>
      </c>
      <c r="W2209" s="99">
        <v>24731.0</v>
      </c>
    </row>
    <row r="2210" ht="15.75" customHeight="1">
      <c r="A2210" s="95" t="s">
        <v>12403</v>
      </c>
      <c r="B2210" s="95" t="s">
        <v>22</v>
      </c>
      <c r="C2210" s="96" t="s">
        <v>12404</v>
      </c>
      <c r="D2210" s="95" t="s">
        <v>39</v>
      </c>
      <c r="E2210" s="95" t="s">
        <v>960</v>
      </c>
      <c r="F2210" s="95" t="s">
        <v>19</v>
      </c>
      <c r="G2210" s="95" t="s">
        <v>19</v>
      </c>
      <c r="H2210" s="95" t="s">
        <v>21</v>
      </c>
      <c r="I2210" s="95" t="s">
        <v>589</v>
      </c>
      <c r="J2210" s="97">
        <v>46021.50597040509</v>
      </c>
      <c r="K2210" s="95" t="s">
        <v>12405</v>
      </c>
      <c r="L2210" s="96" t="s">
        <v>12406</v>
      </c>
      <c r="M2210" s="95" t="s">
        <v>74</v>
      </c>
      <c r="N2210" s="95" t="s">
        <v>6599</v>
      </c>
      <c r="O2210" s="95" t="s">
        <v>6599</v>
      </c>
      <c r="P2210" s="95" t="s">
        <v>6600</v>
      </c>
      <c r="Q2210" s="98">
        <v>2.0</v>
      </c>
      <c r="R2210" s="97">
        <v>45869.47694444445</v>
      </c>
      <c r="S2210" s="99">
        <v>1277.0</v>
      </c>
      <c r="T2210" s="99">
        <v>49.0</v>
      </c>
      <c r="U2210" s="99">
        <v>10.0</v>
      </c>
      <c r="V2210" s="99">
        <v>71.0</v>
      </c>
      <c r="W2210" s="99">
        <v>24731.0</v>
      </c>
    </row>
    <row r="2211" ht="15.75" customHeight="1">
      <c r="A2211" s="95" t="s">
        <v>12407</v>
      </c>
      <c r="B2211" s="95" t="s">
        <v>22</v>
      </c>
      <c r="C2211" s="96" t="s">
        <v>12408</v>
      </c>
      <c r="D2211" s="95" t="s">
        <v>20</v>
      </c>
      <c r="E2211" s="95" t="s">
        <v>638</v>
      </c>
      <c r="F2211" s="95" t="s">
        <v>19</v>
      </c>
      <c r="G2211" s="95" t="s">
        <v>19</v>
      </c>
      <c r="H2211" s="95" t="s">
        <v>21</v>
      </c>
      <c r="I2211" s="95" t="s">
        <v>567</v>
      </c>
      <c r="J2211" s="97">
        <v>46056.9370691088</v>
      </c>
      <c r="K2211" s="95" t="s">
        <v>12409</v>
      </c>
      <c r="L2211" s="96" t="s">
        <v>12410</v>
      </c>
      <c r="M2211" s="95" t="s">
        <v>74</v>
      </c>
      <c r="N2211" s="95" t="s">
        <v>12411</v>
      </c>
      <c r="O2211" s="95" t="s">
        <v>12411</v>
      </c>
      <c r="P2211" s="95" t="s">
        <v>12412</v>
      </c>
      <c r="Q2211" s="98">
        <v>2.0</v>
      </c>
      <c r="R2211" s="97">
        <v>45631.90123842593</v>
      </c>
      <c r="S2211" s="99">
        <v>2872.0</v>
      </c>
      <c r="T2211" s="99">
        <v>2.0</v>
      </c>
      <c r="U2211" s="99">
        <v>2.0</v>
      </c>
      <c r="V2211" s="99">
        <v>164.0</v>
      </c>
      <c r="W2211" s="95"/>
    </row>
    <row r="2212" ht="15.75" customHeight="1">
      <c r="A2212" s="95" t="s">
        <v>12413</v>
      </c>
      <c r="B2212" s="95" t="s">
        <v>131</v>
      </c>
      <c r="C2212" s="96" t="s">
        <v>12414</v>
      </c>
      <c r="D2212" s="95" t="s">
        <v>39</v>
      </c>
      <c r="E2212" s="95" t="s">
        <v>39</v>
      </c>
      <c r="F2212" s="95" t="s">
        <v>19</v>
      </c>
      <c r="G2212" s="95" t="s">
        <v>19</v>
      </c>
      <c r="H2212" s="95" t="s">
        <v>21</v>
      </c>
      <c r="I2212" s="95" t="s">
        <v>647</v>
      </c>
      <c r="J2212" s="97">
        <v>46006.69430310185</v>
      </c>
      <c r="K2212" s="95" t="s">
        <v>12415</v>
      </c>
      <c r="L2212" s="95"/>
      <c r="M2212" s="95" t="s">
        <v>28</v>
      </c>
      <c r="N2212" s="95" t="s">
        <v>12416</v>
      </c>
      <c r="O2212" s="95" t="s">
        <v>12416</v>
      </c>
      <c r="P2212" s="95" t="s">
        <v>12417</v>
      </c>
      <c r="Q2212" s="98">
        <v>2.0</v>
      </c>
      <c r="R2212" s="97">
        <v>45764.72706018519</v>
      </c>
      <c r="S2212" s="99">
        <v>3557.0</v>
      </c>
      <c r="T2212" s="99">
        <v>27.0</v>
      </c>
      <c r="U2212" s="99">
        <v>3.0</v>
      </c>
      <c r="V2212" s="99">
        <v>109.0</v>
      </c>
      <c r="W2212" s="99">
        <v>114350.0</v>
      </c>
    </row>
    <row r="2213" ht="15.75" customHeight="1">
      <c r="A2213" s="95" t="s">
        <v>12418</v>
      </c>
      <c r="B2213" s="95" t="s">
        <v>22</v>
      </c>
      <c r="C2213" s="96" t="s">
        <v>12419</v>
      </c>
      <c r="D2213" s="95" t="s">
        <v>168</v>
      </c>
      <c r="E2213" s="95" t="s">
        <v>606</v>
      </c>
      <c r="F2213" s="95" t="s">
        <v>19</v>
      </c>
      <c r="G2213" s="95" t="s">
        <v>19</v>
      </c>
      <c r="H2213" s="95" t="s">
        <v>21</v>
      </c>
      <c r="I2213" s="95" t="s">
        <v>589</v>
      </c>
      <c r="J2213" s="97">
        <v>46008.62904714121</v>
      </c>
      <c r="K2213" s="96" t="s">
        <v>12420</v>
      </c>
      <c r="L2213" s="96" t="s">
        <v>12421</v>
      </c>
      <c r="M2213" s="95" t="s">
        <v>17</v>
      </c>
      <c r="N2213" s="95" t="s">
        <v>12422</v>
      </c>
      <c r="O2213" s="95" t="s">
        <v>12422</v>
      </c>
      <c r="P2213" s="95" t="s">
        <v>12423</v>
      </c>
      <c r="Q2213" s="98">
        <v>2.0</v>
      </c>
      <c r="R2213" s="97">
        <v>45750.52185185185</v>
      </c>
      <c r="S2213" s="99">
        <v>399.0</v>
      </c>
      <c r="T2213" s="99">
        <v>9.0</v>
      </c>
      <c r="U2213" s="99">
        <v>4.0</v>
      </c>
      <c r="V2213" s="99">
        <v>45.0</v>
      </c>
      <c r="W2213" s="99">
        <v>222106.0</v>
      </c>
    </row>
    <row r="2214" ht="15.75" customHeight="1">
      <c r="A2214" s="95" t="s">
        <v>12424</v>
      </c>
      <c r="B2214" s="95" t="s">
        <v>22</v>
      </c>
      <c r="C2214" s="96" t="s">
        <v>12425</v>
      </c>
      <c r="D2214" s="95" t="s">
        <v>39</v>
      </c>
      <c r="E2214" s="95" t="s">
        <v>39</v>
      </c>
      <c r="F2214" s="95" t="s">
        <v>19</v>
      </c>
      <c r="G2214" s="95" t="s">
        <v>19</v>
      </c>
      <c r="H2214" s="95" t="s">
        <v>21</v>
      </c>
      <c r="I2214" s="95" t="s">
        <v>567</v>
      </c>
      <c r="J2214" s="97">
        <v>46021.51275217593</v>
      </c>
      <c r="K2214" s="95" t="s">
        <v>12426</v>
      </c>
      <c r="L2214" s="96" t="s">
        <v>12427</v>
      </c>
      <c r="M2214" s="95" t="s">
        <v>28</v>
      </c>
      <c r="N2214" s="95" t="s">
        <v>6611</v>
      </c>
      <c r="O2214" s="95" t="s">
        <v>6611</v>
      </c>
      <c r="P2214" s="95" t="s">
        <v>6612</v>
      </c>
      <c r="Q2214" s="98">
        <v>2.0</v>
      </c>
      <c r="R2214" s="97">
        <v>45744.61737268518</v>
      </c>
      <c r="S2214" s="99">
        <v>957.0</v>
      </c>
      <c r="T2214" s="99">
        <v>711.0</v>
      </c>
      <c r="U2214" s="99">
        <v>5.0</v>
      </c>
      <c r="V2214" s="99">
        <v>92.0</v>
      </c>
      <c r="W2214" s="99">
        <v>745184.0</v>
      </c>
    </row>
    <row r="2215" ht="15.75" customHeight="1">
      <c r="A2215" s="95" t="s">
        <v>12428</v>
      </c>
      <c r="B2215" s="95" t="s">
        <v>22</v>
      </c>
      <c r="C2215" s="96" t="s">
        <v>12429</v>
      </c>
      <c r="D2215" s="95" t="s">
        <v>39</v>
      </c>
      <c r="E2215" s="95" t="s">
        <v>39</v>
      </c>
      <c r="F2215" s="95" t="s">
        <v>19</v>
      </c>
      <c r="G2215" s="95" t="s">
        <v>19</v>
      </c>
      <c r="H2215" s="95" t="s">
        <v>21</v>
      </c>
      <c r="I2215" s="95" t="s">
        <v>589</v>
      </c>
      <c r="J2215" s="97">
        <v>45975.67939547454</v>
      </c>
      <c r="K2215" s="96" t="s">
        <v>12430</v>
      </c>
      <c r="L2215" s="96" t="s">
        <v>12431</v>
      </c>
      <c r="M2215" s="95" t="s">
        <v>74</v>
      </c>
      <c r="N2215" s="95" t="s">
        <v>12432</v>
      </c>
      <c r="O2215" s="95" t="s">
        <v>12432</v>
      </c>
      <c r="P2215" s="95" t="s">
        <v>12433</v>
      </c>
      <c r="Q2215" s="98">
        <v>2.0</v>
      </c>
      <c r="R2215" s="97">
        <v>45745.78444444444</v>
      </c>
      <c r="S2215" s="99">
        <v>5875.0</v>
      </c>
      <c r="T2215" s="99">
        <v>63.0</v>
      </c>
      <c r="U2215" s="99">
        <v>1.0</v>
      </c>
      <c r="V2215" s="99">
        <v>24.0</v>
      </c>
      <c r="W2215" s="99">
        <v>4029.0</v>
      </c>
    </row>
    <row r="2216" ht="15.75" customHeight="1">
      <c r="A2216" s="95" t="s">
        <v>12434</v>
      </c>
      <c r="B2216" s="95" t="s">
        <v>22</v>
      </c>
      <c r="C2216" s="96" t="s">
        <v>12435</v>
      </c>
      <c r="D2216" s="95" t="s">
        <v>547</v>
      </c>
      <c r="E2216" s="95" t="s">
        <v>6326</v>
      </c>
      <c r="F2216" s="95" t="s">
        <v>19</v>
      </c>
      <c r="G2216" s="95" t="s">
        <v>19</v>
      </c>
      <c r="H2216" s="95" t="s">
        <v>21</v>
      </c>
      <c r="I2216" s="95" t="s">
        <v>567</v>
      </c>
      <c r="J2216" s="97">
        <v>45975.67934811342</v>
      </c>
      <c r="K2216" s="96" t="s">
        <v>12436</v>
      </c>
      <c r="L2216" s="96" t="s">
        <v>12437</v>
      </c>
      <c r="M2216" s="95" t="s">
        <v>17</v>
      </c>
      <c r="N2216" s="95" t="s">
        <v>12438</v>
      </c>
      <c r="O2216" s="95" t="s">
        <v>12438</v>
      </c>
      <c r="P2216" s="95" t="s">
        <v>12439</v>
      </c>
      <c r="Q2216" s="98">
        <v>2.0</v>
      </c>
      <c r="R2216" s="97">
        <v>45852.61813657408</v>
      </c>
      <c r="S2216" s="99">
        <v>16799.0</v>
      </c>
      <c r="T2216" s="99">
        <v>6.0</v>
      </c>
      <c r="U2216" s="99">
        <v>3.0</v>
      </c>
      <c r="V2216" s="99">
        <v>124.0</v>
      </c>
      <c r="W2216" s="99">
        <v>118385.0</v>
      </c>
    </row>
    <row r="2217" ht="15.75" customHeight="1">
      <c r="A2217" s="95" t="s">
        <v>12440</v>
      </c>
      <c r="B2217" s="95" t="s">
        <v>22</v>
      </c>
      <c r="C2217" s="96" t="s">
        <v>12441</v>
      </c>
      <c r="D2217" s="95" t="s">
        <v>20</v>
      </c>
      <c r="E2217" s="95" t="s">
        <v>1991</v>
      </c>
      <c r="F2217" s="95" t="s">
        <v>19</v>
      </c>
      <c r="G2217" s="95" t="s">
        <v>19</v>
      </c>
      <c r="H2217" s="95" t="s">
        <v>21</v>
      </c>
      <c r="I2217" s="95" t="s">
        <v>567</v>
      </c>
      <c r="J2217" s="97">
        <v>45977.67451454861</v>
      </c>
      <c r="K2217" s="95" t="s">
        <v>12442</v>
      </c>
      <c r="L2217" s="95"/>
      <c r="M2217" s="95" t="s">
        <v>105</v>
      </c>
      <c r="N2217" s="95" t="s">
        <v>12443</v>
      </c>
      <c r="O2217" s="95" t="s">
        <v>12443</v>
      </c>
      <c r="P2217" s="95" t="s">
        <v>12444</v>
      </c>
      <c r="Q2217" s="98">
        <v>2.0</v>
      </c>
      <c r="R2217" s="97">
        <v>45678.92207175926</v>
      </c>
      <c r="S2217" s="99">
        <v>22986.0</v>
      </c>
      <c r="T2217" s="99">
        <v>10.0</v>
      </c>
      <c r="U2217" s="99">
        <v>1.0</v>
      </c>
      <c r="V2217" s="99">
        <v>33.0</v>
      </c>
      <c r="W2217" s="99">
        <v>155377.0</v>
      </c>
    </row>
    <row r="2218" ht="15.75" customHeight="1">
      <c r="A2218" s="95" t="s">
        <v>12445</v>
      </c>
      <c r="B2218" s="95" t="s">
        <v>22</v>
      </c>
      <c r="C2218" s="96" t="s">
        <v>12446</v>
      </c>
      <c r="D2218" s="95" t="s">
        <v>20</v>
      </c>
      <c r="E2218" s="95" t="s">
        <v>1991</v>
      </c>
      <c r="F2218" s="95" t="s">
        <v>19</v>
      </c>
      <c r="G2218" s="95" t="s">
        <v>19</v>
      </c>
      <c r="H2218" s="95" t="s">
        <v>21</v>
      </c>
      <c r="I2218" s="95" t="s">
        <v>567</v>
      </c>
      <c r="J2218" s="97">
        <v>45975.67930055556</v>
      </c>
      <c r="K2218" s="96" t="s">
        <v>12447</v>
      </c>
      <c r="L2218" s="96" t="s">
        <v>12448</v>
      </c>
      <c r="M2218" s="95" t="s">
        <v>105</v>
      </c>
      <c r="N2218" s="95" t="s">
        <v>12443</v>
      </c>
      <c r="O2218" s="95" t="s">
        <v>12443</v>
      </c>
      <c r="P2218" s="95" t="s">
        <v>12444</v>
      </c>
      <c r="Q2218" s="98">
        <v>2.0</v>
      </c>
      <c r="R2218" s="97">
        <v>45428.96640046296</v>
      </c>
      <c r="S2218" s="99">
        <v>22986.0</v>
      </c>
      <c r="T2218" s="99">
        <v>387.0</v>
      </c>
      <c r="U2218" s="99">
        <v>1.0</v>
      </c>
      <c r="V2218" s="99">
        <v>51.0</v>
      </c>
      <c r="W2218" s="99">
        <v>155377.0</v>
      </c>
    </row>
    <row r="2219" ht="15.75" customHeight="1">
      <c r="A2219" s="95" t="s">
        <v>12449</v>
      </c>
      <c r="B2219" s="95" t="s">
        <v>157</v>
      </c>
      <c r="C2219" s="96" t="s">
        <v>12450</v>
      </c>
      <c r="D2219" s="95" t="s">
        <v>20</v>
      </c>
      <c r="E2219" s="95" t="s">
        <v>1991</v>
      </c>
      <c r="F2219" s="95" t="s">
        <v>88</v>
      </c>
      <c r="G2219" s="95" t="s">
        <v>88</v>
      </c>
      <c r="H2219" s="95" t="s">
        <v>89</v>
      </c>
      <c r="I2219" s="95" t="s">
        <v>897</v>
      </c>
      <c r="J2219" s="97">
        <v>45975.67930055556</v>
      </c>
      <c r="K2219" s="96" t="s">
        <v>12451</v>
      </c>
      <c r="L2219" s="96" t="s">
        <v>12452</v>
      </c>
      <c r="M2219" s="95" t="s">
        <v>105</v>
      </c>
      <c r="N2219" s="95" t="s">
        <v>12443</v>
      </c>
      <c r="O2219" s="95" t="s">
        <v>12443</v>
      </c>
      <c r="P2219" s="95" t="s">
        <v>12444</v>
      </c>
      <c r="Q2219" s="98">
        <v>2.0</v>
      </c>
      <c r="R2219" s="97">
        <v>45674.77530092592</v>
      </c>
      <c r="S2219" s="99">
        <v>22986.0</v>
      </c>
      <c r="T2219" s="99">
        <v>34.0</v>
      </c>
      <c r="U2219" s="99">
        <v>2.0</v>
      </c>
      <c r="V2219" s="99">
        <v>78.0</v>
      </c>
      <c r="W2219" s="99">
        <v>155377.0</v>
      </c>
    </row>
    <row r="2220" ht="15.75" customHeight="1">
      <c r="A2220" s="95" t="s">
        <v>12453</v>
      </c>
      <c r="B2220" s="95" t="s">
        <v>22</v>
      </c>
      <c r="C2220" s="96" t="s">
        <v>12454</v>
      </c>
      <c r="D2220" s="95" t="s">
        <v>20</v>
      </c>
      <c r="E2220" s="95" t="s">
        <v>638</v>
      </c>
      <c r="F2220" s="95" t="s">
        <v>19</v>
      </c>
      <c r="G2220" s="95" t="s">
        <v>19</v>
      </c>
      <c r="H2220" s="95" t="s">
        <v>21</v>
      </c>
      <c r="I2220" s="95" t="s">
        <v>567</v>
      </c>
      <c r="J2220" s="97">
        <v>46069.66215004629</v>
      </c>
      <c r="K2220" s="95" t="s">
        <v>12455</v>
      </c>
      <c r="L2220" s="96" t="s">
        <v>12456</v>
      </c>
      <c r="M2220" s="95" t="s">
        <v>74</v>
      </c>
      <c r="N2220" s="95" t="s">
        <v>12457</v>
      </c>
      <c r="O2220" s="95" t="s">
        <v>12457</v>
      </c>
      <c r="P2220" s="95" t="s">
        <v>12458</v>
      </c>
      <c r="Q2220" s="98">
        <v>2.0</v>
      </c>
      <c r="R2220" s="97">
        <v>45601.69170138889</v>
      </c>
      <c r="S2220" s="99">
        <v>11625.0</v>
      </c>
      <c r="T2220" s="99">
        <v>8.0</v>
      </c>
      <c r="U2220" s="99">
        <v>2.0</v>
      </c>
      <c r="V2220" s="99">
        <v>70.0</v>
      </c>
      <c r="W2220" s="99">
        <v>52756.0</v>
      </c>
    </row>
    <row r="2221" ht="15.75" customHeight="1">
      <c r="A2221" s="95" t="s">
        <v>12459</v>
      </c>
      <c r="B2221" s="95" t="s">
        <v>22</v>
      </c>
      <c r="C2221" s="96" t="s">
        <v>12460</v>
      </c>
      <c r="D2221" s="95" t="s">
        <v>168</v>
      </c>
      <c r="E2221" s="95" t="s">
        <v>1228</v>
      </c>
      <c r="F2221" s="95" t="s">
        <v>19</v>
      </c>
      <c r="G2221" s="95" t="s">
        <v>588</v>
      </c>
      <c r="H2221" s="95" t="s">
        <v>21</v>
      </c>
      <c r="I2221" s="95" t="s">
        <v>677</v>
      </c>
      <c r="J2221" s="97">
        <v>45975.67934811342</v>
      </c>
      <c r="K2221" s="96" t="s">
        <v>12461</v>
      </c>
      <c r="L2221" s="96" t="s">
        <v>12462</v>
      </c>
      <c r="M2221" s="95" t="s">
        <v>17</v>
      </c>
      <c r="N2221" s="95" t="s">
        <v>6737</v>
      </c>
      <c r="O2221" s="95" t="s">
        <v>6737</v>
      </c>
      <c r="P2221" s="95" t="s">
        <v>6738</v>
      </c>
      <c r="Q2221" s="98">
        <v>2.0</v>
      </c>
      <c r="R2221" s="97">
        <v>45771.84990740741</v>
      </c>
      <c r="S2221" s="99">
        <v>10358.0</v>
      </c>
      <c r="T2221" s="99">
        <v>31.0</v>
      </c>
      <c r="U2221" s="99">
        <v>8.0</v>
      </c>
      <c r="V2221" s="99">
        <v>70.0</v>
      </c>
      <c r="W2221" s="99">
        <v>130817.0</v>
      </c>
    </row>
    <row r="2222" ht="15.75" customHeight="1">
      <c r="A2222" s="95" t="s">
        <v>12463</v>
      </c>
      <c r="B2222" s="95" t="s">
        <v>22</v>
      </c>
      <c r="C2222" s="96" t="s">
        <v>12464</v>
      </c>
      <c r="D2222" s="95" t="s">
        <v>168</v>
      </c>
      <c r="E2222" s="95" t="s">
        <v>1228</v>
      </c>
      <c r="F2222" s="95" t="s">
        <v>19</v>
      </c>
      <c r="G2222" s="95" t="s">
        <v>19</v>
      </c>
      <c r="H2222" s="95" t="s">
        <v>21</v>
      </c>
      <c r="I2222" s="95" t="s">
        <v>567</v>
      </c>
      <c r="J2222" s="97">
        <v>45975.67934811342</v>
      </c>
      <c r="K2222" s="96" t="s">
        <v>12465</v>
      </c>
      <c r="L2222" s="96" t="s">
        <v>12466</v>
      </c>
      <c r="M2222" s="95" t="s">
        <v>17</v>
      </c>
      <c r="N2222" s="95" t="s">
        <v>6737</v>
      </c>
      <c r="O2222" s="95" t="s">
        <v>6737</v>
      </c>
      <c r="P2222" s="95" t="s">
        <v>6738</v>
      </c>
      <c r="Q2222" s="98">
        <v>2.0</v>
      </c>
      <c r="R2222" s="97">
        <v>45785.15115740741</v>
      </c>
      <c r="S2222" s="99">
        <v>10358.0</v>
      </c>
      <c r="T2222" s="99">
        <v>75.0</v>
      </c>
      <c r="U2222" s="99">
        <v>1.0</v>
      </c>
      <c r="V2222" s="99">
        <v>49.0</v>
      </c>
      <c r="W2222" s="99">
        <v>130817.0</v>
      </c>
    </row>
    <row r="2223" ht="15.75" customHeight="1">
      <c r="A2223" s="95" t="s">
        <v>12467</v>
      </c>
      <c r="B2223" s="95" t="s">
        <v>22</v>
      </c>
      <c r="C2223" s="96" t="s">
        <v>12468</v>
      </c>
      <c r="D2223" s="95" t="s">
        <v>29</v>
      </c>
      <c r="E2223" s="95" t="s">
        <v>598</v>
      </c>
      <c r="F2223" s="95" t="s">
        <v>19</v>
      </c>
      <c r="G2223" s="95" t="s">
        <v>19</v>
      </c>
      <c r="H2223" s="95" t="s">
        <v>21</v>
      </c>
      <c r="I2223" s="95" t="s">
        <v>567</v>
      </c>
      <c r="J2223" s="97">
        <v>46021.50597040509</v>
      </c>
      <c r="K2223" s="95" t="s">
        <v>12469</v>
      </c>
      <c r="L2223" s="96" t="s">
        <v>12470</v>
      </c>
      <c r="M2223" s="95" t="s">
        <v>67</v>
      </c>
      <c r="N2223" s="95" t="s">
        <v>12471</v>
      </c>
      <c r="O2223" s="95" t="s">
        <v>12471</v>
      </c>
      <c r="P2223" s="95" t="s">
        <v>12472</v>
      </c>
      <c r="Q2223" s="98">
        <v>2.0</v>
      </c>
      <c r="R2223" s="97">
        <v>45858.43129629629</v>
      </c>
      <c r="S2223" s="99">
        <v>88.0</v>
      </c>
      <c r="T2223" s="99">
        <v>32.0</v>
      </c>
      <c r="U2223" s="99">
        <v>3.0</v>
      </c>
      <c r="V2223" s="99">
        <v>82.0</v>
      </c>
      <c r="W2223" s="99">
        <v>8685.0</v>
      </c>
    </row>
    <row r="2224" ht="15.75" customHeight="1">
      <c r="A2224" s="95" t="s">
        <v>12473</v>
      </c>
      <c r="B2224" s="95" t="s">
        <v>22</v>
      </c>
      <c r="C2224" s="96" t="s">
        <v>12474</v>
      </c>
      <c r="D2224" s="95" t="s">
        <v>39</v>
      </c>
      <c r="E2224" s="95" t="s">
        <v>39</v>
      </c>
      <c r="F2224" s="95" t="s">
        <v>19</v>
      </c>
      <c r="G2224" s="95" t="s">
        <v>19</v>
      </c>
      <c r="H2224" s="95" t="s">
        <v>21</v>
      </c>
      <c r="I2224" s="95" t="s">
        <v>567</v>
      </c>
      <c r="J2224" s="97">
        <v>46042.61527111111</v>
      </c>
      <c r="K2224" s="95" t="s">
        <v>12475</v>
      </c>
      <c r="L2224" s="96" t="s">
        <v>12476</v>
      </c>
      <c r="M2224" s="95" t="s">
        <v>503</v>
      </c>
      <c r="N2224" s="95" t="s">
        <v>12477</v>
      </c>
      <c r="O2224" s="95" t="s">
        <v>12477</v>
      </c>
      <c r="P2224" s="95" t="s">
        <v>12478</v>
      </c>
      <c r="Q2224" s="98">
        <v>2.0</v>
      </c>
      <c r="R2224" s="97">
        <v>45754.69300925926</v>
      </c>
      <c r="S2224" s="99">
        <v>16355.0</v>
      </c>
      <c r="T2224" s="99">
        <v>20.0</v>
      </c>
      <c r="U2224" s="99">
        <v>2.0</v>
      </c>
      <c r="V2224" s="99">
        <v>28.0</v>
      </c>
      <c r="W2224" s="99">
        <v>18006.0</v>
      </c>
    </row>
    <row r="2225" ht="15.75" customHeight="1">
      <c r="A2225" s="95" t="s">
        <v>12479</v>
      </c>
      <c r="B2225" s="95" t="s">
        <v>22</v>
      </c>
      <c r="C2225" s="96" t="s">
        <v>12480</v>
      </c>
      <c r="D2225" s="95" t="s">
        <v>20</v>
      </c>
      <c r="E2225" s="95" t="s">
        <v>638</v>
      </c>
      <c r="F2225" s="95" t="s">
        <v>19</v>
      </c>
      <c r="G2225" s="95" t="s">
        <v>19</v>
      </c>
      <c r="H2225" s="95" t="s">
        <v>21</v>
      </c>
      <c r="I2225" s="95" t="s">
        <v>567</v>
      </c>
      <c r="J2225" s="97">
        <v>45993.7854622338</v>
      </c>
      <c r="K2225" s="96" t="s">
        <v>12481</v>
      </c>
      <c r="L2225" s="96" t="s">
        <v>12482</v>
      </c>
      <c r="M2225" s="95" t="s">
        <v>17</v>
      </c>
      <c r="N2225" s="95" t="s">
        <v>12483</v>
      </c>
      <c r="O2225" s="95" t="s">
        <v>12483</v>
      </c>
      <c r="P2225" s="95" t="s">
        <v>12484</v>
      </c>
      <c r="Q2225" s="98">
        <v>2.0</v>
      </c>
      <c r="R2225" s="97">
        <v>45902.34939814815</v>
      </c>
      <c r="S2225" s="99">
        <v>74.0</v>
      </c>
      <c r="T2225" s="99">
        <v>14.0</v>
      </c>
      <c r="U2225" s="99">
        <v>1.0</v>
      </c>
      <c r="V2225" s="99">
        <v>128.0</v>
      </c>
      <c r="W2225" s="99">
        <v>32846.0</v>
      </c>
    </row>
    <row r="2226" ht="15.75" customHeight="1">
      <c r="A2226" s="95" t="s">
        <v>12485</v>
      </c>
      <c r="B2226" s="95" t="s">
        <v>22</v>
      </c>
      <c r="C2226" s="96" t="s">
        <v>12486</v>
      </c>
      <c r="D2226" s="95" t="s">
        <v>59</v>
      </c>
      <c r="E2226" s="95" t="s">
        <v>6770</v>
      </c>
      <c r="F2226" s="95" t="s">
        <v>88</v>
      </c>
      <c r="G2226" s="95"/>
      <c r="H2226" s="95" t="s">
        <v>21</v>
      </c>
      <c r="I2226" s="95" t="s">
        <v>567</v>
      </c>
      <c r="J2226" s="97">
        <v>46021.51291517361</v>
      </c>
      <c r="K2226" s="95" t="s">
        <v>12487</v>
      </c>
      <c r="L2226" s="96" t="s">
        <v>12488</v>
      </c>
      <c r="M2226" s="95" t="s">
        <v>54</v>
      </c>
      <c r="N2226" s="95" t="s">
        <v>6773</v>
      </c>
      <c r="O2226" s="95" t="s">
        <v>6773</v>
      </c>
      <c r="P2226" s="95" t="s">
        <v>6774</v>
      </c>
      <c r="Q2226" s="98">
        <v>2.0</v>
      </c>
      <c r="R2226" s="97">
        <v>45915.53266203704</v>
      </c>
      <c r="S2226" s="99">
        <v>79.0</v>
      </c>
      <c r="T2226" s="99">
        <v>1093.0</v>
      </c>
      <c r="U2226" s="99">
        <v>4.0</v>
      </c>
      <c r="V2226" s="99">
        <v>149.0</v>
      </c>
      <c r="W2226" s="99">
        <v>140130.0</v>
      </c>
    </row>
    <row r="2227" ht="15.75" customHeight="1">
      <c r="A2227" s="95" t="s">
        <v>12489</v>
      </c>
      <c r="B2227" s="95" t="s">
        <v>69</v>
      </c>
      <c r="C2227" s="96" t="s">
        <v>12490</v>
      </c>
      <c r="D2227" s="95" t="s">
        <v>68</v>
      </c>
      <c r="E2227" s="95" t="s">
        <v>1671</v>
      </c>
      <c r="F2227" s="95" t="s">
        <v>58</v>
      </c>
      <c r="G2227" s="95" t="s">
        <v>2409</v>
      </c>
      <c r="H2227" s="95" t="s">
        <v>77</v>
      </c>
      <c r="I2227" s="95" t="s">
        <v>599</v>
      </c>
      <c r="J2227" s="97">
        <v>45975.67935613426</v>
      </c>
      <c r="K2227" s="96" t="s">
        <v>12491</v>
      </c>
      <c r="L2227" s="96" t="s">
        <v>12492</v>
      </c>
      <c r="M2227" s="95" t="s">
        <v>17</v>
      </c>
      <c r="N2227" s="95" t="s">
        <v>12493</v>
      </c>
      <c r="O2227" s="95" t="s">
        <v>12493</v>
      </c>
      <c r="P2227" s="95" t="s">
        <v>12494</v>
      </c>
      <c r="Q2227" s="98">
        <v>2.0</v>
      </c>
      <c r="R2227" s="97">
        <v>45883.63030092593</v>
      </c>
      <c r="S2227" s="99">
        <v>521.0</v>
      </c>
      <c r="T2227" s="99">
        <v>18.0</v>
      </c>
      <c r="U2227" s="99">
        <v>24.0</v>
      </c>
      <c r="V2227" s="99">
        <v>67.0</v>
      </c>
      <c r="W2227" s="99">
        <v>5601.0</v>
      </c>
    </row>
    <row r="2228" ht="15.75" customHeight="1">
      <c r="A2228" s="95" t="s">
        <v>12495</v>
      </c>
      <c r="B2228" s="95" t="s">
        <v>22</v>
      </c>
      <c r="C2228" s="96" t="s">
        <v>12496</v>
      </c>
      <c r="D2228" s="95" t="s">
        <v>59</v>
      </c>
      <c r="E2228" s="95" t="s">
        <v>59</v>
      </c>
      <c r="F2228" s="95" t="s">
        <v>19</v>
      </c>
      <c r="G2228" s="95" t="s">
        <v>19</v>
      </c>
      <c r="H2228" s="95" t="s">
        <v>21</v>
      </c>
      <c r="I2228" s="95" t="s">
        <v>567</v>
      </c>
      <c r="J2228" s="97">
        <v>45993.7854622338</v>
      </c>
      <c r="K2228" s="96" t="s">
        <v>12497</v>
      </c>
      <c r="L2228" s="96" t="s">
        <v>12498</v>
      </c>
      <c r="M2228" s="95" t="s">
        <v>17</v>
      </c>
      <c r="N2228" s="95" t="s">
        <v>12499</v>
      </c>
      <c r="O2228" s="95" t="s">
        <v>12499</v>
      </c>
      <c r="P2228" s="95" t="s">
        <v>12500</v>
      </c>
      <c r="Q2228" s="98">
        <v>2.0</v>
      </c>
      <c r="R2228" s="97">
        <v>45691.68027777778</v>
      </c>
      <c r="S2228" s="99">
        <v>0.0</v>
      </c>
      <c r="T2228" s="99">
        <v>43.0</v>
      </c>
      <c r="U2228" s="99">
        <v>2.0</v>
      </c>
      <c r="V2228" s="99">
        <v>88.0</v>
      </c>
      <c r="W2228" s="99">
        <v>20415.0</v>
      </c>
    </row>
    <row r="2229" ht="15.75" customHeight="1">
      <c r="A2229" s="95" t="s">
        <v>12501</v>
      </c>
      <c r="B2229" s="95" t="s">
        <v>22</v>
      </c>
      <c r="C2229" s="96" t="s">
        <v>12502</v>
      </c>
      <c r="D2229" s="95" t="s">
        <v>168</v>
      </c>
      <c r="E2229" s="95" t="s">
        <v>1228</v>
      </c>
      <c r="F2229" s="95" t="s">
        <v>19</v>
      </c>
      <c r="G2229" s="95" t="s">
        <v>19</v>
      </c>
      <c r="H2229" s="95" t="s">
        <v>21</v>
      </c>
      <c r="I2229" s="95" t="s">
        <v>589</v>
      </c>
      <c r="J2229" s="97">
        <v>46008.62904711805</v>
      </c>
      <c r="K2229" s="96" t="s">
        <v>12503</v>
      </c>
      <c r="L2229" s="95"/>
      <c r="M2229" s="95" t="s">
        <v>17</v>
      </c>
      <c r="N2229" s="95" t="s">
        <v>6861</v>
      </c>
      <c r="O2229" s="95" t="s">
        <v>6861</v>
      </c>
      <c r="P2229" s="95" t="s">
        <v>6862</v>
      </c>
      <c r="Q2229" s="98">
        <v>2.0</v>
      </c>
      <c r="R2229" s="97">
        <v>45736.40899305556</v>
      </c>
      <c r="S2229" s="99">
        <v>1519.0</v>
      </c>
      <c r="T2229" s="99">
        <v>34.0</v>
      </c>
      <c r="U2229" s="99">
        <v>2.0</v>
      </c>
      <c r="V2229" s="99">
        <v>63.0</v>
      </c>
      <c r="W2229" s="99">
        <v>75974.0</v>
      </c>
    </row>
    <row r="2230" ht="15.75" customHeight="1">
      <c r="A2230" s="95" t="s">
        <v>12504</v>
      </c>
      <c r="B2230" s="95" t="s">
        <v>22</v>
      </c>
      <c r="C2230" s="96" t="s">
        <v>12505</v>
      </c>
      <c r="D2230" s="95" t="s">
        <v>547</v>
      </c>
      <c r="E2230" s="95" t="s">
        <v>547</v>
      </c>
      <c r="F2230" s="95" t="s">
        <v>517</v>
      </c>
      <c r="G2230" s="95" t="s">
        <v>690</v>
      </c>
      <c r="H2230" s="95" t="s">
        <v>21</v>
      </c>
      <c r="I2230" s="95" t="s">
        <v>633</v>
      </c>
      <c r="J2230" s="97">
        <v>45975.6793321412</v>
      </c>
      <c r="K2230" s="96" t="s">
        <v>12506</v>
      </c>
      <c r="L2230" s="96" t="s">
        <v>12507</v>
      </c>
      <c r="M2230" s="95" t="s">
        <v>503</v>
      </c>
      <c r="N2230" s="95" t="s">
        <v>12508</v>
      </c>
      <c r="O2230" s="95" t="s">
        <v>12508</v>
      </c>
      <c r="P2230" s="95" t="s">
        <v>12509</v>
      </c>
      <c r="Q2230" s="98">
        <v>2.0</v>
      </c>
      <c r="R2230" s="97">
        <v>45648.4425</v>
      </c>
      <c r="S2230" s="99">
        <v>2206.0</v>
      </c>
      <c r="T2230" s="99">
        <v>47.0</v>
      </c>
      <c r="U2230" s="99">
        <v>2.0</v>
      </c>
      <c r="V2230" s="99">
        <v>96.0</v>
      </c>
      <c r="W2230" s="99">
        <v>30211.0</v>
      </c>
    </row>
    <row r="2231" ht="15.75" customHeight="1">
      <c r="A2231" s="95" t="s">
        <v>12510</v>
      </c>
      <c r="B2231" s="95" t="s">
        <v>22</v>
      </c>
      <c r="C2231" s="96" t="s">
        <v>12511</v>
      </c>
      <c r="D2231" s="95" t="s">
        <v>547</v>
      </c>
      <c r="E2231" s="95" t="s">
        <v>2952</v>
      </c>
      <c r="F2231" s="95" t="s">
        <v>19</v>
      </c>
      <c r="G2231" s="95" t="s">
        <v>19</v>
      </c>
      <c r="H2231" s="95" t="s">
        <v>21</v>
      </c>
      <c r="I2231" s="95" t="s">
        <v>567</v>
      </c>
      <c r="J2231" s="97">
        <v>45975.67939547454</v>
      </c>
      <c r="K2231" s="96" t="s">
        <v>12512</v>
      </c>
      <c r="L2231" s="96" t="s">
        <v>12513</v>
      </c>
      <c r="M2231" s="95" t="s">
        <v>74</v>
      </c>
      <c r="N2231" s="95" t="s">
        <v>12514</v>
      </c>
      <c r="O2231" s="95" t="s">
        <v>12514</v>
      </c>
      <c r="P2231" s="95" t="s">
        <v>12515</v>
      </c>
      <c r="Q2231" s="98">
        <v>2.0</v>
      </c>
      <c r="R2231" s="97">
        <v>45726.41956018518</v>
      </c>
      <c r="S2231" s="99">
        <v>5974.0</v>
      </c>
      <c r="T2231" s="99">
        <v>7.0</v>
      </c>
      <c r="U2231" s="99">
        <v>1.0</v>
      </c>
      <c r="V2231" s="99">
        <v>31.0</v>
      </c>
      <c r="W2231" s="99">
        <v>59326.0</v>
      </c>
    </row>
    <row r="2232" ht="15.75" customHeight="1">
      <c r="A2232" s="95" t="s">
        <v>12516</v>
      </c>
      <c r="B2232" s="95" t="s">
        <v>22</v>
      </c>
      <c r="C2232" s="96" t="s">
        <v>12517</v>
      </c>
      <c r="D2232" s="95" t="s">
        <v>39</v>
      </c>
      <c r="E2232" s="95" t="s">
        <v>39</v>
      </c>
      <c r="F2232" s="95" t="s">
        <v>19</v>
      </c>
      <c r="G2232" s="95" t="s">
        <v>12518</v>
      </c>
      <c r="H2232" s="95" t="s">
        <v>21</v>
      </c>
      <c r="I2232" s="95" t="s">
        <v>589</v>
      </c>
      <c r="J2232" s="97">
        <v>46021.50388815972</v>
      </c>
      <c r="K2232" s="95" t="s">
        <v>12519</v>
      </c>
      <c r="L2232" s="96" t="s">
        <v>12520</v>
      </c>
      <c r="M2232" s="95" t="s">
        <v>74</v>
      </c>
      <c r="N2232" s="95" t="s">
        <v>12521</v>
      </c>
      <c r="O2232" s="95" t="s">
        <v>12521</v>
      </c>
      <c r="P2232" s="95" t="s">
        <v>12522</v>
      </c>
      <c r="Q2232" s="98">
        <v>2.0</v>
      </c>
      <c r="R2232" s="97">
        <v>45711.51516203704</v>
      </c>
      <c r="S2232" s="99">
        <v>93.0</v>
      </c>
      <c r="T2232" s="99">
        <v>62.0</v>
      </c>
      <c r="U2232" s="99">
        <v>5.0</v>
      </c>
      <c r="V2232" s="99">
        <v>45.0</v>
      </c>
      <c r="W2232" s="99">
        <v>4565.0</v>
      </c>
    </row>
    <row r="2233" ht="15.75" customHeight="1">
      <c r="A2233" s="95" t="s">
        <v>12523</v>
      </c>
      <c r="B2233" s="95" t="s">
        <v>22</v>
      </c>
      <c r="C2233" s="96" t="s">
        <v>12524</v>
      </c>
      <c r="D2233" s="95" t="s">
        <v>39</v>
      </c>
      <c r="E2233" s="95" t="s">
        <v>39</v>
      </c>
      <c r="F2233" s="95" t="s">
        <v>19</v>
      </c>
      <c r="G2233" s="95" t="s">
        <v>574</v>
      </c>
      <c r="H2233" s="95" t="s">
        <v>21</v>
      </c>
      <c r="I2233" s="95" t="s">
        <v>567</v>
      </c>
      <c r="J2233" s="97">
        <v>45975.67932418981</v>
      </c>
      <c r="K2233" s="96" t="s">
        <v>12525</v>
      </c>
      <c r="L2233" s="96" t="s">
        <v>12526</v>
      </c>
      <c r="M2233" s="95" t="s">
        <v>93</v>
      </c>
      <c r="N2233" s="95" t="s">
        <v>12527</v>
      </c>
      <c r="O2233" s="95" t="s">
        <v>12527</v>
      </c>
      <c r="P2233" s="95" t="s">
        <v>12528</v>
      </c>
      <c r="Q2233" s="98">
        <v>2.0</v>
      </c>
      <c r="R2233" s="97">
        <v>45219.7496875</v>
      </c>
      <c r="S2233" s="99">
        <v>2496.0</v>
      </c>
      <c r="T2233" s="99">
        <v>153.0</v>
      </c>
      <c r="U2233" s="99">
        <v>2.0</v>
      </c>
      <c r="V2233" s="99">
        <v>148.0</v>
      </c>
      <c r="W2233" s="99">
        <v>13421.0</v>
      </c>
    </row>
    <row r="2234" ht="15.75" customHeight="1">
      <c r="A2234" s="95" t="s">
        <v>12529</v>
      </c>
      <c r="B2234" s="95" t="s">
        <v>22</v>
      </c>
      <c r="C2234" s="96" t="s">
        <v>12530</v>
      </c>
      <c r="D2234" s="95" t="s">
        <v>29</v>
      </c>
      <c r="E2234" s="95" t="s">
        <v>658</v>
      </c>
      <c r="F2234" s="95" t="s">
        <v>88</v>
      </c>
      <c r="G2234" s="95" t="s">
        <v>88</v>
      </c>
      <c r="H2234" s="95" t="s">
        <v>21</v>
      </c>
      <c r="I2234" s="95" t="s">
        <v>589</v>
      </c>
      <c r="J2234" s="97">
        <v>45993.78544196759</v>
      </c>
      <c r="K2234" s="96" t="s">
        <v>12531</v>
      </c>
      <c r="L2234" s="96" t="s">
        <v>12532</v>
      </c>
      <c r="M2234" s="95" t="s">
        <v>93</v>
      </c>
      <c r="N2234" s="95" t="s">
        <v>6997</v>
      </c>
      <c r="O2234" s="95" t="s">
        <v>6997</v>
      </c>
      <c r="P2234" s="95" t="s">
        <v>6998</v>
      </c>
      <c r="Q2234" s="98">
        <v>2.0</v>
      </c>
      <c r="R2234" s="97">
        <v>45868.73434027778</v>
      </c>
      <c r="S2234" s="99">
        <v>34803.0</v>
      </c>
      <c r="T2234" s="99">
        <v>12446.0</v>
      </c>
      <c r="U2234" s="99">
        <v>5.0</v>
      </c>
      <c r="V2234" s="99">
        <v>31.0</v>
      </c>
      <c r="W2234" s="99">
        <v>440972.0</v>
      </c>
    </row>
    <row r="2235" ht="15.75" customHeight="1">
      <c r="A2235" s="95" t="s">
        <v>12533</v>
      </c>
      <c r="B2235" s="95" t="s">
        <v>22</v>
      </c>
      <c r="C2235" s="96" t="s">
        <v>12534</v>
      </c>
      <c r="D2235" s="95" t="s">
        <v>168</v>
      </c>
      <c r="E2235" s="95" t="s">
        <v>3036</v>
      </c>
      <c r="F2235" s="95" t="s">
        <v>88</v>
      </c>
      <c r="G2235" s="95" t="s">
        <v>88</v>
      </c>
      <c r="H2235" s="95" t="s">
        <v>21</v>
      </c>
      <c r="I2235" s="95" t="s">
        <v>567</v>
      </c>
      <c r="J2235" s="97">
        <v>46009.8503700463</v>
      </c>
      <c r="K2235" s="95" t="s">
        <v>12535</v>
      </c>
      <c r="L2235" s="96" t="s">
        <v>12536</v>
      </c>
      <c r="M2235" s="95" t="s">
        <v>105</v>
      </c>
      <c r="N2235" s="95" t="s">
        <v>12537</v>
      </c>
      <c r="O2235" s="95" t="s">
        <v>12537</v>
      </c>
      <c r="P2235" s="95" t="s">
        <v>12538</v>
      </c>
      <c r="Q2235" s="98">
        <v>2.0</v>
      </c>
      <c r="R2235" s="97">
        <v>45336.82668981481</v>
      </c>
      <c r="S2235" s="99">
        <v>481.0</v>
      </c>
      <c r="T2235" s="99">
        <v>1.0</v>
      </c>
      <c r="U2235" s="99">
        <v>1.0</v>
      </c>
      <c r="V2235" s="99">
        <v>23.0</v>
      </c>
      <c r="W2235" s="99">
        <v>442169.0</v>
      </c>
    </row>
    <row r="2236" ht="15.75" customHeight="1">
      <c r="A2236" s="95" t="s">
        <v>12539</v>
      </c>
      <c r="B2236" s="95" t="s">
        <v>69</v>
      </c>
      <c r="C2236" s="96" t="s">
        <v>12540</v>
      </c>
      <c r="D2236" s="95" t="s">
        <v>59</v>
      </c>
      <c r="E2236" s="95" t="s">
        <v>59</v>
      </c>
      <c r="F2236" s="95" t="s">
        <v>19</v>
      </c>
      <c r="G2236" s="95" t="s">
        <v>574</v>
      </c>
      <c r="H2236" s="95" t="s">
        <v>60</v>
      </c>
      <c r="I2236" s="95" t="s">
        <v>2126</v>
      </c>
      <c r="J2236" s="97">
        <v>45978.46363230324</v>
      </c>
      <c r="K2236" s="95" t="s">
        <v>12541</v>
      </c>
      <c r="L2236" s="96" t="s">
        <v>12542</v>
      </c>
      <c r="M2236" s="95" t="s">
        <v>17</v>
      </c>
      <c r="N2236" s="95" t="s">
        <v>12543</v>
      </c>
      <c r="O2236" s="95" t="s">
        <v>12543</v>
      </c>
      <c r="P2236" s="95" t="s">
        <v>12544</v>
      </c>
      <c r="Q2236" s="98">
        <v>2.0</v>
      </c>
      <c r="R2236" s="97">
        <v>45854.71545138889</v>
      </c>
      <c r="S2236" s="99">
        <v>4652.0</v>
      </c>
      <c r="T2236" s="99">
        <v>36.0</v>
      </c>
      <c r="U2236" s="99">
        <v>2.0</v>
      </c>
      <c r="V2236" s="99">
        <v>59.0</v>
      </c>
      <c r="W2236" s="99">
        <v>31511.0</v>
      </c>
    </row>
    <row r="2237" ht="15.75" customHeight="1">
      <c r="A2237" s="95" t="s">
        <v>12545</v>
      </c>
      <c r="B2237" s="95" t="s">
        <v>22</v>
      </c>
      <c r="C2237" s="96" t="s">
        <v>12546</v>
      </c>
      <c r="D2237" s="95" t="s">
        <v>59</v>
      </c>
      <c r="E2237" s="95" t="s">
        <v>59</v>
      </c>
      <c r="F2237" s="95" t="s">
        <v>19</v>
      </c>
      <c r="G2237" s="95" t="s">
        <v>19</v>
      </c>
      <c r="H2237" s="95" t="s">
        <v>21</v>
      </c>
      <c r="I2237" s="95" t="s">
        <v>567</v>
      </c>
      <c r="J2237" s="97">
        <v>46021.50597040509</v>
      </c>
      <c r="K2237" s="95" t="s">
        <v>12547</v>
      </c>
      <c r="L2237" s="96" t="s">
        <v>12548</v>
      </c>
      <c r="M2237" s="95" t="s">
        <v>503</v>
      </c>
      <c r="N2237" s="95" t="s">
        <v>7009</v>
      </c>
      <c r="O2237" s="95" t="s">
        <v>7009</v>
      </c>
      <c r="P2237" s="95" t="s">
        <v>7010</v>
      </c>
      <c r="Q2237" s="98">
        <v>2.0</v>
      </c>
      <c r="R2237" s="97">
        <v>45694.61682870371</v>
      </c>
      <c r="S2237" s="99">
        <v>997.0</v>
      </c>
      <c r="T2237" s="99">
        <v>2.0</v>
      </c>
      <c r="U2237" s="99">
        <v>2.0</v>
      </c>
      <c r="V2237" s="99">
        <v>130.0</v>
      </c>
      <c r="W2237" s="99">
        <v>186890.0</v>
      </c>
    </row>
    <row r="2238" ht="15.75" customHeight="1">
      <c r="A2238" s="95" t="s">
        <v>12549</v>
      </c>
      <c r="B2238" s="95" t="s">
        <v>22</v>
      </c>
      <c r="C2238" s="96" t="s">
        <v>12550</v>
      </c>
      <c r="D2238" s="95" t="s">
        <v>124</v>
      </c>
      <c r="E2238" s="95" t="s">
        <v>794</v>
      </c>
      <c r="F2238" s="95" t="s">
        <v>19</v>
      </c>
      <c r="G2238" s="95" t="s">
        <v>19</v>
      </c>
      <c r="H2238" s="95" t="s">
        <v>21</v>
      </c>
      <c r="I2238" s="95" t="s">
        <v>567</v>
      </c>
      <c r="J2238" s="97">
        <v>45975.6793321412</v>
      </c>
      <c r="K2238" s="96" t="s">
        <v>12551</v>
      </c>
      <c r="L2238" s="95"/>
      <c r="M2238" s="95" t="s">
        <v>503</v>
      </c>
      <c r="N2238" s="95" t="s">
        <v>12552</v>
      </c>
      <c r="O2238" s="95" t="s">
        <v>12552</v>
      </c>
      <c r="P2238" s="95" t="s">
        <v>12553</v>
      </c>
      <c r="Q2238" s="98">
        <v>2.0</v>
      </c>
      <c r="R2238" s="97">
        <v>45758.23028935185</v>
      </c>
      <c r="S2238" s="99">
        <v>627.0</v>
      </c>
      <c r="T2238" s="99">
        <v>1428.0</v>
      </c>
      <c r="U2238" s="99">
        <v>4.0</v>
      </c>
      <c r="V2238" s="99">
        <v>23.0</v>
      </c>
      <c r="W2238" s="99">
        <v>999999.0</v>
      </c>
    </row>
    <row r="2239" ht="15.75" customHeight="1">
      <c r="A2239" s="95" t="s">
        <v>12554</v>
      </c>
      <c r="B2239" s="95" t="s">
        <v>22</v>
      </c>
      <c r="C2239" s="96" t="s">
        <v>12555</v>
      </c>
      <c r="D2239" s="95" t="s">
        <v>39</v>
      </c>
      <c r="E2239" s="95" t="s">
        <v>39</v>
      </c>
      <c r="F2239" s="95" t="s">
        <v>19</v>
      </c>
      <c r="G2239" s="95" t="s">
        <v>19</v>
      </c>
      <c r="H2239" s="95" t="s">
        <v>21</v>
      </c>
      <c r="I2239" s="95" t="s">
        <v>677</v>
      </c>
      <c r="J2239" s="97">
        <v>46002.69347975694</v>
      </c>
      <c r="K2239" s="95" t="s">
        <v>12556</v>
      </c>
      <c r="L2239" s="96" t="s">
        <v>12557</v>
      </c>
      <c r="M2239" s="95" t="s">
        <v>17</v>
      </c>
      <c r="N2239" s="95" t="s">
        <v>12558</v>
      </c>
      <c r="O2239" s="95" t="s">
        <v>12558</v>
      </c>
      <c r="P2239" s="95" t="s">
        <v>12559</v>
      </c>
      <c r="Q2239" s="98">
        <v>2.0</v>
      </c>
      <c r="R2239" s="97">
        <v>45907.13822916667</v>
      </c>
      <c r="S2239" s="99">
        <v>189.0</v>
      </c>
      <c r="T2239" s="99">
        <v>60.0</v>
      </c>
      <c r="U2239" s="99">
        <v>2.0</v>
      </c>
      <c r="V2239" s="99">
        <v>46.0</v>
      </c>
      <c r="W2239" s="99">
        <v>2220.0</v>
      </c>
    </row>
    <row r="2240" ht="15.75" customHeight="1">
      <c r="A2240" s="95" t="s">
        <v>12560</v>
      </c>
      <c r="B2240" s="95" t="s">
        <v>22</v>
      </c>
      <c r="C2240" s="96" t="s">
        <v>12561</v>
      </c>
      <c r="D2240" s="95" t="s">
        <v>39</v>
      </c>
      <c r="E2240" s="95" t="s">
        <v>39</v>
      </c>
      <c r="F2240" s="95" t="s">
        <v>19</v>
      </c>
      <c r="G2240" s="95" t="s">
        <v>19</v>
      </c>
      <c r="H2240" s="95" t="s">
        <v>21</v>
      </c>
      <c r="I2240" s="95" t="s">
        <v>567</v>
      </c>
      <c r="J2240" s="97">
        <v>46002.69347975694</v>
      </c>
      <c r="K2240" s="95" t="s">
        <v>12562</v>
      </c>
      <c r="L2240" s="96" t="s">
        <v>12563</v>
      </c>
      <c r="M2240" s="95" t="s">
        <v>17</v>
      </c>
      <c r="N2240" s="95" t="s">
        <v>12558</v>
      </c>
      <c r="O2240" s="95" t="s">
        <v>12558</v>
      </c>
      <c r="P2240" s="95" t="s">
        <v>12559</v>
      </c>
      <c r="Q2240" s="98">
        <v>2.0</v>
      </c>
      <c r="R2240" s="97">
        <v>45906.40258101852</v>
      </c>
      <c r="S2240" s="99">
        <v>189.0</v>
      </c>
      <c r="T2240" s="99">
        <v>171.0</v>
      </c>
      <c r="U2240" s="99">
        <v>3.0</v>
      </c>
      <c r="V2240" s="99">
        <v>16.0</v>
      </c>
      <c r="W2240" s="99">
        <v>2220.0</v>
      </c>
    </row>
    <row r="2241" ht="15.75" customHeight="1">
      <c r="A2241" s="95" t="s">
        <v>12564</v>
      </c>
      <c r="B2241" s="95" t="s">
        <v>22</v>
      </c>
      <c r="C2241" s="96" t="s">
        <v>12565</v>
      </c>
      <c r="D2241" s="95" t="s">
        <v>20</v>
      </c>
      <c r="E2241" s="95" t="s">
        <v>12566</v>
      </c>
      <c r="F2241" s="95" t="s">
        <v>19</v>
      </c>
      <c r="G2241" s="95" t="s">
        <v>19</v>
      </c>
      <c r="H2241" s="95" t="s">
        <v>21</v>
      </c>
      <c r="I2241" s="95" t="s">
        <v>567</v>
      </c>
      <c r="J2241" s="97">
        <v>45975.67935613426</v>
      </c>
      <c r="K2241" s="96" t="s">
        <v>12567</v>
      </c>
      <c r="L2241" s="96" t="s">
        <v>12568</v>
      </c>
      <c r="M2241" s="95" t="s">
        <v>17</v>
      </c>
      <c r="N2241" s="95" t="s">
        <v>7043</v>
      </c>
      <c r="O2241" s="95" t="s">
        <v>7043</v>
      </c>
      <c r="P2241" s="95" t="s">
        <v>7044</v>
      </c>
      <c r="Q2241" s="98">
        <v>2.0</v>
      </c>
      <c r="R2241" s="97">
        <v>45749.356875</v>
      </c>
      <c r="S2241" s="99">
        <v>1362.0</v>
      </c>
      <c r="T2241" s="99">
        <v>282.0</v>
      </c>
      <c r="U2241" s="99">
        <v>1.0</v>
      </c>
      <c r="V2241" s="99">
        <v>39.0</v>
      </c>
      <c r="W2241" s="99">
        <v>163833.0</v>
      </c>
    </row>
    <row r="2242" ht="15.75" customHeight="1">
      <c r="A2242" s="95" t="s">
        <v>12569</v>
      </c>
      <c r="B2242" s="95" t="s">
        <v>69</v>
      </c>
      <c r="C2242" s="96" t="s">
        <v>12570</v>
      </c>
      <c r="D2242" s="95" t="s">
        <v>39</v>
      </c>
      <c r="E2242" s="95" t="s">
        <v>960</v>
      </c>
      <c r="F2242" s="95" t="s">
        <v>88</v>
      </c>
      <c r="G2242" s="95"/>
      <c r="H2242" s="95" t="s">
        <v>89</v>
      </c>
      <c r="I2242" s="95" t="s">
        <v>640</v>
      </c>
      <c r="J2242" s="97">
        <v>45997.57863753472</v>
      </c>
      <c r="K2242" s="95" t="s">
        <v>12571</v>
      </c>
      <c r="L2242" s="96" t="s">
        <v>12572</v>
      </c>
      <c r="M2242" s="95" t="s">
        <v>105</v>
      </c>
      <c r="N2242" s="95" t="s">
        <v>12573</v>
      </c>
      <c r="O2242" s="95" t="s">
        <v>12573</v>
      </c>
      <c r="P2242" s="95" t="s">
        <v>12574</v>
      </c>
      <c r="Q2242" s="98">
        <v>2.0</v>
      </c>
      <c r="R2242" s="97">
        <v>45847.53667824074</v>
      </c>
      <c r="S2242" s="99">
        <v>211.0</v>
      </c>
      <c r="T2242" s="99">
        <v>12.0</v>
      </c>
      <c r="U2242" s="99">
        <v>1.0</v>
      </c>
      <c r="V2242" s="99">
        <v>20.0</v>
      </c>
      <c r="W2242" s="99">
        <v>3782.0</v>
      </c>
    </row>
    <row r="2243" ht="15.75" customHeight="1">
      <c r="A2243" s="95" t="s">
        <v>12575</v>
      </c>
      <c r="B2243" s="95" t="s">
        <v>22</v>
      </c>
      <c r="C2243" s="96" t="s">
        <v>12576</v>
      </c>
      <c r="D2243" s="95" t="s">
        <v>20</v>
      </c>
      <c r="E2243" s="95" t="s">
        <v>638</v>
      </c>
      <c r="F2243" s="95" t="s">
        <v>19</v>
      </c>
      <c r="G2243" s="95" t="s">
        <v>19</v>
      </c>
      <c r="H2243" s="95" t="s">
        <v>21</v>
      </c>
      <c r="I2243" s="95" t="s">
        <v>567</v>
      </c>
      <c r="J2243" s="97">
        <v>46021.51291517361</v>
      </c>
      <c r="K2243" s="95" t="s">
        <v>12577</v>
      </c>
      <c r="L2243" s="96" t="s">
        <v>12578</v>
      </c>
      <c r="M2243" s="95" t="s">
        <v>54</v>
      </c>
      <c r="N2243" s="95" t="s">
        <v>12579</v>
      </c>
      <c r="O2243" s="95" t="s">
        <v>12579</v>
      </c>
      <c r="P2243" s="95" t="s">
        <v>12580</v>
      </c>
      <c r="Q2243" s="98">
        <v>2.0</v>
      </c>
      <c r="R2243" s="97">
        <v>45881.43275462963</v>
      </c>
      <c r="S2243" s="99">
        <v>191.0</v>
      </c>
      <c r="T2243" s="99">
        <v>527.0</v>
      </c>
      <c r="U2243" s="99">
        <v>1.0</v>
      </c>
      <c r="V2243" s="99">
        <v>26.0</v>
      </c>
      <c r="W2243" s="99">
        <v>35005.0</v>
      </c>
    </row>
    <row r="2244" ht="15.75" customHeight="1">
      <c r="A2244" s="95" t="s">
        <v>12581</v>
      </c>
      <c r="B2244" s="95" t="s">
        <v>22</v>
      </c>
      <c r="C2244" s="96" t="s">
        <v>12582</v>
      </c>
      <c r="D2244" s="95" t="s">
        <v>29</v>
      </c>
      <c r="E2244" s="95" t="s">
        <v>598</v>
      </c>
      <c r="F2244" s="95" t="s">
        <v>19</v>
      </c>
      <c r="G2244" s="95" t="s">
        <v>588</v>
      </c>
      <c r="H2244" s="95" t="s">
        <v>21</v>
      </c>
      <c r="I2244" s="95" t="s">
        <v>589</v>
      </c>
      <c r="J2244" s="97">
        <v>46009.8509790625</v>
      </c>
      <c r="K2244" s="95" t="s">
        <v>12583</v>
      </c>
      <c r="L2244" s="95"/>
      <c r="M2244" s="95" t="s">
        <v>503</v>
      </c>
      <c r="N2244" s="95" t="s">
        <v>12584</v>
      </c>
      <c r="O2244" s="95" t="s">
        <v>12584</v>
      </c>
      <c r="P2244" s="95" t="s">
        <v>12585</v>
      </c>
      <c r="Q2244" s="98">
        <v>2.0</v>
      </c>
      <c r="R2244" s="97">
        <v>45975.39706018518</v>
      </c>
      <c r="S2244" s="99">
        <v>7435.0</v>
      </c>
      <c r="T2244" s="99">
        <v>31.0</v>
      </c>
      <c r="U2244" s="99">
        <v>1.0</v>
      </c>
      <c r="V2244" s="99">
        <v>15.0</v>
      </c>
      <c r="W2244" s="99">
        <v>149346.0</v>
      </c>
    </row>
    <row r="2245" ht="15.75" customHeight="1">
      <c r="A2245" s="95" t="s">
        <v>12586</v>
      </c>
      <c r="B2245" s="95" t="s">
        <v>22</v>
      </c>
      <c r="C2245" s="96" t="s">
        <v>12587</v>
      </c>
      <c r="D2245" s="95" t="s">
        <v>29</v>
      </c>
      <c r="E2245" s="95" t="s">
        <v>29</v>
      </c>
      <c r="F2245" s="95" t="s">
        <v>19</v>
      </c>
      <c r="G2245" s="95" t="s">
        <v>588</v>
      </c>
      <c r="H2245" s="95" t="s">
        <v>21</v>
      </c>
      <c r="I2245" s="95" t="s">
        <v>589</v>
      </c>
      <c r="J2245" s="97">
        <v>45975.6793321412</v>
      </c>
      <c r="K2245" s="96" t="s">
        <v>12588</v>
      </c>
      <c r="L2245" s="96" t="s">
        <v>12589</v>
      </c>
      <c r="M2245" s="95" t="s">
        <v>503</v>
      </c>
      <c r="N2245" s="95" t="s">
        <v>12584</v>
      </c>
      <c r="O2245" s="95" t="s">
        <v>12584</v>
      </c>
      <c r="P2245" s="95" t="s">
        <v>12585</v>
      </c>
      <c r="Q2245" s="98">
        <v>2.0</v>
      </c>
      <c r="R2245" s="97">
        <v>45797.28233796296</v>
      </c>
      <c r="S2245" s="99">
        <v>7435.0</v>
      </c>
      <c r="T2245" s="99">
        <v>5.0</v>
      </c>
      <c r="U2245" s="99">
        <v>5.0</v>
      </c>
      <c r="V2245" s="99">
        <v>31.0</v>
      </c>
      <c r="W2245" s="99">
        <v>149346.0</v>
      </c>
    </row>
    <row r="2246" ht="15.75" customHeight="1">
      <c r="A2246" s="95" t="s">
        <v>12590</v>
      </c>
      <c r="B2246" s="95" t="s">
        <v>22</v>
      </c>
      <c r="C2246" s="96" t="s">
        <v>12591</v>
      </c>
      <c r="D2246" s="95" t="s">
        <v>49</v>
      </c>
      <c r="E2246" s="95" t="s">
        <v>1082</v>
      </c>
      <c r="F2246" s="95" t="s">
        <v>19</v>
      </c>
      <c r="G2246" s="95" t="s">
        <v>19</v>
      </c>
      <c r="H2246" s="95" t="s">
        <v>21</v>
      </c>
      <c r="I2246" s="95" t="s">
        <v>589</v>
      </c>
      <c r="J2246" s="97">
        <v>46021.51291517361</v>
      </c>
      <c r="K2246" s="95" t="s">
        <v>12592</v>
      </c>
      <c r="L2246" s="96" t="s">
        <v>12593</v>
      </c>
      <c r="M2246" s="95" t="s">
        <v>54</v>
      </c>
      <c r="N2246" s="95" t="s">
        <v>7130</v>
      </c>
      <c r="O2246" s="95" t="s">
        <v>7130</v>
      </c>
      <c r="P2246" s="95" t="s">
        <v>7131</v>
      </c>
      <c r="Q2246" s="98">
        <v>2.0</v>
      </c>
      <c r="R2246" s="97">
        <v>45911.41697916666</v>
      </c>
      <c r="S2246" s="99">
        <v>130.0</v>
      </c>
      <c r="T2246" s="99">
        <v>9308.0</v>
      </c>
      <c r="U2246" s="99">
        <v>10.0</v>
      </c>
      <c r="V2246" s="99">
        <v>25.0</v>
      </c>
      <c r="W2246" s="99">
        <v>171996.0</v>
      </c>
    </row>
    <row r="2247" ht="15.75" customHeight="1">
      <c r="A2247" s="95" t="s">
        <v>12594</v>
      </c>
      <c r="B2247" s="95" t="s">
        <v>22</v>
      </c>
      <c r="C2247" s="96" t="s">
        <v>12595</v>
      </c>
      <c r="D2247" s="95" t="s">
        <v>49</v>
      </c>
      <c r="E2247" s="95" t="s">
        <v>49</v>
      </c>
      <c r="F2247" s="95" t="s">
        <v>19</v>
      </c>
      <c r="G2247" s="95" t="s">
        <v>997</v>
      </c>
      <c r="H2247" s="95" t="s">
        <v>21</v>
      </c>
      <c r="I2247" s="95" t="s">
        <v>567</v>
      </c>
      <c r="J2247" s="97">
        <v>46021.51291517361</v>
      </c>
      <c r="K2247" s="95" t="s">
        <v>12596</v>
      </c>
      <c r="L2247" s="96" t="s">
        <v>12597</v>
      </c>
      <c r="M2247" s="95" t="s">
        <v>54</v>
      </c>
      <c r="N2247" s="95" t="s">
        <v>7130</v>
      </c>
      <c r="O2247" s="95" t="s">
        <v>7130</v>
      </c>
      <c r="P2247" s="95" t="s">
        <v>7131</v>
      </c>
      <c r="Q2247" s="98">
        <v>2.0</v>
      </c>
      <c r="R2247" s="97">
        <v>45883.47921296296</v>
      </c>
      <c r="S2247" s="99">
        <v>130.0</v>
      </c>
      <c r="T2247" s="99">
        <v>133.0</v>
      </c>
      <c r="U2247" s="99">
        <v>1.0</v>
      </c>
      <c r="V2247" s="99">
        <v>45.0</v>
      </c>
      <c r="W2247" s="99">
        <v>171996.0</v>
      </c>
    </row>
    <row r="2248" ht="15.75" customHeight="1">
      <c r="A2248" s="95" t="s">
        <v>12598</v>
      </c>
      <c r="B2248" s="95" t="s">
        <v>69</v>
      </c>
      <c r="C2248" s="96" t="s">
        <v>12599</v>
      </c>
      <c r="D2248" s="95" t="s">
        <v>20</v>
      </c>
      <c r="E2248" s="95" t="s">
        <v>2261</v>
      </c>
      <c r="F2248" s="95" t="s">
        <v>19</v>
      </c>
      <c r="G2248" s="95" t="s">
        <v>588</v>
      </c>
      <c r="H2248" s="95" t="s">
        <v>60</v>
      </c>
      <c r="I2248" s="95" t="s">
        <v>1606</v>
      </c>
      <c r="J2248" s="97">
        <v>45978.46363230324</v>
      </c>
      <c r="K2248" s="95" t="s">
        <v>12600</v>
      </c>
      <c r="L2248" s="96" t="s">
        <v>12601</v>
      </c>
      <c r="M2248" s="95" t="s">
        <v>17</v>
      </c>
      <c r="N2248" s="95" t="s">
        <v>12602</v>
      </c>
      <c r="O2248" s="95" t="s">
        <v>12602</v>
      </c>
      <c r="P2248" s="95" t="s">
        <v>12603</v>
      </c>
      <c r="Q2248" s="98">
        <v>2.0</v>
      </c>
      <c r="R2248" s="97">
        <v>45600.81686342593</v>
      </c>
      <c r="S2248" s="99">
        <v>1394.0</v>
      </c>
      <c r="T2248" s="99">
        <v>47.0</v>
      </c>
      <c r="U2248" s="99">
        <v>1.0</v>
      </c>
      <c r="V2248" s="99">
        <v>107.0</v>
      </c>
      <c r="W2248" s="99">
        <v>99440.0</v>
      </c>
    </row>
    <row r="2249" ht="15.75" customHeight="1">
      <c r="A2249" s="95" t="s">
        <v>12604</v>
      </c>
      <c r="B2249" s="95" t="s">
        <v>22</v>
      </c>
      <c r="C2249" s="96" t="s">
        <v>12605</v>
      </c>
      <c r="D2249" s="95" t="s">
        <v>20</v>
      </c>
      <c r="E2249" s="95" t="s">
        <v>12606</v>
      </c>
      <c r="F2249" s="95" t="s">
        <v>19</v>
      </c>
      <c r="G2249" s="95" t="s">
        <v>19</v>
      </c>
      <c r="H2249" s="95" t="s">
        <v>21</v>
      </c>
      <c r="I2249" s="95" t="s">
        <v>567</v>
      </c>
      <c r="J2249" s="97">
        <v>46003.09774173611</v>
      </c>
      <c r="K2249" s="95" t="s">
        <v>12607</v>
      </c>
      <c r="L2249" s="96" t="s">
        <v>12608</v>
      </c>
      <c r="M2249" s="95" t="s">
        <v>17</v>
      </c>
      <c r="N2249" s="95" t="s">
        <v>12609</v>
      </c>
      <c r="O2249" s="95" t="s">
        <v>12609</v>
      </c>
      <c r="P2249" s="95" t="s">
        <v>12610</v>
      </c>
      <c r="Q2249" s="98">
        <v>2.0</v>
      </c>
      <c r="R2249" s="97">
        <v>45923.86049768519</v>
      </c>
      <c r="S2249" s="99">
        <v>634.0</v>
      </c>
      <c r="T2249" s="99">
        <v>3.0</v>
      </c>
      <c r="U2249" s="99">
        <v>4.0</v>
      </c>
      <c r="V2249" s="99">
        <v>335.0</v>
      </c>
      <c r="W2249" s="99">
        <v>64077.0</v>
      </c>
    </row>
    <row r="2250" ht="15.75" customHeight="1">
      <c r="A2250" s="95" t="s">
        <v>12611</v>
      </c>
      <c r="B2250" s="95" t="s">
        <v>69</v>
      </c>
      <c r="C2250" s="96" t="s">
        <v>12612</v>
      </c>
      <c r="D2250" s="95" t="s">
        <v>39</v>
      </c>
      <c r="E2250" s="95" t="s">
        <v>614</v>
      </c>
      <c r="F2250" s="95" t="s">
        <v>88</v>
      </c>
      <c r="G2250" s="95" t="s">
        <v>88</v>
      </c>
      <c r="H2250" s="95" t="s">
        <v>89</v>
      </c>
      <c r="I2250" s="95" t="s">
        <v>640</v>
      </c>
      <c r="J2250" s="97">
        <v>45975.67937189815</v>
      </c>
      <c r="K2250" s="96" t="s">
        <v>12613</v>
      </c>
      <c r="L2250" s="96" t="s">
        <v>12614</v>
      </c>
      <c r="M2250" s="95" t="s">
        <v>67</v>
      </c>
      <c r="N2250" s="95" t="s">
        <v>12615</v>
      </c>
      <c r="O2250" s="95" t="s">
        <v>12615</v>
      </c>
      <c r="P2250" s="95" t="s">
        <v>12616</v>
      </c>
      <c r="Q2250" s="98">
        <v>2.0</v>
      </c>
      <c r="R2250" s="97">
        <v>45678.66660879629</v>
      </c>
      <c r="S2250" s="99">
        <v>103.0</v>
      </c>
      <c r="T2250" s="99">
        <v>30.0</v>
      </c>
      <c r="U2250" s="99">
        <v>1.0</v>
      </c>
      <c r="V2250" s="99">
        <v>17.0</v>
      </c>
      <c r="W2250" s="99">
        <v>8131.0</v>
      </c>
    </row>
    <row r="2251" ht="15.75" customHeight="1">
      <c r="A2251" s="95" t="s">
        <v>12617</v>
      </c>
      <c r="B2251" s="95" t="s">
        <v>69</v>
      </c>
      <c r="C2251" s="96" t="s">
        <v>12618</v>
      </c>
      <c r="D2251" s="95" t="s">
        <v>39</v>
      </c>
      <c r="E2251" s="95" t="s">
        <v>39</v>
      </c>
      <c r="F2251" s="95" t="s">
        <v>88</v>
      </c>
      <c r="G2251" s="95" t="s">
        <v>639</v>
      </c>
      <c r="H2251" s="95" t="s">
        <v>89</v>
      </c>
      <c r="I2251" s="95" t="s">
        <v>640</v>
      </c>
      <c r="J2251" s="97">
        <v>46040.67627811342</v>
      </c>
      <c r="K2251" s="95" t="s">
        <v>12619</v>
      </c>
      <c r="L2251" s="96" t="s">
        <v>12620</v>
      </c>
      <c r="M2251" s="95" t="s">
        <v>93</v>
      </c>
      <c r="N2251" s="95" t="s">
        <v>7165</v>
      </c>
      <c r="O2251" s="95" t="s">
        <v>7165</v>
      </c>
      <c r="P2251" s="95" t="s">
        <v>7166</v>
      </c>
      <c r="Q2251" s="98">
        <v>2.0</v>
      </c>
      <c r="R2251" s="97">
        <v>45651.42393518519</v>
      </c>
      <c r="S2251" s="99">
        <v>1329.0</v>
      </c>
      <c r="T2251" s="99">
        <v>306.0</v>
      </c>
      <c r="U2251" s="99">
        <v>1.0</v>
      </c>
      <c r="V2251" s="99">
        <v>45.0</v>
      </c>
      <c r="W2251" s="99">
        <v>999999.0</v>
      </c>
    </row>
    <row r="2252" ht="15.75" customHeight="1">
      <c r="A2252" s="95" t="s">
        <v>12621</v>
      </c>
      <c r="B2252" s="95" t="s">
        <v>22</v>
      </c>
      <c r="C2252" s="96" t="s">
        <v>12622</v>
      </c>
      <c r="D2252" s="95" t="s">
        <v>68</v>
      </c>
      <c r="E2252" s="95" t="s">
        <v>769</v>
      </c>
      <c r="F2252" s="95" t="s">
        <v>517</v>
      </c>
      <c r="G2252" s="95" t="s">
        <v>690</v>
      </c>
      <c r="H2252" s="95" t="s">
        <v>21</v>
      </c>
      <c r="I2252" s="95" t="s">
        <v>567</v>
      </c>
      <c r="J2252" s="97">
        <v>46021.50388815972</v>
      </c>
      <c r="K2252" s="95" t="s">
        <v>12623</v>
      </c>
      <c r="L2252" s="96" t="s">
        <v>12624</v>
      </c>
      <c r="M2252" s="95" t="s">
        <v>74</v>
      </c>
      <c r="N2252" s="95" t="s">
        <v>12625</v>
      </c>
      <c r="O2252" s="95" t="s">
        <v>12625</v>
      </c>
      <c r="P2252" s="95" t="s">
        <v>12626</v>
      </c>
      <c r="Q2252" s="98">
        <v>2.0</v>
      </c>
      <c r="R2252" s="97">
        <v>45749.70475694445</v>
      </c>
      <c r="S2252" s="99">
        <v>169.0</v>
      </c>
      <c r="T2252" s="99">
        <v>46.0</v>
      </c>
      <c r="U2252" s="99">
        <v>1.0</v>
      </c>
      <c r="V2252" s="99">
        <v>65.0</v>
      </c>
      <c r="W2252" s="99">
        <v>5093.0</v>
      </c>
    </row>
    <row r="2253" ht="15.75" customHeight="1">
      <c r="A2253" s="95" t="s">
        <v>12627</v>
      </c>
      <c r="B2253" s="95" t="s">
        <v>22</v>
      </c>
      <c r="C2253" s="96" t="s">
        <v>12628</v>
      </c>
      <c r="D2253" s="95" t="s">
        <v>39</v>
      </c>
      <c r="E2253" s="95" t="s">
        <v>697</v>
      </c>
      <c r="F2253" s="95" t="s">
        <v>19</v>
      </c>
      <c r="G2253" s="95" t="s">
        <v>19</v>
      </c>
      <c r="H2253" s="95" t="s">
        <v>21</v>
      </c>
      <c r="I2253" s="95" t="s">
        <v>567</v>
      </c>
      <c r="J2253" s="97">
        <v>45982.72266510416</v>
      </c>
      <c r="K2253" s="95" t="s">
        <v>12629</v>
      </c>
      <c r="L2253" s="95"/>
      <c r="M2253" s="95" t="s">
        <v>105</v>
      </c>
      <c r="N2253" s="95" t="s">
        <v>7192</v>
      </c>
      <c r="O2253" s="95" t="s">
        <v>7192</v>
      </c>
      <c r="P2253" s="95" t="s">
        <v>7193</v>
      </c>
      <c r="Q2253" s="98">
        <v>2.0</v>
      </c>
      <c r="R2253" s="97">
        <v>45554.83861111111</v>
      </c>
      <c r="S2253" s="99">
        <v>2678.0</v>
      </c>
      <c r="T2253" s="99">
        <v>164.0</v>
      </c>
      <c r="U2253" s="99">
        <v>2.0</v>
      </c>
      <c r="V2253" s="99">
        <v>103.0</v>
      </c>
      <c r="W2253" s="99">
        <v>66019.0</v>
      </c>
    </row>
    <row r="2254" ht="15.75" customHeight="1">
      <c r="A2254" s="95" t="s">
        <v>12630</v>
      </c>
      <c r="B2254" s="95" t="s">
        <v>22</v>
      </c>
      <c r="C2254" s="96" t="s">
        <v>12631</v>
      </c>
      <c r="D2254" s="95" t="s">
        <v>29</v>
      </c>
      <c r="E2254" s="95" t="s">
        <v>29</v>
      </c>
      <c r="F2254" s="95" t="s">
        <v>19</v>
      </c>
      <c r="G2254" s="95" t="s">
        <v>588</v>
      </c>
      <c r="H2254" s="95" t="s">
        <v>21</v>
      </c>
      <c r="I2254" s="95" t="s">
        <v>567</v>
      </c>
      <c r="J2254" s="97">
        <v>46021.50597040509</v>
      </c>
      <c r="K2254" s="95" t="s">
        <v>12632</v>
      </c>
      <c r="L2254" s="96" t="s">
        <v>12633</v>
      </c>
      <c r="M2254" s="95" t="s">
        <v>67</v>
      </c>
      <c r="N2254" s="95" t="s">
        <v>12634</v>
      </c>
      <c r="O2254" s="95" t="s">
        <v>12634</v>
      </c>
      <c r="P2254" s="95" t="s">
        <v>12635</v>
      </c>
      <c r="Q2254" s="98">
        <v>2.0</v>
      </c>
      <c r="R2254" s="97">
        <v>45626.59782407407</v>
      </c>
      <c r="S2254" s="99">
        <v>1087.0</v>
      </c>
      <c r="T2254" s="99">
        <v>26.0</v>
      </c>
      <c r="U2254" s="99">
        <v>4.0</v>
      </c>
      <c r="V2254" s="99">
        <v>47.0</v>
      </c>
      <c r="W2254" s="99">
        <v>8592.0</v>
      </c>
    </row>
    <row r="2255" ht="15.75" customHeight="1">
      <c r="A2255" s="95" t="s">
        <v>12636</v>
      </c>
      <c r="B2255" s="95" t="s">
        <v>22</v>
      </c>
      <c r="C2255" s="96" t="s">
        <v>12637</v>
      </c>
      <c r="D2255" s="95" t="s">
        <v>130</v>
      </c>
      <c r="E2255" s="95" t="s">
        <v>12638</v>
      </c>
      <c r="F2255" s="95" t="s">
        <v>19</v>
      </c>
      <c r="G2255" s="95" t="s">
        <v>588</v>
      </c>
      <c r="H2255" s="95" t="s">
        <v>21</v>
      </c>
      <c r="I2255" s="95" t="s">
        <v>589</v>
      </c>
      <c r="J2255" s="97">
        <v>46021.50388815972</v>
      </c>
      <c r="K2255" s="95" t="s">
        <v>12639</v>
      </c>
      <c r="L2255" s="96" t="s">
        <v>12640</v>
      </c>
      <c r="M2255" s="95" t="s">
        <v>93</v>
      </c>
      <c r="N2255" s="95" t="s">
        <v>12641</v>
      </c>
      <c r="O2255" s="95" t="s">
        <v>12641</v>
      </c>
      <c r="P2255" s="95" t="s">
        <v>12642</v>
      </c>
      <c r="Q2255" s="98">
        <v>2.0</v>
      </c>
      <c r="R2255" s="97">
        <v>45632.27238425926</v>
      </c>
      <c r="S2255" s="99">
        <v>142.0</v>
      </c>
      <c r="T2255" s="99">
        <v>77.0</v>
      </c>
      <c r="U2255" s="99">
        <v>2.0</v>
      </c>
      <c r="V2255" s="99">
        <v>22.0</v>
      </c>
      <c r="W2255" s="99">
        <v>69149.0</v>
      </c>
    </row>
    <row r="2256" ht="15.75" customHeight="1">
      <c r="A2256" s="95" t="s">
        <v>12643</v>
      </c>
      <c r="B2256" s="95" t="s">
        <v>22</v>
      </c>
      <c r="C2256" s="96" t="s">
        <v>12644</v>
      </c>
      <c r="D2256" s="95" t="s">
        <v>49</v>
      </c>
      <c r="E2256" s="95" t="s">
        <v>1082</v>
      </c>
      <c r="F2256" s="95" t="s">
        <v>19</v>
      </c>
      <c r="G2256" s="95" t="s">
        <v>19</v>
      </c>
      <c r="H2256" s="95" t="s">
        <v>21</v>
      </c>
      <c r="I2256" s="95" t="s">
        <v>567</v>
      </c>
      <c r="J2256" s="97">
        <v>46021.5165390162</v>
      </c>
      <c r="K2256" s="95" t="s">
        <v>12645</v>
      </c>
      <c r="L2256" s="96" t="s">
        <v>12646</v>
      </c>
      <c r="M2256" s="95" t="s">
        <v>54</v>
      </c>
      <c r="N2256" s="95" t="s">
        <v>12647</v>
      </c>
      <c r="O2256" s="95" t="s">
        <v>12647</v>
      </c>
      <c r="P2256" s="95" t="s">
        <v>12648</v>
      </c>
      <c r="Q2256" s="98">
        <v>2.0</v>
      </c>
      <c r="R2256" s="97">
        <v>45922.77282407408</v>
      </c>
      <c r="S2256" s="99">
        <v>211.0</v>
      </c>
      <c r="T2256" s="99">
        <v>15.0</v>
      </c>
      <c r="U2256" s="99">
        <v>9.0</v>
      </c>
      <c r="V2256" s="99">
        <v>140.0</v>
      </c>
      <c r="W2256" s="99">
        <v>24682.0</v>
      </c>
    </row>
    <row r="2257" ht="15.75" customHeight="1">
      <c r="A2257" s="95" t="s">
        <v>12649</v>
      </c>
      <c r="B2257" s="95" t="s">
        <v>22</v>
      </c>
      <c r="C2257" s="96" t="s">
        <v>12650</v>
      </c>
      <c r="D2257" s="95" t="s">
        <v>130</v>
      </c>
      <c r="E2257" s="95" t="s">
        <v>12651</v>
      </c>
      <c r="F2257" s="95" t="s">
        <v>19</v>
      </c>
      <c r="G2257" s="95" t="s">
        <v>1427</v>
      </c>
      <c r="H2257" s="95" t="s">
        <v>21</v>
      </c>
      <c r="I2257" s="95" t="s">
        <v>633</v>
      </c>
      <c r="J2257" s="97">
        <v>46021.50617167824</v>
      </c>
      <c r="K2257" s="95" t="s">
        <v>12652</v>
      </c>
      <c r="L2257" s="96" t="s">
        <v>12653</v>
      </c>
      <c r="M2257" s="95" t="s">
        <v>93</v>
      </c>
      <c r="N2257" s="95" t="s">
        <v>12654</v>
      </c>
      <c r="O2257" s="95" t="s">
        <v>12654</v>
      </c>
      <c r="P2257" s="95" t="s">
        <v>12655</v>
      </c>
      <c r="Q2257" s="98">
        <v>2.0</v>
      </c>
      <c r="R2257" s="97">
        <v>45699.47726851852</v>
      </c>
      <c r="S2257" s="99">
        <v>1945.0</v>
      </c>
      <c r="T2257" s="99">
        <v>2352.0</v>
      </c>
      <c r="U2257" s="99">
        <v>2.0</v>
      </c>
      <c r="V2257" s="99">
        <v>123.0</v>
      </c>
      <c r="W2257" s="99">
        <v>183362.0</v>
      </c>
    </row>
    <row r="2258" ht="15.75" customHeight="1">
      <c r="A2258" s="95" t="s">
        <v>12656</v>
      </c>
      <c r="B2258" s="95" t="s">
        <v>157</v>
      </c>
      <c r="C2258" s="96" t="s">
        <v>12657</v>
      </c>
      <c r="D2258" s="95" t="s">
        <v>29</v>
      </c>
      <c r="E2258" s="95" t="s">
        <v>598</v>
      </c>
      <c r="F2258" s="95" t="s">
        <v>88</v>
      </c>
      <c r="G2258" s="95" t="s">
        <v>88</v>
      </c>
      <c r="H2258" s="95" t="s">
        <v>89</v>
      </c>
      <c r="I2258" s="95" t="s">
        <v>897</v>
      </c>
      <c r="J2258" s="97">
        <v>45993.78544196759</v>
      </c>
      <c r="K2258" s="96" t="s">
        <v>12658</v>
      </c>
      <c r="L2258" s="96" t="s">
        <v>12659</v>
      </c>
      <c r="M2258" s="95" t="s">
        <v>93</v>
      </c>
      <c r="N2258" s="95" t="s">
        <v>12660</v>
      </c>
      <c r="O2258" s="95" t="s">
        <v>12660</v>
      </c>
      <c r="P2258" s="95" t="s">
        <v>12661</v>
      </c>
      <c r="Q2258" s="98">
        <v>2.0</v>
      </c>
      <c r="R2258" s="97">
        <v>45813.23322916667</v>
      </c>
      <c r="S2258" s="99">
        <v>97.0</v>
      </c>
      <c r="T2258" s="99">
        <v>1165.0</v>
      </c>
      <c r="U2258" s="99">
        <v>20.0</v>
      </c>
      <c r="V2258" s="99">
        <v>277.0</v>
      </c>
      <c r="W2258" s="99">
        <v>17801.0</v>
      </c>
    </row>
    <row r="2259" ht="15.75" customHeight="1">
      <c r="A2259" s="95" t="s">
        <v>12662</v>
      </c>
      <c r="B2259" s="95" t="s">
        <v>22</v>
      </c>
      <c r="C2259" s="96" t="s">
        <v>12663</v>
      </c>
      <c r="D2259" s="95" t="s">
        <v>168</v>
      </c>
      <c r="E2259" s="95" t="s">
        <v>1228</v>
      </c>
      <c r="F2259" s="95" t="s">
        <v>19</v>
      </c>
      <c r="G2259" s="95" t="s">
        <v>19</v>
      </c>
      <c r="H2259" s="95" t="s">
        <v>21</v>
      </c>
      <c r="I2259" s="95" t="s">
        <v>567</v>
      </c>
      <c r="J2259" s="97">
        <v>45986.53211375</v>
      </c>
      <c r="K2259" s="95" t="s">
        <v>12664</v>
      </c>
      <c r="L2259" s="96" t="s">
        <v>12665</v>
      </c>
      <c r="M2259" s="95" t="s">
        <v>17</v>
      </c>
      <c r="N2259" s="95" t="s">
        <v>12666</v>
      </c>
      <c r="O2259" s="95" t="s">
        <v>12666</v>
      </c>
      <c r="P2259" s="95" t="s">
        <v>12667</v>
      </c>
      <c r="Q2259" s="98">
        <v>2.0</v>
      </c>
      <c r="R2259" s="97">
        <v>45719.46875</v>
      </c>
      <c r="S2259" s="99">
        <v>198.0</v>
      </c>
      <c r="T2259" s="99">
        <v>4.0</v>
      </c>
      <c r="U2259" s="99">
        <v>6.0</v>
      </c>
      <c r="V2259" s="99">
        <v>64.0</v>
      </c>
      <c r="W2259" s="99">
        <v>86390.0</v>
      </c>
    </row>
    <row r="2260" ht="15.75" customHeight="1">
      <c r="A2260" s="95" t="s">
        <v>12668</v>
      </c>
      <c r="B2260" s="95" t="s">
        <v>22</v>
      </c>
      <c r="C2260" s="96" t="s">
        <v>12669</v>
      </c>
      <c r="D2260" s="95" t="s">
        <v>68</v>
      </c>
      <c r="E2260" s="95" t="s">
        <v>1901</v>
      </c>
      <c r="F2260" s="95" t="s">
        <v>19</v>
      </c>
      <c r="G2260" s="95" t="s">
        <v>588</v>
      </c>
      <c r="H2260" s="95" t="s">
        <v>21</v>
      </c>
      <c r="I2260" s="95" t="s">
        <v>589</v>
      </c>
      <c r="J2260" s="97">
        <v>45978.46038711806</v>
      </c>
      <c r="K2260" s="95" t="s">
        <v>12670</v>
      </c>
      <c r="L2260" s="95"/>
      <c r="M2260" s="95" t="s">
        <v>54</v>
      </c>
      <c r="N2260" s="95" t="s">
        <v>12671</v>
      </c>
      <c r="O2260" s="95" t="s">
        <v>12671</v>
      </c>
      <c r="P2260" s="95" t="s">
        <v>12672</v>
      </c>
      <c r="Q2260" s="98">
        <v>2.0</v>
      </c>
      <c r="R2260" s="97">
        <v>45692.81631944444</v>
      </c>
      <c r="S2260" s="99">
        <v>10806.0</v>
      </c>
      <c r="T2260" s="99">
        <v>312.0</v>
      </c>
      <c r="U2260" s="99">
        <v>1.0</v>
      </c>
      <c r="V2260" s="99">
        <v>10.0</v>
      </c>
      <c r="W2260" s="99">
        <v>999999.0</v>
      </c>
    </row>
    <row r="2261" ht="15.75" customHeight="1">
      <c r="A2261" s="95" t="s">
        <v>12673</v>
      </c>
      <c r="B2261" s="95" t="s">
        <v>22</v>
      </c>
      <c r="C2261" s="96" t="s">
        <v>12674</v>
      </c>
      <c r="D2261" s="95" t="s">
        <v>59</v>
      </c>
      <c r="E2261" s="95" t="s">
        <v>738</v>
      </c>
      <c r="F2261" s="95" t="s">
        <v>19</v>
      </c>
      <c r="G2261" s="95" t="s">
        <v>19</v>
      </c>
      <c r="H2261" s="95" t="s">
        <v>21</v>
      </c>
      <c r="I2261" s="95" t="s">
        <v>567</v>
      </c>
      <c r="J2261" s="97">
        <v>46072.60571417824</v>
      </c>
      <c r="K2261" s="95" t="s">
        <v>12675</v>
      </c>
      <c r="L2261" s="95"/>
      <c r="M2261" s="95" t="s">
        <v>93</v>
      </c>
      <c r="N2261" s="95" t="s">
        <v>7342</v>
      </c>
      <c r="O2261" s="95" t="s">
        <v>7342</v>
      </c>
      <c r="P2261" s="95" t="s">
        <v>7343</v>
      </c>
      <c r="Q2261" s="98">
        <v>2.0</v>
      </c>
      <c r="R2261" s="97">
        <v>45633.71603009259</v>
      </c>
      <c r="S2261" s="99">
        <v>2466.0</v>
      </c>
      <c r="T2261" s="99">
        <v>20.0</v>
      </c>
      <c r="U2261" s="99">
        <v>18.0</v>
      </c>
      <c r="V2261" s="99">
        <v>44.0</v>
      </c>
      <c r="W2261" s="99">
        <v>431105.0</v>
      </c>
    </row>
    <row r="2262" ht="15.75" customHeight="1">
      <c r="A2262" s="95" t="s">
        <v>12676</v>
      </c>
      <c r="B2262" s="95" t="s">
        <v>22</v>
      </c>
      <c r="C2262" s="96" t="s">
        <v>12677</v>
      </c>
      <c r="D2262" s="95" t="s">
        <v>59</v>
      </c>
      <c r="E2262" s="95" t="s">
        <v>738</v>
      </c>
      <c r="F2262" s="95" t="s">
        <v>19</v>
      </c>
      <c r="G2262" s="95" t="s">
        <v>19</v>
      </c>
      <c r="H2262" s="95" t="s">
        <v>21</v>
      </c>
      <c r="I2262" s="95" t="s">
        <v>567</v>
      </c>
      <c r="J2262" s="97">
        <v>46069.66116252315</v>
      </c>
      <c r="K2262" s="95" t="s">
        <v>12678</v>
      </c>
      <c r="L2262" s="96" t="s">
        <v>12679</v>
      </c>
      <c r="M2262" s="95" t="s">
        <v>74</v>
      </c>
      <c r="N2262" s="95" t="s">
        <v>7348</v>
      </c>
      <c r="O2262" s="95" t="s">
        <v>7348</v>
      </c>
      <c r="P2262" s="95" t="s">
        <v>7349</v>
      </c>
      <c r="Q2262" s="98">
        <v>2.0</v>
      </c>
      <c r="R2262" s="97">
        <v>45895.63185185185</v>
      </c>
      <c r="S2262" s="99">
        <v>3281.0</v>
      </c>
      <c r="T2262" s="99">
        <v>66.0</v>
      </c>
      <c r="U2262" s="99">
        <v>3.0</v>
      </c>
      <c r="V2262" s="99">
        <v>25.0</v>
      </c>
      <c r="W2262" s="99">
        <v>122024.0</v>
      </c>
    </row>
    <row r="2263" ht="15.75" customHeight="1">
      <c r="A2263" s="95" t="s">
        <v>12680</v>
      </c>
      <c r="B2263" s="95" t="s">
        <v>22</v>
      </c>
      <c r="C2263" s="96" t="s">
        <v>12681</v>
      </c>
      <c r="D2263" s="95" t="s">
        <v>59</v>
      </c>
      <c r="E2263" s="95" t="s">
        <v>59</v>
      </c>
      <c r="F2263" s="95" t="s">
        <v>19</v>
      </c>
      <c r="G2263" s="95" t="s">
        <v>19</v>
      </c>
      <c r="H2263" s="95" t="s">
        <v>21</v>
      </c>
      <c r="I2263" s="95" t="s">
        <v>567</v>
      </c>
      <c r="J2263" s="97">
        <v>46021.50617167824</v>
      </c>
      <c r="K2263" s="95" t="s">
        <v>12682</v>
      </c>
      <c r="L2263" s="96" t="s">
        <v>12683</v>
      </c>
      <c r="M2263" s="95" t="s">
        <v>67</v>
      </c>
      <c r="N2263" s="95" t="s">
        <v>12684</v>
      </c>
      <c r="O2263" s="95" t="s">
        <v>12684</v>
      </c>
      <c r="P2263" s="95" t="s">
        <v>12685</v>
      </c>
      <c r="Q2263" s="98">
        <v>2.0</v>
      </c>
      <c r="R2263" s="97">
        <v>45882.85072916667</v>
      </c>
      <c r="S2263" s="99">
        <v>549.0</v>
      </c>
      <c r="T2263" s="99">
        <v>154.0</v>
      </c>
      <c r="U2263" s="99">
        <v>7.0</v>
      </c>
      <c r="V2263" s="99">
        <v>66.0</v>
      </c>
      <c r="W2263" s="99">
        <v>37274.0</v>
      </c>
    </row>
    <row r="2264" ht="15.75" customHeight="1">
      <c r="A2264" s="95" t="s">
        <v>12686</v>
      </c>
      <c r="B2264" s="95" t="s">
        <v>22</v>
      </c>
      <c r="C2264" s="96" t="s">
        <v>12687</v>
      </c>
      <c r="D2264" s="95" t="s">
        <v>20</v>
      </c>
      <c r="E2264" s="95" t="s">
        <v>4513</v>
      </c>
      <c r="F2264" s="95" t="s">
        <v>19</v>
      </c>
      <c r="G2264" s="95" t="s">
        <v>19</v>
      </c>
      <c r="H2264" s="95" t="s">
        <v>21</v>
      </c>
      <c r="I2264" s="95" t="s">
        <v>589</v>
      </c>
      <c r="J2264" s="97">
        <v>45978.46415635417</v>
      </c>
      <c r="K2264" s="95" t="s">
        <v>12688</v>
      </c>
      <c r="L2264" s="96" t="s">
        <v>12689</v>
      </c>
      <c r="M2264" s="95" t="s">
        <v>17</v>
      </c>
      <c r="N2264" s="95" t="s">
        <v>12690</v>
      </c>
      <c r="O2264" s="95" t="s">
        <v>12690</v>
      </c>
      <c r="P2264" s="95" t="s">
        <v>12691</v>
      </c>
      <c r="Q2264" s="98">
        <v>2.0</v>
      </c>
      <c r="R2264" s="97">
        <v>45690.59918981481</v>
      </c>
      <c r="S2264" s="99">
        <v>1341.0</v>
      </c>
      <c r="T2264" s="99">
        <v>185.0</v>
      </c>
      <c r="U2264" s="99">
        <v>8.0</v>
      </c>
      <c r="V2264" s="99">
        <v>426.0</v>
      </c>
      <c r="W2264" s="99">
        <v>311802.0</v>
      </c>
    </row>
    <row r="2265" ht="15.75" customHeight="1">
      <c r="A2265" s="95" t="s">
        <v>12692</v>
      </c>
      <c r="B2265" s="95" t="s">
        <v>22</v>
      </c>
      <c r="C2265" s="96" t="s">
        <v>12693</v>
      </c>
      <c r="D2265" s="95" t="s">
        <v>39</v>
      </c>
      <c r="E2265" s="95" t="s">
        <v>960</v>
      </c>
      <c r="F2265" s="95" t="s">
        <v>19</v>
      </c>
      <c r="G2265" s="95" t="s">
        <v>19</v>
      </c>
      <c r="H2265" s="95" t="s">
        <v>21</v>
      </c>
      <c r="I2265" s="95" t="s">
        <v>589</v>
      </c>
      <c r="J2265" s="97">
        <v>46021.49610081018</v>
      </c>
      <c r="K2265" s="95" t="s">
        <v>12694</v>
      </c>
      <c r="L2265" s="96" t="s">
        <v>12695</v>
      </c>
      <c r="M2265" s="95" t="s">
        <v>54</v>
      </c>
      <c r="N2265" s="95" t="s">
        <v>12696</v>
      </c>
      <c r="O2265" s="95" t="s">
        <v>12696</v>
      </c>
      <c r="P2265" s="95" t="s">
        <v>12697</v>
      </c>
      <c r="Q2265" s="98">
        <v>2.0</v>
      </c>
      <c r="R2265" s="97">
        <v>45601.75640046296</v>
      </c>
      <c r="S2265" s="99">
        <v>255.0</v>
      </c>
      <c r="T2265" s="99">
        <v>488.0</v>
      </c>
      <c r="U2265" s="99">
        <v>6.0</v>
      </c>
      <c r="V2265" s="99">
        <v>139.0</v>
      </c>
      <c r="W2265" s="99">
        <v>81511.0</v>
      </c>
    </row>
    <row r="2266" ht="15.75" customHeight="1">
      <c r="A2266" s="95" t="s">
        <v>12698</v>
      </c>
      <c r="B2266" s="95" t="s">
        <v>22</v>
      </c>
      <c r="C2266" s="96" t="s">
        <v>12699</v>
      </c>
      <c r="D2266" s="95" t="s">
        <v>59</v>
      </c>
      <c r="E2266" s="95" t="s">
        <v>59</v>
      </c>
      <c r="F2266" s="95" t="s">
        <v>19</v>
      </c>
      <c r="G2266" s="95" t="s">
        <v>19</v>
      </c>
      <c r="H2266" s="95" t="s">
        <v>21</v>
      </c>
      <c r="I2266" s="95" t="s">
        <v>567</v>
      </c>
      <c r="J2266" s="97">
        <v>46021.49610081018</v>
      </c>
      <c r="K2266" s="95" t="s">
        <v>12700</v>
      </c>
      <c r="L2266" s="96" t="s">
        <v>12701</v>
      </c>
      <c r="M2266" s="95" t="s">
        <v>54</v>
      </c>
      <c r="N2266" s="95" t="s">
        <v>12702</v>
      </c>
      <c r="O2266" s="95" t="s">
        <v>12702</v>
      </c>
      <c r="P2266" s="95" t="s">
        <v>12703</v>
      </c>
      <c r="Q2266" s="98">
        <v>2.0</v>
      </c>
      <c r="R2266" s="97">
        <v>45810.29256944444</v>
      </c>
      <c r="S2266" s="99">
        <v>189.0</v>
      </c>
      <c r="T2266" s="99">
        <v>623.0</v>
      </c>
      <c r="U2266" s="99">
        <v>2.0</v>
      </c>
      <c r="V2266" s="99">
        <v>91.0</v>
      </c>
      <c r="W2266" s="99">
        <v>24935.0</v>
      </c>
    </row>
    <row r="2267" ht="15.75" customHeight="1">
      <c r="A2267" s="95" t="s">
        <v>12704</v>
      </c>
      <c r="B2267" s="95" t="s">
        <v>22</v>
      </c>
      <c r="C2267" s="96" t="s">
        <v>12705</v>
      </c>
      <c r="D2267" s="95" t="s">
        <v>39</v>
      </c>
      <c r="E2267" s="95" t="s">
        <v>718</v>
      </c>
      <c r="F2267" s="95" t="s">
        <v>19</v>
      </c>
      <c r="G2267" s="95" t="s">
        <v>574</v>
      </c>
      <c r="H2267" s="95" t="s">
        <v>21</v>
      </c>
      <c r="I2267" s="95" t="s">
        <v>943</v>
      </c>
      <c r="J2267" s="97">
        <v>46056.93661835648</v>
      </c>
      <c r="K2267" s="95" t="s">
        <v>12706</v>
      </c>
      <c r="L2267" s="96" t="s">
        <v>12707</v>
      </c>
      <c r="M2267" s="95" t="s">
        <v>74</v>
      </c>
      <c r="N2267" s="95" t="s">
        <v>12708</v>
      </c>
      <c r="O2267" s="95" t="s">
        <v>12708</v>
      </c>
      <c r="P2267" s="95" t="s">
        <v>12709</v>
      </c>
      <c r="Q2267" s="98">
        <v>2.0</v>
      </c>
      <c r="R2267" s="97">
        <v>45953.66768518519</v>
      </c>
      <c r="S2267" s="99">
        <v>70.0</v>
      </c>
      <c r="T2267" s="99">
        <v>41.0</v>
      </c>
      <c r="U2267" s="99">
        <v>2.0</v>
      </c>
      <c r="V2267" s="99">
        <v>153.0</v>
      </c>
      <c r="W2267" s="99">
        <v>9227.0</v>
      </c>
    </row>
    <row r="2268" ht="15.75" customHeight="1">
      <c r="A2268" s="95" t="s">
        <v>12710</v>
      </c>
      <c r="B2268" s="95" t="s">
        <v>22</v>
      </c>
      <c r="C2268" s="96" t="s">
        <v>12711</v>
      </c>
      <c r="D2268" s="95" t="s">
        <v>168</v>
      </c>
      <c r="E2268" s="95" t="s">
        <v>168</v>
      </c>
      <c r="F2268" s="95" t="s">
        <v>19</v>
      </c>
      <c r="G2268" s="95" t="s">
        <v>588</v>
      </c>
      <c r="H2268" s="95" t="s">
        <v>21</v>
      </c>
      <c r="I2268" s="95" t="s">
        <v>589</v>
      </c>
      <c r="J2268" s="97">
        <v>46008.62900243056</v>
      </c>
      <c r="K2268" s="96" t="s">
        <v>12712</v>
      </c>
      <c r="L2268" s="96" t="s">
        <v>12713</v>
      </c>
      <c r="M2268" s="95" t="s">
        <v>17</v>
      </c>
      <c r="N2268" s="95" t="s">
        <v>12714</v>
      </c>
      <c r="O2268" s="95" t="s">
        <v>12714</v>
      </c>
      <c r="P2268" s="95" t="s">
        <v>12715</v>
      </c>
      <c r="Q2268" s="98">
        <v>2.0</v>
      </c>
      <c r="R2268" s="97">
        <v>45778.49908564815</v>
      </c>
      <c r="S2268" s="99">
        <v>0.0</v>
      </c>
      <c r="T2268" s="99">
        <v>17.0</v>
      </c>
      <c r="U2268" s="99">
        <v>1.0</v>
      </c>
      <c r="V2268" s="99">
        <v>164.0</v>
      </c>
      <c r="W2268" s="99">
        <v>271374.0</v>
      </c>
    </row>
    <row r="2269" ht="15.75" customHeight="1">
      <c r="A2269" s="95" t="s">
        <v>12716</v>
      </c>
      <c r="B2269" s="95" t="s">
        <v>157</v>
      </c>
      <c r="C2269" s="96" t="s">
        <v>12717</v>
      </c>
      <c r="D2269" s="95" t="s">
        <v>168</v>
      </c>
      <c r="E2269" s="95" t="s">
        <v>1228</v>
      </c>
      <c r="F2269" s="95" t="s">
        <v>88</v>
      </c>
      <c r="G2269" s="95" t="s">
        <v>6225</v>
      </c>
      <c r="H2269" s="95" t="s">
        <v>89</v>
      </c>
      <c r="I2269" s="95" t="s">
        <v>897</v>
      </c>
      <c r="J2269" s="97">
        <v>45994.69765716435</v>
      </c>
      <c r="K2269" s="96" t="s">
        <v>12718</v>
      </c>
      <c r="L2269" s="96" t="s">
        <v>12719</v>
      </c>
      <c r="M2269" s="95" t="s">
        <v>105</v>
      </c>
      <c r="N2269" s="95" t="s">
        <v>12720</v>
      </c>
      <c r="O2269" s="95" t="s">
        <v>12720</v>
      </c>
      <c r="P2269" s="95" t="s">
        <v>12721</v>
      </c>
      <c r="Q2269" s="98">
        <v>2.0</v>
      </c>
      <c r="R2269" s="97">
        <v>45481.31903935185</v>
      </c>
      <c r="S2269" s="99">
        <v>547.0</v>
      </c>
      <c r="T2269" s="99">
        <v>49.0</v>
      </c>
      <c r="U2269" s="99">
        <v>7.0</v>
      </c>
      <c r="V2269" s="99">
        <v>52.0</v>
      </c>
      <c r="W2269" s="99">
        <v>999999.0</v>
      </c>
    </row>
    <row r="2270" ht="15.75" customHeight="1">
      <c r="A2270" s="95" t="s">
        <v>12722</v>
      </c>
      <c r="B2270" s="95" t="s">
        <v>22</v>
      </c>
      <c r="C2270" s="96" t="s">
        <v>12723</v>
      </c>
      <c r="D2270" s="95" t="s">
        <v>68</v>
      </c>
      <c r="E2270" s="95" t="s">
        <v>1901</v>
      </c>
      <c r="F2270" s="95" t="s">
        <v>19</v>
      </c>
      <c r="G2270" s="95" t="s">
        <v>19</v>
      </c>
      <c r="H2270" s="95" t="s">
        <v>21</v>
      </c>
      <c r="I2270" s="95" t="s">
        <v>567</v>
      </c>
      <c r="J2270" s="97">
        <v>46021.51309140046</v>
      </c>
      <c r="K2270" s="95" t="s">
        <v>12724</v>
      </c>
      <c r="L2270" s="96" t="s">
        <v>12725</v>
      </c>
      <c r="M2270" s="95" t="s">
        <v>54</v>
      </c>
      <c r="N2270" s="95" t="s">
        <v>7481</v>
      </c>
      <c r="O2270" s="95" t="s">
        <v>7481</v>
      </c>
      <c r="P2270" s="95" t="s">
        <v>7482</v>
      </c>
      <c r="Q2270" s="98">
        <v>2.0</v>
      </c>
      <c r="R2270" s="97">
        <v>45921.9684375</v>
      </c>
      <c r="S2270" s="99">
        <v>1733.0</v>
      </c>
      <c r="T2270" s="99">
        <v>112.0</v>
      </c>
      <c r="U2270" s="99">
        <v>2.0</v>
      </c>
      <c r="V2270" s="99">
        <v>65.0</v>
      </c>
      <c r="W2270" s="99">
        <v>13628.0</v>
      </c>
    </row>
    <row r="2271" ht="15.75" customHeight="1">
      <c r="A2271" s="95" t="s">
        <v>12726</v>
      </c>
      <c r="B2271" s="95" t="s">
        <v>131</v>
      </c>
      <c r="C2271" s="96" t="s">
        <v>12727</v>
      </c>
      <c r="D2271" s="95" t="s">
        <v>124</v>
      </c>
      <c r="E2271" s="95" t="s">
        <v>794</v>
      </c>
      <c r="F2271" s="95" t="s">
        <v>19</v>
      </c>
      <c r="G2271" s="95" t="s">
        <v>574</v>
      </c>
      <c r="H2271" s="95" t="s">
        <v>537</v>
      </c>
      <c r="I2271" s="95" t="s">
        <v>12728</v>
      </c>
      <c r="J2271" s="97">
        <v>45975.67935613426</v>
      </c>
      <c r="K2271" s="96" t="s">
        <v>12729</v>
      </c>
      <c r="L2271" s="96" t="s">
        <v>12730</v>
      </c>
      <c r="M2271" s="95" t="s">
        <v>17</v>
      </c>
      <c r="N2271" s="95" t="s">
        <v>7491</v>
      </c>
      <c r="O2271" s="95" t="s">
        <v>7491</v>
      </c>
      <c r="P2271" s="95" t="s">
        <v>7492</v>
      </c>
      <c r="Q2271" s="98">
        <v>2.0</v>
      </c>
      <c r="R2271" s="97">
        <v>45772.39565972222</v>
      </c>
      <c r="S2271" s="99">
        <v>57.0</v>
      </c>
      <c r="T2271" s="99">
        <v>528.0</v>
      </c>
      <c r="U2271" s="99">
        <v>1.0</v>
      </c>
      <c r="V2271" s="99">
        <v>105.0</v>
      </c>
      <c r="W2271" s="99">
        <v>246292.0</v>
      </c>
    </row>
    <row r="2272" ht="15.75" customHeight="1">
      <c r="A2272" s="95" t="s">
        <v>12731</v>
      </c>
      <c r="B2272" s="95" t="s">
        <v>131</v>
      </c>
      <c r="C2272" s="96" t="s">
        <v>12732</v>
      </c>
      <c r="D2272" s="95" t="s">
        <v>68</v>
      </c>
      <c r="E2272" s="95" t="s">
        <v>1901</v>
      </c>
      <c r="F2272" s="95" t="s">
        <v>58</v>
      </c>
      <c r="G2272" s="95" t="s">
        <v>1450</v>
      </c>
      <c r="H2272" s="95" t="s">
        <v>60</v>
      </c>
      <c r="I2272" s="95" t="s">
        <v>795</v>
      </c>
      <c r="J2272" s="97">
        <v>46056.94211379629</v>
      </c>
      <c r="K2272" s="95" t="s">
        <v>12733</v>
      </c>
      <c r="L2272" s="96" t="s">
        <v>12734</v>
      </c>
      <c r="M2272" s="95" t="s">
        <v>93</v>
      </c>
      <c r="N2272" s="95" t="s">
        <v>12735</v>
      </c>
      <c r="O2272" s="95" t="s">
        <v>12735</v>
      </c>
      <c r="P2272" s="95" t="s">
        <v>12736</v>
      </c>
      <c r="Q2272" s="98">
        <v>2.0</v>
      </c>
      <c r="R2272" s="97">
        <v>45990.56444444445</v>
      </c>
      <c r="S2272" s="99">
        <v>236.0</v>
      </c>
      <c r="T2272" s="99">
        <v>16.0</v>
      </c>
      <c r="U2272" s="99">
        <v>1.0</v>
      </c>
      <c r="V2272" s="99">
        <v>38.0</v>
      </c>
      <c r="W2272" s="99">
        <v>184454.0</v>
      </c>
    </row>
    <row r="2273" ht="15.75" customHeight="1">
      <c r="A2273" s="95" t="s">
        <v>12737</v>
      </c>
      <c r="B2273" s="95" t="s">
        <v>22</v>
      </c>
      <c r="C2273" s="96" t="s">
        <v>12738</v>
      </c>
      <c r="D2273" s="95" t="s">
        <v>39</v>
      </c>
      <c r="E2273" s="95" t="s">
        <v>39</v>
      </c>
      <c r="F2273" s="95" t="s">
        <v>19</v>
      </c>
      <c r="G2273" s="95" t="s">
        <v>19</v>
      </c>
      <c r="H2273" s="95" t="s">
        <v>21</v>
      </c>
      <c r="I2273" s="95" t="s">
        <v>567</v>
      </c>
      <c r="J2273" s="97">
        <v>46021.49322636574</v>
      </c>
      <c r="K2273" s="95" t="s">
        <v>12739</v>
      </c>
      <c r="L2273" s="96" t="s">
        <v>12740</v>
      </c>
      <c r="M2273" s="95" t="s">
        <v>28</v>
      </c>
      <c r="N2273" s="95" t="s">
        <v>12741</v>
      </c>
      <c r="O2273" s="95" t="s">
        <v>12741</v>
      </c>
      <c r="P2273" s="95" t="s">
        <v>12742</v>
      </c>
      <c r="Q2273" s="98">
        <v>2.0</v>
      </c>
      <c r="R2273" s="97">
        <v>45848.45435185185</v>
      </c>
      <c r="S2273" s="99">
        <v>206.0</v>
      </c>
      <c r="T2273" s="99">
        <v>65.0</v>
      </c>
      <c r="U2273" s="99">
        <v>2.0</v>
      </c>
      <c r="V2273" s="99">
        <v>64.0</v>
      </c>
      <c r="W2273" s="99">
        <v>100845.0</v>
      </c>
    </row>
    <row r="2274" ht="15.75" customHeight="1">
      <c r="A2274" s="95" t="s">
        <v>12743</v>
      </c>
      <c r="B2274" s="95" t="s">
        <v>22</v>
      </c>
      <c r="C2274" s="96" t="s">
        <v>12744</v>
      </c>
      <c r="D2274" s="95" t="s">
        <v>68</v>
      </c>
      <c r="E2274" s="95" t="s">
        <v>68</v>
      </c>
      <c r="F2274" s="95" t="s">
        <v>19</v>
      </c>
      <c r="G2274" s="95" t="s">
        <v>19</v>
      </c>
      <c r="H2274" s="95" t="s">
        <v>21</v>
      </c>
      <c r="I2274" s="95" t="s">
        <v>567</v>
      </c>
      <c r="J2274" s="97">
        <v>46021.51020638889</v>
      </c>
      <c r="K2274" s="95" t="s">
        <v>12745</v>
      </c>
      <c r="L2274" s="96" t="s">
        <v>12746</v>
      </c>
      <c r="M2274" s="95" t="s">
        <v>74</v>
      </c>
      <c r="N2274" s="95" t="s">
        <v>12747</v>
      </c>
      <c r="O2274" s="95" t="s">
        <v>12747</v>
      </c>
      <c r="P2274" s="95" t="s">
        <v>12748</v>
      </c>
      <c r="Q2274" s="98">
        <v>2.0</v>
      </c>
      <c r="R2274" s="97">
        <v>45825.76101851852</v>
      </c>
      <c r="S2274" s="99">
        <v>65.0</v>
      </c>
      <c r="T2274" s="99">
        <v>236.0</v>
      </c>
      <c r="U2274" s="99">
        <v>1.0</v>
      </c>
      <c r="V2274" s="99">
        <v>54.0</v>
      </c>
      <c r="W2274" s="99">
        <v>13343.0</v>
      </c>
    </row>
    <row r="2275" ht="15.75" customHeight="1">
      <c r="A2275" s="95" t="s">
        <v>12749</v>
      </c>
      <c r="B2275" s="95" t="s">
        <v>22</v>
      </c>
      <c r="C2275" s="96" t="s">
        <v>12750</v>
      </c>
      <c r="D2275" s="95" t="s">
        <v>124</v>
      </c>
      <c r="E2275" s="95" t="s">
        <v>8682</v>
      </c>
      <c r="F2275" s="95" t="s">
        <v>19</v>
      </c>
      <c r="G2275" s="95" t="s">
        <v>19</v>
      </c>
      <c r="H2275" s="95" t="s">
        <v>21</v>
      </c>
      <c r="I2275" s="95" t="s">
        <v>567</v>
      </c>
      <c r="J2275" s="97">
        <v>46003.08234306713</v>
      </c>
      <c r="K2275" s="95" t="s">
        <v>12751</v>
      </c>
      <c r="L2275" s="96" t="s">
        <v>12752</v>
      </c>
      <c r="M2275" s="95" t="s">
        <v>105</v>
      </c>
      <c r="N2275" s="95" t="s">
        <v>12753</v>
      </c>
      <c r="O2275" s="95" t="s">
        <v>12753</v>
      </c>
      <c r="P2275" s="95" t="s">
        <v>12754</v>
      </c>
      <c r="Q2275" s="98">
        <v>2.0</v>
      </c>
      <c r="R2275" s="97">
        <v>45645.58030092593</v>
      </c>
      <c r="S2275" s="99">
        <v>193.0</v>
      </c>
      <c r="T2275" s="99">
        <v>12.0</v>
      </c>
      <c r="U2275" s="99">
        <v>1.0</v>
      </c>
      <c r="V2275" s="99">
        <v>451.0</v>
      </c>
      <c r="W2275" s="99">
        <v>1372827.0</v>
      </c>
    </row>
    <row r="2276" ht="15.75" customHeight="1">
      <c r="A2276" s="95" t="s">
        <v>12755</v>
      </c>
      <c r="B2276" s="95" t="s">
        <v>22</v>
      </c>
      <c r="C2276" s="96" t="s">
        <v>12756</v>
      </c>
      <c r="D2276" s="95" t="s">
        <v>168</v>
      </c>
      <c r="E2276" s="95" t="s">
        <v>606</v>
      </c>
      <c r="F2276" s="95" t="s">
        <v>19</v>
      </c>
      <c r="G2276" s="95" t="s">
        <v>19</v>
      </c>
      <c r="H2276" s="95" t="s">
        <v>21</v>
      </c>
      <c r="I2276" s="95" t="s">
        <v>567</v>
      </c>
      <c r="J2276" s="97">
        <v>45975.67930055556</v>
      </c>
      <c r="K2276" s="96" t="s">
        <v>12757</v>
      </c>
      <c r="L2276" s="96" t="s">
        <v>12758</v>
      </c>
      <c r="M2276" s="95" t="s">
        <v>105</v>
      </c>
      <c r="N2276" s="95" t="s">
        <v>7644</v>
      </c>
      <c r="O2276" s="95" t="s">
        <v>7644</v>
      </c>
      <c r="P2276" s="95" t="s">
        <v>7645</v>
      </c>
      <c r="Q2276" s="98">
        <v>2.0</v>
      </c>
      <c r="R2276" s="97">
        <v>45908.48269675926</v>
      </c>
      <c r="S2276" s="99">
        <v>5642.0</v>
      </c>
      <c r="T2276" s="99">
        <v>43.0</v>
      </c>
      <c r="U2276" s="99">
        <v>4.0</v>
      </c>
      <c r="V2276" s="99">
        <v>178.0</v>
      </c>
      <c r="W2276" s="99">
        <v>2218801.0</v>
      </c>
    </row>
    <row r="2277" ht="15.75" customHeight="1">
      <c r="A2277" s="95" t="s">
        <v>12759</v>
      </c>
      <c r="B2277" s="95" t="s">
        <v>22</v>
      </c>
      <c r="C2277" s="96" t="s">
        <v>12760</v>
      </c>
      <c r="D2277" s="95" t="s">
        <v>168</v>
      </c>
      <c r="E2277" s="95" t="s">
        <v>1228</v>
      </c>
      <c r="F2277" s="95" t="s">
        <v>19</v>
      </c>
      <c r="G2277" s="95" t="s">
        <v>1367</v>
      </c>
      <c r="H2277" s="95" t="s">
        <v>21</v>
      </c>
      <c r="I2277" s="95" t="s">
        <v>2183</v>
      </c>
      <c r="J2277" s="97">
        <v>45993.7854622338</v>
      </c>
      <c r="K2277" s="96" t="s">
        <v>12761</v>
      </c>
      <c r="L2277" s="95"/>
      <c r="M2277" s="95" t="s">
        <v>17</v>
      </c>
      <c r="N2277" s="95" t="s">
        <v>7689</v>
      </c>
      <c r="O2277" s="95" t="s">
        <v>7689</v>
      </c>
      <c r="P2277" s="95" t="s">
        <v>7690</v>
      </c>
      <c r="Q2277" s="98">
        <v>2.0</v>
      </c>
      <c r="R2277" s="97">
        <v>45694.77043981481</v>
      </c>
      <c r="S2277" s="99">
        <v>373.0</v>
      </c>
      <c r="T2277" s="99">
        <v>435.0</v>
      </c>
      <c r="U2277" s="99">
        <v>1.0</v>
      </c>
      <c r="V2277" s="99">
        <v>67.0</v>
      </c>
      <c r="W2277" s="99">
        <v>62072.0</v>
      </c>
    </row>
    <row r="2278" ht="15.75" customHeight="1">
      <c r="A2278" s="95" t="s">
        <v>12762</v>
      </c>
      <c r="B2278" s="95" t="s">
        <v>22</v>
      </c>
      <c r="C2278" s="96" t="s">
        <v>12763</v>
      </c>
      <c r="D2278" s="95" t="s">
        <v>124</v>
      </c>
      <c r="E2278" s="95" t="s">
        <v>5240</v>
      </c>
      <c r="F2278" s="95" t="s">
        <v>19</v>
      </c>
      <c r="G2278" s="95" t="s">
        <v>19</v>
      </c>
      <c r="H2278" s="95" t="s">
        <v>21</v>
      </c>
      <c r="I2278" s="95" t="s">
        <v>567</v>
      </c>
      <c r="J2278" s="97">
        <v>46069.66275371527</v>
      </c>
      <c r="K2278" s="95" t="s">
        <v>12764</v>
      </c>
      <c r="L2278" s="96" t="s">
        <v>12765</v>
      </c>
      <c r="M2278" s="95" t="s">
        <v>74</v>
      </c>
      <c r="N2278" s="95" t="s">
        <v>12766</v>
      </c>
      <c r="O2278" s="95" t="s">
        <v>12766</v>
      </c>
      <c r="P2278" s="95" t="s">
        <v>12767</v>
      </c>
      <c r="Q2278" s="98">
        <v>2.0</v>
      </c>
      <c r="R2278" s="97">
        <v>46028.39405092593</v>
      </c>
      <c r="S2278" s="99">
        <v>1514.0</v>
      </c>
      <c r="T2278" s="99">
        <v>26.0</v>
      </c>
      <c r="U2278" s="99">
        <v>5.0</v>
      </c>
      <c r="V2278" s="99">
        <v>132.0</v>
      </c>
      <c r="W2278" s="99">
        <v>275863.0</v>
      </c>
    </row>
    <row r="2279" ht="15.75" customHeight="1">
      <c r="A2279" s="95" t="s">
        <v>12768</v>
      </c>
      <c r="B2279" s="95" t="s">
        <v>22</v>
      </c>
      <c r="C2279" s="96" t="s">
        <v>12769</v>
      </c>
      <c r="D2279" s="95" t="s">
        <v>39</v>
      </c>
      <c r="E2279" s="95" t="s">
        <v>39</v>
      </c>
      <c r="F2279" s="95" t="s">
        <v>19</v>
      </c>
      <c r="G2279" s="95" t="s">
        <v>19</v>
      </c>
      <c r="H2279" s="95" t="s">
        <v>21</v>
      </c>
      <c r="I2279" s="95" t="s">
        <v>567</v>
      </c>
      <c r="J2279" s="97">
        <v>46003.09519246528</v>
      </c>
      <c r="K2279" s="95" t="s">
        <v>12770</v>
      </c>
      <c r="L2279" s="96" t="s">
        <v>12771</v>
      </c>
      <c r="M2279" s="95" t="s">
        <v>38</v>
      </c>
      <c r="N2279" s="95" t="s">
        <v>12772</v>
      </c>
      <c r="O2279" s="95" t="s">
        <v>12772</v>
      </c>
      <c r="P2279" s="95" t="s">
        <v>12773</v>
      </c>
      <c r="Q2279" s="98">
        <v>2.0</v>
      </c>
      <c r="R2279" s="97">
        <v>45616.6125925926</v>
      </c>
      <c r="S2279" s="99">
        <v>223.0</v>
      </c>
      <c r="T2279" s="99">
        <v>115.0</v>
      </c>
      <c r="U2279" s="99">
        <v>1.0</v>
      </c>
      <c r="V2279" s="99">
        <v>80.0</v>
      </c>
      <c r="W2279" s="99">
        <v>18966.0</v>
      </c>
    </row>
    <row r="2280" ht="15.75" customHeight="1">
      <c r="A2280" s="95" t="s">
        <v>12774</v>
      </c>
      <c r="B2280" s="95" t="s">
        <v>22</v>
      </c>
      <c r="C2280" s="96" t="s">
        <v>12775</v>
      </c>
      <c r="D2280" s="95" t="s">
        <v>39</v>
      </c>
      <c r="E2280" s="95" t="s">
        <v>39</v>
      </c>
      <c r="F2280" s="95" t="s">
        <v>19</v>
      </c>
      <c r="G2280" s="95" t="s">
        <v>19</v>
      </c>
      <c r="H2280" s="95" t="s">
        <v>21</v>
      </c>
      <c r="I2280" s="95" t="s">
        <v>567</v>
      </c>
      <c r="J2280" s="97">
        <v>45975.67935613426</v>
      </c>
      <c r="K2280" s="96" t="s">
        <v>12776</v>
      </c>
      <c r="L2280" s="96" t="s">
        <v>12777</v>
      </c>
      <c r="M2280" s="95" t="s">
        <v>17</v>
      </c>
      <c r="N2280" s="95" t="s">
        <v>7749</v>
      </c>
      <c r="O2280" s="95" t="s">
        <v>7749</v>
      </c>
      <c r="P2280" s="95" t="s">
        <v>7750</v>
      </c>
      <c r="Q2280" s="98">
        <v>2.0</v>
      </c>
      <c r="R2280" s="97">
        <v>45625.02188657408</v>
      </c>
      <c r="S2280" s="99">
        <v>17192.0</v>
      </c>
      <c r="T2280" s="99">
        <v>182.0</v>
      </c>
      <c r="U2280" s="99">
        <v>15.0</v>
      </c>
      <c r="V2280" s="99">
        <v>92.0</v>
      </c>
      <c r="W2280" s="99">
        <v>22277.0</v>
      </c>
    </row>
    <row r="2281" ht="15.75" customHeight="1">
      <c r="A2281" s="95" t="s">
        <v>12778</v>
      </c>
      <c r="B2281" s="95" t="s">
        <v>22</v>
      </c>
      <c r="C2281" s="96" t="s">
        <v>12779</v>
      </c>
      <c r="D2281" s="95" t="s">
        <v>39</v>
      </c>
      <c r="E2281" s="95" t="s">
        <v>39</v>
      </c>
      <c r="F2281" s="95" t="s">
        <v>19</v>
      </c>
      <c r="G2281" s="95" t="s">
        <v>19</v>
      </c>
      <c r="H2281" s="95" t="s">
        <v>21</v>
      </c>
      <c r="I2281" s="95" t="s">
        <v>567</v>
      </c>
      <c r="J2281" s="97">
        <v>45975.67935613426</v>
      </c>
      <c r="K2281" s="96" t="s">
        <v>12780</v>
      </c>
      <c r="L2281" s="96" t="s">
        <v>12781</v>
      </c>
      <c r="M2281" s="95" t="s">
        <v>17</v>
      </c>
      <c r="N2281" s="95" t="s">
        <v>7749</v>
      </c>
      <c r="O2281" s="95" t="s">
        <v>7749</v>
      </c>
      <c r="P2281" s="95" t="s">
        <v>7750</v>
      </c>
      <c r="Q2281" s="98">
        <v>2.0</v>
      </c>
      <c r="R2281" s="97">
        <v>45599.07788194445</v>
      </c>
      <c r="S2281" s="99">
        <v>17192.0</v>
      </c>
      <c r="T2281" s="99">
        <v>80.0</v>
      </c>
      <c r="U2281" s="99">
        <v>3.0</v>
      </c>
      <c r="V2281" s="99">
        <v>128.0</v>
      </c>
      <c r="W2281" s="99">
        <v>22277.0</v>
      </c>
    </row>
    <row r="2282" ht="15.75" customHeight="1">
      <c r="A2282" s="95" t="s">
        <v>12782</v>
      </c>
      <c r="B2282" s="95" t="s">
        <v>22</v>
      </c>
      <c r="C2282" s="96" t="s">
        <v>12783</v>
      </c>
      <c r="D2282" s="95" t="s">
        <v>39</v>
      </c>
      <c r="E2282" s="95" t="s">
        <v>39</v>
      </c>
      <c r="F2282" s="95" t="s">
        <v>19</v>
      </c>
      <c r="G2282" s="95" t="s">
        <v>19</v>
      </c>
      <c r="H2282" s="95" t="s">
        <v>21</v>
      </c>
      <c r="I2282" s="95" t="s">
        <v>567</v>
      </c>
      <c r="J2282" s="97">
        <v>45975.67935613426</v>
      </c>
      <c r="K2282" s="96" t="s">
        <v>12784</v>
      </c>
      <c r="L2282" s="96" t="s">
        <v>12785</v>
      </c>
      <c r="M2282" s="95" t="s">
        <v>17</v>
      </c>
      <c r="N2282" s="95" t="s">
        <v>7749</v>
      </c>
      <c r="O2282" s="95" t="s">
        <v>7749</v>
      </c>
      <c r="P2282" s="95" t="s">
        <v>7750</v>
      </c>
      <c r="Q2282" s="98">
        <v>2.0</v>
      </c>
      <c r="R2282" s="97">
        <v>45599.55006944444</v>
      </c>
      <c r="S2282" s="99">
        <v>17192.0</v>
      </c>
      <c r="T2282" s="99">
        <v>61.0</v>
      </c>
      <c r="U2282" s="99">
        <v>1.0</v>
      </c>
      <c r="V2282" s="99">
        <v>26.0</v>
      </c>
      <c r="W2282" s="99">
        <v>22277.0</v>
      </c>
    </row>
    <row r="2283" ht="15.75" customHeight="1">
      <c r="A2283" s="95" t="s">
        <v>12786</v>
      </c>
      <c r="B2283" s="95" t="s">
        <v>22</v>
      </c>
      <c r="C2283" s="96" t="s">
        <v>12787</v>
      </c>
      <c r="D2283" s="95" t="s">
        <v>130</v>
      </c>
      <c r="E2283" s="95" t="s">
        <v>1025</v>
      </c>
      <c r="F2283" s="95" t="s">
        <v>19</v>
      </c>
      <c r="G2283" s="95" t="s">
        <v>19</v>
      </c>
      <c r="H2283" s="95" t="s">
        <v>21</v>
      </c>
      <c r="I2283" s="95" t="s">
        <v>567</v>
      </c>
      <c r="J2283" s="97">
        <v>46021.50617167824</v>
      </c>
      <c r="K2283" s="95" t="s">
        <v>12788</v>
      </c>
      <c r="L2283" s="96" t="s">
        <v>12789</v>
      </c>
      <c r="M2283" s="95" t="s">
        <v>54</v>
      </c>
      <c r="N2283" s="95" t="s">
        <v>12790</v>
      </c>
      <c r="O2283" s="95" t="s">
        <v>12790</v>
      </c>
      <c r="P2283" s="95" t="s">
        <v>12791</v>
      </c>
      <c r="Q2283" s="98">
        <v>2.0</v>
      </c>
      <c r="R2283" s="97">
        <v>45887.72072916666</v>
      </c>
      <c r="S2283" s="99">
        <v>575.0</v>
      </c>
      <c r="T2283" s="99">
        <v>24358.0</v>
      </c>
      <c r="U2283" s="99">
        <v>12.0</v>
      </c>
      <c r="V2283" s="99">
        <v>417.0</v>
      </c>
      <c r="W2283" s="99">
        <v>256023.0</v>
      </c>
    </row>
    <row r="2284" ht="15.75" customHeight="1">
      <c r="A2284" s="95" t="s">
        <v>12792</v>
      </c>
      <c r="B2284" s="95" t="s">
        <v>22</v>
      </c>
      <c r="C2284" s="96" t="s">
        <v>12793</v>
      </c>
      <c r="D2284" s="95" t="s">
        <v>20</v>
      </c>
      <c r="E2284" s="95" t="s">
        <v>638</v>
      </c>
      <c r="F2284" s="95" t="s">
        <v>19</v>
      </c>
      <c r="G2284" s="95" t="s">
        <v>588</v>
      </c>
      <c r="H2284" s="95" t="s">
        <v>21</v>
      </c>
      <c r="I2284" s="95" t="s">
        <v>589</v>
      </c>
      <c r="J2284" s="97">
        <v>46021.50617167824</v>
      </c>
      <c r="K2284" s="95" t="s">
        <v>12794</v>
      </c>
      <c r="L2284" s="96" t="s">
        <v>12795</v>
      </c>
      <c r="M2284" s="95" t="s">
        <v>67</v>
      </c>
      <c r="N2284" s="95" t="s">
        <v>7787</v>
      </c>
      <c r="O2284" s="95" t="s">
        <v>7787</v>
      </c>
      <c r="P2284" s="95" t="s">
        <v>7788</v>
      </c>
      <c r="Q2284" s="98">
        <v>2.0</v>
      </c>
      <c r="R2284" s="97">
        <v>45827.71930555555</v>
      </c>
      <c r="S2284" s="99">
        <v>1428.0</v>
      </c>
      <c r="T2284" s="99">
        <v>16.0</v>
      </c>
      <c r="U2284" s="99">
        <v>8.0</v>
      </c>
      <c r="V2284" s="99">
        <v>80.0</v>
      </c>
      <c r="W2284" s="99">
        <v>115556.0</v>
      </c>
    </row>
    <row r="2285" ht="15.75" customHeight="1">
      <c r="A2285" s="95" t="s">
        <v>12796</v>
      </c>
      <c r="B2285" s="95" t="s">
        <v>22</v>
      </c>
      <c r="C2285" s="96" t="s">
        <v>12797</v>
      </c>
      <c r="D2285" s="95" t="s">
        <v>168</v>
      </c>
      <c r="E2285" s="95" t="s">
        <v>780</v>
      </c>
      <c r="F2285" s="95" t="s">
        <v>19</v>
      </c>
      <c r="G2285" s="95" t="s">
        <v>19</v>
      </c>
      <c r="H2285" s="95" t="s">
        <v>21</v>
      </c>
      <c r="I2285" s="95" t="s">
        <v>567</v>
      </c>
      <c r="J2285" s="97">
        <v>45977.67848078704</v>
      </c>
      <c r="K2285" s="95" t="s">
        <v>12798</v>
      </c>
      <c r="L2285" s="96" t="s">
        <v>12799</v>
      </c>
      <c r="M2285" s="95" t="s">
        <v>17</v>
      </c>
      <c r="N2285" s="95" t="s">
        <v>12800</v>
      </c>
      <c r="O2285" s="95" t="s">
        <v>12800</v>
      </c>
      <c r="P2285" s="95" t="s">
        <v>12801</v>
      </c>
      <c r="Q2285" s="98">
        <v>2.0</v>
      </c>
      <c r="R2285" s="97">
        <v>45630.41197916667</v>
      </c>
      <c r="S2285" s="99">
        <v>217.0</v>
      </c>
      <c r="T2285" s="99">
        <v>254.0</v>
      </c>
      <c r="U2285" s="99">
        <v>3.0</v>
      </c>
      <c r="V2285" s="99">
        <v>123.0</v>
      </c>
      <c r="W2285" s="99">
        <v>44799.0</v>
      </c>
    </row>
    <row r="2286" ht="15.75" customHeight="1">
      <c r="A2286" s="95" t="s">
        <v>12802</v>
      </c>
      <c r="B2286" s="95" t="s">
        <v>22</v>
      </c>
      <c r="C2286" s="96" t="s">
        <v>12803</v>
      </c>
      <c r="D2286" s="95" t="s">
        <v>168</v>
      </c>
      <c r="E2286" s="95" t="s">
        <v>168</v>
      </c>
      <c r="F2286" s="95" t="s">
        <v>19</v>
      </c>
      <c r="G2286" s="95" t="s">
        <v>19</v>
      </c>
      <c r="H2286" s="95" t="s">
        <v>21</v>
      </c>
      <c r="I2286" s="95" t="s">
        <v>589</v>
      </c>
      <c r="J2286" s="97">
        <v>46008.62900474537</v>
      </c>
      <c r="K2286" s="96" t="s">
        <v>12804</v>
      </c>
      <c r="L2286" s="96" t="s">
        <v>12805</v>
      </c>
      <c r="M2286" s="95" t="s">
        <v>17</v>
      </c>
      <c r="N2286" s="95" t="s">
        <v>12806</v>
      </c>
      <c r="O2286" s="95" t="s">
        <v>12806</v>
      </c>
      <c r="P2286" s="95" t="s">
        <v>12807</v>
      </c>
      <c r="Q2286" s="98">
        <v>2.0</v>
      </c>
      <c r="R2286" s="97">
        <v>45763.29008101852</v>
      </c>
      <c r="S2286" s="99">
        <v>402.0</v>
      </c>
      <c r="T2286" s="99">
        <v>84.0</v>
      </c>
      <c r="U2286" s="99">
        <v>4.0</v>
      </c>
      <c r="V2286" s="99">
        <v>35.0</v>
      </c>
      <c r="W2286" s="99">
        <v>4514815.0</v>
      </c>
    </row>
    <row r="2287" ht="15.75" customHeight="1">
      <c r="A2287" s="95" t="s">
        <v>12808</v>
      </c>
      <c r="B2287" s="95" t="s">
        <v>22</v>
      </c>
      <c r="C2287" s="96" t="s">
        <v>12809</v>
      </c>
      <c r="D2287" s="95" t="s">
        <v>20</v>
      </c>
      <c r="E2287" s="95" t="s">
        <v>20</v>
      </c>
      <c r="F2287" s="95" t="s">
        <v>19</v>
      </c>
      <c r="G2287" s="95" t="s">
        <v>19</v>
      </c>
      <c r="H2287" s="95" t="s">
        <v>21</v>
      </c>
      <c r="I2287" s="95" t="s">
        <v>567</v>
      </c>
      <c r="J2287" s="97">
        <v>46021.50399828704</v>
      </c>
      <c r="K2287" s="95" t="s">
        <v>12810</v>
      </c>
      <c r="L2287" s="96" t="s">
        <v>12811</v>
      </c>
      <c r="M2287" s="95" t="s">
        <v>67</v>
      </c>
      <c r="N2287" s="95" t="s">
        <v>12812</v>
      </c>
      <c r="O2287" s="95" t="s">
        <v>12812</v>
      </c>
      <c r="P2287" s="95" t="s">
        <v>12813</v>
      </c>
      <c r="Q2287" s="98">
        <v>2.0</v>
      </c>
      <c r="R2287" s="97">
        <v>45621.74082175926</v>
      </c>
      <c r="S2287" s="99">
        <v>1935.0</v>
      </c>
      <c r="T2287" s="99">
        <v>92.0</v>
      </c>
      <c r="U2287" s="99">
        <v>1.0</v>
      </c>
      <c r="V2287" s="99">
        <v>15.0</v>
      </c>
      <c r="W2287" s="99">
        <v>17449.0</v>
      </c>
    </row>
    <row r="2288" ht="15.75" customHeight="1">
      <c r="A2288" s="95" t="s">
        <v>12814</v>
      </c>
      <c r="B2288" s="95" t="s">
        <v>22</v>
      </c>
      <c r="C2288" s="96" t="s">
        <v>12815</v>
      </c>
      <c r="D2288" s="95" t="s">
        <v>547</v>
      </c>
      <c r="E2288" s="95" t="s">
        <v>710</v>
      </c>
      <c r="F2288" s="95" t="s">
        <v>19</v>
      </c>
      <c r="G2288" s="95" t="s">
        <v>19</v>
      </c>
      <c r="H2288" s="95" t="s">
        <v>21</v>
      </c>
      <c r="I2288" s="95" t="s">
        <v>567</v>
      </c>
      <c r="J2288" s="97">
        <v>45975.67937972222</v>
      </c>
      <c r="K2288" s="96" t="s">
        <v>12816</v>
      </c>
      <c r="L2288" s="96" t="s">
        <v>12817</v>
      </c>
      <c r="M2288" s="95" t="s">
        <v>74</v>
      </c>
      <c r="N2288" s="95" t="s">
        <v>7805</v>
      </c>
      <c r="O2288" s="95" t="s">
        <v>7805</v>
      </c>
      <c r="P2288" s="95" t="s">
        <v>7806</v>
      </c>
      <c r="Q2288" s="98">
        <v>2.0</v>
      </c>
      <c r="R2288" s="97">
        <v>45796.00881944445</v>
      </c>
      <c r="S2288" s="99">
        <v>4144.0</v>
      </c>
      <c r="T2288" s="99">
        <v>25.0</v>
      </c>
      <c r="U2288" s="99">
        <v>7.0</v>
      </c>
      <c r="V2288" s="99">
        <v>27.0</v>
      </c>
      <c r="W2288" s="99">
        <v>72845.0</v>
      </c>
    </row>
    <row r="2289" ht="15.75" customHeight="1">
      <c r="A2289" s="95" t="s">
        <v>12818</v>
      </c>
      <c r="B2289" s="95" t="s">
        <v>22</v>
      </c>
      <c r="C2289" s="96" t="s">
        <v>12819</v>
      </c>
      <c r="D2289" s="95" t="s">
        <v>548</v>
      </c>
      <c r="E2289" s="95" t="s">
        <v>2757</v>
      </c>
      <c r="F2289" s="95" t="s">
        <v>19</v>
      </c>
      <c r="G2289" s="95" t="s">
        <v>19</v>
      </c>
      <c r="H2289" s="95" t="s">
        <v>21</v>
      </c>
      <c r="I2289" s="95" t="s">
        <v>567</v>
      </c>
      <c r="J2289" s="97">
        <v>46021.49769592593</v>
      </c>
      <c r="K2289" s="95" t="s">
        <v>12820</v>
      </c>
      <c r="L2289" s="96" t="s">
        <v>12821</v>
      </c>
      <c r="M2289" s="95" t="s">
        <v>54</v>
      </c>
      <c r="N2289" s="95" t="s">
        <v>12822</v>
      </c>
      <c r="O2289" s="95" t="s">
        <v>12822</v>
      </c>
      <c r="P2289" s="95" t="s">
        <v>12823</v>
      </c>
      <c r="Q2289" s="98">
        <v>2.0</v>
      </c>
      <c r="R2289" s="97">
        <v>45701.76090277778</v>
      </c>
      <c r="S2289" s="99">
        <v>106.0</v>
      </c>
      <c r="T2289" s="99">
        <v>5.0</v>
      </c>
      <c r="U2289" s="99">
        <v>2.0</v>
      </c>
      <c r="V2289" s="99">
        <v>161.0</v>
      </c>
      <c r="W2289" s="99">
        <v>46512.0</v>
      </c>
    </row>
    <row r="2290" ht="15.75" customHeight="1">
      <c r="A2290" s="95" t="s">
        <v>155</v>
      </c>
      <c r="B2290" s="95" t="s">
        <v>157</v>
      </c>
      <c r="C2290" s="96" t="s">
        <v>160</v>
      </c>
      <c r="D2290" s="95" t="s">
        <v>39</v>
      </c>
      <c r="E2290" s="95" t="s">
        <v>39</v>
      </c>
      <c r="F2290" s="95" t="s">
        <v>88</v>
      </c>
      <c r="G2290" s="95" t="s">
        <v>2750</v>
      </c>
      <c r="H2290" s="95" t="s">
        <v>89</v>
      </c>
      <c r="I2290" s="95" t="s">
        <v>859</v>
      </c>
      <c r="J2290" s="97">
        <v>45977.14474857639</v>
      </c>
      <c r="K2290" s="95" t="s">
        <v>159</v>
      </c>
      <c r="L2290" s="96" t="s">
        <v>158</v>
      </c>
      <c r="M2290" s="95" t="s">
        <v>38</v>
      </c>
      <c r="N2290" s="95" t="s">
        <v>156</v>
      </c>
      <c r="O2290" s="95" t="s">
        <v>156</v>
      </c>
      <c r="P2290" s="95" t="s">
        <v>7810</v>
      </c>
      <c r="Q2290" s="98">
        <v>2.0</v>
      </c>
      <c r="R2290" s="97">
        <v>45641.97614583333</v>
      </c>
      <c r="S2290" s="99">
        <v>2216.0</v>
      </c>
      <c r="T2290" s="99">
        <v>112.0</v>
      </c>
      <c r="U2290" s="99">
        <v>2.0</v>
      </c>
      <c r="V2290" s="99">
        <v>85.0</v>
      </c>
      <c r="W2290" s="99">
        <v>5619.0</v>
      </c>
    </row>
    <row r="2291" ht="15.75" customHeight="1">
      <c r="A2291" s="95" t="s">
        <v>12824</v>
      </c>
      <c r="B2291" s="95" t="s">
        <v>69</v>
      </c>
      <c r="C2291" s="96" t="s">
        <v>12825</v>
      </c>
      <c r="D2291" s="95" t="s">
        <v>68</v>
      </c>
      <c r="E2291" s="95" t="s">
        <v>769</v>
      </c>
      <c r="F2291" s="95" t="s">
        <v>58</v>
      </c>
      <c r="G2291" s="95" t="s">
        <v>58</v>
      </c>
      <c r="H2291" s="95" t="s">
        <v>77</v>
      </c>
      <c r="I2291" s="95" t="s">
        <v>599</v>
      </c>
      <c r="J2291" s="97">
        <v>46021.49769592593</v>
      </c>
      <c r="K2291" s="95" t="s">
        <v>12826</v>
      </c>
      <c r="L2291" s="96" t="s">
        <v>12827</v>
      </c>
      <c r="M2291" s="95" t="s">
        <v>54</v>
      </c>
      <c r="N2291" s="95" t="s">
        <v>12828</v>
      </c>
      <c r="O2291" s="95" t="s">
        <v>12828</v>
      </c>
      <c r="P2291" s="95" t="s">
        <v>12829</v>
      </c>
      <c r="Q2291" s="98">
        <v>2.0</v>
      </c>
      <c r="R2291" s="97">
        <v>45938.91496527778</v>
      </c>
      <c r="S2291" s="99">
        <v>656.0</v>
      </c>
      <c r="T2291" s="99">
        <v>714.0</v>
      </c>
      <c r="U2291" s="99">
        <v>3.0</v>
      </c>
      <c r="V2291" s="99">
        <v>73.0</v>
      </c>
      <c r="W2291" s="99">
        <v>20762.0</v>
      </c>
    </row>
    <row r="2292" ht="15.75" customHeight="1">
      <c r="A2292" s="95" t="s">
        <v>12830</v>
      </c>
      <c r="B2292" s="95" t="s">
        <v>131</v>
      </c>
      <c r="C2292" s="96" t="s">
        <v>12831</v>
      </c>
      <c r="D2292" s="95" t="s">
        <v>547</v>
      </c>
      <c r="E2292" s="95" t="s">
        <v>2952</v>
      </c>
      <c r="F2292" s="95" t="s">
        <v>88</v>
      </c>
      <c r="G2292" s="95" t="s">
        <v>903</v>
      </c>
      <c r="H2292" s="95" t="s">
        <v>89</v>
      </c>
      <c r="I2292" s="95" t="s">
        <v>726</v>
      </c>
      <c r="J2292" s="97">
        <v>45975.67937972222</v>
      </c>
      <c r="K2292" s="96" t="s">
        <v>12832</v>
      </c>
      <c r="L2292" s="96" t="s">
        <v>12833</v>
      </c>
      <c r="M2292" s="95" t="s">
        <v>74</v>
      </c>
      <c r="N2292" s="95" t="s">
        <v>12834</v>
      </c>
      <c r="O2292" s="95" t="s">
        <v>12834</v>
      </c>
      <c r="P2292" s="95" t="s">
        <v>12835</v>
      </c>
      <c r="Q2292" s="98">
        <v>2.0</v>
      </c>
      <c r="R2292" s="97">
        <v>45652.23033564815</v>
      </c>
      <c r="S2292" s="99">
        <v>2807.0</v>
      </c>
      <c r="T2292" s="99">
        <v>3.0</v>
      </c>
      <c r="U2292" s="99">
        <v>1.0</v>
      </c>
      <c r="V2292" s="99">
        <v>43.0</v>
      </c>
      <c r="W2292" s="99">
        <v>8909.0</v>
      </c>
    </row>
    <row r="2293" ht="15.75" customHeight="1">
      <c r="A2293" s="95" t="s">
        <v>12836</v>
      </c>
      <c r="B2293" s="95" t="s">
        <v>22</v>
      </c>
      <c r="C2293" s="96" t="s">
        <v>12837</v>
      </c>
      <c r="D2293" s="95" t="s">
        <v>39</v>
      </c>
      <c r="E2293" s="95" t="s">
        <v>39</v>
      </c>
      <c r="F2293" s="95" t="s">
        <v>19</v>
      </c>
      <c r="G2293" s="95" t="s">
        <v>19</v>
      </c>
      <c r="H2293" s="95" t="s">
        <v>21</v>
      </c>
      <c r="I2293" s="95" t="s">
        <v>567</v>
      </c>
      <c r="J2293" s="97">
        <v>46003.09379704861</v>
      </c>
      <c r="K2293" s="95" t="s">
        <v>12838</v>
      </c>
      <c r="L2293" s="96" t="s">
        <v>12839</v>
      </c>
      <c r="M2293" s="95" t="s">
        <v>38</v>
      </c>
      <c r="N2293" s="95" t="s">
        <v>12840</v>
      </c>
      <c r="O2293" s="95" t="s">
        <v>12840</v>
      </c>
      <c r="P2293" s="95" t="s">
        <v>12841</v>
      </c>
      <c r="Q2293" s="98">
        <v>2.0</v>
      </c>
      <c r="R2293" s="97">
        <v>45646.78542824074</v>
      </c>
      <c r="S2293" s="99">
        <v>363.0</v>
      </c>
      <c r="T2293" s="99">
        <v>1.0</v>
      </c>
      <c r="U2293" s="99">
        <v>1.0</v>
      </c>
      <c r="V2293" s="99">
        <v>25.0</v>
      </c>
      <c r="W2293" s="99">
        <v>33282.0</v>
      </c>
    </row>
    <row r="2294" ht="15.75" customHeight="1">
      <c r="A2294" s="95" t="s">
        <v>12842</v>
      </c>
      <c r="B2294" s="95" t="s">
        <v>22</v>
      </c>
      <c r="C2294" s="96" t="s">
        <v>12843</v>
      </c>
      <c r="D2294" s="95" t="s">
        <v>39</v>
      </c>
      <c r="E2294" s="95" t="s">
        <v>39</v>
      </c>
      <c r="F2294" s="95" t="s">
        <v>19</v>
      </c>
      <c r="G2294" s="95"/>
      <c r="H2294" s="95" t="s">
        <v>21</v>
      </c>
      <c r="I2294" s="95" t="s">
        <v>567</v>
      </c>
      <c r="J2294" s="97">
        <v>46003.09379704861</v>
      </c>
      <c r="K2294" s="95" t="s">
        <v>12844</v>
      </c>
      <c r="L2294" s="96" t="s">
        <v>12845</v>
      </c>
      <c r="M2294" s="95" t="s">
        <v>38</v>
      </c>
      <c r="N2294" s="95" t="s">
        <v>12840</v>
      </c>
      <c r="O2294" s="95" t="s">
        <v>12840</v>
      </c>
      <c r="P2294" s="95" t="s">
        <v>12841</v>
      </c>
      <c r="Q2294" s="98">
        <v>2.0</v>
      </c>
      <c r="R2294" s="97">
        <v>45707.47356481481</v>
      </c>
      <c r="S2294" s="99">
        <v>363.0</v>
      </c>
      <c r="T2294" s="99">
        <v>11.0</v>
      </c>
      <c r="U2294" s="99">
        <v>1.0</v>
      </c>
      <c r="V2294" s="99">
        <v>342.0</v>
      </c>
      <c r="W2294" s="99">
        <v>33282.0</v>
      </c>
    </row>
    <row r="2295" ht="15.75" customHeight="1">
      <c r="A2295" s="95" t="s">
        <v>12846</v>
      </c>
      <c r="B2295" s="95" t="s">
        <v>22</v>
      </c>
      <c r="C2295" s="96" t="s">
        <v>12847</v>
      </c>
      <c r="D2295" s="95" t="s">
        <v>39</v>
      </c>
      <c r="E2295" s="95" t="s">
        <v>39</v>
      </c>
      <c r="F2295" s="95" t="s">
        <v>19</v>
      </c>
      <c r="G2295" s="95" t="s">
        <v>574</v>
      </c>
      <c r="H2295" s="95" t="s">
        <v>21</v>
      </c>
      <c r="I2295" s="95" t="s">
        <v>567</v>
      </c>
      <c r="J2295" s="97">
        <v>46003.09519246528</v>
      </c>
      <c r="K2295" s="95" t="s">
        <v>12848</v>
      </c>
      <c r="L2295" s="96" t="s">
        <v>12849</v>
      </c>
      <c r="M2295" s="95" t="s">
        <v>38</v>
      </c>
      <c r="N2295" s="95" t="s">
        <v>12840</v>
      </c>
      <c r="O2295" s="95" t="s">
        <v>12840</v>
      </c>
      <c r="P2295" s="95" t="s">
        <v>12841</v>
      </c>
      <c r="Q2295" s="98">
        <v>2.0</v>
      </c>
      <c r="R2295" s="97">
        <v>45947.64600694444</v>
      </c>
      <c r="S2295" s="99">
        <v>363.0</v>
      </c>
      <c r="T2295" s="99">
        <v>36.0</v>
      </c>
      <c r="U2295" s="99">
        <v>1.0</v>
      </c>
      <c r="V2295" s="99">
        <v>27.0</v>
      </c>
      <c r="W2295" s="99">
        <v>33282.0</v>
      </c>
    </row>
    <row r="2296" ht="15.75" customHeight="1">
      <c r="A2296" s="95" t="s">
        <v>12850</v>
      </c>
      <c r="B2296" s="95" t="s">
        <v>22</v>
      </c>
      <c r="C2296" s="96" t="s">
        <v>12851</v>
      </c>
      <c r="D2296" s="95" t="s">
        <v>29</v>
      </c>
      <c r="E2296" s="95" t="s">
        <v>598</v>
      </c>
      <c r="F2296" s="95" t="s">
        <v>19</v>
      </c>
      <c r="G2296" s="95" t="s">
        <v>588</v>
      </c>
      <c r="H2296" s="95" t="s">
        <v>21</v>
      </c>
      <c r="I2296" s="95" t="s">
        <v>677</v>
      </c>
      <c r="J2296" s="97">
        <v>46069.70394782408</v>
      </c>
      <c r="K2296" s="95" t="s">
        <v>12852</v>
      </c>
      <c r="L2296" s="96" t="s">
        <v>12853</v>
      </c>
      <c r="M2296" s="95" t="s">
        <v>74</v>
      </c>
      <c r="N2296" s="95" t="s">
        <v>7874</v>
      </c>
      <c r="O2296" s="95" t="s">
        <v>7874</v>
      </c>
      <c r="P2296" s="95" t="s">
        <v>7875</v>
      </c>
      <c r="Q2296" s="98">
        <v>2.0</v>
      </c>
      <c r="R2296" s="97">
        <v>45890.53223379629</v>
      </c>
      <c r="S2296" s="99">
        <v>569.0</v>
      </c>
      <c r="T2296" s="99">
        <v>1.0</v>
      </c>
      <c r="U2296" s="99">
        <v>2.0</v>
      </c>
      <c r="V2296" s="99">
        <v>120.0</v>
      </c>
      <c r="W2296" s="99">
        <v>8413.0</v>
      </c>
    </row>
    <row r="2297" ht="15.75" customHeight="1">
      <c r="A2297" s="95" t="s">
        <v>12854</v>
      </c>
      <c r="B2297" s="95" t="s">
        <v>22</v>
      </c>
      <c r="C2297" s="96" t="s">
        <v>12855</v>
      </c>
      <c r="D2297" s="95" t="s">
        <v>29</v>
      </c>
      <c r="E2297" s="95" t="s">
        <v>910</v>
      </c>
      <c r="F2297" s="95" t="s">
        <v>19</v>
      </c>
      <c r="G2297" s="95" t="s">
        <v>19</v>
      </c>
      <c r="H2297" s="95" t="s">
        <v>21</v>
      </c>
      <c r="I2297" s="95" t="s">
        <v>567</v>
      </c>
      <c r="J2297" s="97">
        <v>46021.51020638889</v>
      </c>
      <c r="K2297" s="95" t="s">
        <v>12856</v>
      </c>
      <c r="L2297" s="96" t="s">
        <v>12857</v>
      </c>
      <c r="M2297" s="95" t="s">
        <v>93</v>
      </c>
      <c r="N2297" s="95" t="s">
        <v>12858</v>
      </c>
      <c r="O2297" s="95" t="s">
        <v>12858</v>
      </c>
      <c r="P2297" s="95" t="s">
        <v>12859</v>
      </c>
      <c r="Q2297" s="98">
        <v>2.0</v>
      </c>
      <c r="R2297" s="97">
        <v>45889.5600462963</v>
      </c>
      <c r="S2297" s="99">
        <v>85.0</v>
      </c>
      <c r="T2297" s="99">
        <v>8057.0</v>
      </c>
      <c r="U2297" s="99">
        <v>6.0</v>
      </c>
      <c r="V2297" s="99">
        <v>69.0</v>
      </c>
      <c r="W2297" s="99">
        <v>452520.0</v>
      </c>
    </row>
    <row r="2298" ht="15.75" customHeight="1">
      <c r="A2298" s="95" t="s">
        <v>12860</v>
      </c>
      <c r="B2298" s="95" t="s">
        <v>22</v>
      </c>
      <c r="C2298" s="96" t="s">
        <v>12861</v>
      </c>
      <c r="D2298" s="95" t="s">
        <v>29</v>
      </c>
      <c r="E2298" s="95" t="s">
        <v>29</v>
      </c>
      <c r="F2298" s="95" t="s">
        <v>19</v>
      </c>
      <c r="G2298" s="95" t="s">
        <v>19</v>
      </c>
      <c r="H2298" s="95" t="s">
        <v>21</v>
      </c>
      <c r="I2298" s="95" t="s">
        <v>677</v>
      </c>
      <c r="J2298" s="97">
        <v>46021.50628966435</v>
      </c>
      <c r="K2298" s="95" t="s">
        <v>12862</v>
      </c>
      <c r="L2298" s="96" t="s">
        <v>12863</v>
      </c>
      <c r="M2298" s="95" t="s">
        <v>93</v>
      </c>
      <c r="N2298" s="95" t="s">
        <v>12864</v>
      </c>
      <c r="O2298" s="95" t="s">
        <v>12864</v>
      </c>
      <c r="P2298" s="95" t="s">
        <v>12865</v>
      </c>
      <c r="Q2298" s="98">
        <v>2.0</v>
      </c>
      <c r="R2298" s="97">
        <v>45846.315</v>
      </c>
      <c r="S2298" s="99">
        <v>1864.0</v>
      </c>
      <c r="T2298" s="99">
        <v>435.0</v>
      </c>
      <c r="U2298" s="99">
        <v>23.0</v>
      </c>
      <c r="V2298" s="99">
        <v>122.0</v>
      </c>
      <c r="W2298" s="99">
        <v>643007.0</v>
      </c>
    </row>
    <row r="2299" ht="15.75" customHeight="1">
      <c r="A2299" s="95" t="s">
        <v>12866</v>
      </c>
      <c r="B2299" s="95" t="s">
        <v>22</v>
      </c>
      <c r="C2299" s="96" t="s">
        <v>12867</v>
      </c>
      <c r="D2299" s="95" t="s">
        <v>39</v>
      </c>
      <c r="E2299" s="95" t="s">
        <v>39</v>
      </c>
      <c r="F2299" s="95" t="s">
        <v>19</v>
      </c>
      <c r="G2299" s="95" t="s">
        <v>19</v>
      </c>
      <c r="H2299" s="95" t="s">
        <v>21</v>
      </c>
      <c r="I2299" s="95" t="s">
        <v>2183</v>
      </c>
      <c r="J2299" s="97">
        <v>46021.49322636574</v>
      </c>
      <c r="K2299" s="95" t="s">
        <v>12868</v>
      </c>
      <c r="L2299" s="96" t="s">
        <v>12869</v>
      </c>
      <c r="M2299" s="95" t="s">
        <v>54</v>
      </c>
      <c r="N2299" s="95" t="s">
        <v>12870</v>
      </c>
      <c r="O2299" s="95" t="s">
        <v>12870</v>
      </c>
      <c r="P2299" s="95" t="s">
        <v>12871</v>
      </c>
      <c r="Q2299" s="98">
        <v>2.0</v>
      </c>
      <c r="R2299" s="97">
        <v>45665.40395833334</v>
      </c>
      <c r="S2299" s="99">
        <v>86.0</v>
      </c>
      <c r="T2299" s="99">
        <v>68.0</v>
      </c>
      <c r="U2299" s="99">
        <v>1.0</v>
      </c>
      <c r="V2299" s="99">
        <v>35.0</v>
      </c>
      <c r="W2299" s="99">
        <v>2930.0</v>
      </c>
    </row>
    <row r="2300" ht="15.75" customHeight="1">
      <c r="A2300" s="95" t="s">
        <v>12872</v>
      </c>
      <c r="B2300" s="95" t="s">
        <v>22</v>
      </c>
      <c r="C2300" s="96" t="s">
        <v>12873</v>
      </c>
      <c r="D2300" s="95" t="s">
        <v>59</v>
      </c>
      <c r="E2300" s="95" t="s">
        <v>1347</v>
      </c>
      <c r="F2300" s="95" t="s">
        <v>19</v>
      </c>
      <c r="G2300" s="95" t="s">
        <v>19</v>
      </c>
      <c r="H2300" s="95" t="s">
        <v>21</v>
      </c>
      <c r="I2300" s="95" t="s">
        <v>589</v>
      </c>
      <c r="J2300" s="97">
        <v>45975.67931630787</v>
      </c>
      <c r="K2300" s="96" t="s">
        <v>12874</v>
      </c>
      <c r="L2300" s="96" t="s">
        <v>12875</v>
      </c>
      <c r="M2300" s="95" t="s">
        <v>54</v>
      </c>
      <c r="N2300" s="95" t="s">
        <v>12876</v>
      </c>
      <c r="O2300" s="95" t="s">
        <v>12876</v>
      </c>
      <c r="P2300" s="95" t="s">
        <v>12877</v>
      </c>
      <c r="Q2300" s="98">
        <v>2.0</v>
      </c>
      <c r="R2300" s="97">
        <v>45793.36828703704</v>
      </c>
      <c r="S2300" s="99">
        <v>3284.0</v>
      </c>
      <c r="T2300" s="99">
        <v>38.0</v>
      </c>
      <c r="U2300" s="99">
        <v>4.0</v>
      </c>
      <c r="V2300" s="99">
        <v>87.0</v>
      </c>
      <c r="W2300" s="99">
        <v>13115.0</v>
      </c>
    </row>
    <row r="2301" ht="15.75" customHeight="1">
      <c r="A2301" s="95" t="s">
        <v>12878</v>
      </c>
      <c r="B2301" s="95" t="s">
        <v>101</v>
      </c>
      <c r="C2301" s="96" t="s">
        <v>12879</v>
      </c>
      <c r="D2301" s="95" t="s">
        <v>59</v>
      </c>
      <c r="E2301" s="95" t="s">
        <v>1347</v>
      </c>
      <c r="F2301" s="95" t="s">
        <v>19</v>
      </c>
      <c r="G2301" s="95" t="s">
        <v>19</v>
      </c>
      <c r="H2301" s="95" t="s">
        <v>21</v>
      </c>
      <c r="I2301" s="95" t="s">
        <v>745</v>
      </c>
      <c r="J2301" s="97">
        <v>45975.67931630787</v>
      </c>
      <c r="K2301" s="96" t="s">
        <v>12880</v>
      </c>
      <c r="L2301" s="96" t="s">
        <v>12881</v>
      </c>
      <c r="M2301" s="95" t="s">
        <v>54</v>
      </c>
      <c r="N2301" s="95" t="s">
        <v>7962</v>
      </c>
      <c r="O2301" s="95" t="s">
        <v>7962</v>
      </c>
      <c r="P2301" s="95" t="s">
        <v>7963</v>
      </c>
      <c r="Q2301" s="98">
        <v>2.0</v>
      </c>
      <c r="R2301" s="97">
        <v>45764.39565972222</v>
      </c>
      <c r="S2301" s="99">
        <v>61091.0</v>
      </c>
      <c r="T2301" s="99">
        <v>221.0</v>
      </c>
      <c r="U2301" s="99">
        <v>1.0</v>
      </c>
      <c r="V2301" s="99">
        <v>14.0</v>
      </c>
      <c r="W2301" s="99">
        <v>345266.0</v>
      </c>
    </row>
    <row r="2302" ht="15.75" customHeight="1">
      <c r="A2302" s="95" t="s">
        <v>12882</v>
      </c>
      <c r="B2302" s="95" t="s">
        <v>22</v>
      </c>
      <c r="C2302" s="96" t="s">
        <v>12883</v>
      </c>
      <c r="D2302" s="95" t="s">
        <v>39</v>
      </c>
      <c r="E2302" s="95" t="s">
        <v>7995</v>
      </c>
      <c r="F2302" s="95" t="s">
        <v>19</v>
      </c>
      <c r="G2302" s="95" t="s">
        <v>19</v>
      </c>
      <c r="H2302" s="95" t="s">
        <v>21</v>
      </c>
      <c r="I2302" s="95" t="s">
        <v>589</v>
      </c>
      <c r="J2302" s="97">
        <v>46040.67651298611</v>
      </c>
      <c r="K2302" s="95" t="s">
        <v>12884</v>
      </c>
      <c r="L2302" s="96" t="s">
        <v>12885</v>
      </c>
      <c r="M2302" s="95" t="s">
        <v>503</v>
      </c>
      <c r="N2302" s="95" t="s">
        <v>7998</v>
      </c>
      <c r="O2302" s="95" t="s">
        <v>7998</v>
      </c>
      <c r="P2302" s="95" t="s">
        <v>7999</v>
      </c>
      <c r="Q2302" s="98">
        <v>2.0</v>
      </c>
      <c r="R2302" s="97">
        <v>45881.40458333334</v>
      </c>
      <c r="S2302" s="99">
        <v>1117.0</v>
      </c>
      <c r="T2302" s="99">
        <v>18.0</v>
      </c>
      <c r="U2302" s="99">
        <v>5.0</v>
      </c>
      <c r="V2302" s="99">
        <v>41.0</v>
      </c>
      <c r="W2302" s="99">
        <v>26216.0</v>
      </c>
    </row>
    <row r="2303" ht="15.75" customHeight="1">
      <c r="A2303" s="95" t="s">
        <v>12886</v>
      </c>
      <c r="B2303" s="95" t="s">
        <v>22</v>
      </c>
      <c r="C2303" s="96" t="s">
        <v>12887</v>
      </c>
      <c r="D2303" s="95" t="s">
        <v>59</v>
      </c>
      <c r="E2303" s="95" t="s">
        <v>3394</v>
      </c>
      <c r="F2303" s="95" t="s">
        <v>19</v>
      </c>
      <c r="G2303" s="95" t="s">
        <v>19</v>
      </c>
      <c r="H2303" s="95" t="s">
        <v>21</v>
      </c>
      <c r="I2303" s="95" t="s">
        <v>567</v>
      </c>
      <c r="J2303" s="97">
        <v>46021.50628966435</v>
      </c>
      <c r="K2303" s="95" t="s">
        <v>12888</v>
      </c>
      <c r="L2303" s="96" t="s">
        <v>12889</v>
      </c>
      <c r="M2303" s="95" t="s">
        <v>503</v>
      </c>
      <c r="N2303" s="95" t="s">
        <v>12890</v>
      </c>
      <c r="O2303" s="95" t="s">
        <v>12890</v>
      </c>
      <c r="P2303" s="95" t="s">
        <v>12891</v>
      </c>
      <c r="Q2303" s="98">
        <v>2.0</v>
      </c>
      <c r="R2303" s="97">
        <v>45891.69556712963</v>
      </c>
      <c r="S2303" s="99">
        <v>58.0</v>
      </c>
      <c r="T2303" s="99">
        <v>3.0</v>
      </c>
      <c r="U2303" s="99">
        <v>9.0</v>
      </c>
      <c r="V2303" s="99">
        <v>171.0</v>
      </c>
      <c r="W2303" s="99">
        <v>64400.0</v>
      </c>
    </row>
    <row r="2304" ht="15.75" customHeight="1">
      <c r="A2304" s="95" t="s">
        <v>12892</v>
      </c>
      <c r="B2304" s="95" t="s">
        <v>22</v>
      </c>
      <c r="C2304" s="96" t="s">
        <v>12893</v>
      </c>
      <c r="D2304" s="95" t="s">
        <v>20</v>
      </c>
      <c r="E2304" s="95"/>
      <c r="F2304" s="95" t="s">
        <v>19</v>
      </c>
      <c r="G2304" s="95" t="s">
        <v>19</v>
      </c>
      <c r="H2304" s="95" t="s">
        <v>21</v>
      </c>
      <c r="I2304" s="95" t="s">
        <v>589</v>
      </c>
      <c r="J2304" s="97">
        <v>45975.67937972222</v>
      </c>
      <c r="K2304" s="96" t="s">
        <v>12894</v>
      </c>
      <c r="L2304" s="96" t="s">
        <v>12895</v>
      </c>
      <c r="M2304" s="95" t="s">
        <v>74</v>
      </c>
      <c r="N2304" s="95" t="s">
        <v>12896</v>
      </c>
      <c r="O2304" s="95" t="s">
        <v>12896</v>
      </c>
      <c r="P2304" s="95" t="s">
        <v>12897</v>
      </c>
      <c r="Q2304" s="98">
        <v>2.0</v>
      </c>
      <c r="R2304" s="97">
        <v>45808.75872685185</v>
      </c>
      <c r="S2304" s="99">
        <v>2943.0</v>
      </c>
      <c r="T2304" s="99">
        <v>38.0</v>
      </c>
      <c r="U2304" s="99">
        <v>2.0</v>
      </c>
      <c r="V2304" s="99">
        <v>147.0</v>
      </c>
      <c r="W2304" s="99">
        <v>16910.0</v>
      </c>
    </row>
    <row r="2305" ht="15.75" customHeight="1">
      <c r="A2305" s="95" t="s">
        <v>12898</v>
      </c>
      <c r="B2305" s="95" t="s">
        <v>22</v>
      </c>
      <c r="C2305" s="96" t="s">
        <v>12899</v>
      </c>
      <c r="D2305" s="95" t="s">
        <v>20</v>
      </c>
      <c r="E2305" s="95" t="s">
        <v>762</v>
      </c>
      <c r="F2305" s="95" t="s">
        <v>19</v>
      </c>
      <c r="G2305" s="95" t="s">
        <v>19</v>
      </c>
      <c r="H2305" s="95" t="s">
        <v>21</v>
      </c>
      <c r="I2305" s="95" t="s">
        <v>589</v>
      </c>
      <c r="J2305" s="97">
        <v>46021.51330457176</v>
      </c>
      <c r="K2305" s="95" t="s">
        <v>12900</v>
      </c>
      <c r="L2305" s="96" t="s">
        <v>12901</v>
      </c>
      <c r="M2305" s="95" t="s">
        <v>74</v>
      </c>
      <c r="N2305" s="95" t="s">
        <v>12902</v>
      </c>
      <c r="O2305" s="95" t="s">
        <v>12902</v>
      </c>
      <c r="P2305" s="95" t="s">
        <v>12903</v>
      </c>
      <c r="Q2305" s="98">
        <v>2.0</v>
      </c>
      <c r="R2305" s="97">
        <v>45952.42483796296</v>
      </c>
      <c r="S2305" s="99">
        <v>235.0</v>
      </c>
      <c r="T2305" s="99">
        <v>23.0</v>
      </c>
      <c r="U2305" s="99">
        <v>7.0</v>
      </c>
      <c r="V2305" s="99">
        <v>89.0</v>
      </c>
      <c r="W2305" s="99">
        <v>5216.0</v>
      </c>
    </row>
    <row r="2306" ht="15.75" customHeight="1">
      <c r="A2306" s="95" t="s">
        <v>12904</v>
      </c>
      <c r="B2306" s="95" t="s">
        <v>69</v>
      </c>
      <c r="C2306" s="96" t="s">
        <v>12905</v>
      </c>
      <c r="D2306" s="95" t="s">
        <v>168</v>
      </c>
      <c r="E2306" s="95" t="s">
        <v>168</v>
      </c>
      <c r="F2306" s="95" t="s">
        <v>19</v>
      </c>
      <c r="G2306" s="95" t="s">
        <v>574</v>
      </c>
      <c r="H2306" s="95" t="s">
        <v>60</v>
      </c>
      <c r="I2306" s="95" t="s">
        <v>12906</v>
      </c>
      <c r="J2306" s="97">
        <v>46008.62906715277</v>
      </c>
      <c r="K2306" s="96" t="s">
        <v>12907</v>
      </c>
      <c r="L2306" s="96" t="s">
        <v>12908</v>
      </c>
      <c r="M2306" s="95" t="s">
        <v>17</v>
      </c>
      <c r="N2306" s="95" t="s">
        <v>12909</v>
      </c>
      <c r="O2306" s="95" t="s">
        <v>12909</v>
      </c>
      <c r="P2306" s="95" t="s">
        <v>12910</v>
      </c>
      <c r="Q2306" s="98">
        <v>2.0</v>
      </c>
      <c r="R2306" s="97">
        <v>45725.63226851852</v>
      </c>
      <c r="S2306" s="99">
        <v>1431.0</v>
      </c>
      <c r="T2306" s="99">
        <v>73.0</v>
      </c>
      <c r="U2306" s="99">
        <v>9.0</v>
      </c>
      <c r="V2306" s="99">
        <v>97.0</v>
      </c>
      <c r="W2306" s="99">
        <v>334384.0</v>
      </c>
    </row>
    <row r="2307" ht="15.75" customHeight="1">
      <c r="A2307" s="95" t="s">
        <v>12911</v>
      </c>
      <c r="B2307" s="95" t="s">
        <v>22</v>
      </c>
      <c r="C2307" s="96" t="s">
        <v>12912</v>
      </c>
      <c r="D2307" s="95" t="s">
        <v>547</v>
      </c>
      <c r="E2307" s="95" t="s">
        <v>547</v>
      </c>
      <c r="F2307" s="95" t="s">
        <v>19</v>
      </c>
      <c r="G2307" s="95" t="s">
        <v>588</v>
      </c>
      <c r="H2307" s="95" t="s">
        <v>21</v>
      </c>
      <c r="I2307" s="95" t="s">
        <v>677</v>
      </c>
      <c r="J2307" s="97">
        <v>45975.67935613426</v>
      </c>
      <c r="K2307" s="96" t="s">
        <v>12913</v>
      </c>
      <c r="L2307" s="96" t="s">
        <v>12914</v>
      </c>
      <c r="M2307" s="95" t="s">
        <v>17</v>
      </c>
      <c r="N2307" s="95" t="s">
        <v>12915</v>
      </c>
      <c r="O2307" s="95" t="s">
        <v>12915</v>
      </c>
      <c r="P2307" s="95" t="s">
        <v>12916</v>
      </c>
      <c r="Q2307" s="98">
        <v>2.0</v>
      </c>
      <c r="R2307" s="97">
        <v>45917.76332175926</v>
      </c>
      <c r="S2307" s="99">
        <v>9801.0</v>
      </c>
      <c r="T2307" s="99">
        <v>25.0</v>
      </c>
      <c r="U2307" s="99">
        <v>24.0</v>
      </c>
      <c r="V2307" s="99">
        <v>617.0</v>
      </c>
      <c r="W2307" s="99">
        <v>58642.0</v>
      </c>
    </row>
    <row r="2308" ht="15.75" customHeight="1">
      <c r="A2308" s="95" t="s">
        <v>12917</v>
      </c>
      <c r="B2308" s="95" t="s">
        <v>22</v>
      </c>
      <c r="C2308" s="96" t="s">
        <v>12918</v>
      </c>
      <c r="D2308" s="95" t="s">
        <v>547</v>
      </c>
      <c r="E2308" s="95" t="s">
        <v>547</v>
      </c>
      <c r="F2308" s="95" t="s">
        <v>19</v>
      </c>
      <c r="G2308" s="95" t="s">
        <v>19</v>
      </c>
      <c r="H2308" s="95" t="s">
        <v>21</v>
      </c>
      <c r="I2308" s="95" t="s">
        <v>567</v>
      </c>
      <c r="J2308" s="97">
        <v>45975.67935613426</v>
      </c>
      <c r="K2308" s="96" t="s">
        <v>12919</v>
      </c>
      <c r="L2308" s="96" t="s">
        <v>12920</v>
      </c>
      <c r="M2308" s="95" t="s">
        <v>17</v>
      </c>
      <c r="N2308" s="95" t="s">
        <v>12915</v>
      </c>
      <c r="O2308" s="95" t="s">
        <v>12915</v>
      </c>
      <c r="P2308" s="95" t="s">
        <v>12916</v>
      </c>
      <c r="Q2308" s="98">
        <v>2.0</v>
      </c>
      <c r="R2308" s="97">
        <v>45853.52444444445</v>
      </c>
      <c r="S2308" s="99">
        <v>9801.0</v>
      </c>
      <c r="T2308" s="99">
        <v>97.0</v>
      </c>
      <c r="U2308" s="99">
        <v>18.0</v>
      </c>
      <c r="V2308" s="99">
        <v>227.0</v>
      </c>
      <c r="W2308" s="99">
        <v>58642.0</v>
      </c>
    </row>
    <row r="2309" ht="15.75" customHeight="1">
      <c r="A2309" s="95" t="s">
        <v>12921</v>
      </c>
      <c r="B2309" s="95" t="s">
        <v>22</v>
      </c>
      <c r="C2309" s="96" t="s">
        <v>12922</v>
      </c>
      <c r="D2309" s="95" t="s">
        <v>168</v>
      </c>
      <c r="E2309" s="95" t="s">
        <v>168</v>
      </c>
      <c r="F2309" s="95" t="s">
        <v>19</v>
      </c>
      <c r="G2309" s="95" t="s">
        <v>19</v>
      </c>
      <c r="H2309" s="95" t="s">
        <v>21</v>
      </c>
      <c r="I2309" s="95" t="s">
        <v>567</v>
      </c>
      <c r="J2309" s="97">
        <v>45978.46433893518</v>
      </c>
      <c r="K2309" s="95" t="s">
        <v>12923</v>
      </c>
      <c r="L2309" s="96" t="s">
        <v>12924</v>
      </c>
      <c r="M2309" s="95" t="s">
        <v>17</v>
      </c>
      <c r="N2309" s="95" t="s">
        <v>8046</v>
      </c>
      <c r="O2309" s="95" t="s">
        <v>8046</v>
      </c>
      <c r="P2309" s="95" t="s">
        <v>8047</v>
      </c>
      <c r="Q2309" s="98">
        <v>2.0</v>
      </c>
      <c r="R2309" s="97">
        <v>45853.65302083334</v>
      </c>
      <c r="S2309" s="99">
        <v>1398.0</v>
      </c>
      <c r="T2309" s="99">
        <v>41.0</v>
      </c>
      <c r="U2309" s="99">
        <v>2.0</v>
      </c>
      <c r="V2309" s="99">
        <v>48.0</v>
      </c>
      <c r="W2309" s="99">
        <v>176662.0</v>
      </c>
    </row>
    <row r="2310" ht="15.75" customHeight="1">
      <c r="A2310" s="95" t="s">
        <v>12925</v>
      </c>
      <c r="B2310" s="95" t="s">
        <v>22</v>
      </c>
      <c r="C2310" s="96" t="s">
        <v>12926</v>
      </c>
      <c r="D2310" s="95" t="s">
        <v>20</v>
      </c>
      <c r="E2310" s="95" t="s">
        <v>20</v>
      </c>
      <c r="F2310" s="95" t="s">
        <v>19</v>
      </c>
      <c r="G2310" s="95" t="s">
        <v>19</v>
      </c>
      <c r="H2310" s="95" t="s">
        <v>21</v>
      </c>
      <c r="I2310" s="95" t="s">
        <v>567</v>
      </c>
      <c r="J2310" s="97">
        <v>45975.67935613426</v>
      </c>
      <c r="K2310" s="96" t="s">
        <v>12927</v>
      </c>
      <c r="L2310" s="96" t="s">
        <v>12928</v>
      </c>
      <c r="M2310" s="95" t="s">
        <v>17</v>
      </c>
      <c r="N2310" s="95" t="s">
        <v>8124</v>
      </c>
      <c r="O2310" s="95" t="s">
        <v>8124</v>
      </c>
      <c r="P2310" s="95" t="s">
        <v>8125</v>
      </c>
      <c r="Q2310" s="98">
        <v>2.0</v>
      </c>
      <c r="R2310" s="97">
        <v>45664.63908564814</v>
      </c>
      <c r="S2310" s="99">
        <v>14797.0</v>
      </c>
      <c r="T2310" s="99">
        <v>55.0</v>
      </c>
      <c r="U2310" s="99">
        <v>5.0</v>
      </c>
      <c r="V2310" s="99">
        <v>224.0</v>
      </c>
      <c r="W2310" s="99">
        <v>417364.0</v>
      </c>
    </row>
    <row r="2311" ht="15.75" customHeight="1">
      <c r="A2311" s="95" t="s">
        <v>12929</v>
      </c>
      <c r="B2311" s="95" t="s">
        <v>22</v>
      </c>
      <c r="C2311" s="96" t="s">
        <v>12930</v>
      </c>
      <c r="D2311" s="95" t="s">
        <v>20</v>
      </c>
      <c r="E2311" s="95" t="s">
        <v>638</v>
      </c>
      <c r="F2311" s="95" t="s">
        <v>19</v>
      </c>
      <c r="G2311" s="95" t="s">
        <v>19</v>
      </c>
      <c r="H2311" s="95" t="s">
        <v>21</v>
      </c>
      <c r="I2311" s="95" t="s">
        <v>589</v>
      </c>
      <c r="J2311" s="97">
        <v>46008.62907378472</v>
      </c>
      <c r="K2311" s="96" t="s">
        <v>12931</v>
      </c>
      <c r="L2311" s="95"/>
      <c r="M2311" s="95" t="s">
        <v>17</v>
      </c>
      <c r="N2311" s="95" t="s">
        <v>8124</v>
      </c>
      <c r="O2311" s="95" t="s">
        <v>8124</v>
      </c>
      <c r="P2311" s="95" t="s">
        <v>8125</v>
      </c>
      <c r="Q2311" s="98">
        <v>2.0</v>
      </c>
      <c r="R2311" s="97">
        <v>45835.61238425926</v>
      </c>
      <c r="S2311" s="99">
        <v>14797.0</v>
      </c>
      <c r="T2311" s="99">
        <v>110.0</v>
      </c>
      <c r="U2311" s="99">
        <v>4.0</v>
      </c>
      <c r="V2311" s="99">
        <v>48.0</v>
      </c>
      <c r="W2311" s="99">
        <v>417364.0</v>
      </c>
    </row>
    <row r="2312" ht="15.75" customHeight="1">
      <c r="A2312" s="95" t="s">
        <v>12932</v>
      </c>
      <c r="B2312" s="95" t="s">
        <v>22</v>
      </c>
      <c r="C2312" s="96" t="s">
        <v>12933</v>
      </c>
      <c r="D2312" s="95" t="s">
        <v>20</v>
      </c>
      <c r="E2312" s="95" t="s">
        <v>3289</v>
      </c>
      <c r="F2312" s="95" t="s">
        <v>19</v>
      </c>
      <c r="G2312" s="95" t="s">
        <v>588</v>
      </c>
      <c r="H2312" s="95" t="s">
        <v>21</v>
      </c>
      <c r="I2312" s="95" t="s">
        <v>567</v>
      </c>
      <c r="J2312" s="97">
        <v>46008.62907393518</v>
      </c>
      <c r="K2312" s="96" t="s">
        <v>12934</v>
      </c>
      <c r="L2312" s="96" t="s">
        <v>12935</v>
      </c>
      <c r="M2312" s="95" t="s">
        <v>17</v>
      </c>
      <c r="N2312" s="95" t="s">
        <v>8124</v>
      </c>
      <c r="O2312" s="95" t="s">
        <v>8124</v>
      </c>
      <c r="P2312" s="95" t="s">
        <v>8125</v>
      </c>
      <c r="Q2312" s="98">
        <v>2.0</v>
      </c>
      <c r="R2312" s="97">
        <v>45790.4080787037</v>
      </c>
      <c r="S2312" s="99">
        <v>14797.0</v>
      </c>
      <c r="T2312" s="99">
        <v>12.0</v>
      </c>
      <c r="U2312" s="99">
        <v>5.0</v>
      </c>
      <c r="V2312" s="99">
        <v>81.0</v>
      </c>
      <c r="W2312" s="99">
        <v>417364.0</v>
      </c>
    </row>
    <row r="2313" ht="15.75" customHeight="1">
      <c r="A2313" s="95" t="s">
        <v>12936</v>
      </c>
      <c r="B2313" s="95" t="s">
        <v>22</v>
      </c>
      <c r="C2313" s="96" t="s">
        <v>12937</v>
      </c>
      <c r="D2313" s="95" t="s">
        <v>168</v>
      </c>
      <c r="E2313" s="95" t="s">
        <v>1228</v>
      </c>
      <c r="F2313" s="95" t="s">
        <v>19</v>
      </c>
      <c r="G2313" s="95" t="s">
        <v>19</v>
      </c>
      <c r="H2313" s="95" t="s">
        <v>21</v>
      </c>
      <c r="I2313" s="95" t="s">
        <v>567</v>
      </c>
      <c r="J2313" s="97">
        <v>45993.7854622338</v>
      </c>
      <c r="K2313" s="96" t="s">
        <v>12938</v>
      </c>
      <c r="L2313" s="96" t="s">
        <v>12939</v>
      </c>
      <c r="M2313" s="95" t="s">
        <v>17</v>
      </c>
      <c r="N2313" s="95" t="s">
        <v>12940</v>
      </c>
      <c r="O2313" s="95" t="s">
        <v>12940</v>
      </c>
      <c r="P2313" s="95" t="s">
        <v>12941</v>
      </c>
      <c r="Q2313" s="98">
        <v>2.0</v>
      </c>
      <c r="R2313" s="97">
        <v>45911.93119212963</v>
      </c>
      <c r="S2313" s="99">
        <v>150.0</v>
      </c>
      <c r="T2313" s="99">
        <v>84.0</v>
      </c>
      <c r="U2313" s="99">
        <v>12.0</v>
      </c>
      <c r="V2313" s="99">
        <v>98.0</v>
      </c>
      <c r="W2313" s="99">
        <v>27752.0</v>
      </c>
    </row>
    <row r="2314" ht="15.75" customHeight="1">
      <c r="A2314" s="95" t="s">
        <v>12942</v>
      </c>
      <c r="B2314" s="95" t="s">
        <v>22</v>
      </c>
      <c r="C2314" s="96" t="s">
        <v>12943</v>
      </c>
      <c r="D2314" s="95" t="s">
        <v>168</v>
      </c>
      <c r="E2314" s="95" t="s">
        <v>1228</v>
      </c>
      <c r="F2314" s="95" t="s">
        <v>19</v>
      </c>
      <c r="G2314" s="95" t="s">
        <v>1427</v>
      </c>
      <c r="H2314" s="95" t="s">
        <v>21</v>
      </c>
      <c r="I2314" s="95" t="s">
        <v>943</v>
      </c>
      <c r="J2314" s="97">
        <v>45993.7854622338</v>
      </c>
      <c r="K2314" s="96" t="s">
        <v>12944</v>
      </c>
      <c r="L2314" s="96" t="s">
        <v>12945</v>
      </c>
      <c r="M2314" s="95" t="s">
        <v>17</v>
      </c>
      <c r="N2314" s="95" t="s">
        <v>12940</v>
      </c>
      <c r="O2314" s="95" t="s">
        <v>12940</v>
      </c>
      <c r="P2314" s="95" t="s">
        <v>12941</v>
      </c>
      <c r="Q2314" s="98">
        <v>2.0</v>
      </c>
      <c r="R2314" s="97">
        <v>45873.7774537037</v>
      </c>
      <c r="S2314" s="99">
        <v>150.0</v>
      </c>
      <c r="T2314" s="99">
        <v>94.0</v>
      </c>
      <c r="U2314" s="99">
        <v>3.0</v>
      </c>
      <c r="V2314" s="99">
        <v>244.0</v>
      </c>
      <c r="W2314" s="99">
        <v>27752.0</v>
      </c>
    </row>
    <row r="2315" ht="15.75" customHeight="1">
      <c r="A2315" s="95" t="s">
        <v>12946</v>
      </c>
      <c r="B2315" s="95" t="s">
        <v>22</v>
      </c>
      <c r="C2315" s="96" t="s">
        <v>12947</v>
      </c>
      <c r="D2315" s="95" t="s">
        <v>168</v>
      </c>
      <c r="E2315" s="95" t="s">
        <v>1228</v>
      </c>
      <c r="F2315" s="95" t="s">
        <v>19</v>
      </c>
      <c r="G2315" s="95" t="s">
        <v>19</v>
      </c>
      <c r="H2315" s="95" t="s">
        <v>21</v>
      </c>
      <c r="I2315" s="95" t="s">
        <v>589</v>
      </c>
      <c r="J2315" s="97">
        <v>45977.67877016203</v>
      </c>
      <c r="K2315" s="95" t="s">
        <v>12948</v>
      </c>
      <c r="L2315" s="95"/>
      <c r="M2315" s="95" t="s">
        <v>17</v>
      </c>
      <c r="N2315" s="95" t="s">
        <v>8129</v>
      </c>
      <c r="O2315" s="95" t="s">
        <v>8129</v>
      </c>
      <c r="P2315" s="95" t="s">
        <v>8130</v>
      </c>
      <c r="Q2315" s="98">
        <v>2.0</v>
      </c>
      <c r="R2315" s="97">
        <v>45882.77032407407</v>
      </c>
      <c r="S2315" s="99">
        <v>4085.0</v>
      </c>
      <c r="T2315" s="99">
        <v>142.0</v>
      </c>
      <c r="U2315" s="99">
        <v>4.0</v>
      </c>
      <c r="V2315" s="99">
        <v>58.0</v>
      </c>
      <c r="W2315" s="99">
        <v>187014.0</v>
      </c>
    </row>
    <row r="2316" ht="15.75" customHeight="1">
      <c r="A2316" s="95" t="s">
        <v>12949</v>
      </c>
      <c r="B2316" s="95" t="s">
        <v>22</v>
      </c>
      <c r="C2316" s="96" t="s">
        <v>12950</v>
      </c>
      <c r="D2316" s="95" t="s">
        <v>168</v>
      </c>
      <c r="E2316" s="95" t="s">
        <v>12951</v>
      </c>
      <c r="F2316" s="95" t="s">
        <v>19</v>
      </c>
      <c r="G2316" s="95" t="s">
        <v>19</v>
      </c>
      <c r="H2316" s="95" t="s">
        <v>21</v>
      </c>
      <c r="I2316" s="95" t="s">
        <v>567</v>
      </c>
      <c r="J2316" s="97">
        <v>45977.67877016203</v>
      </c>
      <c r="K2316" s="95" t="s">
        <v>12952</v>
      </c>
      <c r="L2316" s="96" t="s">
        <v>12953</v>
      </c>
      <c r="M2316" s="95" t="s">
        <v>17</v>
      </c>
      <c r="N2316" s="95" t="s">
        <v>12954</v>
      </c>
      <c r="O2316" s="95" t="s">
        <v>12954</v>
      </c>
      <c r="P2316" s="95" t="s">
        <v>12955</v>
      </c>
      <c r="Q2316" s="98">
        <v>2.0</v>
      </c>
      <c r="R2316" s="97">
        <v>45903.57708333333</v>
      </c>
      <c r="S2316" s="99">
        <v>401.0</v>
      </c>
      <c r="T2316" s="99">
        <v>19.0</v>
      </c>
      <c r="U2316" s="99">
        <v>2.0</v>
      </c>
      <c r="V2316" s="99">
        <v>69.0</v>
      </c>
      <c r="W2316" s="99">
        <v>119044.0</v>
      </c>
    </row>
    <row r="2317" ht="15.75" customHeight="1">
      <c r="A2317" s="95" t="s">
        <v>12956</v>
      </c>
      <c r="B2317" s="95" t="s">
        <v>69</v>
      </c>
      <c r="C2317" s="96" t="s">
        <v>12957</v>
      </c>
      <c r="D2317" s="95" t="s">
        <v>168</v>
      </c>
      <c r="E2317" s="95" t="s">
        <v>1228</v>
      </c>
      <c r="F2317" s="95" t="s">
        <v>88</v>
      </c>
      <c r="G2317" s="95" t="s">
        <v>88</v>
      </c>
      <c r="H2317" s="95" t="s">
        <v>89</v>
      </c>
      <c r="I2317" s="95" t="s">
        <v>640</v>
      </c>
      <c r="J2317" s="97">
        <v>45993.7854622338</v>
      </c>
      <c r="K2317" s="96" t="s">
        <v>12958</v>
      </c>
      <c r="L2317" s="96" t="s">
        <v>12959</v>
      </c>
      <c r="M2317" s="95" t="s">
        <v>17</v>
      </c>
      <c r="N2317" s="95" t="s">
        <v>12960</v>
      </c>
      <c r="O2317" s="95" t="s">
        <v>12960</v>
      </c>
      <c r="P2317" s="95" t="s">
        <v>12961</v>
      </c>
      <c r="Q2317" s="98">
        <v>2.0</v>
      </c>
      <c r="R2317" s="97">
        <v>45694.07986111111</v>
      </c>
      <c r="S2317" s="99">
        <v>1462.0</v>
      </c>
      <c r="T2317" s="99">
        <v>49.0</v>
      </c>
      <c r="U2317" s="99">
        <v>1.0</v>
      </c>
      <c r="V2317" s="99">
        <v>72.0</v>
      </c>
      <c r="W2317" s="99">
        <v>50766.0</v>
      </c>
    </row>
    <row r="2318" ht="15.75" customHeight="1">
      <c r="A2318" s="95" t="s">
        <v>12962</v>
      </c>
      <c r="B2318" s="95" t="s">
        <v>22</v>
      </c>
      <c r="C2318" s="96" t="s">
        <v>12963</v>
      </c>
      <c r="D2318" s="95" t="s">
        <v>168</v>
      </c>
      <c r="E2318" s="95" t="s">
        <v>168</v>
      </c>
      <c r="F2318" s="95" t="s">
        <v>19</v>
      </c>
      <c r="G2318" s="95" t="s">
        <v>19</v>
      </c>
      <c r="H2318" s="95" t="s">
        <v>21</v>
      </c>
      <c r="I2318" s="95" t="s">
        <v>567</v>
      </c>
      <c r="J2318" s="97">
        <v>45975.67935613426</v>
      </c>
      <c r="K2318" s="96" t="s">
        <v>12964</v>
      </c>
      <c r="L2318" s="96" t="s">
        <v>12965</v>
      </c>
      <c r="M2318" s="95" t="s">
        <v>17</v>
      </c>
      <c r="N2318" s="95" t="s">
        <v>12966</v>
      </c>
      <c r="O2318" s="95" t="s">
        <v>12966</v>
      </c>
      <c r="P2318" s="95" t="s">
        <v>12967</v>
      </c>
      <c r="Q2318" s="98">
        <v>2.0</v>
      </c>
      <c r="R2318" s="97">
        <v>45798.95748842593</v>
      </c>
      <c r="S2318" s="99">
        <v>2391.0</v>
      </c>
      <c r="T2318" s="99">
        <v>15.0</v>
      </c>
      <c r="U2318" s="99">
        <v>4.0</v>
      </c>
      <c r="V2318" s="99">
        <v>219.0</v>
      </c>
      <c r="W2318" s="99">
        <v>454702.0</v>
      </c>
    </row>
    <row r="2319" ht="15.75" customHeight="1">
      <c r="A2319" s="95" t="s">
        <v>12968</v>
      </c>
      <c r="B2319" s="95" t="s">
        <v>22</v>
      </c>
      <c r="C2319" s="96" t="s">
        <v>12969</v>
      </c>
      <c r="D2319" s="95" t="s">
        <v>39</v>
      </c>
      <c r="E2319" s="95" t="s">
        <v>39</v>
      </c>
      <c r="F2319" s="95" t="s">
        <v>19</v>
      </c>
      <c r="G2319" s="95" t="s">
        <v>19</v>
      </c>
      <c r="H2319" s="95" t="s">
        <v>21</v>
      </c>
      <c r="I2319" s="95" t="s">
        <v>589</v>
      </c>
      <c r="J2319" s="97">
        <v>45975.67935613426</v>
      </c>
      <c r="K2319" s="96" t="s">
        <v>12970</v>
      </c>
      <c r="L2319" s="96" t="s">
        <v>12971</v>
      </c>
      <c r="M2319" s="95" t="s">
        <v>17</v>
      </c>
      <c r="N2319" s="95" t="s">
        <v>12972</v>
      </c>
      <c r="O2319" s="95" t="s">
        <v>12972</v>
      </c>
      <c r="P2319" s="95" t="s">
        <v>12973</v>
      </c>
      <c r="Q2319" s="98">
        <v>2.0</v>
      </c>
      <c r="R2319" s="97">
        <v>45870.70628472222</v>
      </c>
      <c r="S2319" s="99">
        <v>833.0</v>
      </c>
      <c r="T2319" s="99">
        <v>43.0</v>
      </c>
      <c r="U2319" s="99">
        <v>6.0</v>
      </c>
      <c r="V2319" s="99">
        <v>21.0</v>
      </c>
      <c r="W2319" s="99">
        <v>4518.0</v>
      </c>
    </row>
    <row r="2320" ht="15.75" customHeight="1">
      <c r="A2320" s="95" t="s">
        <v>12974</v>
      </c>
      <c r="B2320" s="95" t="s">
        <v>22</v>
      </c>
      <c r="C2320" s="96" t="s">
        <v>12975</v>
      </c>
      <c r="D2320" s="95" t="s">
        <v>39</v>
      </c>
      <c r="E2320" s="95" t="s">
        <v>39</v>
      </c>
      <c r="F2320" s="95" t="s">
        <v>88</v>
      </c>
      <c r="G2320" s="95" t="s">
        <v>88</v>
      </c>
      <c r="H2320" s="95" t="s">
        <v>21</v>
      </c>
      <c r="I2320" s="95" t="s">
        <v>567</v>
      </c>
      <c r="J2320" s="97">
        <v>45975.67935613426</v>
      </c>
      <c r="K2320" s="96" t="s">
        <v>12976</v>
      </c>
      <c r="L2320" s="96" t="s">
        <v>12977</v>
      </c>
      <c r="M2320" s="95" t="s">
        <v>17</v>
      </c>
      <c r="N2320" s="95" t="s">
        <v>8178</v>
      </c>
      <c r="O2320" s="95" t="s">
        <v>8178</v>
      </c>
      <c r="P2320" s="95" t="s">
        <v>8179</v>
      </c>
      <c r="Q2320" s="98">
        <v>2.0</v>
      </c>
      <c r="R2320" s="97">
        <v>45739.0199537037</v>
      </c>
      <c r="S2320" s="99">
        <v>2806.0</v>
      </c>
      <c r="T2320" s="99">
        <v>65.0</v>
      </c>
      <c r="U2320" s="99">
        <v>2.0</v>
      </c>
      <c r="V2320" s="99">
        <v>85.0</v>
      </c>
      <c r="W2320" s="99">
        <v>94505.0</v>
      </c>
    </row>
    <row r="2321" ht="15.75" customHeight="1">
      <c r="A2321" s="95" t="s">
        <v>12978</v>
      </c>
      <c r="B2321" s="95" t="s">
        <v>22</v>
      </c>
      <c r="C2321" s="96" t="s">
        <v>12979</v>
      </c>
      <c r="D2321" s="95" t="s">
        <v>20</v>
      </c>
      <c r="E2321" s="95" t="s">
        <v>1991</v>
      </c>
      <c r="F2321" s="95" t="s">
        <v>19</v>
      </c>
      <c r="G2321" s="95" t="s">
        <v>574</v>
      </c>
      <c r="H2321" s="95" t="s">
        <v>21</v>
      </c>
      <c r="I2321" s="95" t="s">
        <v>589</v>
      </c>
      <c r="J2321" s="97">
        <v>45975.67935613426</v>
      </c>
      <c r="K2321" s="96" t="s">
        <v>12980</v>
      </c>
      <c r="L2321" s="96" t="s">
        <v>12981</v>
      </c>
      <c r="M2321" s="95" t="s">
        <v>17</v>
      </c>
      <c r="N2321" s="95" t="s">
        <v>12982</v>
      </c>
      <c r="O2321" s="95" t="s">
        <v>12982</v>
      </c>
      <c r="P2321" s="95" t="s">
        <v>12983</v>
      </c>
      <c r="Q2321" s="98">
        <v>2.0</v>
      </c>
      <c r="R2321" s="97">
        <v>45683.93743055555</v>
      </c>
      <c r="S2321" s="99">
        <v>2547.0</v>
      </c>
      <c r="T2321" s="99">
        <v>92.0</v>
      </c>
      <c r="U2321" s="99">
        <v>33.0</v>
      </c>
      <c r="V2321" s="99">
        <v>40.0</v>
      </c>
      <c r="W2321" s="99">
        <v>80713.0</v>
      </c>
    </row>
    <row r="2322" ht="15.75" customHeight="1">
      <c r="A2322" s="95" t="s">
        <v>12984</v>
      </c>
      <c r="B2322" s="95" t="s">
        <v>22</v>
      </c>
      <c r="C2322" s="96" t="s">
        <v>12985</v>
      </c>
      <c r="D2322" s="95" t="s">
        <v>20</v>
      </c>
      <c r="E2322" s="95" t="s">
        <v>638</v>
      </c>
      <c r="F2322" s="95" t="s">
        <v>19</v>
      </c>
      <c r="G2322" s="95" t="s">
        <v>19</v>
      </c>
      <c r="H2322" s="95" t="s">
        <v>21</v>
      </c>
      <c r="I2322" s="95" t="s">
        <v>589</v>
      </c>
      <c r="J2322" s="97">
        <v>45975.67935613426</v>
      </c>
      <c r="K2322" s="96" t="s">
        <v>12986</v>
      </c>
      <c r="L2322" s="96" t="s">
        <v>12987</v>
      </c>
      <c r="M2322" s="95" t="s">
        <v>17</v>
      </c>
      <c r="N2322" s="95" t="s">
        <v>12988</v>
      </c>
      <c r="O2322" s="95" t="s">
        <v>12988</v>
      </c>
      <c r="P2322" s="95" t="s">
        <v>12989</v>
      </c>
      <c r="Q2322" s="98">
        <v>2.0</v>
      </c>
      <c r="R2322" s="97">
        <v>45611.72951388889</v>
      </c>
      <c r="S2322" s="99">
        <v>0.0</v>
      </c>
      <c r="T2322" s="99">
        <v>33.0</v>
      </c>
      <c r="U2322" s="99">
        <v>2.0</v>
      </c>
      <c r="V2322" s="99">
        <v>917.0</v>
      </c>
      <c r="W2322" s="99">
        <v>900729.0</v>
      </c>
    </row>
    <row r="2323" ht="15.75" customHeight="1">
      <c r="A2323" s="95" t="s">
        <v>12990</v>
      </c>
      <c r="B2323" s="95" t="s">
        <v>157</v>
      </c>
      <c r="C2323" s="96" t="s">
        <v>12991</v>
      </c>
      <c r="D2323" s="95" t="s">
        <v>39</v>
      </c>
      <c r="E2323" s="95" t="s">
        <v>39</v>
      </c>
      <c r="F2323" s="95" t="s">
        <v>88</v>
      </c>
      <c r="G2323" s="95" t="s">
        <v>88</v>
      </c>
      <c r="H2323" s="95" t="s">
        <v>89</v>
      </c>
      <c r="I2323" s="95" t="s">
        <v>897</v>
      </c>
      <c r="J2323" s="97">
        <v>45977.67931064815</v>
      </c>
      <c r="K2323" s="95" t="s">
        <v>12992</v>
      </c>
      <c r="L2323" s="96" t="s">
        <v>12993</v>
      </c>
      <c r="M2323" s="95" t="s">
        <v>17</v>
      </c>
      <c r="N2323" s="95" t="s">
        <v>8198</v>
      </c>
      <c r="O2323" s="95" t="s">
        <v>8198</v>
      </c>
      <c r="P2323" s="95" t="s">
        <v>8199</v>
      </c>
      <c r="Q2323" s="98">
        <v>2.0</v>
      </c>
      <c r="R2323" s="97">
        <v>45816.92388888889</v>
      </c>
      <c r="S2323" s="99">
        <v>660.0</v>
      </c>
      <c r="T2323" s="99">
        <v>987.0</v>
      </c>
      <c r="U2323" s="99">
        <v>1.0</v>
      </c>
      <c r="V2323" s="99">
        <v>98.0</v>
      </c>
      <c r="W2323" s="99">
        <v>29502.0</v>
      </c>
    </row>
    <row r="2324" ht="15.75" customHeight="1">
      <c r="A2324" s="95" t="s">
        <v>12994</v>
      </c>
      <c r="B2324" s="95" t="s">
        <v>22</v>
      </c>
      <c r="C2324" s="96" t="s">
        <v>12995</v>
      </c>
      <c r="D2324" s="95" t="s">
        <v>39</v>
      </c>
      <c r="E2324" s="95" t="s">
        <v>39</v>
      </c>
      <c r="F2324" s="95" t="s">
        <v>19</v>
      </c>
      <c r="G2324" s="95"/>
      <c r="H2324" s="95" t="s">
        <v>21</v>
      </c>
      <c r="I2324" s="95" t="s">
        <v>589</v>
      </c>
      <c r="J2324" s="97">
        <v>45975.67935613426</v>
      </c>
      <c r="K2324" s="96" t="s">
        <v>12996</v>
      </c>
      <c r="L2324" s="96" t="s">
        <v>12997</v>
      </c>
      <c r="M2324" s="95" t="s">
        <v>17</v>
      </c>
      <c r="N2324" s="95" t="s">
        <v>12998</v>
      </c>
      <c r="O2324" s="95" t="s">
        <v>12998</v>
      </c>
      <c r="P2324" s="95" t="s">
        <v>12999</v>
      </c>
      <c r="Q2324" s="98">
        <v>2.0</v>
      </c>
      <c r="R2324" s="97">
        <v>45685.67282407408</v>
      </c>
      <c r="S2324" s="99">
        <v>2409.0</v>
      </c>
      <c r="T2324" s="99">
        <v>1133.0</v>
      </c>
      <c r="U2324" s="99">
        <v>5.0</v>
      </c>
      <c r="V2324" s="99">
        <v>19.0</v>
      </c>
      <c r="W2324" s="99">
        <v>41513.0</v>
      </c>
    </row>
    <row r="2325" ht="15.75" customHeight="1">
      <c r="A2325" s="95" t="s">
        <v>13000</v>
      </c>
      <c r="B2325" s="95" t="s">
        <v>22</v>
      </c>
      <c r="C2325" s="96" t="s">
        <v>13001</v>
      </c>
      <c r="D2325" s="95" t="s">
        <v>39</v>
      </c>
      <c r="E2325" s="95" t="s">
        <v>960</v>
      </c>
      <c r="F2325" s="95" t="s">
        <v>19</v>
      </c>
      <c r="G2325" s="95" t="s">
        <v>588</v>
      </c>
      <c r="H2325" s="95" t="s">
        <v>21</v>
      </c>
      <c r="I2325" s="95" t="s">
        <v>567</v>
      </c>
      <c r="J2325" s="97">
        <v>45975.67935613426</v>
      </c>
      <c r="K2325" s="96" t="s">
        <v>13002</v>
      </c>
      <c r="L2325" s="96" t="s">
        <v>13003</v>
      </c>
      <c r="M2325" s="95" t="s">
        <v>17</v>
      </c>
      <c r="N2325" s="95" t="s">
        <v>8214</v>
      </c>
      <c r="O2325" s="95" t="s">
        <v>8214</v>
      </c>
      <c r="P2325" s="95" t="s">
        <v>8215</v>
      </c>
      <c r="Q2325" s="98">
        <v>2.0</v>
      </c>
      <c r="R2325" s="97">
        <v>45888.31534722223</v>
      </c>
      <c r="S2325" s="99">
        <v>34199.0</v>
      </c>
      <c r="T2325" s="99">
        <v>49.0</v>
      </c>
      <c r="U2325" s="99">
        <v>36.0</v>
      </c>
      <c r="V2325" s="99">
        <v>80.0</v>
      </c>
      <c r="W2325" s="99">
        <v>81576.0</v>
      </c>
    </row>
    <row r="2326" ht="15.75" customHeight="1">
      <c r="A2326" s="95" t="s">
        <v>13004</v>
      </c>
      <c r="B2326" s="95" t="s">
        <v>22</v>
      </c>
      <c r="C2326" s="96" t="s">
        <v>13005</v>
      </c>
      <c r="D2326" s="95" t="s">
        <v>39</v>
      </c>
      <c r="E2326" s="95" t="s">
        <v>960</v>
      </c>
      <c r="F2326" s="95" t="s">
        <v>19</v>
      </c>
      <c r="G2326" s="95" t="s">
        <v>19</v>
      </c>
      <c r="H2326" s="95" t="s">
        <v>21</v>
      </c>
      <c r="I2326" s="95" t="s">
        <v>589</v>
      </c>
      <c r="J2326" s="97">
        <v>45975.67935613426</v>
      </c>
      <c r="K2326" s="96" t="s">
        <v>13006</v>
      </c>
      <c r="L2326" s="96" t="s">
        <v>13007</v>
      </c>
      <c r="M2326" s="95" t="s">
        <v>17</v>
      </c>
      <c r="N2326" s="95" t="s">
        <v>13008</v>
      </c>
      <c r="O2326" s="95" t="s">
        <v>13008</v>
      </c>
      <c r="P2326" s="95" t="s">
        <v>13009</v>
      </c>
      <c r="Q2326" s="98">
        <v>2.0</v>
      </c>
      <c r="R2326" s="97">
        <v>45742.86769675926</v>
      </c>
      <c r="S2326" s="99">
        <v>0.0</v>
      </c>
      <c r="T2326" s="99">
        <v>84.0</v>
      </c>
      <c r="U2326" s="99">
        <v>2.0</v>
      </c>
      <c r="V2326" s="99">
        <v>30.0</v>
      </c>
      <c r="W2326" s="99">
        <v>999999.0</v>
      </c>
    </row>
    <row r="2327" ht="15.75" customHeight="1">
      <c r="A2327" s="95" t="s">
        <v>13010</v>
      </c>
      <c r="B2327" s="95" t="s">
        <v>22</v>
      </c>
      <c r="C2327" s="96" t="s">
        <v>13011</v>
      </c>
      <c r="D2327" s="95" t="s">
        <v>20</v>
      </c>
      <c r="E2327" s="95" t="s">
        <v>20</v>
      </c>
      <c r="F2327" s="95" t="s">
        <v>19</v>
      </c>
      <c r="G2327" s="95" t="s">
        <v>19</v>
      </c>
      <c r="H2327" s="95" t="s">
        <v>21</v>
      </c>
      <c r="I2327" s="95" t="s">
        <v>684</v>
      </c>
      <c r="J2327" s="97">
        <v>45993.7854622338</v>
      </c>
      <c r="K2327" s="96" t="s">
        <v>13012</v>
      </c>
      <c r="L2327" s="95"/>
      <c r="M2327" s="95" t="s">
        <v>17</v>
      </c>
      <c r="N2327" s="95" t="s">
        <v>13013</v>
      </c>
      <c r="O2327" s="95" t="s">
        <v>13013</v>
      </c>
      <c r="P2327" s="95" t="s">
        <v>13014</v>
      </c>
      <c r="Q2327" s="98">
        <v>2.0</v>
      </c>
      <c r="R2327" s="97">
        <v>45700.12741898148</v>
      </c>
      <c r="S2327" s="99">
        <v>5509.0</v>
      </c>
      <c r="T2327" s="99">
        <v>9.0</v>
      </c>
      <c r="U2327" s="99">
        <v>3.0</v>
      </c>
      <c r="V2327" s="99">
        <v>107.0</v>
      </c>
      <c r="W2327" s="99">
        <v>212700.0</v>
      </c>
    </row>
    <row r="2328" ht="15.75" customHeight="1">
      <c r="A2328" s="95" t="s">
        <v>13015</v>
      </c>
      <c r="B2328" s="95" t="s">
        <v>22</v>
      </c>
      <c r="C2328" s="96" t="s">
        <v>13016</v>
      </c>
      <c r="D2328" s="95" t="s">
        <v>49</v>
      </c>
      <c r="E2328" s="95" t="s">
        <v>49</v>
      </c>
      <c r="F2328" s="95" t="s">
        <v>19</v>
      </c>
      <c r="G2328" s="95" t="s">
        <v>19</v>
      </c>
      <c r="H2328" s="95" t="s">
        <v>21</v>
      </c>
      <c r="I2328" s="95" t="s">
        <v>567</v>
      </c>
      <c r="J2328" s="97">
        <v>46021.51330457176</v>
      </c>
      <c r="K2328" s="95" t="s">
        <v>13017</v>
      </c>
      <c r="L2328" s="96" t="s">
        <v>13018</v>
      </c>
      <c r="M2328" s="95" t="s">
        <v>67</v>
      </c>
      <c r="N2328" s="95" t="s">
        <v>13019</v>
      </c>
      <c r="O2328" s="95" t="s">
        <v>13019</v>
      </c>
      <c r="P2328" s="95" t="s">
        <v>13020</v>
      </c>
      <c r="Q2328" s="98">
        <v>2.0</v>
      </c>
      <c r="R2328" s="97">
        <v>45763.41204861111</v>
      </c>
      <c r="S2328" s="99">
        <v>234.0</v>
      </c>
      <c r="T2328" s="99">
        <v>278.0</v>
      </c>
      <c r="U2328" s="99">
        <v>17.0</v>
      </c>
      <c r="V2328" s="99">
        <v>281.0</v>
      </c>
      <c r="W2328" s="99">
        <v>105855.0</v>
      </c>
    </row>
    <row r="2329" ht="15.75" customHeight="1">
      <c r="A2329" s="95" t="s">
        <v>13021</v>
      </c>
      <c r="B2329" s="95" t="s">
        <v>22</v>
      </c>
      <c r="C2329" s="96" t="s">
        <v>13022</v>
      </c>
      <c r="D2329" s="95" t="s">
        <v>39</v>
      </c>
      <c r="E2329" s="95" t="s">
        <v>13023</v>
      </c>
      <c r="F2329" s="95" t="s">
        <v>19</v>
      </c>
      <c r="G2329" s="95" t="s">
        <v>19</v>
      </c>
      <c r="H2329" s="95" t="s">
        <v>21</v>
      </c>
      <c r="I2329" s="95" t="s">
        <v>567</v>
      </c>
      <c r="J2329" s="97">
        <v>45975.67931630787</v>
      </c>
      <c r="K2329" s="96" t="s">
        <v>13024</v>
      </c>
      <c r="L2329" s="96" t="s">
        <v>13025</v>
      </c>
      <c r="M2329" s="95" t="s">
        <v>54</v>
      </c>
      <c r="N2329" s="95" t="s">
        <v>13026</v>
      </c>
      <c r="O2329" s="95" t="s">
        <v>13026</v>
      </c>
      <c r="P2329" s="95" t="s">
        <v>13027</v>
      </c>
      <c r="Q2329" s="98">
        <v>2.0</v>
      </c>
      <c r="R2329" s="97">
        <v>45681.40653935185</v>
      </c>
      <c r="S2329" s="99">
        <v>19871.0</v>
      </c>
      <c r="T2329" s="99">
        <v>510.0</v>
      </c>
      <c r="U2329" s="99">
        <v>1.0</v>
      </c>
      <c r="V2329" s="99">
        <v>95.0</v>
      </c>
      <c r="W2329" s="99">
        <v>68813.0</v>
      </c>
    </row>
    <row r="2330" ht="15.75" customHeight="1">
      <c r="A2330" s="95" t="s">
        <v>13028</v>
      </c>
      <c r="B2330" s="95" t="s">
        <v>22</v>
      </c>
      <c r="C2330" s="96" t="s">
        <v>13029</v>
      </c>
      <c r="D2330" s="95" t="s">
        <v>168</v>
      </c>
      <c r="E2330" s="95" t="s">
        <v>3021</v>
      </c>
      <c r="F2330" s="95" t="s">
        <v>19</v>
      </c>
      <c r="G2330" s="95" t="s">
        <v>19</v>
      </c>
      <c r="H2330" s="95" t="s">
        <v>21</v>
      </c>
      <c r="I2330" s="95" t="s">
        <v>567</v>
      </c>
      <c r="J2330" s="97">
        <v>45986.53211375</v>
      </c>
      <c r="K2330" s="95" t="s">
        <v>13030</v>
      </c>
      <c r="L2330" s="96" t="s">
        <v>13031</v>
      </c>
      <c r="M2330" s="95" t="s">
        <v>17</v>
      </c>
      <c r="N2330" s="95" t="s">
        <v>13032</v>
      </c>
      <c r="O2330" s="95" t="s">
        <v>13032</v>
      </c>
      <c r="P2330" s="95" t="s">
        <v>13033</v>
      </c>
      <c r="Q2330" s="98">
        <v>2.0</v>
      </c>
      <c r="R2330" s="97">
        <v>45644.63445601852</v>
      </c>
      <c r="S2330" s="99">
        <v>6635.0</v>
      </c>
      <c r="T2330" s="99">
        <v>373.0</v>
      </c>
      <c r="U2330" s="99">
        <v>1.0</v>
      </c>
      <c r="V2330" s="99">
        <v>25.0</v>
      </c>
      <c r="W2330" s="99">
        <v>469477.0</v>
      </c>
    </row>
    <row r="2331" ht="15.75" customHeight="1">
      <c r="A2331" s="95" t="s">
        <v>13034</v>
      </c>
      <c r="B2331" s="95" t="s">
        <v>22</v>
      </c>
      <c r="C2331" s="96" t="s">
        <v>13035</v>
      </c>
      <c r="D2331" s="95" t="s">
        <v>39</v>
      </c>
      <c r="E2331" s="95" t="s">
        <v>39</v>
      </c>
      <c r="F2331" s="95" t="s">
        <v>19</v>
      </c>
      <c r="G2331" s="95" t="s">
        <v>19</v>
      </c>
      <c r="H2331" s="95" t="s">
        <v>21</v>
      </c>
      <c r="I2331" s="95" t="s">
        <v>677</v>
      </c>
      <c r="J2331" s="97">
        <v>46021.49769592593</v>
      </c>
      <c r="K2331" s="95" t="s">
        <v>13036</v>
      </c>
      <c r="L2331" s="96" t="s">
        <v>13037</v>
      </c>
      <c r="M2331" s="95" t="s">
        <v>54</v>
      </c>
      <c r="N2331" s="95" t="s">
        <v>13038</v>
      </c>
      <c r="O2331" s="95" t="s">
        <v>13038</v>
      </c>
      <c r="P2331" s="95" t="s">
        <v>13039</v>
      </c>
      <c r="Q2331" s="98">
        <v>2.0</v>
      </c>
      <c r="R2331" s="97">
        <v>45663.29283564815</v>
      </c>
      <c r="S2331" s="99">
        <v>1126.0</v>
      </c>
      <c r="T2331" s="99">
        <v>131.0</v>
      </c>
      <c r="U2331" s="99">
        <v>1.0</v>
      </c>
      <c r="V2331" s="99">
        <v>36.0</v>
      </c>
      <c r="W2331" s="99">
        <v>3761.0</v>
      </c>
    </row>
    <row r="2332" ht="15.75" customHeight="1">
      <c r="A2332" s="95" t="s">
        <v>13040</v>
      </c>
      <c r="B2332" s="95" t="s">
        <v>22</v>
      </c>
      <c r="C2332" s="96" t="s">
        <v>13041</v>
      </c>
      <c r="D2332" s="95" t="s">
        <v>168</v>
      </c>
      <c r="E2332" s="95" t="s">
        <v>168</v>
      </c>
      <c r="F2332" s="95" t="s">
        <v>19</v>
      </c>
      <c r="G2332" s="95" t="s">
        <v>19</v>
      </c>
      <c r="H2332" s="95" t="s">
        <v>21</v>
      </c>
      <c r="I2332" s="95" t="s">
        <v>567</v>
      </c>
      <c r="J2332" s="97">
        <v>45975.67936400463</v>
      </c>
      <c r="K2332" s="96" t="s">
        <v>13042</v>
      </c>
      <c r="L2332" s="96" t="s">
        <v>13043</v>
      </c>
      <c r="M2332" s="95" t="s">
        <v>17</v>
      </c>
      <c r="N2332" s="95" t="s">
        <v>13044</v>
      </c>
      <c r="O2332" s="95" t="s">
        <v>13044</v>
      </c>
      <c r="P2332" s="95" t="s">
        <v>13045</v>
      </c>
      <c r="Q2332" s="98">
        <v>2.0</v>
      </c>
      <c r="R2332" s="97">
        <v>45915.45885416667</v>
      </c>
      <c r="S2332" s="99">
        <v>2219.0</v>
      </c>
      <c r="T2332" s="99">
        <v>19.0</v>
      </c>
      <c r="U2332" s="99">
        <v>8.0</v>
      </c>
      <c r="V2332" s="99">
        <v>73.0</v>
      </c>
      <c r="W2332" s="99">
        <v>20982.0</v>
      </c>
    </row>
    <row r="2333" ht="15.75" customHeight="1">
      <c r="A2333" s="95" t="s">
        <v>13046</v>
      </c>
      <c r="B2333" s="95" t="s">
        <v>157</v>
      </c>
      <c r="C2333" s="96" t="s">
        <v>13047</v>
      </c>
      <c r="D2333" s="95" t="s">
        <v>29</v>
      </c>
      <c r="E2333" s="95" t="s">
        <v>29</v>
      </c>
      <c r="F2333" s="95" t="s">
        <v>19</v>
      </c>
      <c r="G2333" s="95"/>
      <c r="H2333" s="95" t="s">
        <v>89</v>
      </c>
      <c r="I2333" s="95" t="s">
        <v>897</v>
      </c>
      <c r="J2333" s="97">
        <v>45975.67937189815</v>
      </c>
      <c r="K2333" s="96" t="s">
        <v>13048</v>
      </c>
      <c r="L2333" s="95"/>
      <c r="M2333" s="95" t="s">
        <v>67</v>
      </c>
      <c r="N2333" s="95" t="s">
        <v>13049</v>
      </c>
      <c r="O2333" s="95" t="s">
        <v>13049</v>
      </c>
      <c r="P2333" s="95" t="s">
        <v>13050</v>
      </c>
      <c r="Q2333" s="98">
        <v>2.0</v>
      </c>
      <c r="R2333" s="97">
        <v>45866.16203703704</v>
      </c>
      <c r="S2333" s="99">
        <v>5071.0</v>
      </c>
      <c r="T2333" s="99">
        <v>72.0</v>
      </c>
      <c r="U2333" s="99">
        <v>333.0</v>
      </c>
      <c r="V2333" s="99">
        <v>77.0</v>
      </c>
      <c r="W2333" s="99">
        <v>18699.0</v>
      </c>
    </row>
    <row r="2334" ht="15.75" customHeight="1">
      <c r="A2334" s="95" t="s">
        <v>13051</v>
      </c>
      <c r="B2334" s="95" t="s">
        <v>22</v>
      </c>
      <c r="C2334" s="96" t="s">
        <v>13052</v>
      </c>
      <c r="D2334" s="95" t="s">
        <v>29</v>
      </c>
      <c r="E2334" s="95" t="s">
        <v>29</v>
      </c>
      <c r="F2334" s="95" t="s">
        <v>19</v>
      </c>
      <c r="G2334" s="95" t="s">
        <v>588</v>
      </c>
      <c r="H2334" s="95" t="s">
        <v>21</v>
      </c>
      <c r="I2334" s="95" t="s">
        <v>677</v>
      </c>
      <c r="J2334" s="97">
        <v>45977.6722819213</v>
      </c>
      <c r="K2334" s="95" t="s">
        <v>13053</v>
      </c>
      <c r="L2334" s="96" t="s">
        <v>13054</v>
      </c>
      <c r="M2334" s="95" t="s">
        <v>17</v>
      </c>
      <c r="N2334" s="95" t="s">
        <v>13055</v>
      </c>
      <c r="O2334" s="95" t="s">
        <v>13055</v>
      </c>
      <c r="P2334" s="95" t="s">
        <v>13056</v>
      </c>
      <c r="Q2334" s="98">
        <v>2.0</v>
      </c>
      <c r="R2334" s="97">
        <v>45664.09105324074</v>
      </c>
      <c r="S2334" s="99">
        <v>70.0</v>
      </c>
      <c r="T2334" s="99">
        <v>74.0</v>
      </c>
      <c r="U2334" s="99">
        <v>3.0</v>
      </c>
      <c r="V2334" s="99">
        <v>26.0</v>
      </c>
      <c r="W2334" s="99">
        <v>4020.0</v>
      </c>
    </row>
    <row r="2335" ht="15.75" customHeight="1">
      <c r="A2335" s="95" t="s">
        <v>13057</v>
      </c>
      <c r="B2335" s="95" t="s">
        <v>22</v>
      </c>
      <c r="C2335" s="96" t="s">
        <v>13058</v>
      </c>
      <c r="D2335" s="95" t="s">
        <v>39</v>
      </c>
      <c r="E2335" s="95" t="s">
        <v>39</v>
      </c>
      <c r="F2335" s="95" t="s">
        <v>19</v>
      </c>
      <c r="G2335" s="95" t="s">
        <v>588</v>
      </c>
      <c r="H2335" s="95" t="s">
        <v>21</v>
      </c>
      <c r="I2335" s="95" t="s">
        <v>589</v>
      </c>
      <c r="J2335" s="97">
        <v>46021.50628966435</v>
      </c>
      <c r="K2335" s="95" t="s">
        <v>13059</v>
      </c>
      <c r="L2335" s="96" t="s">
        <v>13060</v>
      </c>
      <c r="M2335" s="95" t="s">
        <v>67</v>
      </c>
      <c r="N2335" s="95" t="s">
        <v>13061</v>
      </c>
      <c r="O2335" s="95" t="s">
        <v>13061</v>
      </c>
      <c r="P2335" s="95" t="s">
        <v>13062</v>
      </c>
      <c r="Q2335" s="98">
        <v>2.0</v>
      </c>
      <c r="R2335" s="97">
        <v>45677.69755787037</v>
      </c>
      <c r="S2335" s="99">
        <v>92.0</v>
      </c>
      <c r="T2335" s="99">
        <v>12.0</v>
      </c>
      <c r="U2335" s="99">
        <v>5.0</v>
      </c>
      <c r="V2335" s="99">
        <v>37.0</v>
      </c>
      <c r="W2335" s="99">
        <v>4868.0</v>
      </c>
    </row>
    <row r="2336" ht="15.75" customHeight="1">
      <c r="A2336" s="95" t="s">
        <v>13063</v>
      </c>
      <c r="B2336" s="95" t="s">
        <v>131</v>
      </c>
      <c r="C2336" s="96" t="s">
        <v>13064</v>
      </c>
      <c r="D2336" s="95" t="s">
        <v>68</v>
      </c>
      <c r="E2336" s="95" t="s">
        <v>769</v>
      </c>
      <c r="F2336" s="95" t="s">
        <v>88</v>
      </c>
      <c r="G2336" s="95" t="s">
        <v>88</v>
      </c>
      <c r="H2336" s="95" t="s">
        <v>89</v>
      </c>
      <c r="I2336" s="95" t="s">
        <v>9663</v>
      </c>
      <c r="J2336" s="97">
        <v>45975.67928111111</v>
      </c>
      <c r="K2336" s="96" t="s">
        <v>13065</v>
      </c>
      <c r="L2336" s="96" t="s">
        <v>13066</v>
      </c>
      <c r="M2336" s="95" t="s">
        <v>105</v>
      </c>
      <c r="N2336" s="95" t="s">
        <v>13067</v>
      </c>
      <c r="O2336" s="95" t="s">
        <v>13067</v>
      </c>
      <c r="P2336" s="95" t="s">
        <v>13068</v>
      </c>
      <c r="Q2336" s="98">
        <v>2.0</v>
      </c>
      <c r="R2336" s="97">
        <v>45668.55841435185</v>
      </c>
      <c r="S2336" s="99">
        <v>3076.0</v>
      </c>
      <c r="T2336" s="99">
        <v>2002.0</v>
      </c>
      <c r="U2336" s="99">
        <v>1.0</v>
      </c>
      <c r="V2336" s="99">
        <v>30.0</v>
      </c>
      <c r="W2336" s="99">
        <v>6094.0</v>
      </c>
    </row>
    <row r="2337" ht="15.75" customHeight="1">
      <c r="A2337" s="95" t="s">
        <v>13069</v>
      </c>
      <c r="B2337" s="95" t="s">
        <v>131</v>
      </c>
      <c r="C2337" s="96" t="s">
        <v>13070</v>
      </c>
      <c r="D2337" s="95" t="s">
        <v>124</v>
      </c>
      <c r="E2337" s="95" t="s">
        <v>1731</v>
      </c>
      <c r="F2337" s="95" t="s">
        <v>88</v>
      </c>
      <c r="G2337" s="95" t="s">
        <v>88</v>
      </c>
      <c r="H2337" s="95" t="s">
        <v>89</v>
      </c>
      <c r="I2337" s="95" t="s">
        <v>726</v>
      </c>
      <c r="J2337" s="97">
        <v>45975.67938763889</v>
      </c>
      <c r="K2337" s="96" t="s">
        <v>13071</v>
      </c>
      <c r="L2337" s="96" t="s">
        <v>13072</v>
      </c>
      <c r="M2337" s="95" t="s">
        <v>74</v>
      </c>
      <c r="N2337" s="95" t="s">
        <v>8368</v>
      </c>
      <c r="O2337" s="95" t="s">
        <v>8368</v>
      </c>
      <c r="P2337" s="95" t="s">
        <v>8369</v>
      </c>
      <c r="Q2337" s="98">
        <v>2.0</v>
      </c>
      <c r="R2337" s="97">
        <v>45882.39826388889</v>
      </c>
      <c r="S2337" s="99">
        <v>542.0</v>
      </c>
      <c r="T2337" s="99">
        <v>65.0</v>
      </c>
      <c r="U2337" s="99">
        <v>3.0</v>
      </c>
      <c r="V2337" s="99">
        <v>92.0</v>
      </c>
      <c r="W2337" s="99">
        <v>67915.0</v>
      </c>
    </row>
    <row r="2338" ht="15.75" customHeight="1">
      <c r="A2338" s="95" t="s">
        <v>13073</v>
      </c>
      <c r="B2338" s="95" t="s">
        <v>69</v>
      </c>
      <c r="C2338" s="96" t="s">
        <v>13074</v>
      </c>
      <c r="D2338" s="95" t="s">
        <v>39</v>
      </c>
      <c r="E2338" s="95" t="s">
        <v>960</v>
      </c>
      <c r="F2338" s="95" t="s">
        <v>88</v>
      </c>
      <c r="G2338" s="95" t="s">
        <v>639</v>
      </c>
      <c r="H2338" s="95" t="s">
        <v>89</v>
      </c>
      <c r="I2338" s="95" t="s">
        <v>1922</v>
      </c>
      <c r="J2338" s="97">
        <v>46040.67634752315</v>
      </c>
      <c r="K2338" s="95" t="s">
        <v>13075</v>
      </c>
      <c r="L2338" s="96" t="s">
        <v>13076</v>
      </c>
      <c r="M2338" s="95" t="s">
        <v>74</v>
      </c>
      <c r="N2338" s="95" t="s">
        <v>13077</v>
      </c>
      <c r="O2338" s="95" t="s">
        <v>13077</v>
      </c>
      <c r="P2338" s="95" t="s">
        <v>13078</v>
      </c>
      <c r="Q2338" s="98">
        <v>2.0</v>
      </c>
      <c r="R2338" s="97">
        <v>45952.17144675926</v>
      </c>
      <c r="S2338" s="99">
        <v>975.0</v>
      </c>
      <c r="T2338" s="99">
        <v>8.0</v>
      </c>
      <c r="U2338" s="99">
        <v>1.0</v>
      </c>
      <c r="V2338" s="99">
        <v>41.0</v>
      </c>
      <c r="W2338" s="99">
        <v>59392.0</v>
      </c>
    </row>
    <row r="2339" ht="15.75" customHeight="1">
      <c r="A2339" s="95" t="s">
        <v>13079</v>
      </c>
      <c r="B2339" s="95" t="s">
        <v>157</v>
      </c>
      <c r="C2339" s="96" t="s">
        <v>13080</v>
      </c>
      <c r="D2339" s="95" t="s">
        <v>29</v>
      </c>
      <c r="E2339" s="95" t="s">
        <v>598</v>
      </c>
      <c r="F2339" s="95" t="s">
        <v>19</v>
      </c>
      <c r="G2339" s="95" t="s">
        <v>1367</v>
      </c>
      <c r="H2339" s="95" t="s">
        <v>89</v>
      </c>
      <c r="I2339" s="95" t="s">
        <v>859</v>
      </c>
      <c r="J2339" s="97">
        <v>46069.70394782408</v>
      </c>
      <c r="K2339" s="95" t="s">
        <v>13081</v>
      </c>
      <c r="L2339" s="96" t="s">
        <v>13082</v>
      </c>
      <c r="M2339" s="95" t="s">
        <v>74</v>
      </c>
      <c r="N2339" s="95" t="s">
        <v>13083</v>
      </c>
      <c r="O2339" s="95" t="s">
        <v>13083</v>
      </c>
      <c r="P2339" s="95" t="s">
        <v>13084</v>
      </c>
      <c r="Q2339" s="98">
        <v>2.0</v>
      </c>
      <c r="R2339" s="97">
        <v>45598.47711805555</v>
      </c>
      <c r="S2339" s="99">
        <v>103.0</v>
      </c>
      <c r="T2339" s="99">
        <v>12.0</v>
      </c>
      <c r="U2339" s="99">
        <v>7.0</v>
      </c>
      <c r="V2339" s="99">
        <v>34.0</v>
      </c>
      <c r="W2339" s="99">
        <v>2510.0</v>
      </c>
    </row>
    <row r="2340" ht="15.75" customHeight="1">
      <c r="A2340" s="95" t="s">
        <v>13085</v>
      </c>
      <c r="B2340" s="95" t="s">
        <v>101</v>
      </c>
      <c r="C2340" s="96" t="s">
        <v>13086</v>
      </c>
      <c r="D2340" s="95" t="s">
        <v>39</v>
      </c>
      <c r="E2340" s="95" t="s">
        <v>39</v>
      </c>
      <c r="F2340" s="95" t="s">
        <v>19</v>
      </c>
      <c r="G2340" s="95" t="s">
        <v>19</v>
      </c>
      <c r="H2340" s="95" t="s">
        <v>21</v>
      </c>
      <c r="I2340" s="95" t="s">
        <v>745</v>
      </c>
      <c r="J2340" s="97">
        <v>46075.56896115741</v>
      </c>
      <c r="K2340" s="95" t="s">
        <v>13087</v>
      </c>
      <c r="L2340" s="96" t="s">
        <v>13088</v>
      </c>
      <c r="M2340" s="95" t="s">
        <v>505</v>
      </c>
      <c r="N2340" s="95" t="s">
        <v>13089</v>
      </c>
      <c r="O2340" s="95" t="s">
        <v>13089</v>
      </c>
      <c r="P2340" s="95" t="s">
        <v>13090</v>
      </c>
      <c r="Q2340" s="98">
        <v>2.0</v>
      </c>
      <c r="R2340" s="97">
        <v>45878.54391203704</v>
      </c>
      <c r="S2340" s="99">
        <v>19450.0</v>
      </c>
      <c r="T2340" s="99">
        <v>23.0</v>
      </c>
      <c r="U2340" s="99">
        <v>6.0</v>
      </c>
      <c r="V2340" s="99">
        <v>42.0</v>
      </c>
      <c r="W2340" s="95"/>
    </row>
    <row r="2341" ht="15.75" customHeight="1">
      <c r="A2341" s="95" t="s">
        <v>13091</v>
      </c>
      <c r="B2341" s="95" t="s">
        <v>69</v>
      </c>
      <c r="C2341" s="96" t="s">
        <v>13092</v>
      </c>
      <c r="D2341" s="95" t="s">
        <v>124</v>
      </c>
      <c r="E2341" s="95" t="s">
        <v>794</v>
      </c>
      <c r="F2341" s="95" t="s">
        <v>88</v>
      </c>
      <c r="G2341" s="95" t="s">
        <v>88</v>
      </c>
      <c r="H2341" s="95" t="s">
        <v>89</v>
      </c>
      <c r="I2341" s="95" t="s">
        <v>640</v>
      </c>
      <c r="J2341" s="97">
        <v>45975.67931630787</v>
      </c>
      <c r="K2341" s="96" t="s">
        <v>13093</v>
      </c>
      <c r="L2341" s="96" t="s">
        <v>13094</v>
      </c>
      <c r="M2341" s="95" t="s">
        <v>54</v>
      </c>
      <c r="N2341" s="95" t="s">
        <v>13095</v>
      </c>
      <c r="O2341" s="95" t="s">
        <v>13095</v>
      </c>
      <c r="P2341" s="95" t="s">
        <v>13096</v>
      </c>
      <c r="Q2341" s="98">
        <v>2.0</v>
      </c>
      <c r="R2341" s="97">
        <v>45665.05480324074</v>
      </c>
      <c r="S2341" s="99">
        <v>363.0</v>
      </c>
      <c r="T2341" s="99">
        <v>898.0</v>
      </c>
      <c r="U2341" s="99">
        <v>2.0</v>
      </c>
      <c r="V2341" s="99">
        <v>18.0</v>
      </c>
      <c r="W2341" s="99">
        <v>814724.0</v>
      </c>
    </row>
    <row r="2342" ht="15.75" customHeight="1">
      <c r="A2342" s="95" t="s">
        <v>13097</v>
      </c>
      <c r="B2342" s="95" t="s">
        <v>22</v>
      </c>
      <c r="C2342" s="96" t="s">
        <v>13098</v>
      </c>
      <c r="D2342" s="95" t="s">
        <v>168</v>
      </c>
      <c r="E2342" s="95" t="s">
        <v>780</v>
      </c>
      <c r="F2342" s="95" t="s">
        <v>19</v>
      </c>
      <c r="G2342" s="95" t="s">
        <v>19</v>
      </c>
      <c r="H2342" s="95" t="s">
        <v>21</v>
      </c>
      <c r="I2342" s="95" t="s">
        <v>711</v>
      </c>
      <c r="J2342" s="97">
        <v>45986.53211375</v>
      </c>
      <c r="K2342" s="95" t="s">
        <v>13099</v>
      </c>
      <c r="L2342" s="96" t="s">
        <v>13100</v>
      </c>
      <c r="M2342" s="95" t="s">
        <v>17</v>
      </c>
      <c r="N2342" s="95" t="s">
        <v>13101</v>
      </c>
      <c r="O2342" s="95" t="s">
        <v>13101</v>
      </c>
      <c r="P2342" s="95" t="s">
        <v>13102</v>
      </c>
      <c r="Q2342" s="98">
        <v>2.0</v>
      </c>
      <c r="R2342" s="97">
        <v>45783.92200231482</v>
      </c>
      <c r="S2342" s="99">
        <v>258.0</v>
      </c>
      <c r="T2342" s="99">
        <v>41.0</v>
      </c>
      <c r="U2342" s="99">
        <v>1.0</v>
      </c>
      <c r="V2342" s="99">
        <v>19.0</v>
      </c>
      <c r="W2342" s="99">
        <v>142714.0</v>
      </c>
    </row>
    <row r="2343" ht="15.75" customHeight="1">
      <c r="A2343" s="95" t="s">
        <v>13103</v>
      </c>
      <c r="B2343" s="95" t="s">
        <v>22</v>
      </c>
      <c r="C2343" s="96" t="s">
        <v>13104</v>
      </c>
      <c r="D2343" s="95" t="s">
        <v>39</v>
      </c>
      <c r="E2343" s="95" t="s">
        <v>960</v>
      </c>
      <c r="F2343" s="95" t="s">
        <v>19</v>
      </c>
      <c r="G2343" s="95" t="s">
        <v>19</v>
      </c>
      <c r="H2343" s="95" t="s">
        <v>21</v>
      </c>
      <c r="I2343" s="95" t="s">
        <v>589</v>
      </c>
      <c r="J2343" s="97">
        <v>45975.67938763889</v>
      </c>
      <c r="K2343" s="96" t="s">
        <v>13105</v>
      </c>
      <c r="L2343" s="96" t="s">
        <v>13106</v>
      </c>
      <c r="M2343" s="95" t="s">
        <v>74</v>
      </c>
      <c r="N2343" s="95" t="s">
        <v>13107</v>
      </c>
      <c r="O2343" s="95" t="s">
        <v>13107</v>
      </c>
      <c r="P2343" s="95" t="s">
        <v>13108</v>
      </c>
      <c r="Q2343" s="98">
        <v>2.0</v>
      </c>
      <c r="R2343" s="97">
        <v>45903.42018518518</v>
      </c>
      <c r="S2343" s="99">
        <v>20850.0</v>
      </c>
      <c r="T2343" s="99">
        <v>10.0</v>
      </c>
      <c r="U2343" s="99">
        <v>1.0</v>
      </c>
      <c r="V2343" s="99">
        <v>27.0</v>
      </c>
      <c r="W2343" s="99">
        <v>456508.0</v>
      </c>
    </row>
    <row r="2344" ht="15.75" customHeight="1">
      <c r="A2344" s="95" t="s">
        <v>13109</v>
      </c>
      <c r="B2344" s="95" t="s">
        <v>22</v>
      </c>
      <c r="C2344" s="96" t="s">
        <v>13110</v>
      </c>
      <c r="D2344" s="95" t="s">
        <v>29</v>
      </c>
      <c r="E2344" s="95" t="s">
        <v>29</v>
      </c>
      <c r="F2344" s="95" t="s">
        <v>19</v>
      </c>
      <c r="G2344" s="95"/>
      <c r="H2344" s="95" t="s">
        <v>21</v>
      </c>
      <c r="I2344" s="95" t="s">
        <v>677</v>
      </c>
      <c r="J2344" s="97">
        <v>46069.66215004629</v>
      </c>
      <c r="K2344" s="95" t="s">
        <v>13111</v>
      </c>
      <c r="L2344" s="96" t="s">
        <v>13112</v>
      </c>
      <c r="M2344" s="95" t="s">
        <v>74</v>
      </c>
      <c r="N2344" s="95" t="s">
        <v>13113</v>
      </c>
      <c r="O2344" s="95" t="s">
        <v>13113</v>
      </c>
      <c r="P2344" s="95" t="s">
        <v>13114</v>
      </c>
      <c r="Q2344" s="98">
        <v>2.0</v>
      </c>
      <c r="R2344" s="97">
        <v>45779.00855324074</v>
      </c>
      <c r="S2344" s="99">
        <v>15645.0</v>
      </c>
      <c r="T2344" s="99">
        <v>6.0</v>
      </c>
      <c r="U2344" s="99">
        <v>1.0</v>
      </c>
      <c r="V2344" s="99">
        <v>214.0</v>
      </c>
      <c r="W2344" s="99">
        <v>115982.0</v>
      </c>
    </row>
    <row r="2345" ht="15.75" customHeight="1">
      <c r="A2345" s="95" t="s">
        <v>13115</v>
      </c>
      <c r="B2345" s="95" t="s">
        <v>22</v>
      </c>
      <c r="C2345" s="96" t="s">
        <v>13116</v>
      </c>
      <c r="D2345" s="95" t="s">
        <v>130</v>
      </c>
      <c r="E2345" s="95" t="s">
        <v>917</v>
      </c>
      <c r="F2345" s="95" t="s">
        <v>19</v>
      </c>
      <c r="G2345" s="95" t="s">
        <v>19</v>
      </c>
      <c r="H2345" s="95" t="s">
        <v>21</v>
      </c>
      <c r="I2345" s="95" t="s">
        <v>567</v>
      </c>
      <c r="J2345" s="97">
        <v>45975.67931630787</v>
      </c>
      <c r="K2345" s="96" t="s">
        <v>13117</v>
      </c>
      <c r="L2345" s="96" t="s">
        <v>13118</v>
      </c>
      <c r="M2345" s="95" t="s">
        <v>54</v>
      </c>
      <c r="N2345" s="95" t="s">
        <v>8521</v>
      </c>
      <c r="O2345" s="95" t="s">
        <v>8521</v>
      </c>
      <c r="P2345" s="95" t="s">
        <v>8522</v>
      </c>
      <c r="Q2345" s="98">
        <v>2.0</v>
      </c>
      <c r="R2345" s="97">
        <v>45882.08125</v>
      </c>
      <c r="S2345" s="99">
        <v>17064.0</v>
      </c>
      <c r="T2345" s="99">
        <v>18.0</v>
      </c>
      <c r="U2345" s="99">
        <v>18.0</v>
      </c>
      <c r="V2345" s="99">
        <v>63.0</v>
      </c>
      <c r="W2345" s="99">
        <v>87310.0</v>
      </c>
    </row>
    <row r="2346" ht="15.75" customHeight="1">
      <c r="A2346" s="95" t="s">
        <v>13119</v>
      </c>
      <c r="B2346" s="95" t="s">
        <v>69</v>
      </c>
      <c r="C2346" s="96" t="s">
        <v>13120</v>
      </c>
      <c r="D2346" s="95" t="s">
        <v>39</v>
      </c>
      <c r="E2346" s="95" t="s">
        <v>39</v>
      </c>
      <c r="F2346" s="95" t="s">
        <v>88</v>
      </c>
      <c r="G2346" s="95" t="s">
        <v>88</v>
      </c>
      <c r="H2346" s="95" t="s">
        <v>89</v>
      </c>
      <c r="I2346" s="95" t="s">
        <v>1477</v>
      </c>
      <c r="J2346" s="97">
        <v>45975.67936400463</v>
      </c>
      <c r="K2346" s="96" t="s">
        <v>13121</v>
      </c>
      <c r="L2346" s="96" t="s">
        <v>13122</v>
      </c>
      <c r="M2346" s="95" t="s">
        <v>67</v>
      </c>
      <c r="N2346" s="95" t="s">
        <v>8527</v>
      </c>
      <c r="O2346" s="95" t="s">
        <v>8527</v>
      </c>
      <c r="P2346" s="95" t="s">
        <v>8528</v>
      </c>
      <c r="Q2346" s="98">
        <v>2.0</v>
      </c>
      <c r="R2346" s="97">
        <v>45685.58113425926</v>
      </c>
      <c r="S2346" s="99">
        <v>12811.0</v>
      </c>
      <c r="T2346" s="99">
        <v>206.0</v>
      </c>
      <c r="U2346" s="99">
        <v>8.0</v>
      </c>
      <c r="V2346" s="99">
        <v>26.0</v>
      </c>
      <c r="W2346" s="99">
        <v>311573.0</v>
      </c>
    </row>
    <row r="2347" ht="15.75" customHeight="1">
      <c r="A2347" s="95" t="s">
        <v>13123</v>
      </c>
      <c r="B2347" s="95" t="s">
        <v>22</v>
      </c>
      <c r="C2347" s="96" t="s">
        <v>13124</v>
      </c>
      <c r="D2347" s="95" t="s">
        <v>39</v>
      </c>
      <c r="E2347" s="95" t="s">
        <v>39</v>
      </c>
      <c r="F2347" s="95" t="s">
        <v>19</v>
      </c>
      <c r="G2347" s="95" t="s">
        <v>19</v>
      </c>
      <c r="H2347" s="95" t="s">
        <v>21</v>
      </c>
      <c r="I2347" s="95" t="s">
        <v>567</v>
      </c>
      <c r="J2347" s="97">
        <v>45975.67936400463</v>
      </c>
      <c r="K2347" s="96" t="s">
        <v>13125</v>
      </c>
      <c r="L2347" s="96" t="s">
        <v>13126</v>
      </c>
      <c r="M2347" s="95" t="s">
        <v>67</v>
      </c>
      <c r="N2347" s="95" t="s">
        <v>8527</v>
      </c>
      <c r="O2347" s="95" t="s">
        <v>8527</v>
      </c>
      <c r="P2347" s="95" t="s">
        <v>8528</v>
      </c>
      <c r="Q2347" s="98">
        <v>2.0</v>
      </c>
      <c r="R2347" s="97">
        <v>45733.26621527778</v>
      </c>
      <c r="S2347" s="99">
        <v>12811.0</v>
      </c>
      <c r="T2347" s="99">
        <v>14.0</v>
      </c>
      <c r="U2347" s="99">
        <v>6.0</v>
      </c>
      <c r="V2347" s="99">
        <v>51.0</v>
      </c>
      <c r="W2347" s="99">
        <v>311573.0</v>
      </c>
    </row>
    <row r="2348" ht="15.75" customHeight="1">
      <c r="A2348" s="95" t="s">
        <v>13127</v>
      </c>
      <c r="B2348" s="95" t="s">
        <v>22</v>
      </c>
      <c r="C2348" s="96" t="s">
        <v>13128</v>
      </c>
      <c r="D2348" s="95" t="s">
        <v>39</v>
      </c>
      <c r="E2348" s="95" t="s">
        <v>39</v>
      </c>
      <c r="F2348" s="95" t="s">
        <v>19</v>
      </c>
      <c r="G2348" s="95" t="s">
        <v>19</v>
      </c>
      <c r="H2348" s="95" t="s">
        <v>21</v>
      </c>
      <c r="I2348" s="95" t="s">
        <v>567</v>
      </c>
      <c r="J2348" s="97">
        <v>46021.50399828704</v>
      </c>
      <c r="K2348" s="95" t="s">
        <v>13129</v>
      </c>
      <c r="L2348" s="96" t="s">
        <v>13130</v>
      </c>
      <c r="M2348" s="95" t="s">
        <v>67</v>
      </c>
      <c r="N2348" s="95" t="s">
        <v>13131</v>
      </c>
      <c r="O2348" s="95" t="s">
        <v>13131</v>
      </c>
      <c r="P2348" s="95" t="s">
        <v>13132</v>
      </c>
      <c r="Q2348" s="98">
        <v>2.0</v>
      </c>
      <c r="R2348" s="97">
        <v>45701.73126157407</v>
      </c>
      <c r="S2348" s="99">
        <v>853.0</v>
      </c>
      <c r="T2348" s="99">
        <v>21.0</v>
      </c>
      <c r="U2348" s="99">
        <v>6.0</v>
      </c>
      <c r="V2348" s="99">
        <v>44.0</v>
      </c>
      <c r="W2348" s="99">
        <v>42400.0</v>
      </c>
    </row>
    <row r="2349" ht="15.75" customHeight="1">
      <c r="A2349" s="95" t="s">
        <v>13133</v>
      </c>
      <c r="B2349" s="95" t="s">
        <v>157</v>
      </c>
      <c r="C2349" s="96" t="s">
        <v>13134</v>
      </c>
      <c r="D2349" s="95" t="s">
        <v>39</v>
      </c>
      <c r="E2349" s="95" t="s">
        <v>39</v>
      </c>
      <c r="F2349" s="95" t="s">
        <v>88</v>
      </c>
      <c r="G2349" s="95" t="s">
        <v>858</v>
      </c>
      <c r="H2349" s="95" t="s">
        <v>89</v>
      </c>
      <c r="I2349" s="95" t="s">
        <v>897</v>
      </c>
      <c r="J2349" s="97">
        <v>45975.67937189815</v>
      </c>
      <c r="K2349" s="96" t="s">
        <v>13135</v>
      </c>
      <c r="L2349" s="96" t="s">
        <v>13136</v>
      </c>
      <c r="M2349" s="95" t="s">
        <v>67</v>
      </c>
      <c r="N2349" s="95" t="s">
        <v>13137</v>
      </c>
      <c r="O2349" s="95" t="s">
        <v>13137</v>
      </c>
      <c r="P2349" s="95" t="s">
        <v>13138</v>
      </c>
      <c r="Q2349" s="98">
        <v>2.0</v>
      </c>
      <c r="R2349" s="97">
        <v>45702.22104166666</v>
      </c>
      <c r="S2349" s="99">
        <v>136.0</v>
      </c>
      <c r="T2349" s="99">
        <v>27.0</v>
      </c>
      <c r="U2349" s="99">
        <v>1.0</v>
      </c>
      <c r="V2349" s="99">
        <v>28.0</v>
      </c>
      <c r="W2349" s="99">
        <v>2096.0</v>
      </c>
    </row>
    <row r="2350" ht="15.75" customHeight="1">
      <c r="A2350" s="95" t="s">
        <v>13139</v>
      </c>
      <c r="B2350" s="95" t="s">
        <v>22</v>
      </c>
      <c r="C2350" s="96" t="s">
        <v>13140</v>
      </c>
      <c r="D2350" s="95" t="s">
        <v>124</v>
      </c>
      <c r="E2350" s="95" t="s">
        <v>794</v>
      </c>
      <c r="F2350" s="95" t="s">
        <v>19</v>
      </c>
      <c r="G2350" s="95" t="s">
        <v>574</v>
      </c>
      <c r="H2350" s="95" t="s">
        <v>21</v>
      </c>
      <c r="I2350" s="95" t="s">
        <v>567</v>
      </c>
      <c r="J2350" s="97">
        <v>46021.50628966435</v>
      </c>
      <c r="K2350" s="95" t="s">
        <v>13141</v>
      </c>
      <c r="L2350" s="96" t="s">
        <v>13142</v>
      </c>
      <c r="M2350" s="95" t="s">
        <v>67</v>
      </c>
      <c r="N2350" s="95" t="s">
        <v>8557</v>
      </c>
      <c r="O2350" s="95" t="s">
        <v>8557</v>
      </c>
      <c r="P2350" s="95" t="s">
        <v>8558</v>
      </c>
      <c r="Q2350" s="98">
        <v>2.0</v>
      </c>
      <c r="R2350" s="97">
        <v>45618.04800925926</v>
      </c>
      <c r="S2350" s="99">
        <v>550.0</v>
      </c>
      <c r="T2350" s="99">
        <v>4.0</v>
      </c>
      <c r="U2350" s="99">
        <v>2.0</v>
      </c>
      <c r="V2350" s="99">
        <v>37.0</v>
      </c>
      <c r="W2350" s="99">
        <v>124250.0</v>
      </c>
    </row>
    <row r="2351" ht="15.75" customHeight="1">
      <c r="A2351" s="95" t="s">
        <v>13143</v>
      </c>
      <c r="B2351" s="95" t="s">
        <v>157</v>
      </c>
      <c r="C2351" s="96" t="s">
        <v>13144</v>
      </c>
      <c r="D2351" s="95" t="s">
        <v>39</v>
      </c>
      <c r="E2351" s="95" t="s">
        <v>39</v>
      </c>
      <c r="F2351" s="95" t="s">
        <v>19</v>
      </c>
      <c r="G2351" s="95" t="s">
        <v>19</v>
      </c>
      <c r="H2351" s="95" t="s">
        <v>89</v>
      </c>
      <c r="I2351" s="95" t="s">
        <v>897</v>
      </c>
      <c r="J2351" s="97">
        <v>45996.65484809028</v>
      </c>
      <c r="K2351" s="95" t="s">
        <v>13145</v>
      </c>
      <c r="L2351" s="95"/>
      <c r="M2351" s="95" t="s">
        <v>38</v>
      </c>
      <c r="N2351" s="95" t="s">
        <v>13146</v>
      </c>
      <c r="O2351" s="95" t="s">
        <v>13146</v>
      </c>
      <c r="P2351" s="95" t="s">
        <v>13147</v>
      </c>
      <c r="Q2351" s="98">
        <v>2.0</v>
      </c>
      <c r="R2351" s="97">
        <v>45830.39589120371</v>
      </c>
      <c r="S2351" s="99">
        <v>2065.0</v>
      </c>
      <c r="T2351" s="99">
        <v>61.0</v>
      </c>
      <c r="U2351" s="99">
        <v>4.0</v>
      </c>
      <c r="V2351" s="99">
        <v>202.0</v>
      </c>
      <c r="W2351" s="99">
        <v>5326.0</v>
      </c>
    </row>
    <row r="2352" ht="15.75" customHeight="1">
      <c r="A2352" s="95" t="s">
        <v>13148</v>
      </c>
      <c r="B2352" s="95" t="s">
        <v>22</v>
      </c>
      <c r="C2352" s="96" t="s">
        <v>13149</v>
      </c>
      <c r="D2352" s="95" t="s">
        <v>39</v>
      </c>
      <c r="E2352" s="95" t="s">
        <v>39</v>
      </c>
      <c r="F2352" s="95" t="s">
        <v>19</v>
      </c>
      <c r="G2352" s="95" t="s">
        <v>19</v>
      </c>
      <c r="H2352" s="95" t="s">
        <v>21</v>
      </c>
      <c r="I2352" s="95" t="s">
        <v>567</v>
      </c>
      <c r="J2352" s="97">
        <v>45975.67937972222</v>
      </c>
      <c r="K2352" s="96" t="s">
        <v>13150</v>
      </c>
      <c r="L2352" s="95"/>
      <c r="M2352" s="95" t="s">
        <v>38</v>
      </c>
      <c r="N2352" s="95" t="s">
        <v>13146</v>
      </c>
      <c r="O2352" s="95" t="s">
        <v>13146</v>
      </c>
      <c r="P2352" s="95" t="s">
        <v>13147</v>
      </c>
      <c r="Q2352" s="98">
        <v>2.0</v>
      </c>
      <c r="R2352" s="97">
        <v>45841.56170138889</v>
      </c>
      <c r="S2352" s="99">
        <v>2065.0</v>
      </c>
      <c r="T2352" s="99">
        <v>72.0</v>
      </c>
      <c r="U2352" s="99">
        <v>4.0</v>
      </c>
      <c r="V2352" s="99">
        <v>128.0</v>
      </c>
      <c r="W2352" s="99">
        <v>5326.0</v>
      </c>
    </row>
    <row r="2353" ht="15.75" customHeight="1">
      <c r="A2353" s="95" t="s">
        <v>13151</v>
      </c>
      <c r="B2353" s="95" t="s">
        <v>22</v>
      </c>
      <c r="C2353" s="96" t="s">
        <v>13152</v>
      </c>
      <c r="D2353" s="95" t="s">
        <v>59</v>
      </c>
      <c r="E2353" s="95" t="s">
        <v>738</v>
      </c>
      <c r="F2353" s="95" t="s">
        <v>19</v>
      </c>
      <c r="G2353" s="95" t="s">
        <v>19</v>
      </c>
      <c r="H2353" s="95" t="s">
        <v>21</v>
      </c>
      <c r="I2353" s="95" t="s">
        <v>589</v>
      </c>
      <c r="J2353" s="97">
        <v>46021.50399828704</v>
      </c>
      <c r="K2353" s="95" t="s">
        <v>13153</v>
      </c>
      <c r="L2353" s="96" t="s">
        <v>13154</v>
      </c>
      <c r="M2353" s="95" t="s">
        <v>38</v>
      </c>
      <c r="N2353" s="95" t="s">
        <v>8641</v>
      </c>
      <c r="O2353" s="95" t="s">
        <v>8641</v>
      </c>
      <c r="P2353" s="95" t="s">
        <v>8642</v>
      </c>
      <c r="Q2353" s="98">
        <v>2.0</v>
      </c>
      <c r="R2353" s="97">
        <v>45965.66655092593</v>
      </c>
      <c r="S2353" s="99">
        <v>1.0</v>
      </c>
      <c r="T2353" s="99">
        <v>70.0</v>
      </c>
      <c r="U2353" s="99">
        <v>13.0</v>
      </c>
      <c r="V2353" s="99">
        <v>86.0</v>
      </c>
      <c r="W2353" s="99">
        <v>3832.0</v>
      </c>
    </row>
    <row r="2354" ht="15.75" customHeight="1">
      <c r="A2354" s="95" t="s">
        <v>13155</v>
      </c>
      <c r="B2354" s="95" t="s">
        <v>22</v>
      </c>
      <c r="C2354" s="96" t="s">
        <v>13156</v>
      </c>
      <c r="D2354" s="95" t="s">
        <v>130</v>
      </c>
      <c r="E2354" s="95" t="s">
        <v>917</v>
      </c>
      <c r="F2354" s="95" t="s">
        <v>19</v>
      </c>
      <c r="G2354" s="95" t="s">
        <v>19</v>
      </c>
      <c r="H2354" s="95" t="s">
        <v>21</v>
      </c>
      <c r="I2354" s="95" t="s">
        <v>589</v>
      </c>
      <c r="J2354" s="97">
        <v>46021.50399828704</v>
      </c>
      <c r="K2354" s="95" t="s">
        <v>13157</v>
      </c>
      <c r="L2354" s="96" t="s">
        <v>13158</v>
      </c>
      <c r="M2354" s="95" t="s">
        <v>38</v>
      </c>
      <c r="N2354" s="95" t="s">
        <v>8641</v>
      </c>
      <c r="O2354" s="95" t="s">
        <v>8641</v>
      </c>
      <c r="P2354" s="95" t="s">
        <v>8642</v>
      </c>
      <c r="Q2354" s="98">
        <v>2.0</v>
      </c>
      <c r="R2354" s="97">
        <v>45966.79918981482</v>
      </c>
      <c r="S2354" s="99">
        <v>1.0</v>
      </c>
      <c r="T2354" s="99">
        <v>92.0</v>
      </c>
      <c r="U2354" s="99">
        <v>14.0</v>
      </c>
      <c r="V2354" s="99">
        <v>106.0</v>
      </c>
      <c r="W2354" s="99">
        <v>3832.0</v>
      </c>
    </row>
    <row r="2355" ht="15.75" customHeight="1">
      <c r="A2355" s="95" t="s">
        <v>13159</v>
      </c>
      <c r="B2355" s="95" t="s">
        <v>22</v>
      </c>
      <c r="C2355" s="96" t="s">
        <v>13160</v>
      </c>
      <c r="D2355" s="95" t="s">
        <v>29</v>
      </c>
      <c r="E2355" s="95" t="s">
        <v>598</v>
      </c>
      <c r="F2355" s="95" t="s">
        <v>19</v>
      </c>
      <c r="G2355" s="95" t="s">
        <v>19</v>
      </c>
      <c r="H2355" s="95" t="s">
        <v>21</v>
      </c>
      <c r="I2355" s="95" t="s">
        <v>589</v>
      </c>
      <c r="J2355" s="97">
        <v>45975.67937972222</v>
      </c>
      <c r="K2355" s="96" t="s">
        <v>13161</v>
      </c>
      <c r="L2355" s="96" t="s">
        <v>13162</v>
      </c>
      <c r="M2355" s="95" t="s">
        <v>38</v>
      </c>
      <c r="N2355" s="95" t="s">
        <v>13163</v>
      </c>
      <c r="O2355" s="95" t="s">
        <v>13163</v>
      </c>
      <c r="P2355" s="95" t="s">
        <v>13164</v>
      </c>
      <c r="Q2355" s="98">
        <v>2.0</v>
      </c>
      <c r="R2355" s="97">
        <v>45875.418125</v>
      </c>
      <c r="S2355" s="99">
        <v>3959.0</v>
      </c>
      <c r="T2355" s="99">
        <v>10.0</v>
      </c>
      <c r="U2355" s="99">
        <v>1.0</v>
      </c>
      <c r="V2355" s="99">
        <v>37.0</v>
      </c>
      <c r="W2355" s="99">
        <v>73733.0</v>
      </c>
    </row>
    <row r="2356" ht="15.75" customHeight="1">
      <c r="A2356" s="95" t="s">
        <v>13165</v>
      </c>
      <c r="B2356" s="95" t="s">
        <v>157</v>
      </c>
      <c r="C2356" s="96" t="s">
        <v>13166</v>
      </c>
      <c r="D2356" s="95" t="s">
        <v>68</v>
      </c>
      <c r="E2356" s="95" t="s">
        <v>1671</v>
      </c>
      <c r="F2356" s="95" t="s">
        <v>88</v>
      </c>
      <c r="G2356" s="95" t="s">
        <v>88</v>
      </c>
      <c r="H2356" s="95" t="s">
        <v>89</v>
      </c>
      <c r="I2356" s="95" t="s">
        <v>859</v>
      </c>
      <c r="J2356" s="97">
        <v>45975.67937189815</v>
      </c>
      <c r="K2356" s="96" t="s">
        <v>13167</v>
      </c>
      <c r="L2356" s="96" t="s">
        <v>13168</v>
      </c>
      <c r="M2356" s="95" t="s">
        <v>67</v>
      </c>
      <c r="N2356" s="95" t="s">
        <v>13169</v>
      </c>
      <c r="O2356" s="95" t="s">
        <v>13169</v>
      </c>
      <c r="P2356" s="95" t="s">
        <v>13170</v>
      </c>
      <c r="Q2356" s="98">
        <v>2.0</v>
      </c>
      <c r="R2356" s="97">
        <v>45670.94366898148</v>
      </c>
      <c r="S2356" s="99">
        <v>972.0</v>
      </c>
      <c r="T2356" s="99">
        <v>115.0</v>
      </c>
      <c r="U2356" s="99">
        <v>13.0</v>
      </c>
      <c r="V2356" s="99">
        <v>19.0</v>
      </c>
      <c r="W2356" s="99">
        <v>15399.0</v>
      </c>
    </row>
    <row r="2357" ht="15.75" customHeight="1">
      <c r="A2357" s="95" t="s">
        <v>13171</v>
      </c>
      <c r="B2357" s="95" t="s">
        <v>22</v>
      </c>
      <c r="C2357" s="96" t="s">
        <v>13172</v>
      </c>
      <c r="D2357" s="95" t="s">
        <v>124</v>
      </c>
      <c r="E2357" s="95" t="s">
        <v>8682</v>
      </c>
      <c r="F2357" s="95" t="s">
        <v>19</v>
      </c>
      <c r="G2357" s="95" t="s">
        <v>19</v>
      </c>
      <c r="H2357" s="95" t="s">
        <v>21</v>
      </c>
      <c r="I2357" s="95" t="s">
        <v>567</v>
      </c>
      <c r="J2357" s="97">
        <v>46021.50638981481</v>
      </c>
      <c r="K2357" s="95" t="s">
        <v>13173</v>
      </c>
      <c r="L2357" s="96" t="s">
        <v>13174</v>
      </c>
      <c r="M2357" s="95" t="s">
        <v>67</v>
      </c>
      <c r="N2357" s="95" t="s">
        <v>8685</v>
      </c>
      <c r="O2357" s="95" t="s">
        <v>8685</v>
      </c>
      <c r="P2357" s="95" t="s">
        <v>8686</v>
      </c>
      <c r="Q2357" s="98">
        <v>2.0</v>
      </c>
      <c r="R2357" s="97">
        <v>45817.43728009259</v>
      </c>
      <c r="S2357" s="99">
        <v>108.0</v>
      </c>
      <c r="T2357" s="99">
        <v>117.0</v>
      </c>
      <c r="U2357" s="99">
        <v>6.0</v>
      </c>
      <c r="V2357" s="99">
        <v>31.0</v>
      </c>
      <c r="W2357" s="99">
        <v>190452.0</v>
      </c>
    </row>
    <row r="2358" ht="15.75" customHeight="1">
      <c r="A2358" s="95" t="s">
        <v>13175</v>
      </c>
      <c r="B2358" s="95" t="s">
        <v>22</v>
      </c>
      <c r="C2358" s="96" t="s">
        <v>13176</v>
      </c>
      <c r="D2358" s="95" t="s">
        <v>20</v>
      </c>
      <c r="E2358" s="95" t="s">
        <v>1991</v>
      </c>
      <c r="F2358" s="95" t="s">
        <v>19</v>
      </c>
      <c r="G2358" s="95" t="s">
        <v>19</v>
      </c>
      <c r="H2358" s="95" t="s">
        <v>21</v>
      </c>
      <c r="I2358" s="95" t="s">
        <v>567</v>
      </c>
      <c r="J2358" s="97">
        <v>45975.67936400463</v>
      </c>
      <c r="K2358" s="96" t="s">
        <v>13177</v>
      </c>
      <c r="L2358" s="96" t="s">
        <v>13178</v>
      </c>
      <c r="M2358" s="95" t="s">
        <v>17</v>
      </c>
      <c r="N2358" s="95" t="s">
        <v>8747</v>
      </c>
      <c r="O2358" s="95" t="s">
        <v>8747</v>
      </c>
      <c r="P2358" s="95" t="s">
        <v>8748</v>
      </c>
      <c r="Q2358" s="98">
        <v>2.0</v>
      </c>
      <c r="R2358" s="97">
        <v>45834.36193287037</v>
      </c>
      <c r="S2358" s="99">
        <v>64975.0</v>
      </c>
      <c r="T2358" s="99">
        <v>590.0</v>
      </c>
      <c r="U2358" s="99">
        <v>38.0</v>
      </c>
      <c r="V2358" s="99">
        <v>205.0</v>
      </c>
      <c r="W2358" s="99">
        <v>399277.0</v>
      </c>
    </row>
    <row r="2359" ht="15.75" customHeight="1">
      <c r="A2359" s="95" t="s">
        <v>13179</v>
      </c>
      <c r="B2359" s="95" t="s">
        <v>22</v>
      </c>
      <c r="C2359" s="96" t="s">
        <v>13180</v>
      </c>
      <c r="D2359" s="95" t="s">
        <v>20</v>
      </c>
      <c r="E2359" s="95" t="s">
        <v>1991</v>
      </c>
      <c r="F2359" s="95" t="s">
        <v>19</v>
      </c>
      <c r="G2359" s="95" t="s">
        <v>574</v>
      </c>
      <c r="H2359" s="95" t="s">
        <v>21</v>
      </c>
      <c r="I2359" s="95" t="s">
        <v>567</v>
      </c>
      <c r="J2359" s="97">
        <v>45975.67936400463</v>
      </c>
      <c r="K2359" s="96" t="s">
        <v>13181</v>
      </c>
      <c r="L2359" s="96" t="s">
        <v>13182</v>
      </c>
      <c r="M2359" s="95" t="s">
        <v>17</v>
      </c>
      <c r="N2359" s="95" t="s">
        <v>8747</v>
      </c>
      <c r="O2359" s="95" t="s">
        <v>8747</v>
      </c>
      <c r="P2359" s="95" t="s">
        <v>8748</v>
      </c>
      <c r="Q2359" s="98">
        <v>2.0</v>
      </c>
      <c r="R2359" s="97">
        <v>45770.53484953703</v>
      </c>
      <c r="S2359" s="99">
        <v>64975.0</v>
      </c>
      <c r="T2359" s="99">
        <v>158.0</v>
      </c>
      <c r="U2359" s="99">
        <v>32.0</v>
      </c>
      <c r="V2359" s="99">
        <v>132.0</v>
      </c>
      <c r="W2359" s="99">
        <v>399277.0</v>
      </c>
    </row>
    <row r="2360" ht="15.75" customHeight="1">
      <c r="A2360" s="95" t="s">
        <v>13183</v>
      </c>
      <c r="B2360" s="95" t="s">
        <v>69</v>
      </c>
      <c r="C2360" s="96" t="s">
        <v>13184</v>
      </c>
      <c r="D2360" s="95" t="s">
        <v>20</v>
      </c>
      <c r="E2360" s="95" t="s">
        <v>1991</v>
      </c>
      <c r="F2360" s="95" t="s">
        <v>58</v>
      </c>
      <c r="G2360" s="95" t="s">
        <v>13185</v>
      </c>
      <c r="H2360" s="95" t="s">
        <v>89</v>
      </c>
      <c r="I2360" s="95" t="s">
        <v>640</v>
      </c>
      <c r="J2360" s="97">
        <v>46008.62905601852</v>
      </c>
      <c r="K2360" s="96" t="s">
        <v>13186</v>
      </c>
      <c r="L2360" s="96" t="s">
        <v>13187</v>
      </c>
      <c r="M2360" s="95" t="s">
        <v>17</v>
      </c>
      <c r="N2360" s="95" t="s">
        <v>8747</v>
      </c>
      <c r="O2360" s="95" t="s">
        <v>8747</v>
      </c>
      <c r="P2360" s="95" t="s">
        <v>8748</v>
      </c>
      <c r="Q2360" s="98">
        <v>2.0</v>
      </c>
      <c r="R2360" s="97">
        <v>45782.66449074074</v>
      </c>
      <c r="S2360" s="99">
        <v>64975.0</v>
      </c>
      <c r="T2360" s="99">
        <v>439.0</v>
      </c>
      <c r="U2360" s="99">
        <v>1.0</v>
      </c>
      <c r="V2360" s="99">
        <v>28.0</v>
      </c>
      <c r="W2360" s="99">
        <v>399277.0</v>
      </c>
    </row>
    <row r="2361" ht="15.75" customHeight="1">
      <c r="A2361" s="95" t="s">
        <v>13188</v>
      </c>
      <c r="B2361" s="95" t="s">
        <v>22</v>
      </c>
      <c r="C2361" s="96" t="s">
        <v>13189</v>
      </c>
      <c r="D2361" s="95" t="s">
        <v>20</v>
      </c>
      <c r="E2361" s="95" t="s">
        <v>1991</v>
      </c>
      <c r="F2361" s="95" t="s">
        <v>19</v>
      </c>
      <c r="G2361" s="95" t="s">
        <v>19</v>
      </c>
      <c r="H2361" s="95" t="s">
        <v>21</v>
      </c>
      <c r="I2361" s="95" t="s">
        <v>567</v>
      </c>
      <c r="J2361" s="97">
        <v>46008.62905603009</v>
      </c>
      <c r="K2361" s="96" t="s">
        <v>13190</v>
      </c>
      <c r="L2361" s="96" t="s">
        <v>13191</v>
      </c>
      <c r="M2361" s="95" t="s">
        <v>17</v>
      </c>
      <c r="N2361" s="95" t="s">
        <v>8747</v>
      </c>
      <c r="O2361" s="95" t="s">
        <v>8747</v>
      </c>
      <c r="P2361" s="95" t="s">
        <v>8748</v>
      </c>
      <c r="Q2361" s="98">
        <v>2.0</v>
      </c>
      <c r="R2361" s="97">
        <v>45645.51810185185</v>
      </c>
      <c r="S2361" s="99">
        <v>64975.0</v>
      </c>
      <c r="T2361" s="99">
        <v>195.0</v>
      </c>
      <c r="U2361" s="99">
        <v>3.0</v>
      </c>
      <c r="V2361" s="99">
        <v>45.0</v>
      </c>
      <c r="W2361" s="99">
        <v>399277.0</v>
      </c>
    </row>
    <row r="2362" ht="15.75" customHeight="1">
      <c r="A2362" s="95" t="s">
        <v>13192</v>
      </c>
      <c r="B2362" s="95" t="s">
        <v>131</v>
      </c>
      <c r="C2362" s="96" t="s">
        <v>13193</v>
      </c>
      <c r="D2362" s="95" t="s">
        <v>130</v>
      </c>
      <c r="E2362" s="95" t="s">
        <v>130</v>
      </c>
      <c r="F2362" s="95" t="s">
        <v>88</v>
      </c>
      <c r="G2362" s="95" t="s">
        <v>88</v>
      </c>
      <c r="H2362" s="95" t="s">
        <v>60</v>
      </c>
      <c r="I2362" s="95" t="s">
        <v>795</v>
      </c>
      <c r="J2362" s="97">
        <v>45975.67936400463</v>
      </c>
      <c r="K2362" s="96" t="s">
        <v>13194</v>
      </c>
      <c r="L2362" s="96" t="s">
        <v>13195</v>
      </c>
      <c r="M2362" s="95" t="s">
        <v>17</v>
      </c>
      <c r="N2362" s="95" t="s">
        <v>13196</v>
      </c>
      <c r="O2362" s="95" t="s">
        <v>13196</v>
      </c>
      <c r="P2362" s="95" t="s">
        <v>13197</v>
      </c>
      <c r="Q2362" s="98">
        <v>2.0</v>
      </c>
      <c r="R2362" s="97">
        <v>45810.62519675926</v>
      </c>
      <c r="S2362" s="99">
        <v>59694.0</v>
      </c>
      <c r="T2362" s="99">
        <v>83.0</v>
      </c>
      <c r="U2362" s="99">
        <v>3.0</v>
      </c>
      <c r="V2362" s="99">
        <v>31.0</v>
      </c>
      <c r="W2362" s="99">
        <v>83995.0</v>
      </c>
    </row>
    <row r="2363" ht="15.75" customHeight="1">
      <c r="A2363" s="95" t="s">
        <v>13198</v>
      </c>
      <c r="B2363" s="95" t="s">
        <v>22</v>
      </c>
      <c r="C2363" s="96" t="s">
        <v>13199</v>
      </c>
      <c r="D2363" s="95" t="s">
        <v>59</v>
      </c>
      <c r="E2363" s="95" t="s">
        <v>59</v>
      </c>
      <c r="F2363" s="95" t="s">
        <v>19</v>
      </c>
      <c r="G2363" s="95" t="s">
        <v>574</v>
      </c>
      <c r="H2363" s="95" t="s">
        <v>21</v>
      </c>
      <c r="I2363" s="95" t="s">
        <v>567</v>
      </c>
      <c r="J2363" s="97">
        <v>46056.92999672454</v>
      </c>
      <c r="K2363" s="96" t="s">
        <v>13200</v>
      </c>
      <c r="L2363" s="96" t="s">
        <v>13201</v>
      </c>
      <c r="M2363" s="95" t="s">
        <v>503</v>
      </c>
      <c r="N2363" s="95" t="s">
        <v>13202</v>
      </c>
      <c r="O2363" s="95" t="s">
        <v>13202</v>
      </c>
      <c r="P2363" s="95" t="s">
        <v>13203</v>
      </c>
      <c r="Q2363" s="98">
        <v>2.0</v>
      </c>
      <c r="R2363" s="97">
        <v>45848.74797453704</v>
      </c>
      <c r="S2363" s="99">
        <v>1042.0</v>
      </c>
      <c r="T2363" s="99">
        <v>243.0</v>
      </c>
      <c r="U2363" s="99">
        <v>8.0</v>
      </c>
      <c r="V2363" s="99">
        <v>154.0</v>
      </c>
      <c r="W2363" s="99">
        <v>64175.0</v>
      </c>
    </row>
    <row r="2364" ht="15.75" customHeight="1">
      <c r="A2364" s="95" t="s">
        <v>13204</v>
      </c>
      <c r="B2364" s="95" t="s">
        <v>69</v>
      </c>
      <c r="C2364" s="96" t="s">
        <v>13205</v>
      </c>
      <c r="D2364" s="95" t="s">
        <v>20</v>
      </c>
      <c r="E2364" s="95" t="s">
        <v>2261</v>
      </c>
      <c r="F2364" s="95" t="s">
        <v>88</v>
      </c>
      <c r="G2364" s="95" t="s">
        <v>639</v>
      </c>
      <c r="H2364" s="95" t="s">
        <v>89</v>
      </c>
      <c r="I2364" s="95" t="s">
        <v>1477</v>
      </c>
      <c r="J2364" s="97">
        <v>45975.67936400463</v>
      </c>
      <c r="K2364" s="96" t="s">
        <v>13206</v>
      </c>
      <c r="L2364" s="96" t="s">
        <v>13207</v>
      </c>
      <c r="M2364" s="95" t="s">
        <v>17</v>
      </c>
      <c r="N2364" s="95" t="s">
        <v>8795</v>
      </c>
      <c r="O2364" s="95" t="s">
        <v>8795</v>
      </c>
      <c r="P2364" s="95" t="s">
        <v>8796</v>
      </c>
      <c r="Q2364" s="98">
        <v>2.0</v>
      </c>
      <c r="R2364" s="97">
        <v>45693.00356481481</v>
      </c>
      <c r="S2364" s="99">
        <v>282.0</v>
      </c>
      <c r="T2364" s="99">
        <v>2.0</v>
      </c>
      <c r="U2364" s="99">
        <v>3.0</v>
      </c>
      <c r="V2364" s="99">
        <v>69.0</v>
      </c>
      <c r="W2364" s="99">
        <v>11410.0</v>
      </c>
    </row>
    <row r="2365" ht="15.75" customHeight="1">
      <c r="A2365" s="95" t="s">
        <v>13208</v>
      </c>
      <c r="B2365" s="95" t="s">
        <v>101</v>
      </c>
      <c r="C2365" s="96" t="s">
        <v>13209</v>
      </c>
      <c r="D2365" s="95" t="s">
        <v>20</v>
      </c>
      <c r="E2365" s="95" t="s">
        <v>638</v>
      </c>
      <c r="F2365" s="95" t="s">
        <v>19</v>
      </c>
      <c r="G2365" s="95" t="s">
        <v>574</v>
      </c>
      <c r="H2365" s="95" t="s">
        <v>21</v>
      </c>
      <c r="I2365" s="95" t="s">
        <v>2990</v>
      </c>
      <c r="J2365" s="97">
        <v>45977.67921827547</v>
      </c>
      <c r="K2365" s="95" t="s">
        <v>13210</v>
      </c>
      <c r="L2365" s="96" t="s">
        <v>13211</v>
      </c>
      <c r="M2365" s="95" t="s">
        <v>17</v>
      </c>
      <c r="N2365" s="95" t="s">
        <v>8801</v>
      </c>
      <c r="O2365" s="95" t="s">
        <v>8801</v>
      </c>
      <c r="P2365" s="95" t="s">
        <v>8802</v>
      </c>
      <c r="Q2365" s="98">
        <v>2.0</v>
      </c>
      <c r="R2365" s="97">
        <v>45821.68929398148</v>
      </c>
      <c r="S2365" s="99">
        <v>251.0</v>
      </c>
      <c r="T2365" s="99">
        <v>659.0</v>
      </c>
      <c r="U2365" s="99">
        <v>3.0</v>
      </c>
      <c r="V2365" s="99">
        <v>24.0</v>
      </c>
      <c r="W2365" s="99">
        <v>27505.0</v>
      </c>
    </row>
    <row r="2366" ht="15.75" customHeight="1">
      <c r="A2366" s="95" t="s">
        <v>13212</v>
      </c>
      <c r="B2366" s="95" t="s">
        <v>22</v>
      </c>
      <c r="C2366" s="96" t="s">
        <v>13213</v>
      </c>
      <c r="D2366" s="95" t="s">
        <v>20</v>
      </c>
      <c r="E2366" s="95" t="s">
        <v>2261</v>
      </c>
      <c r="F2366" s="95" t="s">
        <v>19</v>
      </c>
      <c r="G2366" s="95" t="s">
        <v>19</v>
      </c>
      <c r="H2366" s="95" t="s">
        <v>21</v>
      </c>
      <c r="I2366" s="95" t="s">
        <v>567</v>
      </c>
      <c r="J2366" s="97">
        <v>45975.67936400463</v>
      </c>
      <c r="K2366" s="96" t="s">
        <v>13214</v>
      </c>
      <c r="L2366" s="96" t="s">
        <v>13215</v>
      </c>
      <c r="M2366" s="95" t="s">
        <v>17</v>
      </c>
      <c r="N2366" s="95" t="s">
        <v>13216</v>
      </c>
      <c r="O2366" s="95" t="s">
        <v>13216</v>
      </c>
      <c r="P2366" s="95" t="s">
        <v>13217</v>
      </c>
      <c r="Q2366" s="98">
        <v>2.0</v>
      </c>
      <c r="R2366" s="97">
        <v>45783.70379629629</v>
      </c>
      <c r="S2366" s="99">
        <v>3414.0</v>
      </c>
      <c r="T2366" s="99">
        <v>20.0</v>
      </c>
      <c r="U2366" s="99">
        <v>5.0</v>
      </c>
      <c r="V2366" s="99">
        <v>100.0</v>
      </c>
      <c r="W2366" s="99">
        <v>68448.0</v>
      </c>
    </row>
    <row r="2367" ht="15.75" customHeight="1">
      <c r="A2367" s="95" t="s">
        <v>13218</v>
      </c>
      <c r="B2367" s="95" t="s">
        <v>22</v>
      </c>
      <c r="C2367" s="96" t="s">
        <v>13219</v>
      </c>
      <c r="D2367" s="95" t="s">
        <v>39</v>
      </c>
      <c r="E2367" s="95" t="s">
        <v>39</v>
      </c>
      <c r="F2367" s="95" t="s">
        <v>19</v>
      </c>
      <c r="G2367" s="95" t="s">
        <v>19</v>
      </c>
      <c r="H2367" s="95" t="s">
        <v>21</v>
      </c>
      <c r="I2367" s="95" t="s">
        <v>567</v>
      </c>
      <c r="J2367" s="97">
        <v>46011.60168425926</v>
      </c>
      <c r="K2367" s="95" t="s">
        <v>13220</v>
      </c>
      <c r="L2367" s="96" t="s">
        <v>13221</v>
      </c>
      <c r="M2367" s="95" t="s">
        <v>38</v>
      </c>
      <c r="N2367" s="95" t="s">
        <v>8806</v>
      </c>
      <c r="O2367" s="95" t="s">
        <v>8806</v>
      </c>
      <c r="P2367" s="95" t="s">
        <v>8807</v>
      </c>
      <c r="Q2367" s="98">
        <v>2.0</v>
      </c>
      <c r="R2367" s="97">
        <v>45992.93785879629</v>
      </c>
      <c r="S2367" s="99">
        <v>1581.0</v>
      </c>
      <c r="T2367" s="99">
        <v>300.0</v>
      </c>
      <c r="U2367" s="99">
        <v>1.0</v>
      </c>
      <c r="V2367" s="99">
        <v>58.0</v>
      </c>
      <c r="W2367" s="99">
        <v>35266.0</v>
      </c>
    </row>
    <row r="2368" ht="15.75" customHeight="1">
      <c r="A2368" s="95" t="s">
        <v>13222</v>
      </c>
      <c r="B2368" s="95" t="s">
        <v>22</v>
      </c>
      <c r="C2368" s="96" t="s">
        <v>13223</v>
      </c>
      <c r="D2368" s="95" t="s">
        <v>39</v>
      </c>
      <c r="E2368" s="95" t="s">
        <v>39</v>
      </c>
      <c r="F2368" s="95" t="s">
        <v>19</v>
      </c>
      <c r="G2368" s="95" t="s">
        <v>1367</v>
      </c>
      <c r="H2368" s="95" t="s">
        <v>21</v>
      </c>
      <c r="I2368" s="95" t="s">
        <v>4903</v>
      </c>
      <c r="J2368" s="97">
        <v>45993.7854622338</v>
      </c>
      <c r="K2368" s="96" t="s">
        <v>13224</v>
      </c>
      <c r="L2368" s="96" t="s">
        <v>13225</v>
      </c>
      <c r="M2368" s="95" t="s">
        <v>17</v>
      </c>
      <c r="N2368" s="95" t="s">
        <v>13226</v>
      </c>
      <c r="O2368" s="95" t="s">
        <v>13226</v>
      </c>
      <c r="P2368" s="95" t="s">
        <v>13227</v>
      </c>
      <c r="Q2368" s="98">
        <v>2.0</v>
      </c>
      <c r="R2368" s="97">
        <v>45709.71877314815</v>
      </c>
      <c r="S2368" s="99">
        <v>865.0</v>
      </c>
      <c r="T2368" s="99">
        <v>34.0</v>
      </c>
      <c r="U2368" s="99">
        <v>2.0</v>
      </c>
      <c r="V2368" s="99">
        <v>31.0</v>
      </c>
      <c r="W2368" s="99">
        <v>11929.0</v>
      </c>
    </row>
    <row r="2369" ht="15.75" customHeight="1">
      <c r="A2369" s="95" t="s">
        <v>13228</v>
      </c>
      <c r="B2369" s="95" t="s">
        <v>22</v>
      </c>
      <c r="C2369" s="96" t="s">
        <v>13229</v>
      </c>
      <c r="D2369" s="95" t="s">
        <v>39</v>
      </c>
      <c r="E2369" s="95" t="s">
        <v>39</v>
      </c>
      <c r="F2369" s="95" t="s">
        <v>19</v>
      </c>
      <c r="G2369" s="95" t="s">
        <v>574</v>
      </c>
      <c r="H2369" s="95" t="s">
        <v>21</v>
      </c>
      <c r="I2369" s="95" t="s">
        <v>567</v>
      </c>
      <c r="J2369" s="97">
        <v>46002.6947709838</v>
      </c>
      <c r="K2369" s="95" t="s">
        <v>13230</v>
      </c>
      <c r="L2369" s="96" t="s">
        <v>13231</v>
      </c>
      <c r="M2369" s="95" t="s">
        <v>38</v>
      </c>
      <c r="N2369" s="95" t="s">
        <v>13232</v>
      </c>
      <c r="O2369" s="95" t="s">
        <v>13232</v>
      </c>
      <c r="P2369" s="95" t="s">
        <v>13233</v>
      </c>
      <c r="Q2369" s="98">
        <v>2.0</v>
      </c>
      <c r="R2369" s="97">
        <v>45807.99168981481</v>
      </c>
      <c r="S2369" s="99">
        <v>1578.0</v>
      </c>
      <c r="T2369" s="99">
        <v>55.0</v>
      </c>
      <c r="U2369" s="99">
        <v>1.0</v>
      </c>
      <c r="V2369" s="99">
        <v>389.0</v>
      </c>
      <c r="W2369" s="99">
        <v>3701.0</v>
      </c>
    </row>
    <row r="2370" ht="15.75" customHeight="1">
      <c r="A2370" s="95" t="s">
        <v>13234</v>
      </c>
      <c r="B2370" s="95" t="s">
        <v>22</v>
      </c>
      <c r="C2370" s="96" t="s">
        <v>13235</v>
      </c>
      <c r="D2370" s="95" t="s">
        <v>29</v>
      </c>
      <c r="E2370" s="95" t="s">
        <v>29</v>
      </c>
      <c r="F2370" s="95" t="s">
        <v>19</v>
      </c>
      <c r="G2370" s="95" t="s">
        <v>19</v>
      </c>
      <c r="H2370" s="95" t="s">
        <v>21</v>
      </c>
      <c r="I2370" s="95" t="s">
        <v>677</v>
      </c>
      <c r="J2370" s="97">
        <v>46021.50399828704</v>
      </c>
      <c r="K2370" s="95" t="s">
        <v>13236</v>
      </c>
      <c r="L2370" s="96" t="s">
        <v>13237</v>
      </c>
      <c r="M2370" s="95" t="s">
        <v>503</v>
      </c>
      <c r="N2370" s="95" t="s">
        <v>13238</v>
      </c>
      <c r="O2370" s="95" t="s">
        <v>13238</v>
      </c>
      <c r="P2370" s="95" t="s">
        <v>13239</v>
      </c>
      <c r="Q2370" s="98">
        <v>2.0</v>
      </c>
      <c r="R2370" s="97">
        <v>45678.73891203704</v>
      </c>
      <c r="S2370" s="99">
        <v>6785.0</v>
      </c>
      <c r="T2370" s="99">
        <v>96.0</v>
      </c>
      <c r="U2370" s="99">
        <v>1.0</v>
      </c>
      <c r="V2370" s="99">
        <v>83.0</v>
      </c>
      <c r="W2370" s="99">
        <v>300727.0</v>
      </c>
    </row>
    <row r="2371" ht="15.75" customHeight="1">
      <c r="A2371" s="95" t="s">
        <v>13240</v>
      </c>
      <c r="B2371" s="95" t="s">
        <v>22</v>
      </c>
      <c r="C2371" s="96" t="s">
        <v>13241</v>
      </c>
      <c r="D2371" s="95" t="s">
        <v>39</v>
      </c>
      <c r="E2371" s="95" t="s">
        <v>39</v>
      </c>
      <c r="F2371" s="95" t="s">
        <v>19</v>
      </c>
      <c r="G2371" s="95" t="s">
        <v>19</v>
      </c>
      <c r="H2371" s="95" t="s">
        <v>21</v>
      </c>
      <c r="I2371" s="95" t="s">
        <v>567</v>
      </c>
      <c r="J2371" s="97">
        <v>46021.51435841435</v>
      </c>
      <c r="K2371" s="95" t="s">
        <v>13242</v>
      </c>
      <c r="L2371" s="96" t="s">
        <v>13243</v>
      </c>
      <c r="M2371" s="95" t="s">
        <v>67</v>
      </c>
      <c r="N2371" s="95" t="s">
        <v>13244</v>
      </c>
      <c r="O2371" s="95" t="s">
        <v>13244</v>
      </c>
      <c r="P2371" s="95" t="s">
        <v>13245</v>
      </c>
      <c r="Q2371" s="98">
        <v>2.0</v>
      </c>
      <c r="R2371" s="97">
        <v>45785.86577546296</v>
      </c>
      <c r="S2371" s="99">
        <v>1924.0</v>
      </c>
      <c r="T2371" s="99">
        <v>2.0</v>
      </c>
      <c r="U2371" s="99">
        <v>2.0</v>
      </c>
      <c r="V2371" s="99">
        <v>33.0</v>
      </c>
      <c r="W2371" s="99">
        <v>69803.0</v>
      </c>
    </row>
    <row r="2372" ht="15.75" customHeight="1">
      <c r="A2372" s="95" t="s">
        <v>13246</v>
      </c>
      <c r="B2372" s="95" t="s">
        <v>69</v>
      </c>
      <c r="C2372" s="96" t="s">
        <v>13247</v>
      </c>
      <c r="D2372" s="95" t="s">
        <v>39</v>
      </c>
      <c r="E2372" s="95" t="s">
        <v>39</v>
      </c>
      <c r="F2372" s="95" t="s">
        <v>88</v>
      </c>
      <c r="G2372" s="95" t="s">
        <v>639</v>
      </c>
      <c r="H2372" s="95" t="s">
        <v>89</v>
      </c>
      <c r="I2372" s="95" t="s">
        <v>5444</v>
      </c>
      <c r="J2372" s="97">
        <v>45993.7854622338</v>
      </c>
      <c r="K2372" s="96" t="s">
        <v>13248</v>
      </c>
      <c r="L2372" s="96" t="s">
        <v>13249</v>
      </c>
      <c r="M2372" s="95" t="s">
        <v>67</v>
      </c>
      <c r="N2372" s="95" t="s">
        <v>13250</v>
      </c>
      <c r="O2372" s="95" t="s">
        <v>13250</v>
      </c>
      <c r="P2372" s="95" t="s">
        <v>13251</v>
      </c>
      <c r="Q2372" s="98">
        <v>2.0</v>
      </c>
      <c r="R2372" s="97">
        <v>45663.68203703704</v>
      </c>
      <c r="S2372" s="99">
        <v>819.0</v>
      </c>
      <c r="T2372" s="99">
        <v>110.0</v>
      </c>
      <c r="U2372" s="99">
        <v>1.0</v>
      </c>
      <c r="V2372" s="99">
        <v>21.0</v>
      </c>
      <c r="W2372" s="99">
        <v>35801.0</v>
      </c>
    </row>
    <row r="2373" ht="15.75" customHeight="1">
      <c r="A2373" s="95" t="s">
        <v>13252</v>
      </c>
      <c r="B2373" s="95" t="s">
        <v>157</v>
      </c>
      <c r="C2373" s="96" t="s">
        <v>13253</v>
      </c>
      <c r="D2373" s="95" t="s">
        <v>39</v>
      </c>
      <c r="E2373" s="95" t="s">
        <v>614</v>
      </c>
      <c r="F2373" s="95" t="s">
        <v>88</v>
      </c>
      <c r="G2373" s="95" t="s">
        <v>88</v>
      </c>
      <c r="H2373" s="95" t="s">
        <v>89</v>
      </c>
      <c r="I2373" s="95" t="s">
        <v>897</v>
      </c>
      <c r="J2373" s="97">
        <v>45975.67938763889</v>
      </c>
      <c r="K2373" s="96" t="s">
        <v>13254</v>
      </c>
      <c r="L2373" s="96" t="s">
        <v>13255</v>
      </c>
      <c r="M2373" s="95" t="s">
        <v>74</v>
      </c>
      <c r="N2373" s="95" t="s">
        <v>13256</v>
      </c>
      <c r="O2373" s="95" t="s">
        <v>13256</v>
      </c>
      <c r="P2373" s="95" t="s">
        <v>13257</v>
      </c>
      <c r="Q2373" s="98">
        <v>2.0</v>
      </c>
      <c r="R2373" s="97">
        <v>45778.61326388889</v>
      </c>
      <c r="S2373" s="99">
        <v>172.0</v>
      </c>
      <c r="T2373" s="99">
        <v>30.0</v>
      </c>
      <c r="U2373" s="99">
        <v>9.0</v>
      </c>
      <c r="V2373" s="99">
        <v>46.0</v>
      </c>
      <c r="W2373" s="99">
        <v>78155.0</v>
      </c>
    </row>
    <row r="2374" ht="15.75" customHeight="1">
      <c r="A2374" s="95" t="s">
        <v>13258</v>
      </c>
      <c r="B2374" s="95" t="s">
        <v>22</v>
      </c>
      <c r="C2374" s="96" t="s">
        <v>13259</v>
      </c>
      <c r="D2374" s="95" t="s">
        <v>29</v>
      </c>
      <c r="E2374" s="95" t="s">
        <v>658</v>
      </c>
      <c r="F2374" s="95" t="s">
        <v>19</v>
      </c>
      <c r="G2374" s="95" t="s">
        <v>19</v>
      </c>
      <c r="H2374" s="95" t="s">
        <v>21</v>
      </c>
      <c r="I2374" s="95" t="s">
        <v>567</v>
      </c>
      <c r="J2374" s="97">
        <v>45975.67936400463</v>
      </c>
      <c r="K2374" s="96" t="s">
        <v>13260</v>
      </c>
      <c r="L2374" s="96" t="s">
        <v>13261</v>
      </c>
      <c r="M2374" s="95" t="s">
        <v>67</v>
      </c>
      <c r="N2374" s="95" t="s">
        <v>13262</v>
      </c>
      <c r="O2374" s="95" t="s">
        <v>13262</v>
      </c>
      <c r="P2374" s="95" t="s">
        <v>13263</v>
      </c>
      <c r="Q2374" s="98">
        <v>2.0</v>
      </c>
      <c r="R2374" s="97">
        <v>45622.91290509259</v>
      </c>
      <c r="S2374" s="99">
        <v>13455.0</v>
      </c>
      <c r="T2374" s="99">
        <v>7.0</v>
      </c>
      <c r="U2374" s="99">
        <v>1.0</v>
      </c>
      <c r="V2374" s="99">
        <v>35.0</v>
      </c>
      <c r="W2374" s="99">
        <v>25517.0</v>
      </c>
    </row>
    <row r="2375" ht="15.75" customHeight="1">
      <c r="A2375" s="95" t="s">
        <v>13264</v>
      </c>
      <c r="B2375" s="95" t="s">
        <v>22</v>
      </c>
      <c r="C2375" s="96" t="s">
        <v>13265</v>
      </c>
      <c r="D2375" s="95" t="s">
        <v>68</v>
      </c>
      <c r="E2375" s="95" t="s">
        <v>1496</v>
      </c>
      <c r="F2375" s="95" t="s">
        <v>19</v>
      </c>
      <c r="G2375" s="95" t="s">
        <v>574</v>
      </c>
      <c r="H2375" s="95" t="s">
        <v>21</v>
      </c>
      <c r="I2375" s="95" t="s">
        <v>567</v>
      </c>
      <c r="J2375" s="97">
        <v>45975.67931630787</v>
      </c>
      <c r="K2375" s="96" t="s">
        <v>13266</v>
      </c>
      <c r="L2375" s="96" t="s">
        <v>13267</v>
      </c>
      <c r="M2375" s="95" t="s">
        <v>54</v>
      </c>
      <c r="N2375" s="95" t="s">
        <v>8951</v>
      </c>
      <c r="O2375" s="95" t="s">
        <v>8951</v>
      </c>
      <c r="P2375" s="95" t="s">
        <v>8952</v>
      </c>
      <c r="Q2375" s="98">
        <v>2.0</v>
      </c>
      <c r="R2375" s="97">
        <v>45854.87140046297</v>
      </c>
      <c r="S2375" s="99">
        <v>5375.0</v>
      </c>
      <c r="T2375" s="99">
        <v>4.0</v>
      </c>
      <c r="U2375" s="99">
        <v>11.0</v>
      </c>
      <c r="V2375" s="99">
        <v>457.0</v>
      </c>
      <c r="W2375" s="99">
        <v>54438.0</v>
      </c>
    </row>
    <row r="2376" ht="15.75" customHeight="1">
      <c r="A2376" s="95" t="s">
        <v>13268</v>
      </c>
      <c r="B2376" s="95" t="s">
        <v>22</v>
      </c>
      <c r="C2376" s="96" t="s">
        <v>13269</v>
      </c>
      <c r="D2376" s="95" t="s">
        <v>547</v>
      </c>
      <c r="E2376" s="95" t="s">
        <v>547</v>
      </c>
      <c r="F2376" s="95" t="s">
        <v>19</v>
      </c>
      <c r="G2376" s="95" t="s">
        <v>1367</v>
      </c>
      <c r="H2376" s="95" t="s">
        <v>21</v>
      </c>
      <c r="I2376" s="95" t="s">
        <v>567</v>
      </c>
      <c r="J2376" s="97">
        <v>45994.72104415509</v>
      </c>
      <c r="K2376" s="95" t="s">
        <v>13270</v>
      </c>
      <c r="L2376" s="96" t="s">
        <v>13271</v>
      </c>
      <c r="M2376" s="95" t="s">
        <v>38</v>
      </c>
      <c r="N2376" s="95" t="s">
        <v>13272</v>
      </c>
      <c r="O2376" s="95" t="s">
        <v>13272</v>
      </c>
      <c r="P2376" s="95" t="s">
        <v>13273</v>
      </c>
      <c r="Q2376" s="98">
        <v>2.0</v>
      </c>
      <c r="R2376" s="97">
        <v>45816.0894675926</v>
      </c>
      <c r="S2376" s="99">
        <v>200.0</v>
      </c>
      <c r="T2376" s="99">
        <v>76.0</v>
      </c>
      <c r="U2376" s="99">
        <v>1.0</v>
      </c>
      <c r="V2376" s="99">
        <v>58.0</v>
      </c>
      <c r="W2376" s="99">
        <v>10236.0</v>
      </c>
    </row>
    <row r="2377" ht="15.75" customHeight="1">
      <c r="A2377" s="95" t="s">
        <v>13274</v>
      </c>
      <c r="B2377" s="95" t="s">
        <v>22</v>
      </c>
      <c r="C2377" s="96" t="s">
        <v>13275</v>
      </c>
      <c r="D2377" s="95" t="s">
        <v>547</v>
      </c>
      <c r="E2377" s="95" t="s">
        <v>547</v>
      </c>
      <c r="F2377" s="95" t="s">
        <v>19</v>
      </c>
      <c r="G2377" s="95" t="s">
        <v>19</v>
      </c>
      <c r="H2377" s="95" t="s">
        <v>21</v>
      </c>
      <c r="I2377" s="95" t="s">
        <v>567</v>
      </c>
      <c r="J2377" s="97">
        <v>46021.50399828704</v>
      </c>
      <c r="K2377" s="95" t="s">
        <v>13276</v>
      </c>
      <c r="L2377" s="96" t="s">
        <v>13277</v>
      </c>
      <c r="M2377" s="95" t="s">
        <v>38</v>
      </c>
      <c r="N2377" s="95" t="s">
        <v>13278</v>
      </c>
      <c r="O2377" s="95" t="s">
        <v>13278</v>
      </c>
      <c r="P2377" s="95" t="s">
        <v>13279</v>
      </c>
      <c r="Q2377" s="98">
        <v>2.0</v>
      </c>
      <c r="R2377" s="97">
        <v>45740.30729166666</v>
      </c>
      <c r="S2377" s="99">
        <v>89.0</v>
      </c>
      <c r="T2377" s="99">
        <v>14.0</v>
      </c>
      <c r="U2377" s="99">
        <v>1.0</v>
      </c>
      <c r="V2377" s="99">
        <v>248.0</v>
      </c>
      <c r="W2377" s="99">
        <v>2689.0</v>
      </c>
    </row>
    <row r="2378" ht="15.75" customHeight="1">
      <c r="A2378" s="95" t="s">
        <v>13280</v>
      </c>
      <c r="B2378" s="95" t="s">
        <v>22</v>
      </c>
      <c r="C2378" s="96" t="s">
        <v>13281</v>
      </c>
      <c r="D2378" s="95" t="s">
        <v>20</v>
      </c>
      <c r="E2378" s="95" t="s">
        <v>638</v>
      </c>
      <c r="F2378" s="95" t="s">
        <v>19</v>
      </c>
      <c r="G2378" s="95" t="s">
        <v>19</v>
      </c>
      <c r="H2378" s="95" t="s">
        <v>21</v>
      </c>
      <c r="I2378" s="95" t="s">
        <v>589</v>
      </c>
      <c r="J2378" s="97">
        <v>45975.67936400463</v>
      </c>
      <c r="K2378" s="96" t="s">
        <v>13282</v>
      </c>
      <c r="L2378" s="96" t="s">
        <v>13283</v>
      </c>
      <c r="M2378" s="95" t="s">
        <v>17</v>
      </c>
      <c r="N2378" s="95" t="s">
        <v>13284</v>
      </c>
      <c r="O2378" s="95" t="s">
        <v>13284</v>
      </c>
      <c r="P2378" s="95" t="s">
        <v>13285</v>
      </c>
      <c r="Q2378" s="98">
        <v>2.0</v>
      </c>
      <c r="R2378" s="97">
        <v>45739.06163194445</v>
      </c>
      <c r="S2378" s="99">
        <v>11099.0</v>
      </c>
      <c r="T2378" s="99">
        <v>334.0</v>
      </c>
      <c r="U2378" s="99">
        <v>5.0</v>
      </c>
      <c r="V2378" s="99">
        <v>175.0</v>
      </c>
      <c r="W2378" s="99">
        <v>24172.0</v>
      </c>
    </row>
    <row r="2379" ht="15.75" customHeight="1">
      <c r="A2379" s="95" t="s">
        <v>13286</v>
      </c>
      <c r="B2379" s="95" t="s">
        <v>22</v>
      </c>
      <c r="C2379" s="96" t="s">
        <v>13287</v>
      </c>
      <c r="D2379" s="95" t="s">
        <v>39</v>
      </c>
      <c r="E2379" s="95" t="s">
        <v>39</v>
      </c>
      <c r="F2379" s="95" t="s">
        <v>19</v>
      </c>
      <c r="G2379" s="95" t="s">
        <v>19</v>
      </c>
      <c r="H2379" s="95" t="s">
        <v>21</v>
      </c>
      <c r="I2379" s="95" t="s">
        <v>589</v>
      </c>
      <c r="J2379" s="97">
        <v>45993.15673773148</v>
      </c>
      <c r="K2379" s="95" t="s">
        <v>13288</v>
      </c>
      <c r="L2379" s="96" t="s">
        <v>13289</v>
      </c>
      <c r="M2379" s="95" t="s">
        <v>503</v>
      </c>
      <c r="N2379" s="95" t="s">
        <v>13290</v>
      </c>
      <c r="O2379" s="95" t="s">
        <v>13290</v>
      </c>
      <c r="P2379" s="95" t="s">
        <v>13291</v>
      </c>
      <c r="Q2379" s="98">
        <v>2.0</v>
      </c>
      <c r="R2379" s="97">
        <v>45949.66065972222</v>
      </c>
      <c r="S2379" s="99">
        <v>4927.0</v>
      </c>
      <c r="T2379" s="99">
        <v>29.0</v>
      </c>
      <c r="U2379" s="99">
        <v>7.0</v>
      </c>
      <c r="V2379" s="99">
        <v>30.0</v>
      </c>
      <c r="W2379" s="99">
        <v>134254.0</v>
      </c>
    </row>
    <row r="2380" ht="15.75" customHeight="1">
      <c r="A2380" s="95" t="s">
        <v>13292</v>
      </c>
      <c r="B2380" s="95" t="s">
        <v>69</v>
      </c>
      <c r="C2380" s="96" t="s">
        <v>13293</v>
      </c>
      <c r="D2380" s="95" t="s">
        <v>39</v>
      </c>
      <c r="E2380" s="95" t="s">
        <v>39</v>
      </c>
      <c r="F2380" s="95" t="s">
        <v>88</v>
      </c>
      <c r="G2380" s="95" t="s">
        <v>903</v>
      </c>
      <c r="H2380" s="95" t="s">
        <v>89</v>
      </c>
      <c r="I2380" s="95" t="s">
        <v>640</v>
      </c>
      <c r="J2380" s="97">
        <v>46009.8509790625</v>
      </c>
      <c r="K2380" s="95" t="s">
        <v>13294</v>
      </c>
      <c r="L2380" s="96" t="s">
        <v>13295</v>
      </c>
      <c r="M2380" s="95" t="s">
        <v>503</v>
      </c>
      <c r="N2380" s="95" t="s">
        <v>13296</v>
      </c>
      <c r="O2380" s="95" t="s">
        <v>13296</v>
      </c>
      <c r="P2380" s="95" t="s">
        <v>13297</v>
      </c>
      <c r="Q2380" s="98">
        <v>2.0</v>
      </c>
      <c r="R2380" s="97">
        <v>45980.72244212963</v>
      </c>
      <c r="S2380" s="99">
        <v>4225.0</v>
      </c>
      <c r="T2380" s="99">
        <v>1532.0</v>
      </c>
      <c r="U2380" s="99">
        <v>4.0</v>
      </c>
      <c r="V2380" s="99">
        <v>20.0</v>
      </c>
      <c r="W2380" s="99">
        <v>3897.0</v>
      </c>
    </row>
    <row r="2381" ht="15.75" customHeight="1">
      <c r="A2381" s="95" t="s">
        <v>13298</v>
      </c>
      <c r="B2381" s="95" t="s">
        <v>22</v>
      </c>
      <c r="C2381" s="96" t="s">
        <v>13299</v>
      </c>
      <c r="D2381" s="95" t="s">
        <v>39</v>
      </c>
      <c r="E2381" s="95" t="s">
        <v>614</v>
      </c>
      <c r="F2381" s="95" t="s">
        <v>19</v>
      </c>
      <c r="G2381" s="95" t="s">
        <v>588</v>
      </c>
      <c r="H2381" s="95" t="s">
        <v>21</v>
      </c>
      <c r="I2381" s="95" t="s">
        <v>677</v>
      </c>
      <c r="J2381" s="97">
        <v>45975.67938763889</v>
      </c>
      <c r="K2381" s="96" t="s">
        <v>13300</v>
      </c>
      <c r="L2381" s="96" t="s">
        <v>13301</v>
      </c>
      <c r="M2381" s="95" t="s">
        <v>74</v>
      </c>
      <c r="N2381" s="95" t="s">
        <v>13302</v>
      </c>
      <c r="O2381" s="95" t="s">
        <v>13302</v>
      </c>
      <c r="P2381" s="95" t="s">
        <v>13303</v>
      </c>
      <c r="Q2381" s="98">
        <v>2.0</v>
      </c>
      <c r="R2381" s="97">
        <v>45943.46380787037</v>
      </c>
      <c r="S2381" s="99">
        <v>16355.0</v>
      </c>
      <c r="T2381" s="99">
        <v>23.0</v>
      </c>
      <c r="U2381" s="99">
        <v>1.0</v>
      </c>
      <c r="V2381" s="99">
        <v>54.0</v>
      </c>
      <c r="W2381" s="99">
        <v>8049.0</v>
      </c>
    </row>
    <row r="2382" ht="15.75" customHeight="1">
      <c r="A2382" s="95" t="s">
        <v>13304</v>
      </c>
      <c r="B2382" s="95" t="s">
        <v>22</v>
      </c>
      <c r="C2382" s="96" t="s">
        <v>13305</v>
      </c>
      <c r="D2382" s="95" t="s">
        <v>168</v>
      </c>
      <c r="E2382" s="95" t="s">
        <v>1228</v>
      </c>
      <c r="F2382" s="95" t="s">
        <v>19</v>
      </c>
      <c r="G2382" s="95" t="s">
        <v>19</v>
      </c>
      <c r="H2382" s="95" t="s">
        <v>21</v>
      </c>
      <c r="I2382" s="95" t="s">
        <v>567</v>
      </c>
      <c r="J2382" s="97">
        <v>45977.67921827547</v>
      </c>
      <c r="K2382" s="95" t="s">
        <v>13306</v>
      </c>
      <c r="L2382" s="96" t="s">
        <v>13307</v>
      </c>
      <c r="M2382" s="95" t="s">
        <v>17</v>
      </c>
      <c r="N2382" s="95" t="s">
        <v>8993</v>
      </c>
      <c r="O2382" s="95" t="s">
        <v>8993</v>
      </c>
      <c r="P2382" s="95" t="s">
        <v>8994</v>
      </c>
      <c r="Q2382" s="98">
        <v>2.0</v>
      </c>
      <c r="R2382" s="97">
        <v>45692.5657175926</v>
      </c>
      <c r="S2382" s="99">
        <v>1488.0</v>
      </c>
      <c r="T2382" s="99">
        <v>2.0</v>
      </c>
      <c r="U2382" s="99">
        <v>3.0</v>
      </c>
      <c r="V2382" s="99">
        <v>16.0</v>
      </c>
      <c r="W2382" s="99">
        <v>52528.0</v>
      </c>
    </row>
    <row r="2383" ht="15.75" customHeight="1">
      <c r="A2383" s="95" t="s">
        <v>13308</v>
      </c>
      <c r="B2383" s="95" t="s">
        <v>22</v>
      </c>
      <c r="C2383" s="96" t="s">
        <v>13309</v>
      </c>
      <c r="D2383" s="95" t="s">
        <v>59</v>
      </c>
      <c r="E2383" s="95" t="s">
        <v>1873</v>
      </c>
      <c r="F2383" s="95" t="s">
        <v>19</v>
      </c>
      <c r="G2383" s="95" t="s">
        <v>19</v>
      </c>
      <c r="H2383" s="95" t="s">
        <v>21</v>
      </c>
      <c r="I2383" s="95" t="s">
        <v>567</v>
      </c>
      <c r="J2383" s="97">
        <v>45975.67936400463</v>
      </c>
      <c r="K2383" s="96" t="s">
        <v>13310</v>
      </c>
      <c r="L2383" s="96" t="s">
        <v>13311</v>
      </c>
      <c r="M2383" s="95" t="s">
        <v>17</v>
      </c>
      <c r="N2383" s="95" t="s">
        <v>9006</v>
      </c>
      <c r="O2383" s="95" t="s">
        <v>9006</v>
      </c>
      <c r="P2383" s="95" t="s">
        <v>9007</v>
      </c>
      <c r="Q2383" s="98">
        <v>2.0</v>
      </c>
      <c r="R2383" s="97">
        <v>45877.35379629629</v>
      </c>
      <c r="S2383" s="99">
        <v>9442.0</v>
      </c>
      <c r="T2383" s="99">
        <v>18.0</v>
      </c>
      <c r="U2383" s="99">
        <v>28.0</v>
      </c>
      <c r="V2383" s="99">
        <v>318.0</v>
      </c>
      <c r="W2383" s="99">
        <v>328417.0</v>
      </c>
    </row>
    <row r="2384" ht="15.75" customHeight="1">
      <c r="A2384" s="95" t="s">
        <v>13312</v>
      </c>
      <c r="B2384" s="95" t="s">
        <v>22</v>
      </c>
      <c r="C2384" s="96" t="s">
        <v>13313</v>
      </c>
      <c r="D2384" s="95" t="s">
        <v>39</v>
      </c>
      <c r="E2384" s="95" t="s">
        <v>614</v>
      </c>
      <c r="F2384" s="95" t="s">
        <v>19</v>
      </c>
      <c r="G2384" s="95" t="s">
        <v>19</v>
      </c>
      <c r="H2384" s="95" t="s">
        <v>21</v>
      </c>
      <c r="I2384" s="95" t="s">
        <v>589</v>
      </c>
      <c r="J2384" s="97">
        <v>46069.13607259259</v>
      </c>
      <c r="K2384" s="95" t="s">
        <v>13314</v>
      </c>
      <c r="L2384" s="96" t="s">
        <v>13315</v>
      </c>
      <c r="M2384" s="95" t="s">
        <v>93</v>
      </c>
      <c r="N2384" s="95" t="s">
        <v>13316</v>
      </c>
      <c r="O2384" s="95" t="s">
        <v>13316</v>
      </c>
      <c r="P2384" s="95" t="s">
        <v>13317</v>
      </c>
      <c r="Q2384" s="98">
        <v>2.0</v>
      </c>
      <c r="R2384" s="97">
        <v>45607.71020833333</v>
      </c>
      <c r="S2384" s="99">
        <v>2207.0</v>
      </c>
      <c r="T2384" s="99">
        <v>100.0</v>
      </c>
      <c r="U2384" s="99">
        <v>2.0</v>
      </c>
      <c r="V2384" s="99">
        <v>24.0</v>
      </c>
      <c r="W2384" s="99">
        <v>306802.0</v>
      </c>
    </row>
    <row r="2385" ht="15.75" customHeight="1">
      <c r="A2385" s="95" t="s">
        <v>13318</v>
      </c>
      <c r="B2385" s="95" t="s">
        <v>22</v>
      </c>
      <c r="C2385" s="96" t="s">
        <v>13319</v>
      </c>
      <c r="D2385" s="95" t="s">
        <v>168</v>
      </c>
      <c r="E2385" s="95" t="s">
        <v>13320</v>
      </c>
      <c r="F2385" s="95" t="s">
        <v>88</v>
      </c>
      <c r="G2385" s="95" t="s">
        <v>858</v>
      </c>
      <c r="H2385" s="95" t="s">
        <v>21</v>
      </c>
      <c r="I2385" s="95" t="s">
        <v>567</v>
      </c>
      <c r="J2385" s="97">
        <v>45975.67936400463</v>
      </c>
      <c r="K2385" s="96" t="s">
        <v>13321</v>
      </c>
      <c r="L2385" s="96" t="s">
        <v>13322</v>
      </c>
      <c r="M2385" s="95" t="s">
        <v>17</v>
      </c>
      <c r="N2385" s="95" t="s">
        <v>13323</v>
      </c>
      <c r="O2385" s="95" t="s">
        <v>13323</v>
      </c>
      <c r="P2385" s="95" t="s">
        <v>13324</v>
      </c>
      <c r="Q2385" s="98">
        <v>2.0</v>
      </c>
      <c r="R2385" s="97">
        <v>45758.70934027778</v>
      </c>
      <c r="S2385" s="99">
        <v>4844.0</v>
      </c>
      <c r="T2385" s="99">
        <v>371.0</v>
      </c>
      <c r="U2385" s="99">
        <v>2.0</v>
      </c>
      <c r="V2385" s="99">
        <v>62.0</v>
      </c>
      <c r="W2385" s="99">
        <v>255941.0</v>
      </c>
    </row>
    <row r="2386" ht="15.75" customHeight="1">
      <c r="A2386" s="95" t="s">
        <v>13325</v>
      </c>
      <c r="B2386" s="95" t="s">
        <v>22</v>
      </c>
      <c r="C2386" s="96" t="s">
        <v>13326</v>
      </c>
      <c r="D2386" s="95" t="s">
        <v>29</v>
      </c>
      <c r="E2386" s="95" t="s">
        <v>3335</v>
      </c>
      <c r="F2386" s="95" t="s">
        <v>19</v>
      </c>
      <c r="G2386" s="95" t="s">
        <v>19</v>
      </c>
      <c r="H2386" s="95" t="s">
        <v>21</v>
      </c>
      <c r="I2386" s="95" t="s">
        <v>567</v>
      </c>
      <c r="J2386" s="97">
        <v>46057.09163388889</v>
      </c>
      <c r="K2386" s="95" t="s">
        <v>13327</v>
      </c>
      <c r="L2386" s="95"/>
      <c r="M2386" s="95" t="s">
        <v>93</v>
      </c>
      <c r="N2386" s="95" t="s">
        <v>9140</v>
      </c>
      <c r="O2386" s="95" t="s">
        <v>9140</v>
      </c>
      <c r="P2386" s="95" t="s">
        <v>9141</v>
      </c>
      <c r="Q2386" s="98">
        <v>2.0</v>
      </c>
      <c r="R2386" s="97">
        <v>45539.60122685185</v>
      </c>
      <c r="S2386" s="99">
        <v>1620.0</v>
      </c>
      <c r="T2386" s="99">
        <v>3020.0</v>
      </c>
      <c r="U2386" s="99">
        <v>39.0</v>
      </c>
      <c r="V2386" s="99">
        <v>100.0</v>
      </c>
      <c r="W2386" s="99">
        <v>391416.0</v>
      </c>
    </row>
    <row r="2387" ht="15.75" customHeight="1">
      <c r="A2387" s="95" t="s">
        <v>13328</v>
      </c>
      <c r="B2387" s="95" t="s">
        <v>131</v>
      </c>
      <c r="C2387" s="96" t="s">
        <v>13329</v>
      </c>
      <c r="D2387" s="95" t="s">
        <v>124</v>
      </c>
      <c r="E2387" s="95" t="s">
        <v>13330</v>
      </c>
      <c r="F2387" s="95" t="s">
        <v>58</v>
      </c>
      <c r="G2387" s="95" t="s">
        <v>58</v>
      </c>
      <c r="H2387" s="95" t="s">
        <v>60</v>
      </c>
      <c r="I2387" s="95" t="s">
        <v>5747</v>
      </c>
      <c r="J2387" s="97">
        <v>45993.7854622338</v>
      </c>
      <c r="K2387" s="96" t="s">
        <v>13331</v>
      </c>
      <c r="L2387" s="96" t="s">
        <v>13332</v>
      </c>
      <c r="M2387" s="95" t="s">
        <v>17</v>
      </c>
      <c r="N2387" s="95" t="s">
        <v>13333</v>
      </c>
      <c r="O2387" s="95" t="s">
        <v>13333</v>
      </c>
      <c r="P2387" s="95" t="s">
        <v>13334</v>
      </c>
      <c r="Q2387" s="98">
        <v>2.0</v>
      </c>
      <c r="R2387" s="97">
        <v>45850.24365740741</v>
      </c>
      <c r="S2387" s="99">
        <v>9006.0</v>
      </c>
      <c r="T2387" s="99">
        <v>11.0</v>
      </c>
      <c r="U2387" s="99">
        <v>10.0</v>
      </c>
      <c r="V2387" s="99">
        <v>97.0</v>
      </c>
      <c r="W2387" s="99">
        <v>216331.0</v>
      </c>
    </row>
    <row r="2388" ht="15.75" customHeight="1">
      <c r="A2388" s="95" t="s">
        <v>13335</v>
      </c>
      <c r="B2388" s="95" t="s">
        <v>22</v>
      </c>
      <c r="C2388" s="96" t="s">
        <v>13336</v>
      </c>
      <c r="D2388" s="95" t="s">
        <v>59</v>
      </c>
      <c r="E2388" s="95" t="s">
        <v>9197</v>
      </c>
      <c r="F2388" s="95" t="s">
        <v>19</v>
      </c>
      <c r="G2388" s="95" t="s">
        <v>19</v>
      </c>
      <c r="H2388" s="95" t="s">
        <v>21</v>
      </c>
      <c r="I2388" s="95" t="s">
        <v>567</v>
      </c>
      <c r="J2388" s="97">
        <v>46021.4982831713</v>
      </c>
      <c r="K2388" s="95" t="s">
        <v>13337</v>
      </c>
      <c r="L2388" s="96" t="s">
        <v>13338</v>
      </c>
      <c r="M2388" s="95" t="s">
        <v>54</v>
      </c>
      <c r="N2388" s="95" t="s">
        <v>9193</v>
      </c>
      <c r="O2388" s="95" t="s">
        <v>9193</v>
      </c>
      <c r="P2388" s="95" t="s">
        <v>9194</v>
      </c>
      <c r="Q2388" s="98">
        <v>2.0</v>
      </c>
      <c r="R2388" s="97">
        <v>45939.41519675926</v>
      </c>
      <c r="S2388" s="99">
        <v>1353.0</v>
      </c>
      <c r="T2388" s="99">
        <v>52.0</v>
      </c>
      <c r="U2388" s="99">
        <v>35.0</v>
      </c>
      <c r="V2388" s="99">
        <v>166.0</v>
      </c>
      <c r="W2388" s="99">
        <v>287859.0</v>
      </c>
    </row>
    <row r="2389" ht="15.75" customHeight="1">
      <c r="A2389" s="95" t="s">
        <v>13339</v>
      </c>
      <c r="B2389" s="95" t="s">
        <v>22</v>
      </c>
      <c r="C2389" s="96" t="s">
        <v>13340</v>
      </c>
      <c r="D2389" s="95" t="s">
        <v>168</v>
      </c>
      <c r="E2389" s="95" t="s">
        <v>3021</v>
      </c>
      <c r="F2389" s="95" t="s">
        <v>19</v>
      </c>
      <c r="G2389" s="95" t="s">
        <v>19</v>
      </c>
      <c r="H2389" s="95" t="s">
        <v>21</v>
      </c>
      <c r="I2389" s="95" t="s">
        <v>567</v>
      </c>
      <c r="J2389" s="97">
        <v>46021.4982831713</v>
      </c>
      <c r="K2389" s="95" t="s">
        <v>13341</v>
      </c>
      <c r="L2389" s="96" t="s">
        <v>13342</v>
      </c>
      <c r="M2389" s="95" t="s">
        <v>105</v>
      </c>
      <c r="N2389" s="95" t="s">
        <v>13343</v>
      </c>
      <c r="O2389" s="95" t="s">
        <v>13343</v>
      </c>
      <c r="P2389" s="95" t="s">
        <v>13344</v>
      </c>
      <c r="Q2389" s="98">
        <v>2.0</v>
      </c>
      <c r="R2389" s="97">
        <v>45743.80332175926</v>
      </c>
      <c r="S2389" s="99">
        <v>802.0</v>
      </c>
      <c r="T2389" s="99">
        <v>5.0</v>
      </c>
      <c r="U2389" s="99">
        <v>5.0</v>
      </c>
      <c r="V2389" s="99">
        <v>221.0</v>
      </c>
      <c r="W2389" s="99">
        <v>999999.0</v>
      </c>
    </row>
    <row r="2390" ht="15.75" customHeight="1">
      <c r="A2390" s="95" t="s">
        <v>13345</v>
      </c>
      <c r="B2390" s="95" t="s">
        <v>22</v>
      </c>
      <c r="C2390" s="96" t="s">
        <v>13346</v>
      </c>
      <c r="D2390" s="95" t="s">
        <v>39</v>
      </c>
      <c r="E2390" s="95" t="s">
        <v>39</v>
      </c>
      <c r="F2390" s="95" t="s">
        <v>19</v>
      </c>
      <c r="G2390" s="95" t="s">
        <v>19</v>
      </c>
      <c r="H2390" s="95" t="s">
        <v>21</v>
      </c>
      <c r="I2390" s="95" t="s">
        <v>567</v>
      </c>
      <c r="J2390" s="97">
        <v>46009.8503700463</v>
      </c>
      <c r="K2390" s="95" t="s">
        <v>13347</v>
      </c>
      <c r="L2390" s="96" t="s">
        <v>13348</v>
      </c>
      <c r="M2390" s="95" t="s">
        <v>105</v>
      </c>
      <c r="N2390" s="95" t="s">
        <v>9256</v>
      </c>
      <c r="O2390" s="95" t="s">
        <v>9256</v>
      </c>
      <c r="P2390" s="95" t="s">
        <v>9257</v>
      </c>
      <c r="Q2390" s="98">
        <v>2.0</v>
      </c>
      <c r="R2390" s="97">
        <v>45251.8245949074</v>
      </c>
      <c r="S2390" s="99">
        <v>2234.0</v>
      </c>
      <c r="T2390" s="99">
        <v>10.0</v>
      </c>
      <c r="U2390" s="99">
        <v>1.0</v>
      </c>
      <c r="V2390" s="99">
        <v>126.0</v>
      </c>
      <c r="W2390" s="99">
        <v>161261.0</v>
      </c>
    </row>
    <row r="2391" ht="15.75" customHeight="1">
      <c r="A2391" s="95" t="s">
        <v>13349</v>
      </c>
      <c r="B2391" s="95" t="s">
        <v>22</v>
      </c>
      <c r="C2391" s="96" t="s">
        <v>13350</v>
      </c>
      <c r="D2391" s="95" t="s">
        <v>39</v>
      </c>
      <c r="E2391" s="95" t="s">
        <v>39</v>
      </c>
      <c r="F2391" s="95" t="s">
        <v>19</v>
      </c>
      <c r="G2391" s="95" t="s">
        <v>19</v>
      </c>
      <c r="H2391" s="95" t="s">
        <v>21</v>
      </c>
      <c r="I2391" s="95" t="s">
        <v>567</v>
      </c>
      <c r="J2391" s="97">
        <v>45975.67932418981</v>
      </c>
      <c r="K2391" s="96" t="s">
        <v>13351</v>
      </c>
      <c r="L2391" s="96" t="s">
        <v>13352</v>
      </c>
      <c r="M2391" s="95" t="s">
        <v>93</v>
      </c>
      <c r="N2391" s="95" t="s">
        <v>13353</v>
      </c>
      <c r="O2391" s="95" t="s">
        <v>13353</v>
      </c>
      <c r="P2391" s="95" t="s">
        <v>13354</v>
      </c>
      <c r="Q2391" s="98">
        <v>2.0</v>
      </c>
      <c r="R2391" s="97">
        <v>45751.52841435185</v>
      </c>
      <c r="S2391" s="99">
        <v>4703.0</v>
      </c>
      <c r="T2391" s="99">
        <v>686.0</v>
      </c>
      <c r="U2391" s="99">
        <v>2.0</v>
      </c>
      <c r="V2391" s="99">
        <v>175.0</v>
      </c>
      <c r="W2391" s="99">
        <v>25891.0</v>
      </c>
    </row>
    <row r="2392" ht="15.75" customHeight="1">
      <c r="A2392" s="95" t="s">
        <v>13355</v>
      </c>
      <c r="B2392" s="95" t="s">
        <v>69</v>
      </c>
      <c r="C2392" s="96" t="s">
        <v>13356</v>
      </c>
      <c r="D2392" s="95" t="s">
        <v>29</v>
      </c>
      <c r="E2392" s="95" t="s">
        <v>29</v>
      </c>
      <c r="F2392" s="95" t="s">
        <v>88</v>
      </c>
      <c r="G2392" s="95" t="s">
        <v>88</v>
      </c>
      <c r="H2392" s="95" t="s">
        <v>89</v>
      </c>
      <c r="I2392" s="95" t="s">
        <v>640</v>
      </c>
      <c r="J2392" s="97">
        <v>45993.79076221065</v>
      </c>
      <c r="K2392" s="96" t="s">
        <v>13357</v>
      </c>
      <c r="L2392" s="96" t="s">
        <v>13358</v>
      </c>
      <c r="M2392" s="95" t="s">
        <v>74</v>
      </c>
      <c r="N2392" s="95" t="s">
        <v>9281</v>
      </c>
      <c r="O2392" s="95" t="s">
        <v>9281</v>
      </c>
      <c r="P2392" s="95" t="s">
        <v>9282</v>
      </c>
      <c r="Q2392" s="98">
        <v>2.0</v>
      </c>
      <c r="R2392" s="97">
        <v>45692.44436342592</v>
      </c>
      <c r="S2392" s="99">
        <v>73.0</v>
      </c>
      <c r="T2392" s="99">
        <v>10.0</v>
      </c>
      <c r="U2392" s="99">
        <v>13.0</v>
      </c>
      <c r="V2392" s="99">
        <v>72.0</v>
      </c>
      <c r="W2392" s="99">
        <v>10186.0</v>
      </c>
    </row>
    <row r="2393" ht="15.75" customHeight="1">
      <c r="A2393" s="95" t="s">
        <v>13359</v>
      </c>
      <c r="B2393" s="95" t="s">
        <v>101</v>
      </c>
      <c r="C2393" s="96" t="s">
        <v>13360</v>
      </c>
      <c r="D2393" s="95" t="s">
        <v>49</v>
      </c>
      <c r="E2393" s="95" t="s">
        <v>49</v>
      </c>
      <c r="F2393" s="95" t="s">
        <v>19</v>
      </c>
      <c r="G2393" s="95" t="s">
        <v>19</v>
      </c>
      <c r="H2393" s="95" t="s">
        <v>21</v>
      </c>
      <c r="I2393" s="95" t="s">
        <v>1589</v>
      </c>
      <c r="J2393" s="97">
        <v>46021.49338171296</v>
      </c>
      <c r="K2393" s="95" t="s">
        <v>13361</v>
      </c>
      <c r="L2393" s="96" t="s">
        <v>13362</v>
      </c>
      <c r="M2393" s="95" t="s">
        <v>38</v>
      </c>
      <c r="N2393" s="95" t="s">
        <v>13363</v>
      </c>
      <c r="O2393" s="95" t="s">
        <v>13363</v>
      </c>
      <c r="P2393" s="95" t="s">
        <v>13364</v>
      </c>
      <c r="Q2393" s="98">
        <v>2.0</v>
      </c>
      <c r="R2393" s="97">
        <v>45674.05811342593</v>
      </c>
      <c r="S2393" s="99">
        <v>316.0</v>
      </c>
      <c r="T2393" s="99">
        <v>4.0</v>
      </c>
      <c r="U2393" s="99">
        <v>1.0</v>
      </c>
      <c r="V2393" s="99">
        <v>53.0</v>
      </c>
      <c r="W2393" s="99">
        <v>28426.0</v>
      </c>
    </row>
    <row r="2394" ht="15.75" customHeight="1">
      <c r="A2394" s="95" t="s">
        <v>13365</v>
      </c>
      <c r="B2394" s="95" t="s">
        <v>22</v>
      </c>
      <c r="C2394" s="96" t="s">
        <v>13366</v>
      </c>
      <c r="D2394" s="95" t="s">
        <v>39</v>
      </c>
      <c r="E2394" s="95" t="s">
        <v>39</v>
      </c>
      <c r="F2394" s="95" t="s">
        <v>19</v>
      </c>
      <c r="G2394" s="95" t="s">
        <v>19</v>
      </c>
      <c r="H2394" s="95" t="s">
        <v>21</v>
      </c>
      <c r="I2394" s="95" t="s">
        <v>589</v>
      </c>
      <c r="J2394" s="97">
        <v>46069.66260454861</v>
      </c>
      <c r="K2394" s="95" t="s">
        <v>13367</v>
      </c>
      <c r="L2394" s="96" t="s">
        <v>13368</v>
      </c>
      <c r="M2394" s="95" t="s">
        <v>74</v>
      </c>
      <c r="N2394" s="95" t="s">
        <v>13369</v>
      </c>
      <c r="O2394" s="95" t="s">
        <v>13369</v>
      </c>
      <c r="P2394" s="95" t="s">
        <v>13370</v>
      </c>
      <c r="Q2394" s="98">
        <v>2.0</v>
      </c>
      <c r="R2394" s="97">
        <v>45973.48337962963</v>
      </c>
      <c r="S2394" s="99">
        <v>2037.0</v>
      </c>
      <c r="T2394" s="99">
        <v>5.0</v>
      </c>
      <c r="U2394" s="99">
        <v>3.0</v>
      </c>
      <c r="V2394" s="99">
        <v>15.0</v>
      </c>
      <c r="W2394" s="99">
        <v>21121.0</v>
      </c>
    </row>
    <row r="2395" ht="15.75" customHeight="1">
      <c r="A2395" s="95" t="s">
        <v>13371</v>
      </c>
      <c r="B2395" s="95" t="s">
        <v>22</v>
      </c>
      <c r="C2395" s="96" t="s">
        <v>13372</v>
      </c>
      <c r="D2395" s="95" t="s">
        <v>124</v>
      </c>
      <c r="E2395" s="95" t="s">
        <v>4929</v>
      </c>
      <c r="F2395" s="95" t="s">
        <v>19</v>
      </c>
      <c r="G2395" s="95" t="s">
        <v>19</v>
      </c>
      <c r="H2395" s="95" t="s">
        <v>21</v>
      </c>
      <c r="I2395" s="95" t="s">
        <v>567</v>
      </c>
      <c r="J2395" s="97">
        <v>45975.67936400463</v>
      </c>
      <c r="K2395" s="96" t="s">
        <v>13373</v>
      </c>
      <c r="L2395" s="96" t="s">
        <v>13374</v>
      </c>
      <c r="M2395" s="95" t="s">
        <v>17</v>
      </c>
      <c r="N2395" s="95" t="s">
        <v>9299</v>
      </c>
      <c r="O2395" s="95" t="s">
        <v>9299</v>
      </c>
      <c r="P2395" s="95" t="s">
        <v>9300</v>
      </c>
      <c r="Q2395" s="98">
        <v>2.0</v>
      </c>
      <c r="R2395" s="97">
        <v>45912.47657407408</v>
      </c>
      <c r="S2395" s="99">
        <v>41941.0</v>
      </c>
      <c r="T2395" s="99">
        <v>92.0</v>
      </c>
      <c r="U2395" s="99">
        <v>13.0</v>
      </c>
      <c r="V2395" s="99">
        <v>86.0</v>
      </c>
      <c r="W2395" s="99">
        <v>999999.0</v>
      </c>
    </row>
    <row r="2396" ht="15.75" customHeight="1">
      <c r="A2396" s="95" t="s">
        <v>13375</v>
      </c>
      <c r="B2396" s="95" t="s">
        <v>22</v>
      </c>
      <c r="C2396" s="96" t="s">
        <v>13376</v>
      </c>
      <c r="D2396" s="95" t="s">
        <v>547</v>
      </c>
      <c r="E2396" s="95" t="s">
        <v>547</v>
      </c>
      <c r="F2396" s="95" t="s">
        <v>19</v>
      </c>
      <c r="G2396" s="95" t="s">
        <v>19</v>
      </c>
      <c r="H2396" s="95" t="s">
        <v>21</v>
      </c>
      <c r="I2396" s="95" t="s">
        <v>567</v>
      </c>
      <c r="J2396" s="97">
        <v>45975.67930055556</v>
      </c>
      <c r="K2396" s="96" t="s">
        <v>13377</v>
      </c>
      <c r="L2396" s="96" t="s">
        <v>13378</v>
      </c>
      <c r="M2396" s="95" t="s">
        <v>105</v>
      </c>
      <c r="N2396" s="95" t="s">
        <v>13379</v>
      </c>
      <c r="O2396" s="95" t="s">
        <v>13379</v>
      </c>
      <c r="P2396" s="95" t="s">
        <v>13380</v>
      </c>
      <c r="Q2396" s="98">
        <v>2.0</v>
      </c>
      <c r="R2396" s="97">
        <v>45492.45167824074</v>
      </c>
      <c r="S2396" s="99">
        <v>2099.0</v>
      </c>
      <c r="T2396" s="99">
        <v>8.0</v>
      </c>
      <c r="U2396" s="99">
        <v>1.0</v>
      </c>
      <c r="V2396" s="99">
        <v>80.0</v>
      </c>
      <c r="W2396" s="99">
        <v>104375.0</v>
      </c>
    </row>
    <row r="2397" ht="15.75" customHeight="1">
      <c r="A2397" s="95" t="s">
        <v>13381</v>
      </c>
      <c r="B2397" s="95" t="s">
        <v>22</v>
      </c>
      <c r="C2397" s="96" t="s">
        <v>13382</v>
      </c>
      <c r="D2397" s="95" t="s">
        <v>20</v>
      </c>
      <c r="E2397" s="95" t="s">
        <v>872</v>
      </c>
      <c r="F2397" s="95" t="s">
        <v>19</v>
      </c>
      <c r="G2397" s="95" t="s">
        <v>19</v>
      </c>
      <c r="H2397" s="95" t="s">
        <v>21</v>
      </c>
      <c r="I2397" s="95" t="s">
        <v>589</v>
      </c>
      <c r="J2397" s="97">
        <v>46021.49338171296</v>
      </c>
      <c r="K2397" s="95" t="s">
        <v>13383</v>
      </c>
      <c r="L2397" s="96" t="s">
        <v>13384</v>
      </c>
      <c r="M2397" s="95" t="s">
        <v>54</v>
      </c>
      <c r="N2397" s="95" t="s">
        <v>13385</v>
      </c>
      <c r="O2397" s="95" t="s">
        <v>13385</v>
      </c>
      <c r="P2397" s="95" t="s">
        <v>13386</v>
      </c>
      <c r="Q2397" s="98">
        <v>2.0</v>
      </c>
      <c r="R2397" s="97">
        <v>45754.05980324074</v>
      </c>
      <c r="S2397" s="99">
        <v>0.0</v>
      </c>
      <c r="T2397" s="99">
        <v>44.0</v>
      </c>
      <c r="U2397" s="99">
        <v>1.0</v>
      </c>
      <c r="V2397" s="99">
        <v>20.0</v>
      </c>
      <c r="W2397" s="99">
        <v>32007.0</v>
      </c>
    </row>
    <row r="2398" ht="15.75" customHeight="1">
      <c r="A2398" s="95" t="s">
        <v>13387</v>
      </c>
      <c r="B2398" s="95" t="s">
        <v>22</v>
      </c>
      <c r="C2398" s="96" t="s">
        <v>13388</v>
      </c>
      <c r="D2398" s="95" t="s">
        <v>39</v>
      </c>
      <c r="E2398" s="95" t="s">
        <v>1201</v>
      </c>
      <c r="F2398" s="95" t="s">
        <v>19</v>
      </c>
      <c r="G2398" s="95" t="s">
        <v>19</v>
      </c>
      <c r="H2398" s="95" t="s">
        <v>21</v>
      </c>
      <c r="I2398" s="95" t="s">
        <v>567</v>
      </c>
      <c r="J2398" s="97">
        <v>46021.50500998842</v>
      </c>
      <c r="K2398" s="95" t="s">
        <v>13389</v>
      </c>
      <c r="L2398" s="96" t="s">
        <v>13390</v>
      </c>
      <c r="M2398" s="95" t="s">
        <v>74</v>
      </c>
      <c r="N2398" s="95" t="s">
        <v>9368</v>
      </c>
      <c r="O2398" s="95" t="s">
        <v>9368</v>
      </c>
      <c r="P2398" s="95" t="s">
        <v>9369</v>
      </c>
      <c r="Q2398" s="98">
        <v>2.0</v>
      </c>
      <c r="R2398" s="97">
        <v>45811.44628472222</v>
      </c>
      <c r="S2398" s="99">
        <v>1708.0</v>
      </c>
      <c r="T2398" s="99">
        <v>14.0</v>
      </c>
      <c r="U2398" s="99">
        <v>4.0</v>
      </c>
      <c r="V2398" s="99">
        <v>85.0</v>
      </c>
      <c r="W2398" s="99">
        <v>46868.0</v>
      </c>
    </row>
    <row r="2399" ht="15.75" customHeight="1">
      <c r="A2399" s="95" t="s">
        <v>13391</v>
      </c>
      <c r="B2399" s="95" t="s">
        <v>22</v>
      </c>
      <c r="C2399" s="96" t="s">
        <v>13392</v>
      </c>
      <c r="D2399" s="95" t="s">
        <v>124</v>
      </c>
      <c r="E2399" s="95" t="s">
        <v>794</v>
      </c>
      <c r="F2399" s="95" t="s">
        <v>19</v>
      </c>
      <c r="G2399" s="95" t="s">
        <v>19</v>
      </c>
      <c r="H2399" s="95" t="s">
        <v>21</v>
      </c>
      <c r="I2399" s="95" t="s">
        <v>589</v>
      </c>
      <c r="J2399" s="97">
        <v>46021.50647173611</v>
      </c>
      <c r="K2399" s="95" t="s">
        <v>13393</v>
      </c>
      <c r="L2399" s="96" t="s">
        <v>13394</v>
      </c>
      <c r="M2399" s="95" t="s">
        <v>74</v>
      </c>
      <c r="N2399" s="95" t="s">
        <v>9380</v>
      </c>
      <c r="O2399" s="95" t="s">
        <v>9380</v>
      </c>
      <c r="P2399" s="95" t="s">
        <v>9381</v>
      </c>
      <c r="Q2399" s="98">
        <v>2.0</v>
      </c>
      <c r="R2399" s="97">
        <v>45645.29412037037</v>
      </c>
      <c r="S2399" s="99">
        <v>1143.0</v>
      </c>
      <c r="T2399" s="99">
        <v>19.0</v>
      </c>
      <c r="U2399" s="99">
        <v>1.0</v>
      </c>
      <c r="V2399" s="99">
        <v>50.0</v>
      </c>
      <c r="W2399" s="99">
        <v>326789.0</v>
      </c>
    </row>
    <row r="2400" ht="15.75" customHeight="1">
      <c r="A2400" s="95" t="s">
        <v>13395</v>
      </c>
      <c r="B2400" s="95" t="s">
        <v>157</v>
      </c>
      <c r="C2400" s="96" t="s">
        <v>13396</v>
      </c>
      <c r="D2400" s="95" t="s">
        <v>168</v>
      </c>
      <c r="E2400" s="95" t="s">
        <v>780</v>
      </c>
      <c r="F2400" s="95" t="s">
        <v>88</v>
      </c>
      <c r="G2400" s="95" t="s">
        <v>858</v>
      </c>
      <c r="H2400" s="95" t="s">
        <v>89</v>
      </c>
      <c r="I2400" s="95" t="s">
        <v>859</v>
      </c>
      <c r="J2400" s="97">
        <v>45975.67936400463</v>
      </c>
      <c r="K2400" s="96" t="s">
        <v>13397</v>
      </c>
      <c r="L2400" s="96" t="s">
        <v>13398</v>
      </c>
      <c r="M2400" s="95" t="s">
        <v>17</v>
      </c>
      <c r="N2400" s="95" t="s">
        <v>13399</v>
      </c>
      <c r="O2400" s="95" t="s">
        <v>13399</v>
      </c>
      <c r="P2400" s="95" t="s">
        <v>13400</v>
      </c>
      <c r="Q2400" s="98">
        <v>2.0</v>
      </c>
      <c r="R2400" s="97">
        <v>45804.5980324074</v>
      </c>
      <c r="S2400" s="99">
        <v>14369.0</v>
      </c>
      <c r="T2400" s="99">
        <v>942.0</v>
      </c>
      <c r="U2400" s="99">
        <v>2.0</v>
      </c>
      <c r="V2400" s="99">
        <v>64.0</v>
      </c>
      <c r="W2400" s="99">
        <v>669172.0</v>
      </c>
    </row>
    <row r="2401" ht="15.75" customHeight="1">
      <c r="A2401" s="95" t="s">
        <v>13401</v>
      </c>
      <c r="B2401" s="95" t="s">
        <v>22</v>
      </c>
      <c r="C2401" s="96" t="s">
        <v>13402</v>
      </c>
      <c r="D2401" s="95" t="s">
        <v>59</v>
      </c>
      <c r="E2401" s="95" t="s">
        <v>738</v>
      </c>
      <c r="F2401" s="95" t="s">
        <v>19</v>
      </c>
      <c r="G2401" s="95" t="s">
        <v>19</v>
      </c>
      <c r="H2401" s="95" t="s">
        <v>21</v>
      </c>
      <c r="I2401" s="95" t="s">
        <v>589</v>
      </c>
      <c r="J2401" s="97">
        <v>45977.67617373843</v>
      </c>
      <c r="K2401" s="95" t="s">
        <v>13403</v>
      </c>
      <c r="L2401" s="96" t="s">
        <v>13404</v>
      </c>
      <c r="M2401" s="95" t="s">
        <v>17</v>
      </c>
      <c r="N2401" s="95" t="s">
        <v>13405</v>
      </c>
      <c r="O2401" s="95" t="s">
        <v>13405</v>
      </c>
      <c r="P2401" s="95" t="s">
        <v>13406</v>
      </c>
      <c r="Q2401" s="98">
        <v>2.0</v>
      </c>
      <c r="R2401" s="97">
        <v>45672.92696759259</v>
      </c>
      <c r="S2401" s="99">
        <v>1753.0</v>
      </c>
      <c r="T2401" s="99">
        <v>2.0</v>
      </c>
      <c r="U2401" s="99">
        <v>1.0</v>
      </c>
      <c r="V2401" s="99">
        <v>32.0</v>
      </c>
      <c r="W2401" s="99">
        <v>28853.0</v>
      </c>
    </row>
    <row r="2402" ht="15.75" customHeight="1">
      <c r="A2402" s="95" t="s">
        <v>13407</v>
      </c>
      <c r="B2402" s="95" t="s">
        <v>22</v>
      </c>
      <c r="C2402" s="96" t="s">
        <v>13408</v>
      </c>
      <c r="D2402" s="95" t="s">
        <v>124</v>
      </c>
      <c r="E2402" s="95" t="s">
        <v>3461</v>
      </c>
      <c r="F2402" s="95" t="s">
        <v>19</v>
      </c>
      <c r="G2402" s="95" t="s">
        <v>19</v>
      </c>
      <c r="H2402" s="95" t="s">
        <v>21</v>
      </c>
      <c r="I2402" s="95" t="s">
        <v>567</v>
      </c>
      <c r="J2402" s="97">
        <v>45975.67930844907</v>
      </c>
      <c r="K2402" s="96" t="s">
        <v>13409</v>
      </c>
      <c r="L2402" s="96" t="s">
        <v>13410</v>
      </c>
      <c r="M2402" s="95" t="s">
        <v>54</v>
      </c>
      <c r="N2402" s="95" t="s">
        <v>13411</v>
      </c>
      <c r="O2402" s="95" t="s">
        <v>13411</v>
      </c>
      <c r="P2402" s="95" t="s">
        <v>13412</v>
      </c>
      <c r="Q2402" s="98">
        <v>2.0</v>
      </c>
      <c r="R2402" s="97">
        <v>45716.90813657407</v>
      </c>
      <c r="S2402" s="99">
        <v>25751.0</v>
      </c>
      <c r="T2402" s="99">
        <v>80.0</v>
      </c>
      <c r="U2402" s="99">
        <v>5.0</v>
      </c>
      <c r="V2402" s="99">
        <v>91.0</v>
      </c>
      <c r="W2402" s="99">
        <v>400401.0</v>
      </c>
    </row>
    <row r="2403" ht="15.75" customHeight="1">
      <c r="A2403" s="95" t="s">
        <v>13413</v>
      </c>
      <c r="B2403" s="95" t="s">
        <v>22</v>
      </c>
      <c r="C2403" s="96" t="s">
        <v>13414</v>
      </c>
      <c r="D2403" s="95" t="s">
        <v>68</v>
      </c>
      <c r="E2403" s="95" t="s">
        <v>1901</v>
      </c>
      <c r="F2403" s="95" t="s">
        <v>88</v>
      </c>
      <c r="G2403" s="95" t="s">
        <v>3380</v>
      </c>
      <c r="H2403" s="95" t="s">
        <v>21</v>
      </c>
      <c r="I2403" s="95" t="s">
        <v>567</v>
      </c>
      <c r="J2403" s="97">
        <v>46021.4982831713</v>
      </c>
      <c r="K2403" s="95" t="s">
        <v>13415</v>
      </c>
      <c r="L2403" s="96" t="s">
        <v>13416</v>
      </c>
      <c r="M2403" s="95" t="s">
        <v>54</v>
      </c>
      <c r="N2403" s="95" t="s">
        <v>13417</v>
      </c>
      <c r="O2403" s="95" t="s">
        <v>13417</v>
      </c>
      <c r="P2403" s="95" t="s">
        <v>13418</v>
      </c>
      <c r="Q2403" s="98">
        <v>2.0</v>
      </c>
      <c r="R2403" s="97">
        <v>45930.74315972222</v>
      </c>
      <c r="S2403" s="99">
        <v>302.0</v>
      </c>
      <c r="T2403" s="99">
        <v>173.0</v>
      </c>
      <c r="U2403" s="99">
        <v>3.0</v>
      </c>
      <c r="V2403" s="99">
        <v>133.0</v>
      </c>
      <c r="W2403" s="99">
        <v>12052.0</v>
      </c>
    </row>
    <row r="2404" ht="15.75" customHeight="1">
      <c r="A2404" s="95" t="s">
        <v>13419</v>
      </c>
      <c r="B2404" s="95" t="s">
        <v>131</v>
      </c>
      <c r="C2404" s="96" t="s">
        <v>13420</v>
      </c>
      <c r="D2404" s="95" t="s">
        <v>68</v>
      </c>
      <c r="E2404" s="95" t="s">
        <v>4450</v>
      </c>
      <c r="F2404" s="95" t="s">
        <v>19</v>
      </c>
      <c r="G2404" s="95" t="s">
        <v>19</v>
      </c>
      <c r="H2404" s="95" t="s">
        <v>89</v>
      </c>
      <c r="I2404" s="95" t="s">
        <v>13421</v>
      </c>
      <c r="J2404" s="97">
        <v>45975.67930844907</v>
      </c>
      <c r="K2404" s="96" t="s">
        <v>13422</v>
      </c>
      <c r="L2404" s="96" t="s">
        <v>13423</v>
      </c>
      <c r="M2404" s="95" t="s">
        <v>54</v>
      </c>
      <c r="N2404" s="95" t="s">
        <v>9475</v>
      </c>
      <c r="O2404" s="95" t="s">
        <v>9475</v>
      </c>
      <c r="P2404" s="95" t="s">
        <v>9476</v>
      </c>
      <c r="Q2404" s="98">
        <v>2.0</v>
      </c>
      <c r="R2404" s="97">
        <v>45785.14502314815</v>
      </c>
      <c r="S2404" s="99">
        <v>14226.0</v>
      </c>
      <c r="T2404" s="99">
        <v>12.0</v>
      </c>
      <c r="U2404" s="99">
        <v>1.0</v>
      </c>
      <c r="V2404" s="99">
        <v>23.0</v>
      </c>
      <c r="W2404" s="99">
        <v>33814.0</v>
      </c>
    </row>
    <row r="2405" ht="15.75" customHeight="1">
      <c r="A2405" s="95" t="s">
        <v>36</v>
      </c>
      <c r="B2405" s="95" t="s">
        <v>22</v>
      </c>
      <c r="C2405" s="96" t="s">
        <v>42</v>
      </c>
      <c r="D2405" s="95" t="s">
        <v>39</v>
      </c>
      <c r="E2405" s="95" t="s">
        <v>39</v>
      </c>
      <c r="F2405" s="95" t="s">
        <v>19</v>
      </c>
      <c r="G2405" s="95" t="s">
        <v>19</v>
      </c>
      <c r="H2405" s="95" t="s">
        <v>21</v>
      </c>
      <c r="I2405" s="95" t="s">
        <v>567</v>
      </c>
      <c r="J2405" s="97">
        <v>46002.6947709838</v>
      </c>
      <c r="K2405" s="95" t="s">
        <v>41</v>
      </c>
      <c r="L2405" s="96" t="s">
        <v>40</v>
      </c>
      <c r="M2405" s="95" t="s">
        <v>38</v>
      </c>
      <c r="N2405" s="95" t="s">
        <v>37</v>
      </c>
      <c r="O2405" s="95" t="s">
        <v>37</v>
      </c>
      <c r="P2405" s="95" t="s">
        <v>9485</v>
      </c>
      <c r="Q2405" s="98">
        <v>2.0</v>
      </c>
      <c r="R2405" s="97">
        <v>45870.79949074074</v>
      </c>
      <c r="S2405" s="99">
        <v>1196.0</v>
      </c>
      <c r="T2405" s="99">
        <v>23.0</v>
      </c>
      <c r="U2405" s="99">
        <v>1.0</v>
      </c>
      <c r="V2405" s="99">
        <v>161.0</v>
      </c>
      <c r="W2405" s="99">
        <v>12701.0</v>
      </c>
    </row>
    <row r="2406" ht="15.75" customHeight="1">
      <c r="A2406" s="95" t="s">
        <v>13424</v>
      </c>
      <c r="B2406" s="95" t="s">
        <v>22</v>
      </c>
      <c r="C2406" s="96" t="s">
        <v>13425</v>
      </c>
      <c r="D2406" s="95" t="s">
        <v>130</v>
      </c>
      <c r="E2406" s="95" t="s">
        <v>1470</v>
      </c>
      <c r="F2406" s="95" t="s">
        <v>19</v>
      </c>
      <c r="G2406" s="95" t="s">
        <v>19</v>
      </c>
      <c r="H2406" s="95" t="s">
        <v>21</v>
      </c>
      <c r="I2406" s="95" t="s">
        <v>567</v>
      </c>
      <c r="J2406" s="97">
        <v>46021.51458594907</v>
      </c>
      <c r="K2406" s="95" t="s">
        <v>13426</v>
      </c>
      <c r="L2406" s="96" t="s">
        <v>13427</v>
      </c>
      <c r="M2406" s="95" t="s">
        <v>54</v>
      </c>
      <c r="N2406" s="95" t="s">
        <v>9496</v>
      </c>
      <c r="O2406" s="95" t="s">
        <v>9496</v>
      </c>
      <c r="P2406" s="95" t="s">
        <v>9497</v>
      </c>
      <c r="Q2406" s="98">
        <v>2.0</v>
      </c>
      <c r="R2406" s="97">
        <v>45862.99332175926</v>
      </c>
      <c r="S2406" s="99">
        <v>751.0</v>
      </c>
      <c r="T2406" s="99">
        <v>905.0</v>
      </c>
      <c r="U2406" s="99">
        <v>6.0</v>
      </c>
      <c r="V2406" s="99">
        <v>21.0</v>
      </c>
      <c r="W2406" s="99">
        <v>126893.0</v>
      </c>
    </row>
    <row r="2407" ht="15.75" customHeight="1">
      <c r="A2407" s="95" t="s">
        <v>13428</v>
      </c>
      <c r="B2407" s="95" t="s">
        <v>22</v>
      </c>
      <c r="C2407" s="96" t="s">
        <v>13429</v>
      </c>
      <c r="D2407" s="95" t="s">
        <v>20</v>
      </c>
      <c r="E2407" s="95" t="s">
        <v>20</v>
      </c>
      <c r="F2407" s="95" t="s">
        <v>19</v>
      </c>
      <c r="G2407" s="95" t="s">
        <v>19</v>
      </c>
      <c r="H2407" s="95" t="s">
        <v>21</v>
      </c>
      <c r="I2407" s="95" t="s">
        <v>567</v>
      </c>
      <c r="J2407" s="97">
        <v>45975.67928111111</v>
      </c>
      <c r="K2407" s="96" t="s">
        <v>13430</v>
      </c>
      <c r="L2407" s="96" t="s">
        <v>13431</v>
      </c>
      <c r="M2407" s="95" t="s">
        <v>105</v>
      </c>
      <c r="N2407" s="95" t="s">
        <v>9524</v>
      </c>
      <c r="O2407" s="95" t="s">
        <v>9524</v>
      </c>
      <c r="P2407" s="95" t="s">
        <v>9525</v>
      </c>
      <c r="Q2407" s="98">
        <v>2.0</v>
      </c>
      <c r="R2407" s="97">
        <v>45812.69042824074</v>
      </c>
      <c r="S2407" s="99">
        <v>2646.0</v>
      </c>
      <c r="T2407" s="99">
        <v>14.0</v>
      </c>
      <c r="U2407" s="99">
        <v>1.0</v>
      </c>
      <c r="V2407" s="99">
        <v>103.0</v>
      </c>
      <c r="W2407" s="99">
        <v>206445.0</v>
      </c>
    </row>
    <row r="2408" ht="15.75" customHeight="1">
      <c r="A2408" s="95" t="s">
        <v>13432</v>
      </c>
      <c r="B2408" s="95" t="s">
        <v>22</v>
      </c>
      <c r="C2408" s="96" t="s">
        <v>13433</v>
      </c>
      <c r="D2408" s="95" t="s">
        <v>20</v>
      </c>
      <c r="E2408" s="95" t="s">
        <v>6181</v>
      </c>
      <c r="F2408" s="95" t="s">
        <v>19</v>
      </c>
      <c r="G2408" s="95" t="s">
        <v>19</v>
      </c>
      <c r="H2408" s="95" t="s">
        <v>21</v>
      </c>
      <c r="I2408" s="95" t="s">
        <v>567</v>
      </c>
      <c r="J2408" s="97">
        <v>45993.78544196759</v>
      </c>
      <c r="K2408" s="96" t="s">
        <v>13434</v>
      </c>
      <c r="L2408" s="96" t="s">
        <v>13435</v>
      </c>
      <c r="M2408" s="95" t="s">
        <v>105</v>
      </c>
      <c r="N2408" s="95" t="s">
        <v>9524</v>
      </c>
      <c r="O2408" s="95" t="s">
        <v>9524</v>
      </c>
      <c r="P2408" s="95" t="s">
        <v>9525</v>
      </c>
      <c r="Q2408" s="98">
        <v>2.0</v>
      </c>
      <c r="R2408" s="97">
        <v>45561.69210648148</v>
      </c>
      <c r="S2408" s="99">
        <v>2646.0</v>
      </c>
      <c r="T2408" s="99">
        <v>5.0</v>
      </c>
      <c r="U2408" s="99">
        <v>1.0</v>
      </c>
      <c r="V2408" s="99">
        <v>58.0</v>
      </c>
      <c r="W2408" s="99">
        <v>206445.0</v>
      </c>
    </row>
    <row r="2409" ht="15.75" customHeight="1">
      <c r="A2409" s="95" t="s">
        <v>13436</v>
      </c>
      <c r="B2409" s="95" t="s">
        <v>22</v>
      </c>
      <c r="C2409" s="96" t="s">
        <v>13437</v>
      </c>
      <c r="D2409" s="95" t="s">
        <v>20</v>
      </c>
      <c r="E2409" s="95" t="s">
        <v>638</v>
      </c>
      <c r="F2409" s="95" t="s">
        <v>19</v>
      </c>
      <c r="G2409" s="95" t="s">
        <v>588</v>
      </c>
      <c r="H2409" s="95" t="s">
        <v>21</v>
      </c>
      <c r="I2409" s="95" t="s">
        <v>589</v>
      </c>
      <c r="J2409" s="97">
        <v>45980.93902726852</v>
      </c>
      <c r="K2409" s="95" t="s">
        <v>13438</v>
      </c>
      <c r="L2409" s="96" t="s">
        <v>13439</v>
      </c>
      <c r="M2409" s="95" t="s">
        <v>17</v>
      </c>
      <c r="N2409" s="95" t="s">
        <v>13440</v>
      </c>
      <c r="O2409" s="95" t="s">
        <v>13440</v>
      </c>
      <c r="P2409" s="95" t="s">
        <v>13441</v>
      </c>
      <c r="Q2409" s="98">
        <v>2.0</v>
      </c>
      <c r="R2409" s="97">
        <v>45768.65719907408</v>
      </c>
      <c r="S2409" s="99">
        <v>56.0</v>
      </c>
      <c r="T2409" s="99">
        <v>44.0</v>
      </c>
      <c r="U2409" s="99">
        <v>2.0</v>
      </c>
      <c r="V2409" s="99">
        <v>41.0</v>
      </c>
      <c r="W2409" s="99">
        <v>25525.0</v>
      </c>
    </row>
    <row r="2410" ht="15.75" customHeight="1">
      <c r="A2410" s="95" t="s">
        <v>13442</v>
      </c>
      <c r="B2410" s="95" t="s">
        <v>22</v>
      </c>
      <c r="C2410" s="96" t="s">
        <v>13443</v>
      </c>
      <c r="D2410" s="95" t="s">
        <v>39</v>
      </c>
      <c r="E2410" s="95" t="s">
        <v>39</v>
      </c>
      <c r="F2410" s="95" t="s">
        <v>19</v>
      </c>
      <c r="G2410" s="95" t="s">
        <v>588</v>
      </c>
      <c r="H2410" s="95" t="s">
        <v>21</v>
      </c>
      <c r="I2410" s="95" t="s">
        <v>589</v>
      </c>
      <c r="J2410" s="97">
        <v>45978.45940983796</v>
      </c>
      <c r="K2410" s="95" t="s">
        <v>13444</v>
      </c>
      <c r="L2410" s="96" t="s">
        <v>13445</v>
      </c>
      <c r="M2410" s="95" t="s">
        <v>38</v>
      </c>
      <c r="N2410" s="95" t="s">
        <v>9590</v>
      </c>
      <c r="O2410" s="95" t="s">
        <v>9590</v>
      </c>
      <c r="P2410" s="95" t="s">
        <v>9591</v>
      </c>
      <c r="Q2410" s="98">
        <v>2.0</v>
      </c>
      <c r="R2410" s="97">
        <v>45616.60021990741</v>
      </c>
      <c r="S2410" s="99">
        <v>1111.0</v>
      </c>
      <c r="T2410" s="99">
        <v>32.0</v>
      </c>
      <c r="U2410" s="99">
        <v>2.0</v>
      </c>
      <c r="V2410" s="99">
        <v>24.0</v>
      </c>
      <c r="W2410" s="99">
        <v>21635.0</v>
      </c>
    </row>
    <row r="2411" ht="15.75" customHeight="1">
      <c r="A2411" s="95" t="s">
        <v>13446</v>
      </c>
      <c r="B2411" s="95" t="s">
        <v>157</v>
      </c>
      <c r="C2411" s="96" t="s">
        <v>13447</v>
      </c>
      <c r="D2411" s="95" t="s">
        <v>547</v>
      </c>
      <c r="E2411" s="95" t="s">
        <v>547</v>
      </c>
      <c r="F2411" s="95" t="s">
        <v>88</v>
      </c>
      <c r="G2411" s="95" t="s">
        <v>88</v>
      </c>
      <c r="H2411" s="95" t="s">
        <v>89</v>
      </c>
      <c r="I2411" s="95" t="s">
        <v>897</v>
      </c>
      <c r="J2411" s="97">
        <v>45975.67930055556</v>
      </c>
      <c r="K2411" s="96" t="s">
        <v>13448</v>
      </c>
      <c r="L2411" s="96" t="s">
        <v>13449</v>
      </c>
      <c r="M2411" s="95" t="s">
        <v>105</v>
      </c>
      <c r="N2411" s="95" t="s">
        <v>9596</v>
      </c>
      <c r="O2411" s="95" t="s">
        <v>9596</v>
      </c>
      <c r="P2411" s="95" t="s">
        <v>9597</v>
      </c>
      <c r="Q2411" s="98">
        <v>2.0</v>
      </c>
      <c r="R2411" s="97">
        <v>45504.1606712963</v>
      </c>
      <c r="S2411" s="99">
        <v>1326.0</v>
      </c>
      <c r="T2411" s="99">
        <v>95.0</v>
      </c>
      <c r="U2411" s="99">
        <v>1.0</v>
      </c>
      <c r="V2411" s="99">
        <v>96.0</v>
      </c>
      <c r="W2411" s="99">
        <v>177897.0</v>
      </c>
    </row>
    <row r="2412" ht="15.75" customHeight="1">
      <c r="A2412" s="95" t="s">
        <v>13450</v>
      </c>
      <c r="B2412" s="95" t="s">
        <v>22</v>
      </c>
      <c r="C2412" s="96" t="s">
        <v>13451</v>
      </c>
      <c r="D2412" s="95" t="s">
        <v>168</v>
      </c>
      <c r="E2412" s="95" t="s">
        <v>168</v>
      </c>
      <c r="F2412" s="95" t="s">
        <v>88</v>
      </c>
      <c r="G2412" s="95" t="s">
        <v>2750</v>
      </c>
      <c r="H2412" s="95" t="s">
        <v>21</v>
      </c>
      <c r="I2412" s="95" t="s">
        <v>589</v>
      </c>
      <c r="J2412" s="97">
        <v>46040.6766162037</v>
      </c>
      <c r="K2412" s="95" t="s">
        <v>13452</v>
      </c>
      <c r="L2412" s="96" t="s">
        <v>13453</v>
      </c>
      <c r="M2412" s="95" t="s">
        <v>93</v>
      </c>
      <c r="N2412" s="95" t="s">
        <v>9630</v>
      </c>
      <c r="O2412" s="95" t="s">
        <v>9630</v>
      </c>
      <c r="P2412" s="95" t="s">
        <v>9631</v>
      </c>
      <c r="Q2412" s="98">
        <v>2.0</v>
      </c>
      <c r="R2412" s="97">
        <v>45846.18574074074</v>
      </c>
      <c r="S2412" s="99">
        <v>1574.0</v>
      </c>
      <c r="T2412" s="99">
        <v>4398.0</v>
      </c>
      <c r="U2412" s="99">
        <v>1.0</v>
      </c>
      <c r="V2412" s="99">
        <v>30.0</v>
      </c>
      <c r="W2412" s="99">
        <v>971409.0</v>
      </c>
    </row>
    <row r="2413" ht="15.75" customHeight="1">
      <c r="A2413" s="95" t="s">
        <v>13454</v>
      </c>
      <c r="B2413" s="95" t="s">
        <v>22</v>
      </c>
      <c r="C2413" s="96" t="s">
        <v>13455</v>
      </c>
      <c r="D2413" s="95" t="s">
        <v>130</v>
      </c>
      <c r="E2413" s="95" t="s">
        <v>917</v>
      </c>
      <c r="F2413" s="95" t="s">
        <v>19</v>
      </c>
      <c r="G2413" s="95" t="s">
        <v>19</v>
      </c>
      <c r="H2413" s="95" t="s">
        <v>21</v>
      </c>
      <c r="I2413" s="95" t="s">
        <v>589</v>
      </c>
      <c r="J2413" s="97">
        <v>46035.76896512732</v>
      </c>
      <c r="K2413" s="95" t="s">
        <v>13456</v>
      </c>
      <c r="L2413" s="96" t="s">
        <v>13457</v>
      </c>
      <c r="M2413" s="95" t="s">
        <v>503</v>
      </c>
      <c r="N2413" s="95" t="s">
        <v>13458</v>
      </c>
      <c r="O2413" s="95" t="s">
        <v>13458</v>
      </c>
      <c r="P2413" s="95" t="s">
        <v>13459</v>
      </c>
      <c r="Q2413" s="98">
        <v>2.0</v>
      </c>
      <c r="R2413" s="97">
        <v>45751.00190972222</v>
      </c>
      <c r="S2413" s="99">
        <v>3210.0</v>
      </c>
      <c r="T2413" s="99">
        <v>6.0</v>
      </c>
      <c r="U2413" s="99">
        <v>1.0</v>
      </c>
      <c r="V2413" s="99">
        <v>25.0</v>
      </c>
      <c r="W2413" s="99">
        <v>8954.0</v>
      </c>
    </row>
    <row r="2414" ht="15.75" customHeight="1">
      <c r="A2414" s="95" t="s">
        <v>13460</v>
      </c>
      <c r="B2414" s="95" t="s">
        <v>22</v>
      </c>
      <c r="C2414" s="96" t="s">
        <v>13461</v>
      </c>
      <c r="D2414" s="95" t="s">
        <v>39</v>
      </c>
      <c r="E2414" s="95" t="s">
        <v>1269</v>
      </c>
      <c r="F2414" s="95" t="s">
        <v>19</v>
      </c>
      <c r="G2414" s="95" t="s">
        <v>19</v>
      </c>
      <c r="H2414" s="95" t="s">
        <v>21</v>
      </c>
      <c r="I2414" s="95" t="s">
        <v>567</v>
      </c>
      <c r="J2414" s="97">
        <v>45975.67936400463</v>
      </c>
      <c r="K2414" s="96" t="s">
        <v>13462</v>
      </c>
      <c r="L2414" s="96" t="s">
        <v>13463</v>
      </c>
      <c r="M2414" s="95" t="s">
        <v>17</v>
      </c>
      <c r="N2414" s="95" t="s">
        <v>13464</v>
      </c>
      <c r="O2414" s="95" t="s">
        <v>13464</v>
      </c>
      <c r="P2414" s="95" t="s">
        <v>13465</v>
      </c>
      <c r="Q2414" s="98">
        <v>2.0</v>
      </c>
      <c r="R2414" s="97">
        <v>45811.74934027778</v>
      </c>
      <c r="S2414" s="99">
        <v>8899.0</v>
      </c>
      <c r="T2414" s="99">
        <v>49.0</v>
      </c>
      <c r="U2414" s="99">
        <v>1.0</v>
      </c>
      <c r="V2414" s="99">
        <v>43.0</v>
      </c>
      <c r="W2414" s="99">
        <v>999999.0</v>
      </c>
    </row>
    <row r="2415" ht="15.75" customHeight="1">
      <c r="A2415" s="95" t="s">
        <v>13466</v>
      </c>
      <c r="B2415" s="95" t="s">
        <v>157</v>
      </c>
      <c r="C2415" s="96" t="s">
        <v>13467</v>
      </c>
      <c r="D2415" s="95" t="s">
        <v>39</v>
      </c>
      <c r="E2415" s="95" t="s">
        <v>1269</v>
      </c>
      <c r="F2415" s="95" t="s">
        <v>88</v>
      </c>
      <c r="G2415" s="95" t="s">
        <v>858</v>
      </c>
      <c r="H2415" s="95" t="s">
        <v>89</v>
      </c>
      <c r="I2415" s="95" t="s">
        <v>897</v>
      </c>
      <c r="J2415" s="97">
        <v>45993.7854622338</v>
      </c>
      <c r="K2415" s="96" t="s">
        <v>13468</v>
      </c>
      <c r="L2415" s="96" t="s">
        <v>13469</v>
      </c>
      <c r="M2415" s="95" t="s">
        <v>17</v>
      </c>
      <c r="N2415" s="95" t="s">
        <v>13464</v>
      </c>
      <c r="O2415" s="95" t="s">
        <v>13464</v>
      </c>
      <c r="P2415" s="95" t="s">
        <v>13465</v>
      </c>
      <c r="Q2415" s="98">
        <v>2.0</v>
      </c>
      <c r="R2415" s="97">
        <v>45713.82628472222</v>
      </c>
      <c r="S2415" s="99">
        <v>8899.0</v>
      </c>
      <c r="T2415" s="99">
        <v>47.0</v>
      </c>
      <c r="U2415" s="99">
        <v>1.0</v>
      </c>
      <c r="V2415" s="99">
        <v>52.0</v>
      </c>
      <c r="W2415" s="99">
        <v>999999.0</v>
      </c>
    </row>
    <row r="2416" ht="15.75" customHeight="1">
      <c r="A2416" s="95" t="s">
        <v>13470</v>
      </c>
      <c r="B2416" s="95" t="s">
        <v>22</v>
      </c>
      <c r="C2416" s="96" t="s">
        <v>13471</v>
      </c>
      <c r="D2416" s="95" t="s">
        <v>39</v>
      </c>
      <c r="E2416" s="95" t="s">
        <v>960</v>
      </c>
      <c r="F2416" s="95" t="s">
        <v>19</v>
      </c>
      <c r="G2416" s="95" t="s">
        <v>588</v>
      </c>
      <c r="H2416" s="95" t="s">
        <v>21</v>
      </c>
      <c r="I2416" s="95" t="s">
        <v>567</v>
      </c>
      <c r="J2416" s="97">
        <v>46021.4982831713</v>
      </c>
      <c r="K2416" s="95" t="s">
        <v>13472</v>
      </c>
      <c r="L2416" s="96" t="s">
        <v>13473</v>
      </c>
      <c r="M2416" s="95" t="s">
        <v>54</v>
      </c>
      <c r="N2416" s="95" t="s">
        <v>13474</v>
      </c>
      <c r="O2416" s="95" t="s">
        <v>13474</v>
      </c>
      <c r="P2416" s="95" t="s">
        <v>13475</v>
      </c>
      <c r="Q2416" s="98">
        <v>2.0</v>
      </c>
      <c r="R2416" s="97">
        <v>45637.53447916666</v>
      </c>
      <c r="S2416" s="99">
        <v>295.0</v>
      </c>
      <c r="T2416" s="99">
        <v>493.0</v>
      </c>
      <c r="U2416" s="99">
        <v>1.0</v>
      </c>
      <c r="V2416" s="99">
        <v>37.0</v>
      </c>
      <c r="W2416" s="99">
        <v>75870.0</v>
      </c>
    </row>
    <row r="2417" ht="15.75" customHeight="1">
      <c r="A2417" s="95" t="s">
        <v>13476</v>
      </c>
      <c r="B2417" s="95" t="s">
        <v>22</v>
      </c>
      <c r="C2417" s="96" t="s">
        <v>13477</v>
      </c>
      <c r="D2417" s="95" t="s">
        <v>59</v>
      </c>
      <c r="E2417" s="95" t="s">
        <v>13478</v>
      </c>
      <c r="F2417" s="95" t="s">
        <v>19</v>
      </c>
      <c r="G2417" s="95" t="s">
        <v>588</v>
      </c>
      <c r="H2417" s="95" t="s">
        <v>21</v>
      </c>
      <c r="I2417" s="95" t="s">
        <v>589</v>
      </c>
      <c r="J2417" s="97">
        <v>46021.51458594907</v>
      </c>
      <c r="K2417" s="95" t="s">
        <v>13479</v>
      </c>
      <c r="L2417" s="96" t="s">
        <v>13480</v>
      </c>
      <c r="M2417" s="95" t="s">
        <v>54</v>
      </c>
      <c r="N2417" s="95" t="s">
        <v>13474</v>
      </c>
      <c r="O2417" s="95" t="s">
        <v>13474</v>
      </c>
      <c r="P2417" s="95" t="s">
        <v>13475</v>
      </c>
      <c r="Q2417" s="98">
        <v>2.0</v>
      </c>
      <c r="R2417" s="97">
        <v>45781.66366898148</v>
      </c>
      <c r="S2417" s="99">
        <v>295.0</v>
      </c>
      <c r="T2417" s="99">
        <v>8.0</v>
      </c>
      <c r="U2417" s="99">
        <v>3.0</v>
      </c>
      <c r="V2417" s="99">
        <v>60.0</v>
      </c>
      <c r="W2417" s="99">
        <v>75870.0</v>
      </c>
    </row>
    <row r="2418" ht="15.75" customHeight="1">
      <c r="A2418" s="95" t="s">
        <v>13481</v>
      </c>
      <c r="B2418" s="95" t="s">
        <v>22</v>
      </c>
      <c r="C2418" s="96" t="s">
        <v>13482</v>
      </c>
      <c r="D2418" s="95" t="s">
        <v>59</v>
      </c>
      <c r="E2418" s="95" t="s">
        <v>59</v>
      </c>
      <c r="F2418" s="95" t="s">
        <v>19</v>
      </c>
      <c r="G2418" s="95" t="s">
        <v>19</v>
      </c>
      <c r="H2418" s="95" t="s">
        <v>21</v>
      </c>
      <c r="I2418" s="95" t="s">
        <v>567</v>
      </c>
      <c r="J2418" s="97">
        <v>46021.51514563657</v>
      </c>
      <c r="K2418" s="95" t="s">
        <v>13483</v>
      </c>
      <c r="L2418" s="96" t="s">
        <v>13484</v>
      </c>
      <c r="M2418" s="95" t="s">
        <v>54</v>
      </c>
      <c r="N2418" s="95" t="s">
        <v>9782</v>
      </c>
      <c r="O2418" s="95" t="s">
        <v>9782</v>
      </c>
      <c r="P2418" s="95" t="s">
        <v>9783</v>
      </c>
      <c r="Q2418" s="98">
        <v>2.0</v>
      </c>
      <c r="R2418" s="97">
        <v>45856.47837962963</v>
      </c>
      <c r="S2418" s="99">
        <v>202.0</v>
      </c>
      <c r="T2418" s="99">
        <v>293.0</v>
      </c>
      <c r="U2418" s="99">
        <v>5.0</v>
      </c>
      <c r="V2418" s="99">
        <v>24.0</v>
      </c>
      <c r="W2418" s="99">
        <v>19847.0</v>
      </c>
    </row>
    <row r="2419" ht="15.75" customHeight="1">
      <c r="A2419" s="95" t="s">
        <v>13485</v>
      </c>
      <c r="B2419" s="95" t="s">
        <v>157</v>
      </c>
      <c r="C2419" s="96" t="s">
        <v>13486</v>
      </c>
      <c r="D2419" s="95" t="s">
        <v>29</v>
      </c>
      <c r="E2419" s="95" t="s">
        <v>598</v>
      </c>
      <c r="F2419" s="95" t="s">
        <v>88</v>
      </c>
      <c r="G2419" s="95" t="s">
        <v>639</v>
      </c>
      <c r="H2419" s="95" t="s">
        <v>89</v>
      </c>
      <c r="I2419" s="95" t="s">
        <v>13487</v>
      </c>
      <c r="J2419" s="97">
        <v>45993.79077361111</v>
      </c>
      <c r="K2419" s="96" t="s">
        <v>13488</v>
      </c>
      <c r="L2419" s="96" t="s">
        <v>13489</v>
      </c>
      <c r="M2419" s="95" t="s">
        <v>74</v>
      </c>
      <c r="N2419" s="95" t="s">
        <v>9788</v>
      </c>
      <c r="O2419" s="95" t="s">
        <v>9788</v>
      </c>
      <c r="P2419" s="95" t="s">
        <v>9789</v>
      </c>
      <c r="Q2419" s="98">
        <v>2.0</v>
      </c>
      <c r="R2419" s="97">
        <v>45735.44655092592</v>
      </c>
      <c r="S2419" s="99">
        <v>39553.0</v>
      </c>
      <c r="T2419" s="99">
        <v>4.0</v>
      </c>
      <c r="U2419" s="99">
        <v>1.0</v>
      </c>
      <c r="V2419" s="99">
        <v>45.0</v>
      </c>
      <c r="W2419" s="99">
        <v>98776.0</v>
      </c>
    </row>
    <row r="2420" ht="15.75" customHeight="1">
      <c r="A2420" s="95" t="s">
        <v>13490</v>
      </c>
      <c r="B2420" s="95" t="s">
        <v>22</v>
      </c>
      <c r="C2420" s="96" t="s">
        <v>13491</v>
      </c>
      <c r="D2420" s="95" t="s">
        <v>29</v>
      </c>
      <c r="E2420" s="95" t="s">
        <v>29</v>
      </c>
      <c r="F2420" s="95" t="s">
        <v>19</v>
      </c>
      <c r="G2420" s="95" t="s">
        <v>19</v>
      </c>
      <c r="H2420" s="95" t="s">
        <v>21</v>
      </c>
      <c r="I2420" s="95" t="s">
        <v>589</v>
      </c>
      <c r="J2420" s="97">
        <v>46008.6290827662</v>
      </c>
      <c r="K2420" s="96" t="s">
        <v>13492</v>
      </c>
      <c r="L2420" s="96" t="s">
        <v>13493</v>
      </c>
      <c r="M2420" s="95" t="s">
        <v>74</v>
      </c>
      <c r="N2420" s="95" t="s">
        <v>9788</v>
      </c>
      <c r="O2420" s="95" t="s">
        <v>9788</v>
      </c>
      <c r="P2420" s="95" t="s">
        <v>9789</v>
      </c>
      <c r="Q2420" s="98">
        <v>2.0</v>
      </c>
      <c r="R2420" s="97">
        <v>45694.46145833333</v>
      </c>
      <c r="S2420" s="99">
        <v>39553.0</v>
      </c>
      <c r="T2420" s="99">
        <v>735.0</v>
      </c>
      <c r="U2420" s="99">
        <v>3.0</v>
      </c>
      <c r="V2420" s="99">
        <v>33.0</v>
      </c>
      <c r="W2420" s="99">
        <v>98776.0</v>
      </c>
    </row>
    <row r="2421" ht="15.75" customHeight="1">
      <c r="A2421" s="95" t="s">
        <v>13494</v>
      </c>
      <c r="B2421" s="95" t="s">
        <v>22</v>
      </c>
      <c r="C2421" s="96" t="s">
        <v>13495</v>
      </c>
      <c r="D2421" s="95" t="s">
        <v>39</v>
      </c>
      <c r="E2421" s="95" t="s">
        <v>39</v>
      </c>
      <c r="F2421" s="95" t="s">
        <v>19</v>
      </c>
      <c r="G2421" s="95" t="s">
        <v>1367</v>
      </c>
      <c r="H2421" s="95" t="s">
        <v>21</v>
      </c>
      <c r="I2421" s="95" t="s">
        <v>677</v>
      </c>
      <c r="J2421" s="97">
        <v>45975.67937972222</v>
      </c>
      <c r="K2421" s="96" t="s">
        <v>13496</v>
      </c>
      <c r="L2421" s="96" t="s">
        <v>13497</v>
      </c>
      <c r="M2421" s="95" t="s">
        <v>74</v>
      </c>
      <c r="N2421" s="95" t="s">
        <v>13498</v>
      </c>
      <c r="O2421" s="95" t="s">
        <v>13498</v>
      </c>
      <c r="P2421" s="95" t="s">
        <v>13499</v>
      </c>
      <c r="Q2421" s="98">
        <v>2.0</v>
      </c>
      <c r="R2421" s="97">
        <v>45736.41737268519</v>
      </c>
      <c r="S2421" s="99">
        <v>266.0</v>
      </c>
      <c r="T2421" s="99">
        <v>5.0</v>
      </c>
      <c r="U2421" s="99">
        <v>1.0</v>
      </c>
      <c r="V2421" s="99">
        <v>46.0</v>
      </c>
      <c r="W2421" s="99">
        <v>4712.0</v>
      </c>
    </row>
    <row r="2422" ht="15.75" customHeight="1">
      <c r="A2422" s="95" t="s">
        <v>13500</v>
      </c>
      <c r="B2422" s="95" t="s">
        <v>101</v>
      </c>
      <c r="C2422" s="96" t="s">
        <v>13501</v>
      </c>
      <c r="D2422" s="95" t="s">
        <v>39</v>
      </c>
      <c r="E2422" s="95" t="s">
        <v>39</v>
      </c>
      <c r="F2422" s="95" t="s">
        <v>19</v>
      </c>
      <c r="G2422" s="95" t="s">
        <v>19</v>
      </c>
      <c r="H2422" s="95" t="s">
        <v>21</v>
      </c>
      <c r="I2422" s="95" t="s">
        <v>745</v>
      </c>
      <c r="J2422" s="97">
        <v>46021.4982831713</v>
      </c>
      <c r="K2422" s="95" t="s">
        <v>13502</v>
      </c>
      <c r="L2422" s="96" t="s">
        <v>13503</v>
      </c>
      <c r="M2422" s="95" t="s">
        <v>38</v>
      </c>
      <c r="N2422" s="95" t="s">
        <v>9861</v>
      </c>
      <c r="O2422" s="95" t="s">
        <v>9861</v>
      </c>
      <c r="P2422" s="95" t="s">
        <v>9862</v>
      </c>
      <c r="Q2422" s="98">
        <v>2.0</v>
      </c>
      <c r="R2422" s="97">
        <v>45901.44810185185</v>
      </c>
      <c r="S2422" s="99">
        <v>1039.0</v>
      </c>
      <c r="T2422" s="99">
        <v>38.0</v>
      </c>
      <c r="U2422" s="99">
        <v>1.0</v>
      </c>
      <c r="V2422" s="99">
        <v>171.0</v>
      </c>
      <c r="W2422" s="99">
        <v>61623.0</v>
      </c>
    </row>
    <row r="2423" ht="15.75" customHeight="1">
      <c r="A2423" s="95" t="s">
        <v>13504</v>
      </c>
      <c r="B2423" s="95" t="s">
        <v>22</v>
      </c>
      <c r="C2423" s="96" t="s">
        <v>13505</v>
      </c>
      <c r="D2423" s="95" t="s">
        <v>39</v>
      </c>
      <c r="E2423" s="95" t="s">
        <v>3296</v>
      </c>
      <c r="F2423" s="95" t="s">
        <v>19</v>
      </c>
      <c r="G2423" s="95" t="s">
        <v>588</v>
      </c>
      <c r="H2423" s="95" t="s">
        <v>21</v>
      </c>
      <c r="I2423" s="95" t="s">
        <v>589</v>
      </c>
      <c r="J2423" s="97">
        <v>46021.50500998842</v>
      </c>
      <c r="K2423" s="95" t="s">
        <v>13506</v>
      </c>
      <c r="L2423" s="96" t="s">
        <v>13507</v>
      </c>
      <c r="M2423" s="95" t="s">
        <v>28</v>
      </c>
      <c r="N2423" s="95" t="s">
        <v>13508</v>
      </c>
      <c r="O2423" s="95" t="s">
        <v>13508</v>
      </c>
      <c r="P2423" s="95" t="s">
        <v>13509</v>
      </c>
      <c r="Q2423" s="98">
        <v>2.0</v>
      </c>
      <c r="R2423" s="97">
        <v>45675.88934027778</v>
      </c>
      <c r="S2423" s="99">
        <v>93.0</v>
      </c>
      <c r="T2423" s="99">
        <v>734.0</v>
      </c>
      <c r="U2423" s="99">
        <v>2.0</v>
      </c>
      <c r="V2423" s="99">
        <v>64.0</v>
      </c>
      <c r="W2423" s="99">
        <v>127138.0</v>
      </c>
    </row>
    <row r="2424" ht="15.75" customHeight="1">
      <c r="A2424" s="95" t="s">
        <v>13510</v>
      </c>
      <c r="B2424" s="95" t="s">
        <v>69</v>
      </c>
      <c r="C2424" s="96" t="s">
        <v>13511</v>
      </c>
      <c r="D2424" s="95" t="s">
        <v>29</v>
      </c>
      <c r="E2424" s="95" t="s">
        <v>29</v>
      </c>
      <c r="F2424" s="95" t="s">
        <v>19</v>
      </c>
      <c r="G2424" s="95" t="s">
        <v>3850</v>
      </c>
      <c r="H2424" s="95" t="s">
        <v>536</v>
      </c>
      <c r="I2424" s="95" t="s">
        <v>13512</v>
      </c>
      <c r="J2424" s="97">
        <v>46021.51514563657</v>
      </c>
      <c r="K2424" s="95" t="s">
        <v>13513</v>
      </c>
      <c r="L2424" s="96" t="s">
        <v>13514</v>
      </c>
      <c r="M2424" s="95" t="s">
        <v>93</v>
      </c>
      <c r="N2424" s="95" t="s">
        <v>9947</v>
      </c>
      <c r="O2424" s="95" t="s">
        <v>9947</v>
      </c>
      <c r="P2424" s="95" t="s">
        <v>9948</v>
      </c>
      <c r="Q2424" s="98">
        <v>2.0</v>
      </c>
      <c r="R2424" s="97">
        <v>45825.27783564815</v>
      </c>
      <c r="S2424" s="99">
        <v>731.0</v>
      </c>
      <c r="T2424" s="99">
        <v>4745.0</v>
      </c>
      <c r="U2424" s="99">
        <v>1.0</v>
      </c>
      <c r="V2424" s="99">
        <v>82.0</v>
      </c>
      <c r="W2424" s="99">
        <v>363059.0</v>
      </c>
    </row>
    <row r="2425" ht="15.75" customHeight="1">
      <c r="A2425" s="95" t="s">
        <v>13515</v>
      </c>
      <c r="B2425" s="95" t="s">
        <v>22</v>
      </c>
      <c r="C2425" s="96" t="s">
        <v>13516</v>
      </c>
      <c r="D2425" s="95" t="s">
        <v>39</v>
      </c>
      <c r="E2425" s="95" t="s">
        <v>1404</v>
      </c>
      <c r="F2425" s="95" t="s">
        <v>19</v>
      </c>
      <c r="G2425" s="95" t="s">
        <v>19</v>
      </c>
      <c r="H2425" s="95" t="s">
        <v>21</v>
      </c>
      <c r="I2425" s="95" t="s">
        <v>589</v>
      </c>
      <c r="J2425" s="97">
        <v>45975.67937972222</v>
      </c>
      <c r="K2425" s="96" t="s">
        <v>13517</v>
      </c>
      <c r="L2425" s="96" t="s">
        <v>13518</v>
      </c>
      <c r="M2425" s="95" t="s">
        <v>74</v>
      </c>
      <c r="N2425" s="95" t="s">
        <v>13519</v>
      </c>
      <c r="O2425" s="95" t="s">
        <v>13519</v>
      </c>
      <c r="P2425" s="95" t="s">
        <v>13520</v>
      </c>
      <c r="Q2425" s="98">
        <v>2.0</v>
      </c>
      <c r="R2425" s="97">
        <v>45611.42533564815</v>
      </c>
      <c r="S2425" s="99">
        <v>34991.0</v>
      </c>
      <c r="T2425" s="99">
        <v>9.0</v>
      </c>
      <c r="U2425" s="99">
        <v>1.0</v>
      </c>
      <c r="V2425" s="99">
        <v>62.0</v>
      </c>
      <c r="W2425" s="99">
        <v>12274.0</v>
      </c>
    </row>
    <row r="2426" ht="15.75" customHeight="1">
      <c r="A2426" s="95" t="s">
        <v>13521</v>
      </c>
      <c r="B2426" s="95" t="s">
        <v>22</v>
      </c>
      <c r="C2426" s="96" t="s">
        <v>13522</v>
      </c>
      <c r="D2426" s="95" t="s">
        <v>547</v>
      </c>
      <c r="E2426" s="95" t="s">
        <v>710</v>
      </c>
      <c r="F2426" s="95" t="s">
        <v>19</v>
      </c>
      <c r="G2426" s="95" t="s">
        <v>19</v>
      </c>
      <c r="H2426" s="95" t="s">
        <v>21</v>
      </c>
      <c r="I2426" s="95" t="s">
        <v>567</v>
      </c>
      <c r="J2426" s="97">
        <v>46021.49338171296</v>
      </c>
      <c r="K2426" s="95" t="s">
        <v>13523</v>
      </c>
      <c r="L2426" s="96" t="s">
        <v>13524</v>
      </c>
      <c r="M2426" s="95" t="s">
        <v>28</v>
      </c>
      <c r="N2426" s="95" t="s">
        <v>10017</v>
      </c>
      <c r="O2426" s="95" t="s">
        <v>10017</v>
      </c>
      <c r="P2426" s="95" t="s">
        <v>10018</v>
      </c>
      <c r="Q2426" s="98">
        <v>2.0</v>
      </c>
      <c r="R2426" s="97">
        <v>45830.13839120371</v>
      </c>
      <c r="S2426" s="99">
        <v>317.0</v>
      </c>
      <c r="T2426" s="99">
        <v>101.0</v>
      </c>
      <c r="U2426" s="99">
        <v>1.0</v>
      </c>
      <c r="V2426" s="99">
        <v>19.0</v>
      </c>
      <c r="W2426" s="99">
        <v>274638.0</v>
      </c>
    </row>
    <row r="2427" ht="15.75" customHeight="1">
      <c r="A2427" s="95" t="s">
        <v>13525</v>
      </c>
      <c r="B2427" s="95" t="s">
        <v>22</v>
      </c>
      <c r="C2427" s="96" t="s">
        <v>13526</v>
      </c>
      <c r="D2427" s="95" t="s">
        <v>547</v>
      </c>
      <c r="E2427" s="95" t="s">
        <v>2202</v>
      </c>
      <c r="F2427" s="95" t="s">
        <v>19</v>
      </c>
      <c r="G2427" s="95" t="s">
        <v>588</v>
      </c>
      <c r="H2427" s="95" t="s">
        <v>21</v>
      </c>
      <c r="I2427" s="95" t="s">
        <v>677</v>
      </c>
      <c r="J2427" s="97">
        <v>45975.67936400463</v>
      </c>
      <c r="K2427" s="96" t="s">
        <v>13527</v>
      </c>
      <c r="L2427" s="95"/>
      <c r="M2427" s="95" t="s">
        <v>17</v>
      </c>
      <c r="N2427" s="95" t="s">
        <v>10028</v>
      </c>
      <c r="O2427" s="95" t="s">
        <v>10028</v>
      </c>
      <c r="P2427" s="95" t="s">
        <v>10029</v>
      </c>
      <c r="Q2427" s="98">
        <v>2.0</v>
      </c>
      <c r="R2427" s="97">
        <v>45609.89612268518</v>
      </c>
      <c r="S2427" s="99">
        <v>10252.0</v>
      </c>
      <c r="T2427" s="99">
        <v>212.0</v>
      </c>
      <c r="U2427" s="99">
        <v>4.0</v>
      </c>
      <c r="V2427" s="99">
        <v>122.0</v>
      </c>
      <c r="W2427" s="99">
        <v>141238.0</v>
      </c>
    </row>
    <row r="2428" ht="15.75" customHeight="1">
      <c r="A2428" s="95" t="s">
        <v>13528</v>
      </c>
      <c r="B2428" s="95" t="s">
        <v>22</v>
      </c>
      <c r="C2428" s="96" t="s">
        <v>13529</v>
      </c>
      <c r="D2428" s="95" t="s">
        <v>59</v>
      </c>
      <c r="E2428" s="95" t="s">
        <v>1347</v>
      </c>
      <c r="F2428" s="95" t="s">
        <v>19</v>
      </c>
      <c r="G2428" s="95" t="s">
        <v>19</v>
      </c>
      <c r="H2428" s="95" t="s">
        <v>21</v>
      </c>
      <c r="I2428" s="95" t="s">
        <v>567</v>
      </c>
      <c r="J2428" s="97">
        <v>46021.50663001157</v>
      </c>
      <c r="K2428" s="95" t="s">
        <v>13530</v>
      </c>
      <c r="L2428" s="96" t="s">
        <v>13531</v>
      </c>
      <c r="M2428" s="95" t="s">
        <v>54</v>
      </c>
      <c r="N2428" s="95" t="s">
        <v>13532</v>
      </c>
      <c r="O2428" s="95" t="s">
        <v>13532</v>
      </c>
      <c r="P2428" s="95" t="s">
        <v>13533</v>
      </c>
      <c r="Q2428" s="98">
        <v>2.0</v>
      </c>
      <c r="R2428" s="97">
        <v>45847.46070601852</v>
      </c>
      <c r="S2428" s="99">
        <v>516.0</v>
      </c>
      <c r="T2428" s="99">
        <v>132.0</v>
      </c>
      <c r="U2428" s="99">
        <v>27.0</v>
      </c>
      <c r="V2428" s="99">
        <v>368.0</v>
      </c>
      <c r="W2428" s="99">
        <v>183014.0</v>
      </c>
    </row>
    <row r="2429" ht="15.75" customHeight="1">
      <c r="A2429" s="95" t="s">
        <v>13534</v>
      </c>
      <c r="B2429" s="95" t="s">
        <v>22</v>
      </c>
      <c r="C2429" s="96" t="s">
        <v>13535</v>
      </c>
      <c r="D2429" s="95" t="s">
        <v>59</v>
      </c>
      <c r="E2429" s="95" t="s">
        <v>1347</v>
      </c>
      <c r="F2429" s="95" t="s">
        <v>88</v>
      </c>
      <c r="G2429" s="95" t="s">
        <v>858</v>
      </c>
      <c r="H2429" s="95" t="s">
        <v>21</v>
      </c>
      <c r="I2429" s="95" t="s">
        <v>589</v>
      </c>
      <c r="J2429" s="97">
        <v>45993.78544196759</v>
      </c>
      <c r="K2429" s="96" t="s">
        <v>13536</v>
      </c>
      <c r="L2429" s="96" t="s">
        <v>13537</v>
      </c>
      <c r="M2429" s="95" t="s">
        <v>54</v>
      </c>
      <c r="N2429" s="95" t="s">
        <v>13538</v>
      </c>
      <c r="O2429" s="95" t="s">
        <v>13538</v>
      </c>
      <c r="P2429" s="95" t="s">
        <v>13539</v>
      </c>
      <c r="Q2429" s="98">
        <v>2.0</v>
      </c>
      <c r="R2429" s="97">
        <v>45617.63914351852</v>
      </c>
      <c r="S2429" s="99">
        <v>0.0</v>
      </c>
      <c r="T2429" s="99">
        <v>6.0</v>
      </c>
      <c r="U2429" s="99">
        <v>1.0</v>
      </c>
      <c r="V2429" s="99">
        <v>26.0</v>
      </c>
      <c r="W2429" s="99">
        <v>1713881.0</v>
      </c>
    </row>
    <row r="2430" ht="15.75" customHeight="1">
      <c r="A2430" s="95" t="s">
        <v>13540</v>
      </c>
      <c r="B2430" s="95" t="s">
        <v>22</v>
      </c>
      <c r="C2430" s="96" t="s">
        <v>13541</v>
      </c>
      <c r="D2430" s="95" t="s">
        <v>547</v>
      </c>
      <c r="E2430" s="95" t="s">
        <v>2952</v>
      </c>
      <c r="F2430" s="95" t="s">
        <v>19</v>
      </c>
      <c r="G2430" s="95" t="s">
        <v>1427</v>
      </c>
      <c r="H2430" s="95" t="s">
        <v>21</v>
      </c>
      <c r="I2430" s="95" t="s">
        <v>1634</v>
      </c>
      <c r="J2430" s="97">
        <v>45975.67937972222</v>
      </c>
      <c r="K2430" s="96" t="s">
        <v>13542</v>
      </c>
      <c r="L2430" s="96" t="s">
        <v>13543</v>
      </c>
      <c r="M2430" s="95" t="s">
        <v>74</v>
      </c>
      <c r="N2430" s="95" t="s">
        <v>13544</v>
      </c>
      <c r="O2430" s="95" t="s">
        <v>13544</v>
      </c>
      <c r="P2430" s="95" t="s">
        <v>13545</v>
      </c>
      <c r="Q2430" s="98">
        <v>2.0</v>
      </c>
      <c r="R2430" s="97">
        <v>45782.89894675926</v>
      </c>
      <c r="S2430" s="99">
        <v>16485.0</v>
      </c>
      <c r="T2430" s="99">
        <v>743.0</v>
      </c>
      <c r="U2430" s="99">
        <v>1.0</v>
      </c>
      <c r="V2430" s="99">
        <v>9.0</v>
      </c>
      <c r="W2430" s="99">
        <v>82590.0</v>
      </c>
    </row>
    <row r="2431" ht="15.75" customHeight="1">
      <c r="A2431" s="95" t="s">
        <v>13546</v>
      </c>
      <c r="B2431" s="95" t="s">
        <v>22</v>
      </c>
      <c r="C2431" s="96" t="s">
        <v>13547</v>
      </c>
      <c r="D2431" s="95" t="s">
        <v>29</v>
      </c>
      <c r="E2431" s="95" t="s">
        <v>598</v>
      </c>
      <c r="F2431" s="95" t="s">
        <v>19</v>
      </c>
      <c r="G2431" s="95" t="s">
        <v>19</v>
      </c>
      <c r="H2431" s="95" t="s">
        <v>21</v>
      </c>
      <c r="I2431" s="95" t="s">
        <v>567</v>
      </c>
      <c r="J2431" s="97">
        <v>46021.49951997685</v>
      </c>
      <c r="K2431" s="95" t="s">
        <v>13548</v>
      </c>
      <c r="L2431" s="96" t="s">
        <v>13549</v>
      </c>
      <c r="M2431" s="95" t="s">
        <v>38</v>
      </c>
      <c r="N2431" s="95" t="s">
        <v>13550</v>
      </c>
      <c r="O2431" s="95" t="s">
        <v>13550</v>
      </c>
      <c r="P2431" s="95" t="s">
        <v>13551</v>
      </c>
      <c r="Q2431" s="98">
        <v>2.0</v>
      </c>
      <c r="R2431" s="97">
        <v>45780.20414351852</v>
      </c>
      <c r="S2431" s="99">
        <v>227.0</v>
      </c>
      <c r="T2431" s="99">
        <v>3.0</v>
      </c>
      <c r="U2431" s="99">
        <v>7.0</v>
      </c>
      <c r="V2431" s="99">
        <v>241.0</v>
      </c>
      <c r="W2431" s="99">
        <v>5571.0</v>
      </c>
    </row>
    <row r="2432" ht="15.75" customHeight="1">
      <c r="A2432" s="95" t="s">
        <v>13552</v>
      </c>
      <c r="B2432" s="95" t="s">
        <v>22</v>
      </c>
      <c r="C2432" s="96" t="s">
        <v>13553</v>
      </c>
      <c r="D2432" s="95" t="s">
        <v>29</v>
      </c>
      <c r="E2432" s="95" t="s">
        <v>29</v>
      </c>
      <c r="F2432" s="95" t="s">
        <v>88</v>
      </c>
      <c r="G2432" s="95" t="s">
        <v>858</v>
      </c>
      <c r="H2432" s="95" t="s">
        <v>21</v>
      </c>
      <c r="I2432" s="95" t="s">
        <v>2183</v>
      </c>
      <c r="J2432" s="97">
        <v>45982.72183162037</v>
      </c>
      <c r="K2432" s="95" t="s">
        <v>13554</v>
      </c>
      <c r="L2432" s="96" t="s">
        <v>13555</v>
      </c>
      <c r="M2432" s="95" t="s">
        <v>38</v>
      </c>
      <c r="N2432" s="95" t="s">
        <v>13550</v>
      </c>
      <c r="O2432" s="95" t="s">
        <v>13550</v>
      </c>
      <c r="P2432" s="95" t="s">
        <v>13551</v>
      </c>
      <c r="Q2432" s="98">
        <v>2.0</v>
      </c>
      <c r="R2432" s="97">
        <v>45780.33207175926</v>
      </c>
      <c r="S2432" s="99">
        <v>227.0</v>
      </c>
      <c r="T2432" s="99">
        <v>10.0</v>
      </c>
      <c r="U2432" s="99">
        <v>1.0</v>
      </c>
      <c r="V2432" s="99">
        <v>663.0</v>
      </c>
      <c r="W2432" s="99">
        <v>5571.0</v>
      </c>
    </row>
    <row r="2433" ht="15.75" customHeight="1">
      <c r="A2433" s="95" t="s">
        <v>13556</v>
      </c>
      <c r="B2433" s="95" t="s">
        <v>22</v>
      </c>
      <c r="C2433" s="96" t="s">
        <v>13557</v>
      </c>
      <c r="D2433" s="95" t="s">
        <v>68</v>
      </c>
      <c r="E2433" s="95" t="s">
        <v>769</v>
      </c>
      <c r="F2433" s="95" t="s">
        <v>19</v>
      </c>
      <c r="G2433" s="95" t="s">
        <v>19</v>
      </c>
      <c r="H2433" s="95" t="s">
        <v>21</v>
      </c>
      <c r="I2433" s="95" t="s">
        <v>567</v>
      </c>
      <c r="J2433" s="97">
        <v>45994.72144263889</v>
      </c>
      <c r="K2433" s="96" t="s">
        <v>13558</v>
      </c>
      <c r="L2433" s="96" t="s">
        <v>13559</v>
      </c>
      <c r="M2433" s="95" t="s">
        <v>38</v>
      </c>
      <c r="N2433" s="95" t="s">
        <v>13560</v>
      </c>
      <c r="O2433" s="95" t="s">
        <v>13560</v>
      </c>
      <c r="P2433" s="95" t="s">
        <v>13561</v>
      </c>
      <c r="Q2433" s="98">
        <v>2.0</v>
      </c>
      <c r="R2433" s="97">
        <v>45698.40748842592</v>
      </c>
      <c r="S2433" s="99">
        <v>940.0</v>
      </c>
      <c r="T2433" s="99">
        <v>179.0</v>
      </c>
      <c r="U2433" s="99">
        <v>1.0</v>
      </c>
      <c r="V2433" s="99">
        <v>140.0</v>
      </c>
      <c r="W2433" s="99">
        <v>107138.0</v>
      </c>
    </row>
    <row r="2434" ht="15.75" customHeight="1">
      <c r="A2434" s="95" t="s">
        <v>13562</v>
      </c>
      <c r="B2434" s="95" t="s">
        <v>22</v>
      </c>
      <c r="C2434" s="96" t="s">
        <v>13563</v>
      </c>
      <c r="D2434" s="95" t="s">
        <v>39</v>
      </c>
      <c r="E2434" s="95" t="s">
        <v>39</v>
      </c>
      <c r="F2434" s="95" t="s">
        <v>19</v>
      </c>
      <c r="G2434" s="95" t="s">
        <v>19</v>
      </c>
      <c r="H2434" s="95" t="s">
        <v>21</v>
      </c>
      <c r="I2434" s="95" t="s">
        <v>567</v>
      </c>
      <c r="J2434" s="97">
        <v>46021.50663001157</v>
      </c>
      <c r="K2434" s="95" t="s">
        <v>13564</v>
      </c>
      <c r="L2434" s="96" t="s">
        <v>13565</v>
      </c>
      <c r="M2434" s="95" t="s">
        <v>74</v>
      </c>
      <c r="N2434" s="95" t="s">
        <v>13566</v>
      </c>
      <c r="O2434" s="95" t="s">
        <v>13566</v>
      </c>
      <c r="P2434" s="95" t="s">
        <v>13567</v>
      </c>
      <c r="Q2434" s="98">
        <v>2.0</v>
      </c>
      <c r="R2434" s="97">
        <v>45622.76201388889</v>
      </c>
      <c r="S2434" s="99">
        <v>465.0</v>
      </c>
      <c r="T2434" s="99">
        <v>76.0</v>
      </c>
      <c r="U2434" s="99">
        <v>11.0</v>
      </c>
      <c r="V2434" s="99">
        <v>77.0</v>
      </c>
      <c r="W2434" s="99">
        <v>30481.0</v>
      </c>
    </row>
    <row r="2435" ht="15.75" customHeight="1">
      <c r="A2435" s="95" t="s">
        <v>13568</v>
      </c>
      <c r="B2435" s="95" t="s">
        <v>22</v>
      </c>
      <c r="C2435" s="96" t="s">
        <v>13569</v>
      </c>
      <c r="D2435" s="95" t="s">
        <v>39</v>
      </c>
      <c r="E2435" s="95" t="s">
        <v>39</v>
      </c>
      <c r="F2435" s="95" t="s">
        <v>19</v>
      </c>
      <c r="G2435" s="95" t="s">
        <v>588</v>
      </c>
      <c r="H2435" s="95" t="s">
        <v>21</v>
      </c>
      <c r="I2435" s="95" t="s">
        <v>589</v>
      </c>
      <c r="J2435" s="97">
        <v>46056.93492375</v>
      </c>
      <c r="K2435" s="95" t="s">
        <v>13570</v>
      </c>
      <c r="L2435" s="96" t="s">
        <v>13571</v>
      </c>
      <c r="M2435" s="95" t="s">
        <v>74</v>
      </c>
      <c r="N2435" s="95" t="s">
        <v>10115</v>
      </c>
      <c r="O2435" s="95" t="s">
        <v>10115</v>
      </c>
      <c r="P2435" s="95" t="s">
        <v>10116</v>
      </c>
      <c r="Q2435" s="98">
        <v>2.0</v>
      </c>
      <c r="R2435" s="97">
        <v>45661.47951388889</v>
      </c>
      <c r="S2435" s="99">
        <v>15957.0</v>
      </c>
      <c r="T2435" s="99">
        <v>25.0</v>
      </c>
      <c r="U2435" s="99">
        <v>1.0</v>
      </c>
      <c r="V2435" s="99">
        <v>9.0</v>
      </c>
      <c r="W2435" s="99">
        <v>147022.0</v>
      </c>
    </row>
    <row r="2436" ht="15.75" customHeight="1">
      <c r="A2436" s="95" t="s">
        <v>13572</v>
      </c>
      <c r="B2436" s="95" t="s">
        <v>101</v>
      </c>
      <c r="C2436" s="96" t="s">
        <v>13573</v>
      </c>
      <c r="D2436" s="95" t="s">
        <v>39</v>
      </c>
      <c r="E2436" s="95" t="s">
        <v>39</v>
      </c>
      <c r="F2436" s="95" t="s">
        <v>19</v>
      </c>
      <c r="G2436" s="95" t="s">
        <v>588</v>
      </c>
      <c r="H2436" s="95" t="s">
        <v>21</v>
      </c>
      <c r="I2436" s="95" t="s">
        <v>890</v>
      </c>
      <c r="J2436" s="97">
        <v>46057.09172366898</v>
      </c>
      <c r="K2436" s="95" t="s">
        <v>13574</v>
      </c>
      <c r="L2436" s="96" t="s">
        <v>13575</v>
      </c>
      <c r="M2436" s="95" t="s">
        <v>93</v>
      </c>
      <c r="N2436" s="95" t="s">
        <v>13576</v>
      </c>
      <c r="O2436" s="95" t="s">
        <v>13576</v>
      </c>
      <c r="P2436" s="95" t="s">
        <v>13577</v>
      </c>
      <c r="Q2436" s="98">
        <v>2.0</v>
      </c>
      <c r="R2436" s="97">
        <v>45846.78928240741</v>
      </c>
      <c r="S2436" s="99">
        <v>406.0</v>
      </c>
      <c r="T2436" s="99">
        <v>876.0</v>
      </c>
      <c r="U2436" s="99">
        <v>7.0</v>
      </c>
      <c r="V2436" s="99">
        <v>46.0</v>
      </c>
      <c r="W2436" s="99">
        <v>186093.0</v>
      </c>
    </row>
    <row r="2437" ht="15.75" customHeight="1">
      <c r="A2437" s="95" t="s">
        <v>13578</v>
      </c>
      <c r="B2437" s="95" t="s">
        <v>22</v>
      </c>
      <c r="C2437" s="96" t="s">
        <v>13579</v>
      </c>
      <c r="D2437" s="95" t="s">
        <v>59</v>
      </c>
      <c r="E2437" s="95" t="s">
        <v>10119</v>
      </c>
      <c r="F2437" s="95" t="s">
        <v>19</v>
      </c>
      <c r="G2437" s="95" t="s">
        <v>19</v>
      </c>
      <c r="H2437" s="95" t="s">
        <v>21</v>
      </c>
      <c r="I2437" s="95" t="s">
        <v>589</v>
      </c>
      <c r="J2437" s="97">
        <v>45975.67930844907</v>
      </c>
      <c r="K2437" s="96" t="s">
        <v>13580</v>
      </c>
      <c r="L2437" s="96" t="s">
        <v>13581</v>
      </c>
      <c r="M2437" s="95" t="s">
        <v>54</v>
      </c>
      <c r="N2437" s="95" t="s">
        <v>10122</v>
      </c>
      <c r="O2437" s="95" t="s">
        <v>10122</v>
      </c>
      <c r="P2437" s="95" t="s">
        <v>10123</v>
      </c>
      <c r="Q2437" s="98">
        <v>2.0</v>
      </c>
      <c r="R2437" s="97">
        <v>45915.3475462963</v>
      </c>
      <c r="S2437" s="99">
        <v>5049.0</v>
      </c>
      <c r="T2437" s="99">
        <v>51.0</v>
      </c>
      <c r="U2437" s="99">
        <v>10.0</v>
      </c>
      <c r="V2437" s="99">
        <v>51.0</v>
      </c>
      <c r="W2437" s="99">
        <v>321677.0</v>
      </c>
    </row>
    <row r="2438" ht="15.75" customHeight="1">
      <c r="A2438" s="95" t="s">
        <v>13582</v>
      </c>
      <c r="B2438" s="95" t="s">
        <v>22</v>
      </c>
      <c r="C2438" s="96" t="s">
        <v>13583</v>
      </c>
      <c r="D2438" s="95" t="s">
        <v>168</v>
      </c>
      <c r="E2438" s="95" t="s">
        <v>168</v>
      </c>
      <c r="F2438" s="95" t="s">
        <v>19</v>
      </c>
      <c r="G2438" s="95" t="s">
        <v>997</v>
      </c>
      <c r="H2438" s="95" t="s">
        <v>21</v>
      </c>
      <c r="I2438" s="95" t="s">
        <v>677</v>
      </c>
      <c r="J2438" s="97">
        <v>45975.67936400463</v>
      </c>
      <c r="K2438" s="96" t="s">
        <v>13584</v>
      </c>
      <c r="L2438" s="96" t="s">
        <v>13585</v>
      </c>
      <c r="M2438" s="95" t="s">
        <v>17</v>
      </c>
      <c r="N2438" s="95" t="s">
        <v>13586</v>
      </c>
      <c r="O2438" s="95" t="s">
        <v>13586</v>
      </c>
      <c r="P2438" s="95" t="s">
        <v>13587</v>
      </c>
      <c r="Q2438" s="98">
        <v>2.0</v>
      </c>
      <c r="R2438" s="97">
        <v>45819.0897800926</v>
      </c>
      <c r="S2438" s="99">
        <v>265.0</v>
      </c>
      <c r="T2438" s="99">
        <v>38.0</v>
      </c>
      <c r="U2438" s="99">
        <v>27.0</v>
      </c>
      <c r="V2438" s="99">
        <v>613.0</v>
      </c>
      <c r="W2438" s="99">
        <v>28596.0</v>
      </c>
    </row>
    <row r="2439" ht="15.75" customHeight="1">
      <c r="A2439" s="95" t="s">
        <v>13588</v>
      </c>
      <c r="B2439" s="95" t="s">
        <v>22</v>
      </c>
      <c r="C2439" s="96" t="s">
        <v>13589</v>
      </c>
      <c r="D2439" s="95" t="s">
        <v>168</v>
      </c>
      <c r="E2439" s="95" t="s">
        <v>168</v>
      </c>
      <c r="F2439" s="95" t="s">
        <v>19</v>
      </c>
      <c r="G2439" s="95" t="s">
        <v>19</v>
      </c>
      <c r="H2439" s="95" t="s">
        <v>21</v>
      </c>
      <c r="I2439" s="95" t="s">
        <v>567</v>
      </c>
      <c r="J2439" s="97">
        <v>46008.62906494213</v>
      </c>
      <c r="K2439" s="96" t="s">
        <v>13590</v>
      </c>
      <c r="L2439" s="96" t="s">
        <v>13591</v>
      </c>
      <c r="M2439" s="95" t="s">
        <v>17</v>
      </c>
      <c r="N2439" s="95" t="s">
        <v>13586</v>
      </c>
      <c r="O2439" s="95" t="s">
        <v>13586</v>
      </c>
      <c r="P2439" s="95" t="s">
        <v>13587</v>
      </c>
      <c r="Q2439" s="98">
        <v>2.0</v>
      </c>
      <c r="R2439" s="97">
        <v>45765.52519675926</v>
      </c>
      <c r="S2439" s="99">
        <v>265.0</v>
      </c>
      <c r="T2439" s="99">
        <v>12.0</v>
      </c>
      <c r="U2439" s="99">
        <v>11.0</v>
      </c>
      <c r="V2439" s="99">
        <v>128.0</v>
      </c>
      <c r="W2439" s="99">
        <v>28596.0</v>
      </c>
    </row>
    <row r="2440" ht="15.75" customHeight="1">
      <c r="A2440" s="95" t="s">
        <v>13592</v>
      </c>
      <c r="B2440" s="95" t="s">
        <v>22</v>
      </c>
      <c r="C2440" s="96" t="s">
        <v>13593</v>
      </c>
      <c r="D2440" s="95" t="s">
        <v>39</v>
      </c>
      <c r="E2440" s="95" t="s">
        <v>614</v>
      </c>
      <c r="F2440" s="95" t="s">
        <v>19</v>
      </c>
      <c r="G2440" s="95" t="s">
        <v>574</v>
      </c>
      <c r="H2440" s="95" t="s">
        <v>21</v>
      </c>
      <c r="I2440" s="95" t="s">
        <v>567</v>
      </c>
      <c r="J2440" s="97">
        <v>46017.67746179398</v>
      </c>
      <c r="K2440" s="95" t="s">
        <v>13594</v>
      </c>
      <c r="L2440" s="95"/>
      <c r="M2440" s="95" t="s">
        <v>503</v>
      </c>
      <c r="N2440" s="95" t="s">
        <v>13595</v>
      </c>
      <c r="O2440" s="95" t="s">
        <v>13595</v>
      </c>
      <c r="P2440" s="95" t="s">
        <v>13596</v>
      </c>
      <c r="Q2440" s="98">
        <v>2.0</v>
      </c>
      <c r="R2440" s="97">
        <v>45996.11417824074</v>
      </c>
      <c r="S2440" s="99">
        <v>4600.0</v>
      </c>
      <c r="T2440" s="99">
        <v>14.0</v>
      </c>
      <c r="U2440" s="99">
        <v>8.0</v>
      </c>
      <c r="V2440" s="99">
        <v>16.0</v>
      </c>
      <c r="W2440" s="99">
        <v>170519.0</v>
      </c>
    </row>
    <row r="2441" ht="15.75" customHeight="1">
      <c r="A2441" s="95" t="s">
        <v>13597</v>
      </c>
      <c r="B2441" s="95" t="s">
        <v>22</v>
      </c>
      <c r="C2441" s="96" t="s">
        <v>13598</v>
      </c>
      <c r="D2441" s="95" t="s">
        <v>29</v>
      </c>
      <c r="E2441" s="95" t="s">
        <v>910</v>
      </c>
      <c r="F2441" s="95" t="s">
        <v>19</v>
      </c>
      <c r="G2441" s="95" t="s">
        <v>19</v>
      </c>
      <c r="H2441" s="95" t="s">
        <v>21</v>
      </c>
      <c r="I2441" s="95" t="s">
        <v>677</v>
      </c>
      <c r="J2441" s="97">
        <v>45975.67936400463</v>
      </c>
      <c r="K2441" s="96" t="s">
        <v>13599</v>
      </c>
      <c r="L2441" s="96" t="s">
        <v>13600</v>
      </c>
      <c r="M2441" s="95" t="s">
        <v>17</v>
      </c>
      <c r="N2441" s="95" t="s">
        <v>13601</v>
      </c>
      <c r="O2441" s="95" t="s">
        <v>13601</v>
      </c>
      <c r="P2441" s="95" t="s">
        <v>13602</v>
      </c>
      <c r="Q2441" s="98">
        <v>2.0</v>
      </c>
      <c r="R2441" s="97">
        <v>45646.5822337963</v>
      </c>
      <c r="S2441" s="99">
        <v>238.0</v>
      </c>
      <c r="T2441" s="99">
        <v>8.0</v>
      </c>
      <c r="U2441" s="99">
        <v>1.0</v>
      </c>
      <c r="V2441" s="99">
        <v>31.0</v>
      </c>
      <c r="W2441" s="99">
        <v>26103.0</v>
      </c>
    </row>
    <row r="2442" ht="15.75" customHeight="1">
      <c r="A2442" s="95" t="s">
        <v>13603</v>
      </c>
      <c r="B2442" s="95" t="s">
        <v>131</v>
      </c>
      <c r="C2442" s="96" t="s">
        <v>13604</v>
      </c>
      <c r="D2442" s="95" t="s">
        <v>29</v>
      </c>
      <c r="E2442" s="95" t="s">
        <v>598</v>
      </c>
      <c r="F2442" s="95" t="s">
        <v>58</v>
      </c>
      <c r="G2442" s="95" t="s">
        <v>58</v>
      </c>
      <c r="H2442" s="95" t="s">
        <v>537</v>
      </c>
      <c r="I2442" s="95" t="s">
        <v>4605</v>
      </c>
      <c r="J2442" s="97">
        <v>45993.79076225695</v>
      </c>
      <c r="K2442" s="96" t="s">
        <v>13605</v>
      </c>
      <c r="L2442" s="95"/>
      <c r="M2442" s="95" t="s">
        <v>74</v>
      </c>
      <c r="N2442" s="95" t="s">
        <v>13606</v>
      </c>
      <c r="O2442" s="95" t="s">
        <v>13606</v>
      </c>
      <c r="P2442" s="95" t="s">
        <v>13607</v>
      </c>
      <c r="Q2442" s="98">
        <v>2.0</v>
      </c>
      <c r="R2442" s="97">
        <v>45676.17912037037</v>
      </c>
      <c r="S2442" s="99">
        <v>6153.0</v>
      </c>
      <c r="T2442" s="99">
        <v>103.0</v>
      </c>
      <c r="U2442" s="99">
        <v>1.0</v>
      </c>
      <c r="V2442" s="99">
        <v>54.0</v>
      </c>
      <c r="W2442" s="99">
        <v>36586.0</v>
      </c>
    </row>
    <row r="2443" ht="15.75" customHeight="1">
      <c r="A2443" s="95" t="s">
        <v>13608</v>
      </c>
      <c r="B2443" s="95" t="s">
        <v>157</v>
      </c>
      <c r="C2443" s="96" t="s">
        <v>13609</v>
      </c>
      <c r="D2443" s="95" t="s">
        <v>20</v>
      </c>
      <c r="E2443" s="95" t="s">
        <v>638</v>
      </c>
      <c r="F2443" s="95" t="s">
        <v>88</v>
      </c>
      <c r="G2443" s="95" t="s">
        <v>858</v>
      </c>
      <c r="H2443" s="95" t="s">
        <v>89</v>
      </c>
      <c r="I2443" s="95" t="s">
        <v>859</v>
      </c>
      <c r="J2443" s="97">
        <v>45993.7854622338</v>
      </c>
      <c r="K2443" s="96" t="s">
        <v>13610</v>
      </c>
      <c r="L2443" s="95"/>
      <c r="M2443" s="95" t="s">
        <v>17</v>
      </c>
      <c r="N2443" s="95" t="s">
        <v>13611</v>
      </c>
      <c r="O2443" s="95" t="s">
        <v>13611</v>
      </c>
      <c r="P2443" s="95" t="s">
        <v>13612</v>
      </c>
      <c r="Q2443" s="98">
        <v>2.0</v>
      </c>
      <c r="R2443" s="97">
        <v>45796.85813657408</v>
      </c>
      <c r="S2443" s="99">
        <v>10821.0</v>
      </c>
      <c r="T2443" s="99">
        <v>198.0</v>
      </c>
      <c r="U2443" s="99">
        <v>4.0</v>
      </c>
      <c r="V2443" s="99">
        <v>15.0</v>
      </c>
      <c r="W2443" s="99">
        <v>2363320.0</v>
      </c>
    </row>
    <row r="2444" ht="15.75" customHeight="1">
      <c r="A2444" s="95" t="s">
        <v>13613</v>
      </c>
      <c r="B2444" s="95" t="s">
        <v>22</v>
      </c>
      <c r="C2444" s="96" t="s">
        <v>13614</v>
      </c>
      <c r="D2444" s="95" t="s">
        <v>130</v>
      </c>
      <c r="E2444" s="95" t="s">
        <v>917</v>
      </c>
      <c r="F2444" s="95" t="s">
        <v>19</v>
      </c>
      <c r="G2444" s="95" t="s">
        <v>19</v>
      </c>
      <c r="H2444" s="95" t="s">
        <v>21</v>
      </c>
      <c r="I2444" s="95" t="s">
        <v>567</v>
      </c>
      <c r="J2444" s="97">
        <v>46021.51061192129</v>
      </c>
      <c r="K2444" s="95" t="s">
        <v>13615</v>
      </c>
      <c r="L2444" s="96" t="s">
        <v>13616</v>
      </c>
      <c r="M2444" s="95" t="s">
        <v>54</v>
      </c>
      <c r="N2444" s="95" t="s">
        <v>13617</v>
      </c>
      <c r="O2444" s="95" t="s">
        <v>13617</v>
      </c>
      <c r="P2444" s="95" t="s">
        <v>13618</v>
      </c>
      <c r="Q2444" s="98">
        <v>2.0</v>
      </c>
      <c r="R2444" s="97">
        <v>45811.72738425926</v>
      </c>
      <c r="S2444" s="99">
        <v>1669.0</v>
      </c>
      <c r="T2444" s="99">
        <v>314.0</v>
      </c>
      <c r="U2444" s="99">
        <v>1.0</v>
      </c>
      <c r="V2444" s="99">
        <v>21.0</v>
      </c>
      <c r="W2444" s="99">
        <v>297950.0</v>
      </c>
    </row>
    <row r="2445" ht="15.75" customHeight="1">
      <c r="A2445" s="95" t="s">
        <v>13619</v>
      </c>
      <c r="B2445" s="95" t="s">
        <v>22</v>
      </c>
      <c r="C2445" s="96" t="s">
        <v>13620</v>
      </c>
      <c r="D2445" s="95" t="s">
        <v>130</v>
      </c>
      <c r="E2445" s="95" t="s">
        <v>917</v>
      </c>
      <c r="F2445" s="95" t="s">
        <v>19</v>
      </c>
      <c r="G2445" s="95" t="s">
        <v>19</v>
      </c>
      <c r="H2445" s="95" t="s">
        <v>21</v>
      </c>
      <c r="I2445" s="95" t="s">
        <v>677</v>
      </c>
      <c r="J2445" s="97">
        <v>46021.51514563657</v>
      </c>
      <c r="K2445" s="95" t="s">
        <v>13621</v>
      </c>
      <c r="L2445" s="96" t="s">
        <v>13622</v>
      </c>
      <c r="M2445" s="95" t="s">
        <v>54</v>
      </c>
      <c r="N2445" s="95" t="s">
        <v>13617</v>
      </c>
      <c r="O2445" s="95" t="s">
        <v>13617</v>
      </c>
      <c r="P2445" s="95" t="s">
        <v>13618</v>
      </c>
      <c r="Q2445" s="98">
        <v>2.0</v>
      </c>
      <c r="R2445" s="97">
        <v>45888.50405092593</v>
      </c>
      <c r="S2445" s="99">
        <v>1669.0</v>
      </c>
      <c r="T2445" s="99">
        <v>1188.0</v>
      </c>
      <c r="U2445" s="99">
        <v>24.0</v>
      </c>
      <c r="V2445" s="99">
        <v>244.0</v>
      </c>
      <c r="W2445" s="99">
        <v>297950.0</v>
      </c>
    </row>
    <row r="2446" ht="15.75" customHeight="1">
      <c r="A2446" s="95" t="s">
        <v>13623</v>
      </c>
      <c r="B2446" s="95" t="s">
        <v>22</v>
      </c>
      <c r="C2446" s="96" t="s">
        <v>13624</v>
      </c>
      <c r="D2446" s="95" t="s">
        <v>39</v>
      </c>
      <c r="E2446" s="95" t="s">
        <v>39</v>
      </c>
      <c r="F2446" s="95" t="s">
        <v>19</v>
      </c>
      <c r="G2446" s="95" t="s">
        <v>574</v>
      </c>
      <c r="H2446" s="95" t="s">
        <v>21</v>
      </c>
      <c r="I2446" s="95" t="s">
        <v>567</v>
      </c>
      <c r="J2446" s="97">
        <v>45975.67938763889</v>
      </c>
      <c r="K2446" s="96" t="s">
        <v>13625</v>
      </c>
      <c r="L2446" s="96" t="s">
        <v>13626</v>
      </c>
      <c r="M2446" s="95" t="s">
        <v>74</v>
      </c>
      <c r="N2446" s="95" t="s">
        <v>13627</v>
      </c>
      <c r="O2446" s="95" t="s">
        <v>13627</v>
      </c>
      <c r="P2446" s="95" t="s">
        <v>13628</v>
      </c>
      <c r="Q2446" s="98">
        <v>2.0</v>
      </c>
      <c r="R2446" s="97">
        <v>45618.80064814815</v>
      </c>
      <c r="S2446" s="99">
        <v>9721.0</v>
      </c>
      <c r="T2446" s="99">
        <v>26.0</v>
      </c>
      <c r="U2446" s="99">
        <v>1.0</v>
      </c>
      <c r="V2446" s="99">
        <v>42.0</v>
      </c>
      <c r="W2446" s="99">
        <v>41884.0</v>
      </c>
    </row>
    <row r="2447" ht="15.75" customHeight="1">
      <c r="A2447" s="95" t="s">
        <v>13629</v>
      </c>
      <c r="B2447" s="95" t="s">
        <v>157</v>
      </c>
      <c r="C2447" s="96" t="s">
        <v>13630</v>
      </c>
      <c r="D2447" s="95" t="s">
        <v>39</v>
      </c>
      <c r="E2447" s="95" t="s">
        <v>614</v>
      </c>
      <c r="F2447" s="95" t="s">
        <v>88</v>
      </c>
      <c r="G2447" s="95" t="s">
        <v>88</v>
      </c>
      <c r="H2447" s="95" t="s">
        <v>89</v>
      </c>
      <c r="I2447" s="95" t="s">
        <v>897</v>
      </c>
      <c r="J2447" s="97">
        <v>45975.67938763889</v>
      </c>
      <c r="K2447" s="96" t="s">
        <v>13631</v>
      </c>
      <c r="L2447" s="96" t="s">
        <v>13632</v>
      </c>
      <c r="M2447" s="95" t="s">
        <v>74</v>
      </c>
      <c r="N2447" s="95" t="s">
        <v>13627</v>
      </c>
      <c r="O2447" s="95" t="s">
        <v>13627</v>
      </c>
      <c r="P2447" s="95" t="s">
        <v>13628</v>
      </c>
      <c r="Q2447" s="98">
        <v>2.0</v>
      </c>
      <c r="R2447" s="97">
        <v>45749.26878472222</v>
      </c>
      <c r="S2447" s="99">
        <v>9721.0</v>
      </c>
      <c r="T2447" s="99">
        <v>2.0</v>
      </c>
      <c r="U2447" s="99">
        <v>2.0</v>
      </c>
      <c r="V2447" s="99">
        <v>60.0</v>
      </c>
      <c r="W2447" s="99">
        <v>41884.0</v>
      </c>
    </row>
    <row r="2448" ht="15.75" customHeight="1">
      <c r="A2448" s="95" t="s">
        <v>13633</v>
      </c>
      <c r="B2448" s="95" t="s">
        <v>22</v>
      </c>
      <c r="C2448" s="96" t="s">
        <v>13634</v>
      </c>
      <c r="D2448" s="95" t="s">
        <v>168</v>
      </c>
      <c r="E2448" s="95" t="s">
        <v>168</v>
      </c>
      <c r="F2448" s="95" t="s">
        <v>19</v>
      </c>
      <c r="G2448" s="95" t="s">
        <v>1367</v>
      </c>
      <c r="H2448" s="95" t="s">
        <v>21</v>
      </c>
      <c r="I2448" s="95" t="s">
        <v>567</v>
      </c>
      <c r="J2448" s="97">
        <v>45975.67936400463</v>
      </c>
      <c r="K2448" s="96" t="s">
        <v>13635</v>
      </c>
      <c r="L2448" s="96" t="s">
        <v>13636</v>
      </c>
      <c r="M2448" s="95" t="s">
        <v>17</v>
      </c>
      <c r="N2448" s="95" t="s">
        <v>10196</v>
      </c>
      <c r="O2448" s="95" t="s">
        <v>10196</v>
      </c>
      <c r="P2448" s="95" t="s">
        <v>10197</v>
      </c>
      <c r="Q2448" s="98">
        <v>2.0</v>
      </c>
      <c r="R2448" s="97">
        <v>45644.37203703704</v>
      </c>
      <c r="S2448" s="99">
        <v>63.0</v>
      </c>
      <c r="T2448" s="99">
        <v>78.0</v>
      </c>
      <c r="U2448" s="99">
        <v>5.0</v>
      </c>
      <c r="V2448" s="99">
        <v>128.0</v>
      </c>
      <c r="W2448" s="99">
        <v>7197.0</v>
      </c>
    </row>
    <row r="2449" ht="15.75" customHeight="1">
      <c r="A2449" s="95" t="s">
        <v>13637</v>
      </c>
      <c r="B2449" s="95" t="s">
        <v>22</v>
      </c>
      <c r="C2449" s="96" t="s">
        <v>13638</v>
      </c>
      <c r="D2449" s="95" t="s">
        <v>168</v>
      </c>
      <c r="E2449" s="95" t="s">
        <v>168</v>
      </c>
      <c r="F2449" s="95" t="s">
        <v>19</v>
      </c>
      <c r="G2449" s="95" t="s">
        <v>1367</v>
      </c>
      <c r="H2449" s="95" t="s">
        <v>21</v>
      </c>
      <c r="I2449" s="95" t="s">
        <v>567</v>
      </c>
      <c r="J2449" s="97">
        <v>45975.67936400463</v>
      </c>
      <c r="K2449" s="96" t="s">
        <v>13639</v>
      </c>
      <c r="L2449" s="96" t="s">
        <v>13640</v>
      </c>
      <c r="M2449" s="95" t="s">
        <v>17</v>
      </c>
      <c r="N2449" s="95" t="s">
        <v>10196</v>
      </c>
      <c r="O2449" s="95" t="s">
        <v>10196</v>
      </c>
      <c r="P2449" s="95" t="s">
        <v>10197</v>
      </c>
      <c r="Q2449" s="98">
        <v>2.0</v>
      </c>
      <c r="R2449" s="97">
        <v>45624.62622685185</v>
      </c>
      <c r="S2449" s="99">
        <v>63.0</v>
      </c>
      <c r="T2449" s="99">
        <v>85.0</v>
      </c>
      <c r="U2449" s="99">
        <v>6.0</v>
      </c>
      <c r="V2449" s="99">
        <v>213.0</v>
      </c>
      <c r="W2449" s="99">
        <v>7197.0</v>
      </c>
    </row>
    <row r="2450" ht="15.75" customHeight="1">
      <c r="A2450" s="95" t="s">
        <v>13641</v>
      </c>
      <c r="B2450" s="95" t="s">
        <v>101</v>
      </c>
      <c r="C2450" s="96" t="s">
        <v>13642</v>
      </c>
      <c r="D2450" s="95" t="s">
        <v>39</v>
      </c>
      <c r="E2450" s="95" t="s">
        <v>1269</v>
      </c>
      <c r="F2450" s="95" t="s">
        <v>19</v>
      </c>
      <c r="G2450" s="95" t="s">
        <v>19</v>
      </c>
      <c r="H2450" s="95" t="s">
        <v>21</v>
      </c>
      <c r="I2450" s="95" t="s">
        <v>1504</v>
      </c>
      <c r="J2450" s="97">
        <v>46021.50663001157</v>
      </c>
      <c r="K2450" s="95" t="s">
        <v>13643</v>
      </c>
      <c r="L2450" s="96" t="s">
        <v>13644</v>
      </c>
      <c r="M2450" s="95" t="s">
        <v>67</v>
      </c>
      <c r="N2450" s="95" t="s">
        <v>10202</v>
      </c>
      <c r="O2450" s="95" t="s">
        <v>10202</v>
      </c>
      <c r="P2450" s="95" t="s">
        <v>10203</v>
      </c>
      <c r="Q2450" s="98">
        <v>2.0</v>
      </c>
      <c r="R2450" s="97">
        <v>45649.62144675926</v>
      </c>
      <c r="S2450" s="99">
        <v>364.0</v>
      </c>
      <c r="T2450" s="99">
        <v>41.0</v>
      </c>
      <c r="U2450" s="99">
        <v>8.0</v>
      </c>
      <c r="V2450" s="99">
        <v>129.0</v>
      </c>
      <c r="W2450" s="99">
        <v>6974.0</v>
      </c>
    </row>
    <row r="2451" ht="15.75" customHeight="1">
      <c r="A2451" s="95" t="s">
        <v>13645</v>
      </c>
      <c r="B2451" s="95" t="s">
        <v>69</v>
      </c>
      <c r="C2451" s="96" t="s">
        <v>13646</v>
      </c>
      <c r="D2451" s="95" t="s">
        <v>548</v>
      </c>
      <c r="E2451" s="95" t="s">
        <v>6351</v>
      </c>
      <c r="F2451" s="95" t="s">
        <v>88</v>
      </c>
      <c r="G2451" s="95" t="s">
        <v>639</v>
      </c>
      <c r="H2451" s="95" t="s">
        <v>77</v>
      </c>
      <c r="I2451" s="95" t="s">
        <v>13647</v>
      </c>
      <c r="J2451" s="97">
        <v>46009.85078920139</v>
      </c>
      <c r="K2451" s="95" t="s">
        <v>13648</v>
      </c>
      <c r="L2451" s="95"/>
      <c r="M2451" s="95" t="s">
        <v>93</v>
      </c>
      <c r="N2451" s="95" t="s">
        <v>13649</v>
      </c>
      <c r="O2451" s="95" t="s">
        <v>13649</v>
      </c>
      <c r="P2451" s="95" t="s">
        <v>13650</v>
      </c>
      <c r="Q2451" s="98">
        <v>2.0</v>
      </c>
      <c r="R2451" s="97">
        <v>45989.5552662037</v>
      </c>
      <c r="S2451" s="99">
        <v>2166.0</v>
      </c>
      <c r="T2451" s="99">
        <v>654.0</v>
      </c>
      <c r="U2451" s="99">
        <v>1.0</v>
      </c>
      <c r="V2451" s="99">
        <v>42.0</v>
      </c>
      <c r="W2451" s="99">
        <v>211864.0</v>
      </c>
    </row>
    <row r="2452" ht="15.75" customHeight="1">
      <c r="A2452" s="95" t="s">
        <v>13651</v>
      </c>
      <c r="B2452" s="95" t="s">
        <v>69</v>
      </c>
      <c r="C2452" s="96" t="s">
        <v>13652</v>
      </c>
      <c r="D2452" s="95" t="s">
        <v>29</v>
      </c>
      <c r="E2452" s="95" t="s">
        <v>658</v>
      </c>
      <c r="F2452" s="95" t="s">
        <v>88</v>
      </c>
      <c r="G2452" s="95" t="s">
        <v>88</v>
      </c>
      <c r="H2452" s="95" t="s">
        <v>89</v>
      </c>
      <c r="I2452" s="95" t="s">
        <v>640</v>
      </c>
      <c r="J2452" s="97">
        <v>46008.629085</v>
      </c>
      <c r="K2452" s="96" t="s">
        <v>13653</v>
      </c>
      <c r="L2452" s="96" t="s">
        <v>13654</v>
      </c>
      <c r="M2452" s="95" t="s">
        <v>74</v>
      </c>
      <c r="N2452" s="95" t="s">
        <v>13655</v>
      </c>
      <c r="O2452" s="95" t="s">
        <v>13655</v>
      </c>
      <c r="P2452" s="95" t="s">
        <v>13656</v>
      </c>
      <c r="Q2452" s="98">
        <v>2.0</v>
      </c>
      <c r="R2452" s="97">
        <v>45898.56943287037</v>
      </c>
      <c r="S2452" s="99">
        <v>54065.0</v>
      </c>
      <c r="T2452" s="99">
        <v>32.0</v>
      </c>
      <c r="U2452" s="99">
        <v>1.0</v>
      </c>
      <c r="V2452" s="99">
        <v>34.0</v>
      </c>
      <c r="W2452" s="99">
        <v>190887.0</v>
      </c>
    </row>
    <row r="2453" ht="15.75" customHeight="1">
      <c r="A2453" s="95" t="s">
        <v>13657</v>
      </c>
      <c r="B2453" s="95" t="s">
        <v>69</v>
      </c>
      <c r="C2453" s="96" t="s">
        <v>13658</v>
      </c>
      <c r="D2453" s="95" t="s">
        <v>39</v>
      </c>
      <c r="E2453" s="95" t="s">
        <v>39</v>
      </c>
      <c r="F2453" s="95" t="s">
        <v>58</v>
      </c>
      <c r="G2453" s="95" t="s">
        <v>2409</v>
      </c>
      <c r="H2453" s="95" t="s">
        <v>77</v>
      </c>
      <c r="I2453" s="95" t="s">
        <v>6448</v>
      </c>
      <c r="J2453" s="97">
        <v>45975.67936400463</v>
      </c>
      <c r="K2453" s="96" t="s">
        <v>13659</v>
      </c>
      <c r="L2453" s="96" t="s">
        <v>13660</v>
      </c>
      <c r="M2453" s="95" t="s">
        <v>17</v>
      </c>
      <c r="N2453" s="95" t="s">
        <v>10265</v>
      </c>
      <c r="O2453" s="95" t="s">
        <v>10265</v>
      </c>
      <c r="P2453" s="95" t="s">
        <v>10266</v>
      </c>
      <c r="Q2453" s="98">
        <v>2.0</v>
      </c>
      <c r="R2453" s="97">
        <v>45814.23513888889</v>
      </c>
      <c r="S2453" s="99">
        <v>94.0</v>
      </c>
      <c r="T2453" s="99">
        <v>2.0</v>
      </c>
      <c r="U2453" s="99">
        <v>1.0</v>
      </c>
      <c r="V2453" s="99">
        <v>20.0</v>
      </c>
      <c r="W2453" s="99">
        <v>51121.0</v>
      </c>
    </row>
    <row r="2454" ht="15.75" customHeight="1">
      <c r="A2454" s="95" t="s">
        <v>13661</v>
      </c>
      <c r="B2454" s="95" t="s">
        <v>69</v>
      </c>
      <c r="C2454" s="96" t="s">
        <v>13662</v>
      </c>
      <c r="D2454" s="95" t="s">
        <v>39</v>
      </c>
      <c r="E2454" s="95" t="s">
        <v>39</v>
      </c>
      <c r="F2454" s="95" t="s">
        <v>88</v>
      </c>
      <c r="G2454" s="95" t="s">
        <v>639</v>
      </c>
      <c r="H2454" s="95" t="s">
        <v>89</v>
      </c>
      <c r="I2454" s="95" t="s">
        <v>640</v>
      </c>
      <c r="J2454" s="97">
        <v>45975.67936400463</v>
      </c>
      <c r="K2454" s="96" t="s">
        <v>13663</v>
      </c>
      <c r="L2454" s="96" t="s">
        <v>13664</v>
      </c>
      <c r="M2454" s="95" t="s">
        <v>17</v>
      </c>
      <c r="N2454" s="95" t="s">
        <v>13665</v>
      </c>
      <c r="O2454" s="95" t="s">
        <v>13665</v>
      </c>
      <c r="P2454" s="95" t="s">
        <v>13666</v>
      </c>
      <c r="Q2454" s="98">
        <v>2.0</v>
      </c>
      <c r="R2454" s="97">
        <v>45634.35314814815</v>
      </c>
      <c r="S2454" s="99">
        <v>9220.0</v>
      </c>
      <c r="T2454" s="99">
        <v>39.0</v>
      </c>
      <c r="U2454" s="99">
        <v>11.0</v>
      </c>
      <c r="V2454" s="99">
        <v>31.0</v>
      </c>
      <c r="W2454" s="99">
        <v>110448.0</v>
      </c>
    </row>
    <row r="2455" ht="15.75" customHeight="1">
      <c r="A2455" s="95" t="s">
        <v>13667</v>
      </c>
      <c r="B2455" s="95" t="s">
        <v>22</v>
      </c>
      <c r="C2455" s="96" t="s">
        <v>13668</v>
      </c>
      <c r="D2455" s="95" t="s">
        <v>29</v>
      </c>
      <c r="E2455" s="95" t="s">
        <v>29</v>
      </c>
      <c r="F2455" s="95" t="s">
        <v>19</v>
      </c>
      <c r="G2455" s="95" t="s">
        <v>574</v>
      </c>
      <c r="H2455" s="95" t="s">
        <v>21</v>
      </c>
      <c r="I2455" s="95" t="s">
        <v>567</v>
      </c>
      <c r="J2455" s="97">
        <v>46021.50677472222</v>
      </c>
      <c r="K2455" s="95" t="s">
        <v>13669</v>
      </c>
      <c r="L2455" s="96" t="s">
        <v>13670</v>
      </c>
      <c r="M2455" s="95" t="s">
        <v>74</v>
      </c>
      <c r="N2455" s="95" t="s">
        <v>10277</v>
      </c>
      <c r="O2455" s="95" t="s">
        <v>10277</v>
      </c>
      <c r="P2455" s="95" t="s">
        <v>10278</v>
      </c>
      <c r="Q2455" s="98">
        <v>2.0</v>
      </c>
      <c r="R2455" s="97">
        <v>45623.0131712963</v>
      </c>
      <c r="S2455" s="99">
        <v>946.0</v>
      </c>
      <c r="T2455" s="99">
        <v>5.0</v>
      </c>
      <c r="U2455" s="99">
        <v>2.0</v>
      </c>
      <c r="V2455" s="99">
        <v>122.0</v>
      </c>
      <c r="W2455" s="99">
        <v>310390.0</v>
      </c>
    </row>
    <row r="2456" ht="15.75" customHeight="1">
      <c r="A2456" s="95" t="s">
        <v>13671</v>
      </c>
      <c r="B2456" s="95" t="s">
        <v>22</v>
      </c>
      <c r="C2456" s="96" t="s">
        <v>13672</v>
      </c>
      <c r="D2456" s="95" t="s">
        <v>39</v>
      </c>
      <c r="E2456" s="95" t="s">
        <v>39</v>
      </c>
      <c r="F2456" s="95" t="s">
        <v>19</v>
      </c>
      <c r="G2456" s="95" t="s">
        <v>588</v>
      </c>
      <c r="H2456" s="95" t="s">
        <v>21</v>
      </c>
      <c r="I2456" s="95" t="s">
        <v>589</v>
      </c>
      <c r="J2456" s="97">
        <v>46061.01691743056</v>
      </c>
      <c r="K2456" s="95" t="s">
        <v>13673</v>
      </c>
      <c r="L2456" s="96" t="s">
        <v>13674</v>
      </c>
      <c r="M2456" s="95" t="s">
        <v>503</v>
      </c>
      <c r="N2456" s="95" t="s">
        <v>13675</v>
      </c>
      <c r="O2456" s="95" t="s">
        <v>13675</v>
      </c>
      <c r="P2456" s="95" t="s">
        <v>13676</v>
      </c>
      <c r="Q2456" s="98">
        <v>2.0</v>
      </c>
      <c r="R2456" s="97">
        <v>45738.72694444445</v>
      </c>
      <c r="S2456" s="99">
        <v>253.0</v>
      </c>
      <c r="T2456" s="99">
        <v>1.0</v>
      </c>
      <c r="U2456" s="99">
        <v>1.0</v>
      </c>
      <c r="V2456" s="99">
        <v>85.0</v>
      </c>
      <c r="W2456" s="99">
        <v>30979.0</v>
      </c>
    </row>
    <row r="2457" ht="15.75" customHeight="1">
      <c r="A2457" s="95" t="s">
        <v>13677</v>
      </c>
      <c r="B2457" s="95" t="s">
        <v>22</v>
      </c>
      <c r="C2457" s="96" t="s">
        <v>13678</v>
      </c>
      <c r="D2457" s="95" t="s">
        <v>124</v>
      </c>
      <c r="E2457" s="95" t="s">
        <v>1731</v>
      </c>
      <c r="F2457" s="95" t="s">
        <v>88</v>
      </c>
      <c r="G2457" s="95" t="s">
        <v>858</v>
      </c>
      <c r="H2457" s="95" t="s">
        <v>21</v>
      </c>
      <c r="I2457" s="95" t="s">
        <v>567</v>
      </c>
      <c r="J2457" s="97">
        <v>45975.67930844907</v>
      </c>
      <c r="K2457" s="96" t="s">
        <v>13679</v>
      </c>
      <c r="L2457" s="96" t="s">
        <v>13680</v>
      </c>
      <c r="M2457" s="95" t="s">
        <v>54</v>
      </c>
      <c r="N2457" s="95" t="s">
        <v>13681</v>
      </c>
      <c r="O2457" s="95" t="s">
        <v>13681</v>
      </c>
      <c r="P2457" s="95" t="s">
        <v>13682</v>
      </c>
      <c r="Q2457" s="98">
        <v>2.0</v>
      </c>
      <c r="R2457" s="97">
        <v>45853.12958333334</v>
      </c>
      <c r="S2457" s="99">
        <v>15690.0</v>
      </c>
      <c r="T2457" s="99">
        <v>108.0</v>
      </c>
      <c r="U2457" s="99">
        <v>10.0</v>
      </c>
      <c r="V2457" s="99">
        <v>49.0</v>
      </c>
      <c r="W2457" s="99">
        <v>24086.0</v>
      </c>
    </row>
    <row r="2458" ht="15.75" customHeight="1">
      <c r="A2458" s="95" t="s">
        <v>13683</v>
      </c>
      <c r="B2458" s="95" t="s">
        <v>101</v>
      </c>
      <c r="C2458" s="96" t="s">
        <v>13684</v>
      </c>
      <c r="D2458" s="95" t="s">
        <v>39</v>
      </c>
      <c r="E2458" s="95" t="s">
        <v>960</v>
      </c>
      <c r="F2458" s="95" t="s">
        <v>88</v>
      </c>
      <c r="G2458" s="95" t="s">
        <v>858</v>
      </c>
      <c r="H2458" s="95" t="s">
        <v>21</v>
      </c>
      <c r="I2458" s="95" t="s">
        <v>745</v>
      </c>
      <c r="J2458" s="97">
        <v>45975.67930844907</v>
      </c>
      <c r="K2458" s="96" t="s">
        <v>13685</v>
      </c>
      <c r="L2458" s="96" t="s">
        <v>13686</v>
      </c>
      <c r="M2458" s="95" t="s">
        <v>54</v>
      </c>
      <c r="N2458" s="95" t="s">
        <v>10319</v>
      </c>
      <c r="O2458" s="95" t="s">
        <v>10319</v>
      </c>
      <c r="P2458" s="95" t="s">
        <v>10320</v>
      </c>
      <c r="Q2458" s="98">
        <v>2.0</v>
      </c>
      <c r="R2458" s="97">
        <v>45689.83650462963</v>
      </c>
      <c r="S2458" s="99">
        <v>134.0</v>
      </c>
      <c r="T2458" s="99">
        <v>1382.0</v>
      </c>
      <c r="U2458" s="99">
        <v>1.0</v>
      </c>
      <c r="V2458" s="99">
        <v>59.0</v>
      </c>
      <c r="W2458" s="99">
        <v>121768.0</v>
      </c>
    </row>
    <row r="2459" ht="15.75" customHeight="1">
      <c r="A2459" s="95" t="s">
        <v>13687</v>
      </c>
      <c r="B2459" s="95" t="s">
        <v>22</v>
      </c>
      <c r="C2459" s="96" t="s">
        <v>13688</v>
      </c>
      <c r="D2459" s="95" t="s">
        <v>39</v>
      </c>
      <c r="E2459" s="95" t="s">
        <v>39</v>
      </c>
      <c r="F2459" s="95" t="s">
        <v>19</v>
      </c>
      <c r="G2459" s="95" t="s">
        <v>19</v>
      </c>
      <c r="H2459" s="95" t="s">
        <v>21</v>
      </c>
      <c r="I2459" s="95" t="s">
        <v>567</v>
      </c>
      <c r="J2459" s="97">
        <v>46021.50517908565</v>
      </c>
      <c r="K2459" s="95" t="s">
        <v>13689</v>
      </c>
      <c r="L2459" s="96" t="s">
        <v>13690</v>
      </c>
      <c r="M2459" s="95" t="s">
        <v>93</v>
      </c>
      <c r="N2459" s="95" t="s">
        <v>10343</v>
      </c>
      <c r="O2459" s="95" t="s">
        <v>10343</v>
      </c>
      <c r="P2459" s="95" t="s">
        <v>10344</v>
      </c>
      <c r="Q2459" s="98">
        <v>2.0</v>
      </c>
      <c r="R2459" s="97">
        <v>44262.78971064815</v>
      </c>
      <c r="S2459" s="99">
        <v>2016.0</v>
      </c>
      <c r="T2459" s="99">
        <v>390.0</v>
      </c>
      <c r="U2459" s="99">
        <v>6.0</v>
      </c>
      <c r="V2459" s="99">
        <v>22.0</v>
      </c>
      <c r="W2459" s="99">
        <v>261558.0</v>
      </c>
    </row>
    <row r="2460" ht="15.75" customHeight="1">
      <c r="A2460" s="95" t="s">
        <v>13691</v>
      </c>
      <c r="B2460" s="95" t="s">
        <v>22</v>
      </c>
      <c r="C2460" s="96" t="s">
        <v>13692</v>
      </c>
      <c r="D2460" s="95" t="s">
        <v>29</v>
      </c>
      <c r="E2460" s="95" t="s">
        <v>689</v>
      </c>
      <c r="F2460" s="95" t="s">
        <v>19</v>
      </c>
      <c r="G2460" s="95" t="s">
        <v>1367</v>
      </c>
      <c r="H2460" s="95" t="s">
        <v>21</v>
      </c>
      <c r="I2460" s="95" t="s">
        <v>567</v>
      </c>
      <c r="J2460" s="97">
        <v>45975.67930844907</v>
      </c>
      <c r="K2460" s="96" t="s">
        <v>13693</v>
      </c>
      <c r="L2460" s="95"/>
      <c r="M2460" s="95" t="s">
        <v>54</v>
      </c>
      <c r="N2460" s="95" t="s">
        <v>13694</v>
      </c>
      <c r="O2460" s="95" t="s">
        <v>13694</v>
      </c>
      <c r="P2460" s="95" t="s">
        <v>13695</v>
      </c>
      <c r="Q2460" s="98">
        <v>2.0</v>
      </c>
      <c r="R2460" s="97">
        <v>45696.69076388889</v>
      </c>
      <c r="S2460" s="99">
        <v>32048.0</v>
      </c>
      <c r="T2460" s="99">
        <v>662.0</v>
      </c>
      <c r="U2460" s="99">
        <v>2.0</v>
      </c>
      <c r="V2460" s="99">
        <v>72.0</v>
      </c>
      <c r="W2460" s="99">
        <v>129831.0</v>
      </c>
    </row>
    <row r="2461" ht="15.75" customHeight="1">
      <c r="A2461" s="95" t="s">
        <v>13696</v>
      </c>
      <c r="B2461" s="95" t="s">
        <v>22</v>
      </c>
      <c r="C2461" s="96" t="s">
        <v>13697</v>
      </c>
      <c r="D2461" s="95" t="s">
        <v>547</v>
      </c>
      <c r="E2461" s="95" t="s">
        <v>2202</v>
      </c>
      <c r="F2461" s="95" t="s">
        <v>19</v>
      </c>
      <c r="G2461" s="95" t="s">
        <v>1367</v>
      </c>
      <c r="H2461" s="95" t="s">
        <v>21</v>
      </c>
      <c r="I2461" s="95" t="s">
        <v>633</v>
      </c>
      <c r="J2461" s="97">
        <v>45989.55592024305</v>
      </c>
      <c r="K2461" s="95" t="s">
        <v>13698</v>
      </c>
      <c r="L2461" s="96" t="s">
        <v>13699</v>
      </c>
      <c r="M2461" s="95" t="s">
        <v>105</v>
      </c>
      <c r="N2461" s="95" t="s">
        <v>13700</v>
      </c>
      <c r="O2461" s="95" t="s">
        <v>13700</v>
      </c>
      <c r="P2461" s="95" t="s">
        <v>13701</v>
      </c>
      <c r="Q2461" s="98">
        <v>2.0</v>
      </c>
      <c r="R2461" s="97">
        <v>45716.75525462963</v>
      </c>
      <c r="S2461" s="99">
        <v>6967.0</v>
      </c>
      <c r="T2461" s="99">
        <v>78.0</v>
      </c>
      <c r="U2461" s="99">
        <v>1.0</v>
      </c>
      <c r="V2461" s="99">
        <v>180.0</v>
      </c>
      <c r="W2461" s="99">
        <v>35210.0</v>
      </c>
    </row>
    <row r="2462" ht="15.75" customHeight="1">
      <c r="A2462" s="95" t="s">
        <v>13702</v>
      </c>
      <c r="B2462" s="95" t="s">
        <v>22</v>
      </c>
      <c r="C2462" s="96" t="s">
        <v>13703</v>
      </c>
      <c r="D2462" s="95" t="s">
        <v>168</v>
      </c>
      <c r="E2462" s="95" t="s">
        <v>606</v>
      </c>
      <c r="F2462" s="95" t="s">
        <v>19</v>
      </c>
      <c r="G2462" s="95" t="s">
        <v>19</v>
      </c>
      <c r="H2462" s="95" t="s">
        <v>21</v>
      </c>
      <c r="I2462" s="95" t="s">
        <v>567</v>
      </c>
      <c r="J2462" s="97">
        <v>45977.67617373843</v>
      </c>
      <c r="K2462" s="95" t="s">
        <v>13704</v>
      </c>
      <c r="L2462" s="96" t="s">
        <v>13705</v>
      </c>
      <c r="M2462" s="95" t="s">
        <v>17</v>
      </c>
      <c r="N2462" s="95" t="s">
        <v>13706</v>
      </c>
      <c r="O2462" s="95" t="s">
        <v>13706</v>
      </c>
      <c r="P2462" s="95" t="s">
        <v>13707</v>
      </c>
      <c r="Q2462" s="98">
        <v>2.0</v>
      </c>
      <c r="R2462" s="97">
        <v>45905.62913194444</v>
      </c>
      <c r="S2462" s="99">
        <v>454.0</v>
      </c>
      <c r="T2462" s="99">
        <v>12.0</v>
      </c>
      <c r="U2462" s="99">
        <v>2.0</v>
      </c>
      <c r="V2462" s="99">
        <v>119.0</v>
      </c>
      <c r="W2462" s="99">
        <v>53836.0</v>
      </c>
    </row>
    <row r="2463" ht="15.75" customHeight="1">
      <c r="A2463" s="95" t="s">
        <v>13708</v>
      </c>
      <c r="B2463" s="95" t="s">
        <v>22</v>
      </c>
      <c r="C2463" s="96" t="s">
        <v>13709</v>
      </c>
      <c r="D2463" s="95" t="s">
        <v>130</v>
      </c>
      <c r="E2463" s="95" t="s">
        <v>1025</v>
      </c>
      <c r="F2463" s="95" t="s">
        <v>19</v>
      </c>
      <c r="G2463" s="95" t="s">
        <v>19</v>
      </c>
      <c r="H2463" s="95" t="s">
        <v>21</v>
      </c>
      <c r="I2463" s="95" t="s">
        <v>567</v>
      </c>
      <c r="J2463" s="97">
        <v>46008.62901137731</v>
      </c>
      <c r="K2463" s="96" t="s">
        <v>13710</v>
      </c>
      <c r="L2463" s="96" t="s">
        <v>13711</v>
      </c>
      <c r="M2463" s="95" t="s">
        <v>17</v>
      </c>
      <c r="N2463" s="95" t="s">
        <v>1363</v>
      </c>
      <c r="O2463" s="95" t="s">
        <v>1363</v>
      </c>
      <c r="P2463" s="95" t="s">
        <v>1364</v>
      </c>
      <c r="Q2463" s="98">
        <v>1.0</v>
      </c>
      <c r="R2463" s="97">
        <v>45832.82351851852</v>
      </c>
      <c r="S2463" s="99">
        <v>908.0</v>
      </c>
      <c r="T2463" s="99">
        <v>5.0</v>
      </c>
      <c r="U2463" s="99">
        <v>5.0</v>
      </c>
      <c r="V2463" s="99">
        <v>104.0</v>
      </c>
      <c r="W2463" s="99">
        <v>174652.0</v>
      </c>
    </row>
    <row r="2464" ht="15.75" customHeight="1">
      <c r="A2464" s="95" t="s">
        <v>13712</v>
      </c>
      <c r="B2464" s="95" t="s">
        <v>22</v>
      </c>
      <c r="C2464" s="96" t="s">
        <v>13713</v>
      </c>
      <c r="D2464" s="95" t="s">
        <v>39</v>
      </c>
      <c r="E2464" s="95" t="s">
        <v>39</v>
      </c>
      <c r="F2464" s="95" t="s">
        <v>19</v>
      </c>
      <c r="G2464" s="95" t="s">
        <v>19</v>
      </c>
      <c r="H2464" s="95" t="s">
        <v>21</v>
      </c>
      <c r="I2464" s="95" t="s">
        <v>567</v>
      </c>
      <c r="J2464" s="97">
        <v>46039.60634708333</v>
      </c>
      <c r="K2464" s="95" t="s">
        <v>13714</v>
      </c>
      <c r="L2464" s="96" t="s">
        <v>13715</v>
      </c>
      <c r="M2464" s="95" t="s">
        <v>93</v>
      </c>
      <c r="N2464" s="95" t="s">
        <v>13716</v>
      </c>
      <c r="O2464" s="95" t="s">
        <v>13716</v>
      </c>
      <c r="P2464" s="95" t="s">
        <v>13717</v>
      </c>
      <c r="Q2464" s="98">
        <v>1.0</v>
      </c>
      <c r="R2464" s="97">
        <v>45943.58582175926</v>
      </c>
      <c r="S2464" s="99">
        <v>140.0</v>
      </c>
      <c r="T2464" s="99">
        <v>1003.0</v>
      </c>
      <c r="U2464" s="99">
        <v>1.0</v>
      </c>
      <c r="V2464" s="99">
        <v>37.0</v>
      </c>
      <c r="W2464" s="99">
        <v>80782.0</v>
      </c>
    </row>
    <row r="2465" ht="15.75" customHeight="1">
      <c r="A2465" s="95" t="s">
        <v>13718</v>
      </c>
      <c r="B2465" s="95" t="s">
        <v>22</v>
      </c>
      <c r="C2465" s="96" t="s">
        <v>13719</v>
      </c>
      <c r="D2465" s="95" t="s">
        <v>130</v>
      </c>
      <c r="E2465" s="95" t="s">
        <v>130</v>
      </c>
      <c r="F2465" s="95" t="s">
        <v>19</v>
      </c>
      <c r="G2465" s="95" t="s">
        <v>19</v>
      </c>
      <c r="H2465" s="95" t="s">
        <v>21</v>
      </c>
      <c r="I2465" s="95" t="s">
        <v>567</v>
      </c>
      <c r="J2465" s="97">
        <v>45986.53189861111</v>
      </c>
      <c r="K2465" s="95" t="s">
        <v>13720</v>
      </c>
      <c r="L2465" s="96" t="s">
        <v>13721</v>
      </c>
      <c r="M2465" s="95" t="s">
        <v>17</v>
      </c>
      <c r="N2465" s="95" t="s">
        <v>13722</v>
      </c>
      <c r="O2465" s="95" t="s">
        <v>13722</v>
      </c>
      <c r="P2465" s="95" t="s">
        <v>13723</v>
      </c>
      <c r="Q2465" s="98">
        <v>1.0</v>
      </c>
      <c r="R2465" s="97">
        <v>45616.4496875</v>
      </c>
      <c r="S2465" s="99">
        <v>1416.0</v>
      </c>
      <c r="T2465" s="99">
        <v>39.0</v>
      </c>
      <c r="U2465" s="99">
        <v>1.0</v>
      </c>
      <c r="V2465" s="99">
        <v>106.0</v>
      </c>
      <c r="W2465" s="99">
        <v>9223.0</v>
      </c>
    </row>
    <row r="2466" ht="15.75" customHeight="1">
      <c r="A2466" s="95" t="s">
        <v>13724</v>
      </c>
      <c r="B2466" s="95" t="s">
        <v>22</v>
      </c>
      <c r="C2466" s="96" t="s">
        <v>13725</v>
      </c>
      <c r="D2466" s="95" t="s">
        <v>168</v>
      </c>
      <c r="E2466" s="95" t="s">
        <v>780</v>
      </c>
      <c r="F2466" s="95" t="s">
        <v>19</v>
      </c>
      <c r="G2466" s="95" t="s">
        <v>19</v>
      </c>
      <c r="H2466" s="95" t="s">
        <v>21</v>
      </c>
      <c r="I2466" s="95" t="s">
        <v>567</v>
      </c>
      <c r="J2466" s="97">
        <v>46002.69301743055</v>
      </c>
      <c r="K2466" s="95" t="s">
        <v>13726</v>
      </c>
      <c r="L2466" s="96" t="s">
        <v>13727</v>
      </c>
      <c r="M2466" s="95" t="s">
        <v>105</v>
      </c>
      <c r="N2466" s="95" t="s">
        <v>10750</v>
      </c>
      <c r="O2466" s="95" t="s">
        <v>10750</v>
      </c>
      <c r="P2466" s="95" t="s">
        <v>10751</v>
      </c>
      <c r="Q2466" s="98">
        <v>1.0</v>
      </c>
      <c r="R2466" s="97">
        <v>45467.64447916667</v>
      </c>
      <c r="S2466" s="99">
        <v>403.0</v>
      </c>
      <c r="T2466" s="99">
        <v>807.0</v>
      </c>
      <c r="U2466" s="99">
        <v>4.0</v>
      </c>
      <c r="V2466" s="99">
        <v>48.0</v>
      </c>
      <c r="W2466" s="99">
        <v>34173.0</v>
      </c>
    </row>
    <row r="2467" ht="15.75" customHeight="1">
      <c r="A2467" s="95" t="s">
        <v>13728</v>
      </c>
      <c r="B2467" s="95" t="s">
        <v>22</v>
      </c>
      <c r="C2467" s="96" t="s">
        <v>13729</v>
      </c>
      <c r="D2467" s="95" t="s">
        <v>20</v>
      </c>
      <c r="E2467" s="95" t="s">
        <v>1991</v>
      </c>
      <c r="F2467" s="95" t="s">
        <v>19</v>
      </c>
      <c r="G2467" s="95" t="s">
        <v>19</v>
      </c>
      <c r="H2467" s="95" t="s">
        <v>21</v>
      </c>
      <c r="I2467" s="95" t="s">
        <v>567</v>
      </c>
      <c r="J2467" s="97">
        <v>45993.7854622338</v>
      </c>
      <c r="K2467" s="96" t="s">
        <v>13730</v>
      </c>
      <c r="L2467" s="95"/>
      <c r="M2467" s="95" t="s">
        <v>17</v>
      </c>
      <c r="N2467" s="95" t="s">
        <v>13731</v>
      </c>
      <c r="O2467" s="95" t="s">
        <v>13731</v>
      </c>
      <c r="P2467" s="95" t="s">
        <v>13732</v>
      </c>
      <c r="Q2467" s="98">
        <v>1.0</v>
      </c>
      <c r="R2467" s="97">
        <v>45770.83081018519</v>
      </c>
      <c r="S2467" s="99">
        <v>9552.0</v>
      </c>
      <c r="T2467" s="99">
        <v>885.0</v>
      </c>
      <c r="U2467" s="99">
        <v>10.0</v>
      </c>
      <c r="V2467" s="99">
        <v>58.0</v>
      </c>
      <c r="W2467" s="99">
        <v>192309.0</v>
      </c>
    </row>
    <row r="2468" ht="15.75" customHeight="1">
      <c r="A2468" s="95" t="s">
        <v>13733</v>
      </c>
      <c r="B2468" s="95" t="s">
        <v>22</v>
      </c>
      <c r="C2468" s="96" t="s">
        <v>13734</v>
      </c>
      <c r="D2468" s="95" t="s">
        <v>20</v>
      </c>
      <c r="E2468" s="95" t="s">
        <v>2261</v>
      </c>
      <c r="F2468" s="95" t="s">
        <v>19</v>
      </c>
      <c r="G2468" s="95"/>
      <c r="H2468" s="95" t="s">
        <v>21</v>
      </c>
      <c r="I2468" s="95" t="s">
        <v>567</v>
      </c>
      <c r="J2468" s="97">
        <v>45988.61394711806</v>
      </c>
      <c r="K2468" s="95" t="s">
        <v>13735</v>
      </c>
      <c r="L2468" s="96" t="s">
        <v>13736</v>
      </c>
      <c r="M2468" s="95" t="s">
        <v>17</v>
      </c>
      <c r="N2468" s="95" t="s">
        <v>13737</v>
      </c>
      <c r="O2468" s="95" t="s">
        <v>13737</v>
      </c>
      <c r="P2468" s="95" t="s">
        <v>13738</v>
      </c>
      <c r="Q2468" s="98">
        <v>1.0</v>
      </c>
      <c r="R2468" s="97">
        <v>45707.90509259259</v>
      </c>
      <c r="S2468" s="99">
        <v>452.0</v>
      </c>
      <c r="T2468" s="99">
        <v>26.0</v>
      </c>
      <c r="U2468" s="99">
        <v>2.0</v>
      </c>
      <c r="V2468" s="99">
        <v>29.0</v>
      </c>
      <c r="W2468" s="99">
        <v>134404.0</v>
      </c>
    </row>
    <row r="2469" ht="15.75" customHeight="1">
      <c r="A2469" s="95" t="s">
        <v>13739</v>
      </c>
      <c r="B2469" s="95" t="s">
        <v>157</v>
      </c>
      <c r="C2469" s="96" t="s">
        <v>13740</v>
      </c>
      <c r="D2469" s="95" t="s">
        <v>29</v>
      </c>
      <c r="E2469" s="95" t="s">
        <v>658</v>
      </c>
      <c r="F2469" s="95" t="s">
        <v>88</v>
      </c>
      <c r="G2469" s="95" t="s">
        <v>88</v>
      </c>
      <c r="H2469" s="95" t="s">
        <v>89</v>
      </c>
      <c r="I2469" s="95" t="s">
        <v>897</v>
      </c>
      <c r="J2469" s="97">
        <v>45993.78544196759</v>
      </c>
      <c r="K2469" s="96" t="s">
        <v>13741</v>
      </c>
      <c r="L2469" s="95"/>
      <c r="M2469" s="95" t="s">
        <v>93</v>
      </c>
      <c r="N2469" s="95" t="s">
        <v>1841</v>
      </c>
      <c r="O2469" s="95" t="s">
        <v>1841</v>
      </c>
      <c r="P2469" s="95" t="s">
        <v>1842</v>
      </c>
      <c r="Q2469" s="98">
        <v>1.0</v>
      </c>
      <c r="R2469" s="97">
        <v>45707.49225694445</v>
      </c>
      <c r="S2469" s="99">
        <v>3546.0</v>
      </c>
      <c r="T2469" s="99">
        <v>3809.0</v>
      </c>
      <c r="U2469" s="99">
        <v>6.0</v>
      </c>
      <c r="V2469" s="99">
        <v>86.0</v>
      </c>
      <c r="W2469" s="99">
        <v>209094.0</v>
      </c>
    </row>
    <row r="2470" ht="15.75" customHeight="1">
      <c r="A2470" s="95" t="s">
        <v>13742</v>
      </c>
      <c r="B2470" s="95" t="s">
        <v>22</v>
      </c>
      <c r="C2470" s="96" t="s">
        <v>13743</v>
      </c>
      <c r="D2470" s="95" t="s">
        <v>29</v>
      </c>
      <c r="E2470" s="95" t="s">
        <v>658</v>
      </c>
      <c r="F2470" s="95" t="s">
        <v>19</v>
      </c>
      <c r="G2470" s="95" t="s">
        <v>19</v>
      </c>
      <c r="H2470" s="95" t="s">
        <v>21</v>
      </c>
      <c r="I2470" s="95" t="s">
        <v>567</v>
      </c>
      <c r="J2470" s="97">
        <v>46039.71515172454</v>
      </c>
      <c r="K2470" s="95" t="s">
        <v>13744</v>
      </c>
      <c r="L2470" s="96" t="s">
        <v>13745</v>
      </c>
      <c r="M2470" s="95" t="s">
        <v>93</v>
      </c>
      <c r="N2470" s="95" t="s">
        <v>1841</v>
      </c>
      <c r="O2470" s="95" t="s">
        <v>1841</v>
      </c>
      <c r="P2470" s="95" t="s">
        <v>1842</v>
      </c>
      <c r="Q2470" s="98">
        <v>1.0</v>
      </c>
      <c r="R2470" s="97">
        <v>45078.59351851852</v>
      </c>
      <c r="S2470" s="99">
        <v>3546.0</v>
      </c>
      <c r="T2470" s="99">
        <v>1649.0</v>
      </c>
      <c r="U2470" s="99">
        <v>1.0</v>
      </c>
      <c r="V2470" s="99">
        <v>110.0</v>
      </c>
      <c r="W2470" s="99">
        <v>209094.0</v>
      </c>
    </row>
    <row r="2471" ht="15.75" customHeight="1">
      <c r="A2471" s="95" t="s">
        <v>13746</v>
      </c>
      <c r="B2471" s="95" t="s">
        <v>22</v>
      </c>
      <c r="C2471" s="96" t="s">
        <v>13747</v>
      </c>
      <c r="D2471" s="95" t="s">
        <v>548</v>
      </c>
      <c r="E2471" s="95" t="s">
        <v>3568</v>
      </c>
      <c r="F2471" s="95" t="s">
        <v>19</v>
      </c>
      <c r="G2471" s="95" t="s">
        <v>19</v>
      </c>
      <c r="H2471" s="95" t="s">
        <v>21</v>
      </c>
      <c r="I2471" s="95" t="s">
        <v>567</v>
      </c>
      <c r="J2471" s="97">
        <v>45978.4622894213</v>
      </c>
      <c r="K2471" s="95" t="s">
        <v>13748</v>
      </c>
      <c r="L2471" s="96" t="s">
        <v>13749</v>
      </c>
      <c r="M2471" s="95" t="s">
        <v>17</v>
      </c>
      <c r="N2471" s="95" t="s">
        <v>10914</v>
      </c>
      <c r="O2471" s="95" t="s">
        <v>10914</v>
      </c>
      <c r="P2471" s="95" t="s">
        <v>10915</v>
      </c>
      <c r="Q2471" s="98">
        <v>1.0</v>
      </c>
      <c r="R2471" s="97">
        <v>45633.58336805556</v>
      </c>
      <c r="S2471" s="99">
        <v>1005.0</v>
      </c>
      <c r="T2471" s="99">
        <v>4.0</v>
      </c>
      <c r="U2471" s="99">
        <v>1.0</v>
      </c>
      <c r="V2471" s="99">
        <v>50.0</v>
      </c>
      <c r="W2471" s="99">
        <v>15894.0</v>
      </c>
    </row>
    <row r="2472" ht="15.75" customHeight="1">
      <c r="A2472" s="95" t="s">
        <v>13750</v>
      </c>
      <c r="B2472" s="95" t="s">
        <v>22</v>
      </c>
      <c r="C2472" s="96" t="s">
        <v>13751</v>
      </c>
      <c r="D2472" s="95" t="s">
        <v>49</v>
      </c>
      <c r="E2472" s="95" t="s">
        <v>1082</v>
      </c>
      <c r="F2472" s="95" t="s">
        <v>19</v>
      </c>
      <c r="G2472" s="95" t="s">
        <v>19</v>
      </c>
      <c r="H2472" s="95" t="s">
        <v>21</v>
      </c>
      <c r="I2472" s="95" t="s">
        <v>567</v>
      </c>
      <c r="J2472" s="97">
        <v>46021.49370376157</v>
      </c>
      <c r="K2472" s="95" t="s">
        <v>13752</v>
      </c>
      <c r="L2472" s="96" t="s">
        <v>13753</v>
      </c>
      <c r="M2472" s="95" t="s">
        <v>54</v>
      </c>
      <c r="N2472" s="95" t="s">
        <v>2118</v>
      </c>
      <c r="O2472" s="95" t="s">
        <v>2118</v>
      </c>
      <c r="P2472" s="95" t="s">
        <v>2119</v>
      </c>
      <c r="Q2472" s="98">
        <v>1.0</v>
      </c>
      <c r="R2472" s="97">
        <v>45899.92996527778</v>
      </c>
      <c r="S2472" s="99">
        <v>75.0</v>
      </c>
      <c r="T2472" s="99">
        <v>301.0</v>
      </c>
      <c r="U2472" s="99">
        <v>1.0</v>
      </c>
      <c r="V2472" s="99">
        <v>377.0</v>
      </c>
      <c r="W2472" s="99">
        <v>84804.0</v>
      </c>
    </row>
    <row r="2473" ht="15.75" customHeight="1">
      <c r="A2473" s="95" t="s">
        <v>13754</v>
      </c>
      <c r="B2473" s="95" t="s">
        <v>22</v>
      </c>
      <c r="C2473" s="96" t="s">
        <v>13755</v>
      </c>
      <c r="D2473" s="95" t="s">
        <v>39</v>
      </c>
      <c r="E2473" s="95" t="s">
        <v>39</v>
      </c>
      <c r="F2473" s="95" t="s">
        <v>19</v>
      </c>
      <c r="G2473" s="95" t="s">
        <v>19</v>
      </c>
      <c r="H2473" s="95" t="s">
        <v>21</v>
      </c>
      <c r="I2473" s="95" t="s">
        <v>567</v>
      </c>
      <c r="J2473" s="97">
        <v>46021.51011266204</v>
      </c>
      <c r="K2473" s="95" t="s">
        <v>13756</v>
      </c>
      <c r="L2473" s="96" t="s">
        <v>13757</v>
      </c>
      <c r="M2473" s="95" t="s">
        <v>54</v>
      </c>
      <c r="N2473" s="95" t="s">
        <v>2167</v>
      </c>
      <c r="O2473" s="95" t="s">
        <v>2167</v>
      </c>
      <c r="P2473" s="95" t="s">
        <v>2168</v>
      </c>
      <c r="Q2473" s="98">
        <v>1.0</v>
      </c>
      <c r="R2473" s="97">
        <v>45850.14902777778</v>
      </c>
      <c r="S2473" s="99">
        <v>243.0</v>
      </c>
      <c r="T2473" s="99">
        <v>482.0</v>
      </c>
      <c r="U2473" s="99">
        <v>5.0</v>
      </c>
      <c r="V2473" s="99">
        <v>60.0</v>
      </c>
      <c r="W2473" s="99">
        <v>37252.0</v>
      </c>
    </row>
    <row r="2474" ht="15.75" customHeight="1">
      <c r="A2474" s="95" t="s">
        <v>13758</v>
      </c>
      <c r="B2474" s="95" t="s">
        <v>22</v>
      </c>
      <c r="C2474" s="96" t="s">
        <v>13759</v>
      </c>
      <c r="D2474" s="95" t="s">
        <v>29</v>
      </c>
      <c r="E2474" s="95" t="s">
        <v>910</v>
      </c>
      <c r="F2474" s="95" t="s">
        <v>19</v>
      </c>
      <c r="G2474" s="95" t="s">
        <v>1018</v>
      </c>
      <c r="H2474" s="95" t="s">
        <v>21</v>
      </c>
      <c r="I2474" s="95" t="s">
        <v>567</v>
      </c>
      <c r="J2474" s="97">
        <v>45988.61422113426</v>
      </c>
      <c r="K2474" s="95" t="s">
        <v>13760</v>
      </c>
      <c r="L2474" s="96" t="s">
        <v>13761</v>
      </c>
      <c r="M2474" s="95" t="s">
        <v>17</v>
      </c>
      <c r="N2474" s="95" t="s">
        <v>13762</v>
      </c>
      <c r="O2474" s="95" t="s">
        <v>13762</v>
      </c>
      <c r="P2474" s="95" t="s">
        <v>13763</v>
      </c>
      <c r="Q2474" s="98">
        <v>1.0</v>
      </c>
      <c r="R2474" s="97">
        <v>45867.83224537037</v>
      </c>
      <c r="S2474" s="99">
        <v>980.0</v>
      </c>
      <c r="T2474" s="99">
        <v>7.0</v>
      </c>
      <c r="U2474" s="99">
        <v>1.0</v>
      </c>
      <c r="V2474" s="99">
        <v>86.0</v>
      </c>
      <c r="W2474" s="99">
        <v>14705.0</v>
      </c>
    </row>
    <row r="2475" ht="15.75" customHeight="1">
      <c r="A2475" s="95" t="s">
        <v>13764</v>
      </c>
      <c r="B2475" s="95" t="s">
        <v>157</v>
      </c>
      <c r="C2475" s="96" t="s">
        <v>13765</v>
      </c>
      <c r="D2475" s="95" t="s">
        <v>168</v>
      </c>
      <c r="E2475" s="95" t="s">
        <v>168</v>
      </c>
      <c r="F2475" s="95" t="s">
        <v>88</v>
      </c>
      <c r="G2475" s="95" t="s">
        <v>858</v>
      </c>
      <c r="H2475" s="95" t="s">
        <v>89</v>
      </c>
      <c r="I2475" s="95" t="s">
        <v>13766</v>
      </c>
      <c r="J2475" s="97">
        <v>46075.71565079861</v>
      </c>
      <c r="K2475" s="95" t="s">
        <v>13767</v>
      </c>
      <c r="L2475" s="96" t="s">
        <v>13768</v>
      </c>
      <c r="M2475" s="95" t="s">
        <v>93</v>
      </c>
      <c r="N2475" s="95" t="s">
        <v>13769</v>
      </c>
      <c r="O2475" s="95" t="s">
        <v>13769</v>
      </c>
      <c r="P2475" s="95" t="s">
        <v>13770</v>
      </c>
      <c r="Q2475" s="98">
        <v>1.0</v>
      </c>
      <c r="R2475" s="97">
        <v>45966.89065972222</v>
      </c>
      <c r="S2475" s="99">
        <v>570.0</v>
      </c>
      <c r="T2475" s="99">
        <v>27425.0</v>
      </c>
      <c r="U2475" s="99">
        <v>34.0</v>
      </c>
      <c r="V2475" s="99">
        <v>855.0</v>
      </c>
      <c r="W2475" s="99">
        <v>771636.0</v>
      </c>
    </row>
    <row r="2476" ht="15.75" customHeight="1">
      <c r="A2476" s="95" t="s">
        <v>13771</v>
      </c>
      <c r="B2476" s="95" t="s">
        <v>22</v>
      </c>
      <c r="C2476" s="96" t="s">
        <v>13772</v>
      </c>
      <c r="D2476" s="95" t="s">
        <v>49</v>
      </c>
      <c r="E2476" s="95" t="s">
        <v>49</v>
      </c>
      <c r="F2476" s="95" t="s">
        <v>19</v>
      </c>
      <c r="G2476" s="95" t="s">
        <v>574</v>
      </c>
      <c r="H2476" s="95" t="s">
        <v>21</v>
      </c>
      <c r="I2476" s="95" t="s">
        <v>567</v>
      </c>
      <c r="J2476" s="97">
        <v>46021.49370376157</v>
      </c>
      <c r="K2476" s="95" t="s">
        <v>13773</v>
      </c>
      <c r="L2476" s="96" t="s">
        <v>13774</v>
      </c>
      <c r="M2476" s="95" t="s">
        <v>54</v>
      </c>
      <c r="N2476" s="95" t="s">
        <v>2495</v>
      </c>
      <c r="O2476" s="95" t="s">
        <v>2495</v>
      </c>
      <c r="P2476" s="95" t="s">
        <v>2496</v>
      </c>
      <c r="Q2476" s="98">
        <v>1.0</v>
      </c>
      <c r="R2476" s="97">
        <v>45646.61893518519</v>
      </c>
      <c r="S2476" s="99">
        <v>456.0</v>
      </c>
      <c r="T2476" s="99">
        <v>70.0</v>
      </c>
      <c r="U2476" s="99">
        <v>7.0</v>
      </c>
      <c r="V2476" s="99">
        <v>138.0</v>
      </c>
      <c r="W2476" s="99">
        <v>204685.0</v>
      </c>
    </row>
    <row r="2477" ht="15.75" customHeight="1">
      <c r="A2477" s="95" t="s">
        <v>13775</v>
      </c>
      <c r="B2477" s="95" t="s">
        <v>22</v>
      </c>
      <c r="C2477" s="96" t="s">
        <v>13776</v>
      </c>
      <c r="D2477" s="95" t="s">
        <v>39</v>
      </c>
      <c r="E2477" s="95" t="s">
        <v>960</v>
      </c>
      <c r="F2477" s="95" t="s">
        <v>19</v>
      </c>
      <c r="G2477" s="95" t="s">
        <v>19</v>
      </c>
      <c r="H2477" s="95" t="s">
        <v>21</v>
      </c>
      <c r="I2477" s="95" t="s">
        <v>567</v>
      </c>
      <c r="J2477" s="97">
        <v>45975.67934009259</v>
      </c>
      <c r="K2477" s="96" t="s">
        <v>13777</v>
      </c>
      <c r="L2477" s="96" t="s">
        <v>13778</v>
      </c>
      <c r="M2477" s="95" t="s">
        <v>17</v>
      </c>
      <c r="N2477" s="95" t="s">
        <v>2694</v>
      </c>
      <c r="O2477" s="95" t="s">
        <v>2694</v>
      </c>
      <c r="P2477" s="95" t="s">
        <v>2695</v>
      </c>
      <c r="Q2477" s="98">
        <v>1.0</v>
      </c>
      <c r="R2477" s="97">
        <v>45860.58947916667</v>
      </c>
      <c r="S2477" s="99">
        <v>9218.0</v>
      </c>
      <c r="T2477" s="99">
        <v>24.0</v>
      </c>
      <c r="U2477" s="99">
        <v>1.0</v>
      </c>
      <c r="V2477" s="99">
        <v>40.0</v>
      </c>
      <c r="W2477" s="99">
        <v>147001.0</v>
      </c>
    </row>
    <row r="2478" ht="15.75" customHeight="1">
      <c r="A2478" s="95" t="s">
        <v>13779</v>
      </c>
      <c r="B2478" s="95" t="s">
        <v>22</v>
      </c>
      <c r="C2478" s="96" t="s">
        <v>13780</v>
      </c>
      <c r="D2478" s="95" t="s">
        <v>39</v>
      </c>
      <c r="E2478" s="95" t="s">
        <v>960</v>
      </c>
      <c r="F2478" s="95" t="s">
        <v>19</v>
      </c>
      <c r="G2478" s="95" t="s">
        <v>574</v>
      </c>
      <c r="H2478" s="95" t="s">
        <v>21</v>
      </c>
      <c r="I2478" s="95" t="s">
        <v>567</v>
      </c>
      <c r="J2478" s="97">
        <v>45975.67934009259</v>
      </c>
      <c r="K2478" s="96" t="s">
        <v>13781</v>
      </c>
      <c r="L2478" s="96" t="s">
        <v>13782</v>
      </c>
      <c r="M2478" s="95" t="s">
        <v>17</v>
      </c>
      <c r="N2478" s="95" t="s">
        <v>2694</v>
      </c>
      <c r="O2478" s="95" t="s">
        <v>2694</v>
      </c>
      <c r="P2478" s="95" t="s">
        <v>2695</v>
      </c>
      <c r="Q2478" s="98">
        <v>1.0</v>
      </c>
      <c r="R2478" s="97">
        <v>45854.36857638889</v>
      </c>
      <c r="S2478" s="99">
        <v>9218.0</v>
      </c>
      <c r="T2478" s="99">
        <v>40.0</v>
      </c>
      <c r="U2478" s="99">
        <v>2.0</v>
      </c>
      <c r="V2478" s="99">
        <v>25.0</v>
      </c>
      <c r="W2478" s="99">
        <v>147001.0</v>
      </c>
    </row>
    <row r="2479" ht="15.75" customHeight="1">
      <c r="A2479" s="95" t="s">
        <v>13783</v>
      </c>
      <c r="B2479" s="95" t="s">
        <v>22</v>
      </c>
      <c r="C2479" s="96" t="s">
        <v>13784</v>
      </c>
      <c r="D2479" s="95" t="s">
        <v>20</v>
      </c>
      <c r="E2479" s="95" t="s">
        <v>13785</v>
      </c>
      <c r="F2479" s="95" t="s">
        <v>19</v>
      </c>
      <c r="G2479" s="95" t="s">
        <v>19</v>
      </c>
      <c r="H2479" s="95" t="s">
        <v>21</v>
      </c>
      <c r="I2479" s="95" t="s">
        <v>567</v>
      </c>
      <c r="J2479" s="97">
        <v>46061.01653907407</v>
      </c>
      <c r="K2479" s="96" t="s">
        <v>13786</v>
      </c>
      <c r="L2479" s="96" t="s">
        <v>13787</v>
      </c>
      <c r="M2479" s="95" t="s">
        <v>503</v>
      </c>
      <c r="N2479" s="95" t="s">
        <v>2766</v>
      </c>
      <c r="O2479" s="95" t="s">
        <v>2766</v>
      </c>
      <c r="P2479" s="95" t="s">
        <v>2767</v>
      </c>
      <c r="Q2479" s="98">
        <v>1.0</v>
      </c>
      <c r="R2479" s="97">
        <v>46050.71607638889</v>
      </c>
      <c r="S2479" s="99">
        <v>1353.0</v>
      </c>
      <c r="T2479" s="99">
        <v>2.0</v>
      </c>
      <c r="U2479" s="99">
        <v>1.0</v>
      </c>
      <c r="V2479" s="99">
        <v>84.0</v>
      </c>
      <c r="W2479" s="99">
        <v>56870.0</v>
      </c>
    </row>
    <row r="2480" ht="15.75" customHeight="1">
      <c r="A2480" s="95" t="s">
        <v>13788</v>
      </c>
      <c r="B2480" s="95" t="s">
        <v>22</v>
      </c>
      <c r="C2480" s="96" t="s">
        <v>13789</v>
      </c>
      <c r="D2480" s="95" t="s">
        <v>68</v>
      </c>
      <c r="E2480" s="95" t="s">
        <v>1901</v>
      </c>
      <c r="F2480" s="95" t="s">
        <v>19</v>
      </c>
      <c r="G2480" s="95" t="s">
        <v>19</v>
      </c>
      <c r="H2480" s="95" t="s">
        <v>21</v>
      </c>
      <c r="I2480" s="95" t="s">
        <v>567</v>
      </c>
      <c r="J2480" s="97">
        <v>45975.67931630787</v>
      </c>
      <c r="K2480" s="96" t="s">
        <v>13790</v>
      </c>
      <c r="L2480" s="96" t="s">
        <v>13791</v>
      </c>
      <c r="M2480" s="95" t="s">
        <v>54</v>
      </c>
      <c r="N2480" s="95" t="s">
        <v>2816</v>
      </c>
      <c r="O2480" s="95" t="s">
        <v>2816</v>
      </c>
      <c r="P2480" s="95" t="s">
        <v>2817</v>
      </c>
      <c r="Q2480" s="98">
        <v>1.0</v>
      </c>
      <c r="R2480" s="97">
        <v>45776.67997685185</v>
      </c>
      <c r="S2480" s="99">
        <v>11503.0</v>
      </c>
      <c r="T2480" s="99">
        <v>14.0</v>
      </c>
      <c r="U2480" s="99">
        <v>2.0</v>
      </c>
      <c r="V2480" s="99">
        <v>38.0</v>
      </c>
      <c r="W2480" s="99">
        <v>144317.0</v>
      </c>
    </row>
    <row r="2481" ht="15.75" customHeight="1">
      <c r="A2481" s="95" t="s">
        <v>13792</v>
      </c>
      <c r="B2481" s="95" t="s">
        <v>22</v>
      </c>
      <c r="C2481" s="96" t="s">
        <v>13793</v>
      </c>
      <c r="D2481" s="95" t="s">
        <v>547</v>
      </c>
      <c r="E2481" s="95" t="s">
        <v>5233</v>
      </c>
      <c r="F2481" s="95" t="s">
        <v>19</v>
      </c>
      <c r="G2481" s="95" t="s">
        <v>19</v>
      </c>
      <c r="H2481" s="95" t="s">
        <v>21</v>
      </c>
      <c r="I2481" s="95" t="s">
        <v>567</v>
      </c>
      <c r="J2481" s="97">
        <v>46021.50534530092</v>
      </c>
      <c r="K2481" s="95" t="s">
        <v>13794</v>
      </c>
      <c r="L2481" s="96" t="s">
        <v>13795</v>
      </c>
      <c r="M2481" s="95" t="s">
        <v>38</v>
      </c>
      <c r="N2481" s="95" t="s">
        <v>13796</v>
      </c>
      <c r="O2481" s="95" t="s">
        <v>13796</v>
      </c>
      <c r="P2481" s="95" t="s">
        <v>13797</v>
      </c>
      <c r="Q2481" s="98">
        <v>1.0</v>
      </c>
      <c r="R2481" s="97">
        <v>45833.15879629629</v>
      </c>
      <c r="S2481" s="99">
        <v>364.0</v>
      </c>
      <c r="T2481" s="99">
        <v>51.0</v>
      </c>
      <c r="U2481" s="99">
        <v>3.0</v>
      </c>
      <c r="V2481" s="99">
        <v>48.0</v>
      </c>
      <c r="W2481" s="99">
        <v>8489.0</v>
      </c>
    </row>
    <row r="2482" ht="15.75" customHeight="1">
      <c r="A2482" s="95" t="s">
        <v>13798</v>
      </c>
      <c r="B2482" s="95" t="s">
        <v>22</v>
      </c>
      <c r="C2482" s="96" t="s">
        <v>13799</v>
      </c>
      <c r="D2482" s="95" t="s">
        <v>130</v>
      </c>
      <c r="E2482" s="95" t="s">
        <v>2109</v>
      </c>
      <c r="F2482" s="95" t="s">
        <v>19</v>
      </c>
      <c r="G2482" s="95" t="s">
        <v>19</v>
      </c>
      <c r="H2482" s="95" t="s">
        <v>21</v>
      </c>
      <c r="I2482" s="95" t="s">
        <v>567</v>
      </c>
      <c r="J2482" s="97">
        <v>46003.09206449074</v>
      </c>
      <c r="K2482" s="95" t="s">
        <v>13800</v>
      </c>
      <c r="L2482" s="96" t="s">
        <v>13801</v>
      </c>
      <c r="M2482" s="95" t="s">
        <v>38</v>
      </c>
      <c r="N2482" s="95" t="s">
        <v>13802</v>
      </c>
      <c r="O2482" s="95" t="s">
        <v>13802</v>
      </c>
      <c r="P2482" s="95" t="s">
        <v>13803</v>
      </c>
      <c r="Q2482" s="98">
        <v>1.0</v>
      </c>
      <c r="R2482" s="97">
        <v>45903.64277777778</v>
      </c>
      <c r="S2482" s="99">
        <v>3344.0</v>
      </c>
      <c r="T2482" s="99">
        <v>1538.0</v>
      </c>
      <c r="U2482" s="99">
        <v>1.0</v>
      </c>
      <c r="V2482" s="99">
        <v>182.0</v>
      </c>
      <c r="W2482" s="99">
        <v>175886.0</v>
      </c>
    </row>
    <row r="2483" ht="15.75" customHeight="1">
      <c r="A2483" s="95" t="s">
        <v>13804</v>
      </c>
      <c r="B2483" s="95" t="s">
        <v>22</v>
      </c>
      <c r="C2483" s="96" t="s">
        <v>13805</v>
      </c>
      <c r="D2483" s="95" t="s">
        <v>59</v>
      </c>
      <c r="E2483" s="95" t="s">
        <v>738</v>
      </c>
      <c r="F2483" s="95" t="s">
        <v>19</v>
      </c>
      <c r="G2483" s="95" t="s">
        <v>19</v>
      </c>
      <c r="H2483" s="95" t="s">
        <v>21</v>
      </c>
      <c r="I2483" s="95" t="s">
        <v>567</v>
      </c>
      <c r="J2483" s="97">
        <v>45975.67931630787</v>
      </c>
      <c r="K2483" s="96" t="s">
        <v>13806</v>
      </c>
      <c r="L2483" s="96" t="s">
        <v>13807</v>
      </c>
      <c r="M2483" s="95" t="s">
        <v>54</v>
      </c>
      <c r="N2483" s="95" t="s">
        <v>13808</v>
      </c>
      <c r="O2483" s="95" t="s">
        <v>13808</v>
      </c>
      <c r="P2483" s="95" t="s">
        <v>13809</v>
      </c>
      <c r="Q2483" s="98">
        <v>1.0</v>
      </c>
      <c r="R2483" s="97">
        <v>45789.73969907407</v>
      </c>
      <c r="S2483" s="99">
        <v>4142.0</v>
      </c>
      <c r="T2483" s="99">
        <v>362.0</v>
      </c>
      <c r="U2483" s="99">
        <v>49.0</v>
      </c>
      <c r="V2483" s="99">
        <v>216.0</v>
      </c>
      <c r="W2483" s="99">
        <v>2419581.0</v>
      </c>
    </row>
    <row r="2484" ht="15.75" customHeight="1">
      <c r="A2484" s="95" t="s">
        <v>13810</v>
      </c>
      <c r="B2484" s="95" t="s">
        <v>22</v>
      </c>
      <c r="C2484" s="96" t="s">
        <v>13811</v>
      </c>
      <c r="D2484" s="95" t="s">
        <v>39</v>
      </c>
      <c r="E2484" s="95" t="s">
        <v>960</v>
      </c>
      <c r="F2484" s="95" t="s">
        <v>19</v>
      </c>
      <c r="G2484" s="95" t="s">
        <v>19</v>
      </c>
      <c r="H2484" s="95" t="s">
        <v>21</v>
      </c>
      <c r="I2484" s="95" t="s">
        <v>567</v>
      </c>
      <c r="J2484" s="97">
        <v>46006.66430814815</v>
      </c>
      <c r="K2484" s="95" t="s">
        <v>13812</v>
      </c>
      <c r="L2484" s="96" t="s">
        <v>13813</v>
      </c>
      <c r="M2484" s="95" t="s">
        <v>54</v>
      </c>
      <c r="N2484" s="95" t="s">
        <v>11341</v>
      </c>
      <c r="O2484" s="95" t="s">
        <v>11341</v>
      </c>
      <c r="P2484" s="95" t="s">
        <v>11342</v>
      </c>
      <c r="Q2484" s="98">
        <v>1.0</v>
      </c>
      <c r="R2484" s="97">
        <v>45779.8134375</v>
      </c>
      <c r="S2484" s="99">
        <v>108.0</v>
      </c>
      <c r="T2484" s="99">
        <v>116.0</v>
      </c>
      <c r="U2484" s="99">
        <v>4.0</v>
      </c>
      <c r="V2484" s="99">
        <v>50.0</v>
      </c>
      <c r="W2484" s="99">
        <v>45639.0</v>
      </c>
    </row>
    <row r="2485" ht="15.75" customHeight="1">
      <c r="A2485" s="95" t="s">
        <v>13814</v>
      </c>
      <c r="B2485" s="95" t="s">
        <v>22</v>
      </c>
      <c r="C2485" s="96" t="s">
        <v>13815</v>
      </c>
      <c r="D2485" s="95" t="s">
        <v>39</v>
      </c>
      <c r="E2485" s="95" t="s">
        <v>960</v>
      </c>
      <c r="F2485" s="95" t="s">
        <v>88</v>
      </c>
      <c r="G2485" s="95"/>
      <c r="H2485" s="95" t="s">
        <v>21</v>
      </c>
      <c r="I2485" s="95" t="s">
        <v>567</v>
      </c>
      <c r="J2485" s="97">
        <v>45993.7854622338</v>
      </c>
      <c r="K2485" s="96" t="s">
        <v>13816</v>
      </c>
      <c r="L2485" s="96" t="s">
        <v>13817</v>
      </c>
      <c r="M2485" s="95" t="s">
        <v>93</v>
      </c>
      <c r="N2485" s="95" t="s">
        <v>13818</v>
      </c>
      <c r="O2485" s="95" t="s">
        <v>13818</v>
      </c>
      <c r="P2485" s="95" t="s">
        <v>13819</v>
      </c>
      <c r="Q2485" s="98">
        <v>1.0</v>
      </c>
      <c r="R2485" s="97">
        <v>45816.88553240741</v>
      </c>
      <c r="S2485" s="99">
        <v>7854.0</v>
      </c>
      <c r="T2485" s="99">
        <v>367.0</v>
      </c>
      <c r="U2485" s="99">
        <v>72.0</v>
      </c>
      <c r="V2485" s="99">
        <v>358.0</v>
      </c>
      <c r="W2485" s="99">
        <v>47298.0</v>
      </c>
    </row>
    <row r="2486" ht="15.75" customHeight="1">
      <c r="A2486" s="95" t="s">
        <v>13820</v>
      </c>
      <c r="B2486" s="95" t="s">
        <v>22</v>
      </c>
      <c r="C2486" s="96" t="s">
        <v>13821</v>
      </c>
      <c r="D2486" s="95" t="s">
        <v>39</v>
      </c>
      <c r="E2486" s="95" t="s">
        <v>39</v>
      </c>
      <c r="F2486" s="95" t="s">
        <v>19</v>
      </c>
      <c r="G2486" s="95" t="s">
        <v>19</v>
      </c>
      <c r="H2486" s="95" t="s">
        <v>21</v>
      </c>
      <c r="I2486" s="95" t="s">
        <v>567</v>
      </c>
      <c r="J2486" s="97">
        <v>46056.93918255787</v>
      </c>
      <c r="K2486" s="95" t="s">
        <v>13822</v>
      </c>
      <c r="L2486" s="96" t="s">
        <v>13823</v>
      </c>
      <c r="M2486" s="95" t="s">
        <v>503</v>
      </c>
      <c r="N2486" s="95" t="s">
        <v>11494</v>
      </c>
      <c r="O2486" s="95" t="s">
        <v>11494</v>
      </c>
      <c r="P2486" s="95" t="s">
        <v>11495</v>
      </c>
      <c r="Q2486" s="98">
        <v>1.0</v>
      </c>
      <c r="R2486" s="97">
        <v>45784.54767361111</v>
      </c>
      <c r="S2486" s="99">
        <v>26904.0</v>
      </c>
      <c r="T2486" s="99">
        <v>49.0</v>
      </c>
      <c r="U2486" s="99">
        <v>25.0</v>
      </c>
      <c r="V2486" s="99">
        <v>43.0</v>
      </c>
      <c r="W2486" s="99">
        <v>523058.0</v>
      </c>
    </row>
    <row r="2487" ht="15.75" customHeight="1">
      <c r="A2487" s="95" t="s">
        <v>13824</v>
      </c>
      <c r="B2487" s="95" t="s">
        <v>22</v>
      </c>
      <c r="C2487" s="96" t="s">
        <v>13825</v>
      </c>
      <c r="D2487" s="95" t="s">
        <v>49</v>
      </c>
      <c r="E2487" s="95" t="s">
        <v>948</v>
      </c>
      <c r="F2487" s="95" t="s">
        <v>19</v>
      </c>
      <c r="G2487" s="95" t="s">
        <v>19</v>
      </c>
      <c r="H2487" s="95" t="s">
        <v>21</v>
      </c>
      <c r="I2487" s="95" t="s">
        <v>567</v>
      </c>
      <c r="J2487" s="97">
        <v>45975.67931630787</v>
      </c>
      <c r="K2487" s="96" t="s">
        <v>13826</v>
      </c>
      <c r="L2487" s="95"/>
      <c r="M2487" s="95" t="s">
        <v>54</v>
      </c>
      <c r="N2487" s="95" t="s">
        <v>11499</v>
      </c>
      <c r="O2487" s="95" t="s">
        <v>11499</v>
      </c>
      <c r="P2487" s="95" t="s">
        <v>11500</v>
      </c>
      <c r="Q2487" s="98">
        <v>1.0</v>
      </c>
      <c r="R2487" s="97">
        <v>45790.84756944444</v>
      </c>
      <c r="S2487" s="99">
        <v>6274.0</v>
      </c>
      <c r="T2487" s="99">
        <v>8.0</v>
      </c>
      <c r="U2487" s="99">
        <v>5.0</v>
      </c>
      <c r="V2487" s="99">
        <v>68.0</v>
      </c>
      <c r="W2487" s="99">
        <v>999999.0</v>
      </c>
    </row>
    <row r="2488" ht="15.75" customHeight="1">
      <c r="A2488" s="95" t="s">
        <v>13827</v>
      </c>
      <c r="B2488" s="95" t="s">
        <v>22</v>
      </c>
      <c r="C2488" s="96" t="s">
        <v>13828</v>
      </c>
      <c r="D2488" s="95" t="s">
        <v>39</v>
      </c>
      <c r="E2488" s="95" t="s">
        <v>1208</v>
      </c>
      <c r="F2488" s="95" t="s">
        <v>19</v>
      </c>
      <c r="G2488" s="95" t="s">
        <v>19</v>
      </c>
      <c r="H2488" s="95" t="s">
        <v>21</v>
      </c>
      <c r="I2488" s="95" t="s">
        <v>567</v>
      </c>
      <c r="J2488" s="97">
        <v>45978.4599753125</v>
      </c>
      <c r="K2488" s="95" t="s">
        <v>13829</v>
      </c>
      <c r="L2488" s="95"/>
      <c r="M2488" s="95" t="s">
        <v>54</v>
      </c>
      <c r="N2488" s="95" t="s">
        <v>13830</v>
      </c>
      <c r="O2488" s="95" t="s">
        <v>13830</v>
      </c>
      <c r="P2488" s="95" t="s">
        <v>13831</v>
      </c>
      <c r="Q2488" s="98">
        <v>1.0</v>
      </c>
      <c r="R2488" s="97">
        <v>45696.55666666666</v>
      </c>
      <c r="S2488" s="99">
        <v>27394.0</v>
      </c>
      <c r="T2488" s="99">
        <v>144.0</v>
      </c>
      <c r="U2488" s="99">
        <v>2.0</v>
      </c>
      <c r="V2488" s="99">
        <v>94.0</v>
      </c>
      <c r="W2488" s="99">
        <v>124228.0</v>
      </c>
    </row>
    <row r="2489" ht="15.75" customHeight="1">
      <c r="A2489" s="95" t="s">
        <v>13832</v>
      </c>
      <c r="B2489" s="95" t="s">
        <v>131</v>
      </c>
      <c r="C2489" s="96" t="s">
        <v>13833</v>
      </c>
      <c r="D2489" s="95" t="s">
        <v>39</v>
      </c>
      <c r="E2489" s="95" t="s">
        <v>1201</v>
      </c>
      <c r="F2489" s="95" t="s">
        <v>58</v>
      </c>
      <c r="G2489" s="95" t="s">
        <v>58</v>
      </c>
      <c r="H2489" s="95" t="s">
        <v>60</v>
      </c>
      <c r="I2489" s="95" t="s">
        <v>795</v>
      </c>
      <c r="J2489" s="97">
        <v>46069.13722578704</v>
      </c>
      <c r="K2489" s="95" t="s">
        <v>13834</v>
      </c>
      <c r="L2489" s="96" t="s">
        <v>13835</v>
      </c>
      <c r="M2489" s="95" t="s">
        <v>74</v>
      </c>
      <c r="N2489" s="95" t="s">
        <v>4439</v>
      </c>
      <c r="O2489" s="95" t="s">
        <v>4439</v>
      </c>
      <c r="P2489" s="95" t="s">
        <v>4440</v>
      </c>
      <c r="Q2489" s="98">
        <v>1.0</v>
      </c>
      <c r="R2489" s="97">
        <v>45954.75181712963</v>
      </c>
      <c r="S2489" s="99">
        <v>94658.0</v>
      </c>
      <c r="T2489" s="99">
        <v>22.0</v>
      </c>
      <c r="U2489" s="99">
        <v>3.0</v>
      </c>
      <c r="V2489" s="99">
        <v>20.0</v>
      </c>
      <c r="W2489" s="99">
        <v>377105.0</v>
      </c>
    </row>
    <row r="2490" ht="15.75" customHeight="1">
      <c r="A2490" s="95" t="s">
        <v>13836</v>
      </c>
      <c r="B2490" s="95" t="s">
        <v>22</v>
      </c>
      <c r="C2490" s="96" t="s">
        <v>13837</v>
      </c>
      <c r="D2490" s="95" t="s">
        <v>39</v>
      </c>
      <c r="E2490" s="95" t="s">
        <v>1201</v>
      </c>
      <c r="F2490" s="95" t="s">
        <v>19</v>
      </c>
      <c r="G2490" s="95" t="s">
        <v>19</v>
      </c>
      <c r="H2490" s="95" t="s">
        <v>21</v>
      </c>
      <c r="I2490" s="95" t="s">
        <v>567</v>
      </c>
      <c r="J2490" s="97">
        <v>45980.93902726852</v>
      </c>
      <c r="K2490" s="95" t="s">
        <v>13838</v>
      </c>
      <c r="L2490" s="96" t="s">
        <v>13839</v>
      </c>
      <c r="M2490" s="95" t="s">
        <v>17</v>
      </c>
      <c r="N2490" s="95" t="s">
        <v>13840</v>
      </c>
      <c r="O2490" s="95" t="s">
        <v>13840</v>
      </c>
      <c r="P2490" s="95" t="s">
        <v>13841</v>
      </c>
      <c r="Q2490" s="98">
        <v>1.0</v>
      </c>
      <c r="R2490" s="97">
        <v>45792.3581712963</v>
      </c>
      <c r="S2490" s="99">
        <v>416.0</v>
      </c>
      <c r="T2490" s="99">
        <v>8.0</v>
      </c>
      <c r="U2490" s="99">
        <v>2.0</v>
      </c>
      <c r="V2490" s="99">
        <v>45.0</v>
      </c>
      <c r="W2490" s="99">
        <v>4212.0</v>
      </c>
    </row>
    <row r="2491" ht="15.75" customHeight="1">
      <c r="A2491" s="95" t="s">
        <v>13842</v>
      </c>
      <c r="B2491" s="95" t="s">
        <v>22</v>
      </c>
      <c r="C2491" s="96" t="s">
        <v>13843</v>
      </c>
      <c r="D2491" s="95" t="s">
        <v>29</v>
      </c>
      <c r="E2491" s="95" t="s">
        <v>658</v>
      </c>
      <c r="F2491" s="95" t="s">
        <v>19</v>
      </c>
      <c r="G2491" s="95" t="s">
        <v>19</v>
      </c>
      <c r="H2491" s="95" t="s">
        <v>21</v>
      </c>
      <c r="I2491" s="95" t="s">
        <v>567</v>
      </c>
      <c r="J2491" s="97">
        <v>45975.67932418981</v>
      </c>
      <c r="K2491" s="96" t="s">
        <v>13844</v>
      </c>
      <c r="L2491" s="95"/>
      <c r="M2491" s="95" t="s">
        <v>93</v>
      </c>
      <c r="N2491" s="95" t="s">
        <v>4654</v>
      </c>
      <c r="O2491" s="95" t="s">
        <v>4654</v>
      </c>
      <c r="P2491" s="95" t="s">
        <v>4655</v>
      </c>
      <c r="Q2491" s="98">
        <v>1.0</v>
      </c>
      <c r="R2491" s="97">
        <v>45751.58998842593</v>
      </c>
      <c r="S2491" s="99">
        <v>11981.0</v>
      </c>
      <c r="T2491" s="99">
        <v>1887.0</v>
      </c>
      <c r="U2491" s="99">
        <v>1.0</v>
      </c>
      <c r="V2491" s="99">
        <v>20.0</v>
      </c>
      <c r="W2491" s="99">
        <v>317088.0</v>
      </c>
    </row>
    <row r="2492" ht="15.75" customHeight="1">
      <c r="A2492" s="95" t="s">
        <v>13845</v>
      </c>
      <c r="B2492" s="95" t="s">
        <v>22</v>
      </c>
      <c r="C2492" s="96" t="s">
        <v>13846</v>
      </c>
      <c r="D2492" s="95" t="s">
        <v>68</v>
      </c>
      <c r="E2492" s="95" t="s">
        <v>769</v>
      </c>
      <c r="F2492" s="95" t="s">
        <v>19</v>
      </c>
      <c r="G2492" s="95" t="s">
        <v>19</v>
      </c>
      <c r="H2492" s="95" t="s">
        <v>21</v>
      </c>
      <c r="I2492" s="95" t="s">
        <v>567</v>
      </c>
      <c r="J2492" s="97">
        <v>45975.67931630787</v>
      </c>
      <c r="K2492" s="96" t="s">
        <v>13847</v>
      </c>
      <c r="L2492" s="96" t="s">
        <v>13848</v>
      </c>
      <c r="M2492" s="95" t="s">
        <v>54</v>
      </c>
      <c r="N2492" s="95" t="s">
        <v>4718</v>
      </c>
      <c r="O2492" s="95" t="s">
        <v>4718</v>
      </c>
      <c r="P2492" s="95" t="s">
        <v>4719</v>
      </c>
      <c r="Q2492" s="98">
        <v>1.0</v>
      </c>
      <c r="R2492" s="97">
        <v>45800.57261574074</v>
      </c>
      <c r="S2492" s="99">
        <v>4656.0</v>
      </c>
      <c r="T2492" s="99">
        <v>26.0</v>
      </c>
      <c r="U2492" s="99">
        <v>9.0</v>
      </c>
      <c r="V2492" s="99">
        <v>81.0</v>
      </c>
      <c r="W2492" s="99">
        <v>25251.0</v>
      </c>
    </row>
    <row r="2493" ht="15.75" customHeight="1">
      <c r="A2493" s="95" t="s">
        <v>13849</v>
      </c>
      <c r="B2493" s="95" t="s">
        <v>22</v>
      </c>
      <c r="C2493" s="96" t="s">
        <v>13850</v>
      </c>
      <c r="D2493" s="95" t="s">
        <v>59</v>
      </c>
      <c r="E2493" s="95" t="s">
        <v>59</v>
      </c>
      <c r="F2493" s="95" t="s">
        <v>19</v>
      </c>
      <c r="G2493" s="95" t="s">
        <v>19</v>
      </c>
      <c r="H2493" s="95" t="s">
        <v>21</v>
      </c>
      <c r="I2493" s="95" t="s">
        <v>567</v>
      </c>
      <c r="J2493" s="97">
        <v>45975.67931630787</v>
      </c>
      <c r="K2493" s="96" t="s">
        <v>13851</v>
      </c>
      <c r="L2493" s="96" t="s">
        <v>13852</v>
      </c>
      <c r="M2493" s="95" t="s">
        <v>54</v>
      </c>
      <c r="N2493" s="95" t="s">
        <v>4795</v>
      </c>
      <c r="O2493" s="95" t="s">
        <v>4795</v>
      </c>
      <c r="P2493" s="95" t="s">
        <v>4796</v>
      </c>
      <c r="Q2493" s="98">
        <v>1.0</v>
      </c>
      <c r="R2493" s="97">
        <v>45880.60012731481</v>
      </c>
      <c r="S2493" s="99">
        <v>28867.0</v>
      </c>
      <c r="T2493" s="99">
        <v>68.0</v>
      </c>
      <c r="U2493" s="99">
        <v>1.0</v>
      </c>
      <c r="V2493" s="99">
        <v>19.0</v>
      </c>
      <c r="W2493" s="99">
        <v>90241.0</v>
      </c>
    </row>
    <row r="2494" ht="15.75" customHeight="1">
      <c r="A2494" s="95" t="s">
        <v>13853</v>
      </c>
      <c r="B2494" s="95" t="s">
        <v>22</v>
      </c>
      <c r="C2494" s="96" t="s">
        <v>13854</v>
      </c>
      <c r="D2494" s="95" t="s">
        <v>49</v>
      </c>
      <c r="E2494" s="95" t="s">
        <v>948</v>
      </c>
      <c r="F2494" s="95" t="s">
        <v>19</v>
      </c>
      <c r="G2494" s="95" t="s">
        <v>19</v>
      </c>
      <c r="H2494" s="95" t="s">
        <v>21</v>
      </c>
      <c r="I2494" s="95" t="s">
        <v>567</v>
      </c>
      <c r="J2494" s="97">
        <v>46041.06877302083</v>
      </c>
      <c r="K2494" s="95" t="s">
        <v>13855</v>
      </c>
      <c r="L2494" s="96" t="s">
        <v>13856</v>
      </c>
      <c r="M2494" s="95" t="s">
        <v>93</v>
      </c>
      <c r="N2494" s="95" t="s">
        <v>4823</v>
      </c>
      <c r="O2494" s="95" t="s">
        <v>4823</v>
      </c>
      <c r="P2494" s="95" t="s">
        <v>4824</v>
      </c>
      <c r="Q2494" s="98">
        <v>1.0</v>
      </c>
      <c r="R2494" s="97">
        <v>45896.66913194444</v>
      </c>
      <c r="S2494" s="99">
        <v>381.0</v>
      </c>
      <c r="T2494" s="99">
        <v>8672.0</v>
      </c>
      <c r="U2494" s="99">
        <v>11.0</v>
      </c>
      <c r="V2494" s="99">
        <v>21.0</v>
      </c>
      <c r="W2494" s="99">
        <v>999999.0</v>
      </c>
    </row>
    <row r="2495" ht="15.75" customHeight="1">
      <c r="A2495" s="95" t="s">
        <v>13857</v>
      </c>
      <c r="B2495" s="95" t="s">
        <v>22</v>
      </c>
      <c r="C2495" s="96" t="s">
        <v>13858</v>
      </c>
      <c r="D2495" s="95" t="s">
        <v>20</v>
      </c>
      <c r="E2495" s="95" t="s">
        <v>2261</v>
      </c>
      <c r="F2495" s="95" t="s">
        <v>19</v>
      </c>
      <c r="G2495" s="95" t="s">
        <v>19</v>
      </c>
      <c r="H2495" s="95" t="s">
        <v>21</v>
      </c>
      <c r="I2495" s="95" t="s">
        <v>567</v>
      </c>
      <c r="J2495" s="97">
        <v>45980.93902726852</v>
      </c>
      <c r="K2495" s="95" t="s">
        <v>13859</v>
      </c>
      <c r="L2495" s="96" t="s">
        <v>13860</v>
      </c>
      <c r="M2495" s="95" t="s">
        <v>17</v>
      </c>
      <c r="N2495" s="95" t="s">
        <v>13861</v>
      </c>
      <c r="O2495" s="95" t="s">
        <v>13861</v>
      </c>
      <c r="P2495" s="95" t="s">
        <v>13862</v>
      </c>
      <c r="Q2495" s="98">
        <v>1.0</v>
      </c>
      <c r="R2495" s="97">
        <v>45603.79671296296</v>
      </c>
      <c r="S2495" s="99">
        <v>51.0</v>
      </c>
      <c r="T2495" s="99">
        <v>1.0</v>
      </c>
      <c r="U2495" s="99">
        <v>3.0</v>
      </c>
      <c r="V2495" s="99">
        <v>33.0</v>
      </c>
      <c r="W2495" s="99">
        <v>108889.0</v>
      </c>
    </row>
    <row r="2496" ht="15.75" customHeight="1">
      <c r="A2496" s="95" t="s">
        <v>13863</v>
      </c>
      <c r="B2496" s="95" t="s">
        <v>22</v>
      </c>
      <c r="C2496" s="96" t="s">
        <v>13864</v>
      </c>
      <c r="D2496" s="95" t="s">
        <v>130</v>
      </c>
      <c r="E2496" s="95" t="s">
        <v>1025</v>
      </c>
      <c r="F2496" s="95" t="s">
        <v>19</v>
      </c>
      <c r="G2496" s="95" t="s">
        <v>588</v>
      </c>
      <c r="H2496" s="95" t="s">
        <v>21</v>
      </c>
      <c r="I2496" s="95" t="s">
        <v>589</v>
      </c>
      <c r="J2496" s="97">
        <v>45977.14561378472</v>
      </c>
      <c r="K2496" s="95" t="s">
        <v>13865</v>
      </c>
      <c r="L2496" s="96" t="s">
        <v>13866</v>
      </c>
      <c r="M2496" s="95" t="s">
        <v>17</v>
      </c>
      <c r="N2496" s="95" t="s">
        <v>13867</v>
      </c>
      <c r="O2496" s="95" t="s">
        <v>13867</v>
      </c>
      <c r="P2496" s="95" t="s">
        <v>13868</v>
      </c>
      <c r="Q2496" s="98">
        <v>1.0</v>
      </c>
      <c r="R2496" s="97">
        <v>45850.75865740741</v>
      </c>
      <c r="S2496" s="99">
        <v>2694.0</v>
      </c>
      <c r="T2496" s="99">
        <v>13.0</v>
      </c>
      <c r="U2496" s="99">
        <v>1.0</v>
      </c>
      <c r="V2496" s="99">
        <v>40.0</v>
      </c>
      <c r="W2496" s="99">
        <v>77655.0</v>
      </c>
    </row>
    <row r="2497" ht="15.75" customHeight="1">
      <c r="A2497" s="95" t="s">
        <v>13869</v>
      </c>
      <c r="B2497" s="95" t="s">
        <v>22</v>
      </c>
      <c r="C2497" s="96" t="s">
        <v>13870</v>
      </c>
      <c r="D2497" s="95" t="s">
        <v>59</v>
      </c>
      <c r="E2497" s="95" t="s">
        <v>738</v>
      </c>
      <c r="F2497" s="95" t="s">
        <v>19</v>
      </c>
      <c r="G2497" s="95" t="s">
        <v>19</v>
      </c>
      <c r="H2497" s="95" t="s">
        <v>21</v>
      </c>
      <c r="I2497" s="95" t="s">
        <v>567</v>
      </c>
      <c r="J2497" s="97">
        <v>46072.52378248842</v>
      </c>
      <c r="K2497" s="95" t="s">
        <v>13871</v>
      </c>
      <c r="L2497" s="96" t="s">
        <v>13872</v>
      </c>
      <c r="M2497" s="95" t="s">
        <v>74</v>
      </c>
      <c r="N2497" s="95" t="s">
        <v>13873</v>
      </c>
      <c r="O2497" s="95" t="s">
        <v>13873</v>
      </c>
      <c r="P2497" s="95" t="s">
        <v>13874</v>
      </c>
      <c r="Q2497" s="98">
        <v>1.0</v>
      </c>
      <c r="R2497" s="97">
        <v>46050.08445601852</v>
      </c>
      <c r="S2497" s="99">
        <v>1954.0</v>
      </c>
      <c r="T2497" s="99">
        <v>8.0</v>
      </c>
      <c r="U2497" s="99">
        <v>2.0</v>
      </c>
      <c r="V2497" s="99">
        <v>52.0</v>
      </c>
      <c r="W2497" s="99">
        <v>23458.0</v>
      </c>
    </row>
    <row r="2498" ht="15.75" customHeight="1">
      <c r="A2498" s="95" t="s">
        <v>13875</v>
      </c>
      <c r="B2498" s="95" t="s">
        <v>22</v>
      </c>
      <c r="C2498" s="96" t="s">
        <v>13876</v>
      </c>
      <c r="D2498" s="95" t="s">
        <v>20</v>
      </c>
      <c r="E2498" s="95" t="s">
        <v>638</v>
      </c>
      <c r="F2498" s="95" t="s">
        <v>19</v>
      </c>
      <c r="G2498" s="95" t="s">
        <v>19</v>
      </c>
      <c r="H2498" s="95" t="s">
        <v>21</v>
      </c>
      <c r="I2498" s="95" t="s">
        <v>567</v>
      </c>
      <c r="J2498" s="97">
        <v>45975.67934811342</v>
      </c>
      <c r="K2498" s="96" t="s">
        <v>13877</v>
      </c>
      <c r="L2498" s="96" t="s">
        <v>13878</v>
      </c>
      <c r="M2498" s="95" t="s">
        <v>17</v>
      </c>
      <c r="N2498" s="95" t="s">
        <v>5412</v>
      </c>
      <c r="O2498" s="95" t="s">
        <v>5412</v>
      </c>
      <c r="P2498" s="95" t="s">
        <v>5413</v>
      </c>
      <c r="Q2498" s="98">
        <v>1.0</v>
      </c>
      <c r="R2498" s="97">
        <v>45791.88380787037</v>
      </c>
      <c r="S2498" s="99">
        <v>22740.0</v>
      </c>
      <c r="T2498" s="99">
        <v>18.0</v>
      </c>
      <c r="U2498" s="99">
        <v>2.0</v>
      </c>
      <c r="V2498" s="99">
        <v>61.0</v>
      </c>
      <c r="W2498" s="99">
        <v>133445.0</v>
      </c>
    </row>
    <row r="2499" ht="15.75" customHeight="1">
      <c r="A2499" s="95" t="s">
        <v>13879</v>
      </c>
      <c r="B2499" s="95" t="s">
        <v>22</v>
      </c>
      <c r="C2499" s="96" t="s">
        <v>13880</v>
      </c>
      <c r="D2499" s="95" t="s">
        <v>68</v>
      </c>
      <c r="E2499" s="95" t="s">
        <v>1901</v>
      </c>
      <c r="F2499" s="95" t="s">
        <v>19</v>
      </c>
      <c r="G2499" s="95" t="s">
        <v>1427</v>
      </c>
      <c r="H2499" s="95" t="s">
        <v>21</v>
      </c>
      <c r="I2499" s="95" t="s">
        <v>567</v>
      </c>
      <c r="J2499" s="97">
        <v>46021.49564868055</v>
      </c>
      <c r="K2499" s="95" t="s">
        <v>13881</v>
      </c>
      <c r="L2499" s="96" t="s">
        <v>13882</v>
      </c>
      <c r="M2499" s="95" t="s">
        <v>54</v>
      </c>
      <c r="N2499" s="95" t="s">
        <v>5837</v>
      </c>
      <c r="O2499" s="95" t="s">
        <v>5837</v>
      </c>
      <c r="P2499" s="95" t="s">
        <v>5838</v>
      </c>
      <c r="Q2499" s="98">
        <v>1.0</v>
      </c>
      <c r="R2499" s="97">
        <v>45681.763125</v>
      </c>
      <c r="S2499" s="99">
        <v>534.0</v>
      </c>
      <c r="T2499" s="99">
        <v>39.0</v>
      </c>
      <c r="U2499" s="99">
        <v>11.0</v>
      </c>
      <c r="V2499" s="99">
        <v>24.0</v>
      </c>
      <c r="W2499" s="99">
        <v>116287.0</v>
      </c>
    </row>
    <row r="2500" ht="15.75" customHeight="1">
      <c r="A2500" s="95" t="s">
        <v>13883</v>
      </c>
      <c r="B2500" s="95" t="s">
        <v>22</v>
      </c>
      <c r="C2500" s="96" t="s">
        <v>13884</v>
      </c>
      <c r="D2500" s="95" t="s">
        <v>59</v>
      </c>
      <c r="E2500" s="95" t="s">
        <v>59</v>
      </c>
      <c r="F2500" s="95" t="s">
        <v>19</v>
      </c>
      <c r="G2500" s="95" t="s">
        <v>19</v>
      </c>
      <c r="H2500" s="95" t="s">
        <v>21</v>
      </c>
      <c r="I2500" s="95" t="s">
        <v>567</v>
      </c>
      <c r="J2500" s="97">
        <v>45975.67930844907</v>
      </c>
      <c r="K2500" s="96" t="s">
        <v>13885</v>
      </c>
      <c r="L2500" s="96" t="s">
        <v>13886</v>
      </c>
      <c r="M2500" s="95" t="s">
        <v>54</v>
      </c>
      <c r="N2500" s="95" t="s">
        <v>5970</v>
      </c>
      <c r="O2500" s="95" t="s">
        <v>5970</v>
      </c>
      <c r="P2500" s="95" t="s">
        <v>5971</v>
      </c>
      <c r="Q2500" s="98">
        <v>1.0</v>
      </c>
      <c r="R2500" s="97">
        <v>45714.76153935185</v>
      </c>
      <c r="S2500" s="99">
        <v>118360.0</v>
      </c>
      <c r="T2500" s="99">
        <v>751.0</v>
      </c>
      <c r="U2500" s="99">
        <v>2.0</v>
      </c>
      <c r="V2500" s="99">
        <v>43.0</v>
      </c>
      <c r="W2500" s="99">
        <v>999999.0</v>
      </c>
    </row>
    <row r="2501" ht="15.75" customHeight="1">
      <c r="A2501" s="95" t="s">
        <v>13887</v>
      </c>
      <c r="B2501" s="95" t="s">
        <v>22</v>
      </c>
      <c r="C2501" s="96" t="s">
        <v>13888</v>
      </c>
      <c r="D2501" s="95" t="s">
        <v>59</v>
      </c>
      <c r="E2501" s="95" t="s">
        <v>738</v>
      </c>
      <c r="F2501" s="95" t="s">
        <v>19</v>
      </c>
      <c r="G2501" s="95" t="s">
        <v>19</v>
      </c>
      <c r="H2501" s="95" t="s">
        <v>21</v>
      </c>
      <c r="I2501" s="95" t="s">
        <v>567</v>
      </c>
      <c r="J2501" s="97">
        <v>46021.49574680556</v>
      </c>
      <c r="K2501" s="95" t="s">
        <v>13889</v>
      </c>
      <c r="L2501" s="96" t="s">
        <v>13890</v>
      </c>
      <c r="M2501" s="95" t="s">
        <v>54</v>
      </c>
      <c r="N2501" s="95" t="s">
        <v>13891</v>
      </c>
      <c r="O2501" s="95" t="s">
        <v>13891</v>
      </c>
      <c r="P2501" s="95" t="s">
        <v>13892</v>
      </c>
      <c r="Q2501" s="98">
        <v>1.0</v>
      </c>
      <c r="R2501" s="97">
        <v>45758.31436342592</v>
      </c>
      <c r="S2501" s="99">
        <v>492.0</v>
      </c>
      <c r="T2501" s="99">
        <v>33.0</v>
      </c>
      <c r="U2501" s="99">
        <v>2.0</v>
      </c>
      <c r="V2501" s="99">
        <v>61.0</v>
      </c>
      <c r="W2501" s="99">
        <v>779575.0</v>
      </c>
    </row>
    <row r="2502" ht="15.75" customHeight="1">
      <c r="A2502" s="95" t="s">
        <v>13893</v>
      </c>
      <c r="B2502" s="95" t="s">
        <v>22</v>
      </c>
      <c r="C2502" s="96" t="s">
        <v>13894</v>
      </c>
      <c r="D2502" s="95" t="s">
        <v>59</v>
      </c>
      <c r="E2502" s="95" t="s">
        <v>59</v>
      </c>
      <c r="F2502" s="95" t="s">
        <v>19</v>
      </c>
      <c r="G2502" s="95" t="s">
        <v>574</v>
      </c>
      <c r="H2502" s="95" t="s">
        <v>21</v>
      </c>
      <c r="I2502" s="95" t="s">
        <v>567</v>
      </c>
      <c r="J2502" s="97">
        <v>45982.02396422454</v>
      </c>
      <c r="K2502" s="95" t="s">
        <v>13895</v>
      </c>
      <c r="L2502" s="96" t="s">
        <v>13896</v>
      </c>
      <c r="M2502" s="95" t="s">
        <v>54</v>
      </c>
      <c r="N2502" s="95" t="s">
        <v>13897</v>
      </c>
      <c r="O2502" s="95" t="s">
        <v>13897</v>
      </c>
      <c r="P2502" s="95" t="s">
        <v>13898</v>
      </c>
      <c r="Q2502" s="98">
        <v>1.0</v>
      </c>
      <c r="R2502" s="97">
        <v>45681.1475</v>
      </c>
      <c r="S2502" s="99">
        <v>6572.0</v>
      </c>
      <c r="T2502" s="99">
        <v>1676.0</v>
      </c>
      <c r="U2502" s="99">
        <v>4.0</v>
      </c>
      <c r="V2502" s="99">
        <v>17.0</v>
      </c>
      <c r="W2502" s="99">
        <v>107504.0</v>
      </c>
    </row>
    <row r="2503" ht="15.75" customHeight="1">
      <c r="A2503" s="95" t="s">
        <v>13899</v>
      </c>
      <c r="B2503" s="95" t="s">
        <v>22</v>
      </c>
      <c r="C2503" s="96" t="s">
        <v>13900</v>
      </c>
      <c r="D2503" s="95" t="s">
        <v>20</v>
      </c>
      <c r="E2503" s="95" t="s">
        <v>2261</v>
      </c>
      <c r="F2503" s="95" t="s">
        <v>19</v>
      </c>
      <c r="G2503" s="95" t="s">
        <v>1427</v>
      </c>
      <c r="H2503" s="95" t="s">
        <v>21</v>
      </c>
      <c r="I2503" s="95" t="s">
        <v>567</v>
      </c>
      <c r="J2503" s="97">
        <v>46008.6290381713</v>
      </c>
      <c r="K2503" s="96" t="s">
        <v>13901</v>
      </c>
      <c r="L2503" s="96" t="s">
        <v>13902</v>
      </c>
      <c r="M2503" s="95" t="s">
        <v>17</v>
      </c>
      <c r="N2503" s="95" t="s">
        <v>12222</v>
      </c>
      <c r="O2503" s="95" t="s">
        <v>12222</v>
      </c>
      <c r="P2503" s="95" t="s">
        <v>12223</v>
      </c>
      <c r="Q2503" s="98">
        <v>1.0</v>
      </c>
      <c r="R2503" s="97">
        <v>45763.71189814815</v>
      </c>
      <c r="S2503" s="99">
        <v>575.0</v>
      </c>
      <c r="T2503" s="99">
        <v>25.0</v>
      </c>
      <c r="U2503" s="99">
        <v>4.0</v>
      </c>
      <c r="V2503" s="99">
        <v>31.0</v>
      </c>
      <c r="W2503" s="99">
        <v>25636.0</v>
      </c>
    </row>
    <row r="2504" ht="15.75" customHeight="1">
      <c r="A2504" s="95" t="s">
        <v>13903</v>
      </c>
      <c r="B2504" s="95" t="s">
        <v>22</v>
      </c>
      <c r="C2504" s="96" t="s">
        <v>13904</v>
      </c>
      <c r="D2504" s="95" t="s">
        <v>39</v>
      </c>
      <c r="E2504" s="95" t="s">
        <v>960</v>
      </c>
      <c r="F2504" s="95" t="s">
        <v>19</v>
      </c>
      <c r="G2504" s="95" t="s">
        <v>19</v>
      </c>
      <c r="H2504" s="95" t="s">
        <v>21</v>
      </c>
      <c r="I2504" s="95" t="s">
        <v>567</v>
      </c>
      <c r="J2504" s="97">
        <v>46021.50597040509</v>
      </c>
      <c r="K2504" s="95" t="s">
        <v>13905</v>
      </c>
      <c r="L2504" s="96" t="s">
        <v>13906</v>
      </c>
      <c r="M2504" s="95" t="s">
        <v>74</v>
      </c>
      <c r="N2504" s="95" t="s">
        <v>6599</v>
      </c>
      <c r="O2504" s="95" t="s">
        <v>6599</v>
      </c>
      <c r="P2504" s="95" t="s">
        <v>6600</v>
      </c>
      <c r="Q2504" s="98">
        <v>1.0</v>
      </c>
      <c r="R2504" s="97">
        <v>45891.80549768519</v>
      </c>
      <c r="S2504" s="99">
        <v>1277.0</v>
      </c>
      <c r="T2504" s="99">
        <v>23.0</v>
      </c>
      <c r="U2504" s="99">
        <v>6.0</v>
      </c>
      <c r="V2504" s="99">
        <v>113.0</v>
      </c>
      <c r="W2504" s="99">
        <v>24731.0</v>
      </c>
    </row>
    <row r="2505" ht="15.75" customHeight="1">
      <c r="A2505" s="95" t="s">
        <v>13907</v>
      </c>
      <c r="B2505" s="95" t="s">
        <v>22</v>
      </c>
      <c r="C2505" s="96" t="s">
        <v>13908</v>
      </c>
      <c r="D2505" s="95" t="s">
        <v>39</v>
      </c>
      <c r="E2505" s="95" t="s">
        <v>960</v>
      </c>
      <c r="F2505" s="95" t="s">
        <v>19</v>
      </c>
      <c r="G2505" s="95" t="s">
        <v>19</v>
      </c>
      <c r="H2505" s="95" t="s">
        <v>21</v>
      </c>
      <c r="I2505" s="95" t="s">
        <v>567</v>
      </c>
      <c r="J2505" s="97">
        <v>46021.50388815972</v>
      </c>
      <c r="K2505" s="95" t="s">
        <v>13909</v>
      </c>
      <c r="L2505" s="96" t="s">
        <v>13910</v>
      </c>
      <c r="M2505" s="95" t="s">
        <v>74</v>
      </c>
      <c r="N2505" s="95" t="s">
        <v>6599</v>
      </c>
      <c r="O2505" s="95" t="s">
        <v>6599</v>
      </c>
      <c r="P2505" s="95" t="s">
        <v>6600</v>
      </c>
      <c r="Q2505" s="98">
        <v>1.0</v>
      </c>
      <c r="R2505" s="97">
        <v>45882.66927083334</v>
      </c>
      <c r="S2505" s="99">
        <v>1277.0</v>
      </c>
      <c r="T2505" s="99">
        <v>64.0</v>
      </c>
      <c r="U2505" s="99">
        <v>1.0</v>
      </c>
      <c r="V2505" s="99">
        <v>23.0</v>
      </c>
      <c r="W2505" s="99">
        <v>24731.0</v>
      </c>
    </row>
    <row r="2506" ht="15.75" customHeight="1">
      <c r="A2506" s="95" t="s">
        <v>13911</v>
      </c>
      <c r="B2506" s="95" t="s">
        <v>22</v>
      </c>
      <c r="C2506" s="96" t="s">
        <v>13912</v>
      </c>
      <c r="D2506" s="95" t="s">
        <v>39</v>
      </c>
      <c r="E2506" s="95" t="s">
        <v>39</v>
      </c>
      <c r="F2506" s="95" t="s">
        <v>19</v>
      </c>
      <c r="G2506" s="95" t="s">
        <v>19</v>
      </c>
      <c r="H2506" s="95" t="s">
        <v>21</v>
      </c>
      <c r="I2506" s="95" t="s">
        <v>567</v>
      </c>
      <c r="J2506" s="97">
        <v>46021.49322636574</v>
      </c>
      <c r="K2506" s="95" t="s">
        <v>13913</v>
      </c>
      <c r="L2506" s="96" t="s">
        <v>13914</v>
      </c>
      <c r="M2506" s="95" t="s">
        <v>105</v>
      </c>
      <c r="N2506" s="95" t="s">
        <v>13915</v>
      </c>
      <c r="O2506" s="95" t="s">
        <v>13915</v>
      </c>
      <c r="P2506" s="95" t="s">
        <v>13916</v>
      </c>
      <c r="Q2506" s="98">
        <v>1.0</v>
      </c>
      <c r="R2506" s="97">
        <v>45398.0440625</v>
      </c>
      <c r="S2506" s="99">
        <v>3035.0</v>
      </c>
      <c r="T2506" s="99">
        <v>90.0</v>
      </c>
      <c r="U2506" s="99">
        <v>1.0</v>
      </c>
      <c r="V2506" s="99">
        <v>27.0</v>
      </c>
      <c r="W2506" s="99">
        <v>12797.0</v>
      </c>
    </row>
    <row r="2507" ht="15.75" customHeight="1">
      <c r="A2507" s="95" t="s">
        <v>13917</v>
      </c>
      <c r="B2507" s="95" t="s">
        <v>22</v>
      </c>
      <c r="C2507" s="96" t="s">
        <v>13918</v>
      </c>
      <c r="D2507" s="95" t="s">
        <v>124</v>
      </c>
      <c r="E2507" s="95" t="s">
        <v>625</v>
      </c>
      <c r="F2507" s="95" t="s">
        <v>19</v>
      </c>
      <c r="G2507" s="95" t="s">
        <v>19</v>
      </c>
      <c r="H2507" s="95" t="s">
        <v>21</v>
      </c>
      <c r="I2507" s="95" t="s">
        <v>567</v>
      </c>
      <c r="J2507" s="97">
        <v>45993.7854622338</v>
      </c>
      <c r="K2507" s="96" t="s">
        <v>13919</v>
      </c>
      <c r="L2507" s="96" t="s">
        <v>13920</v>
      </c>
      <c r="M2507" s="95" t="s">
        <v>503</v>
      </c>
      <c r="N2507" s="95" t="s">
        <v>13921</v>
      </c>
      <c r="O2507" s="95" t="s">
        <v>13921</v>
      </c>
      <c r="P2507" s="95" t="s">
        <v>13922</v>
      </c>
      <c r="Q2507" s="98">
        <v>1.0</v>
      </c>
      <c r="R2507" s="97">
        <v>45903.72982638889</v>
      </c>
      <c r="S2507" s="99">
        <v>54680.0</v>
      </c>
      <c r="T2507" s="99">
        <v>53.0</v>
      </c>
      <c r="U2507" s="99">
        <v>4.0</v>
      </c>
      <c r="V2507" s="99">
        <v>59.0</v>
      </c>
      <c r="W2507" s="99">
        <v>136833.0</v>
      </c>
    </row>
    <row r="2508" ht="15.75" customHeight="1">
      <c r="A2508" s="95" t="s">
        <v>13923</v>
      </c>
      <c r="B2508" s="95" t="s">
        <v>22</v>
      </c>
      <c r="C2508" s="96" t="s">
        <v>13924</v>
      </c>
      <c r="D2508" s="95" t="s">
        <v>168</v>
      </c>
      <c r="E2508" s="95" t="s">
        <v>168</v>
      </c>
      <c r="F2508" s="95" t="s">
        <v>19</v>
      </c>
      <c r="G2508" s="95" t="s">
        <v>19</v>
      </c>
      <c r="H2508" s="95" t="s">
        <v>21</v>
      </c>
      <c r="I2508" s="95" t="s">
        <v>567</v>
      </c>
      <c r="J2508" s="97">
        <v>45978.46363230324</v>
      </c>
      <c r="K2508" s="95" t="s">
        <v>13925</v>
      </c>
      <c r="L2508" s="96" t="s">
        <v>13926</v>
      </c>
      <c r="M2508" s="95" t="s">
        <v>17</v>
      </c>
      <c r="N2508" s="95" t="s">
        <v>13927</v>
      </c>
      <c r="O2508" s="95" t="s">
        <v>13927</v>
      </c>
      <c r="P2508" s="95" t="s">
        <v>13928</v>
      </c>
      <c r="Q2508" s="98">
        <v>1.0</v>
      </c>
      <c r="R2508" s="97">
        <v>45722.10930555555</v>
      </c>
      <c r="S2508" s="99">
        <v>1056.0</v>
      </c>
      <c r="T2508" s="99">
        <v>9.0</v>
      </c>
      <c r="U2508" s="99">
        <v>2.0</v>
      </c>
      <c r="V2508" s="99">
        <v>285.0</v>
      </c>
      <c r="W2508" s="99">
        <v>55553.0</v>
      </c>
    </row>
    <row r="2509" ht="15.75" customHeight="1">
      <c r="A2509" s="95" t="s">
        <v>13929</v>
      </c>
      <c r="B2509" s="95" t="s">
        <v>22</v>
      </c>
      <c r="C2509" s="96" t="s">
        <v>13930</v>
      </c>
      <c r="D2509" s="95" t="s">
        <v>39</v>
      </c>
      <c r="E2509" s="95"/>
      <c r="F2509" s="95" t="s">
        <v>19</v>
      </c>
      <c r="G2509" s="95" t="s">
        <v>19</v>
      </c>
      <c r="H2509" s="95" t="s">
        <v>21</v>
      </c>
      <c r="I2509" s="95" t="s">
        <v>567</v>
      </c>
      <c r="J2509" s="97">
        <v>45975.67937189815</v>
      </c>
      <c r="K2509" s="96" t="s">
        <v>13931</v>
      </c>
      <c r="L2509" s="96" t="s">
        <v>13932</v>
      </c>
      <c r="M2509" s="95" t="s">
        <v>67</v>
      </c>
      <c r="N2509" s="95" t="s">
        <v>13933</v>
      </c>
      <c r="O2509" s="95" t="s">
        <v>13933</v>
      </c>
      <c r="P2509" s="95" t="s">
        <v>13934</v>
      </c>
      <c r="Q2509" s="98">
        <v>1.0</v>
      </c>
      <c r="R2509" s="97">
        <v>45823.45371527778</v>
      </c>
      <c r="S2509" s="99">
        <v>146.0</v>
      </c>
      <c r="T2509" s="99">
        <v>15.0</v>
      </c>
      <c r="U2509" s="99">
        <v>2.0</v>
      </c>
      <c r="V2509" s="99">
        <v>18.0</v>
      </c>
      <c r="W2509" s="99">
        <v>24422.0</v>
      </c>
    </row>
    <row r="2510" ht="15.75" customHeight="1">
      <c r="A2510" s="95" t="s">
        <v>13935</v>
      </c>
      <c r="B2510" s="95" t="s">
        <v>131</v>
      </c>
      <c r="C2510" s="96" t="s">
        <v>13936</v>
      </c>
      <c r="D2510" s="95" t="s">
        <v>168</v>
      </c>
      <c r="E2510" s="95" t="s">
        <v>1228</v>
      </c>
      <c r="F2510" s="95" t="s">
        <v>88</v>
      </c>
      <c r="G2510" s="95" t="s">
        <v>88</v>
      </c>
      <c r="H2510" s="95" t="s">
        <v>89</v>
      </c>
      <c r="I2510" s="95" t="s">
        <v>1628</v>
      </c>
      <c r="J2510" s="97">
        <v>45978.46363230324</v>
      </c>
      <c r="K2510" s="95" t="s">
        <v>13937</v>
      </c>
      <c r="L2510" s="96" t="s">
        <v>13938</v>
      </c>
      <c r="M2510" s="95" t="s">
        <v>17</v>
      </c>
      <c r="N2510" s="95" t="s">
        <v>6861</v>
      </c>
      <c r="O2510" s="95" t="s">
        <v>6861</v>
      </c>
      <c r="P2510" s="95" t="s">
        <v>6862</v>
      </c>
      <c r="Q2510" s="98">
        <v>1.0</v>
      </c>
      <c r="R2510" s="97">
        <v>45801.58711805556</v>
      </c>
      <c r="S2510" s="99">
        <v>1519.0</v>
      </c>
      <c r="T2510" s="99">
        <v>10.0</v>
      </c>
      <c r="U2510" s="99">
        <v>1.0</v>
      </c>
      <c r="V2510" s="99">
        <v>31.0</v>
      </c>
      <c r="W2510" s="99">
        <v>75974.0</v>
      </c>
    </row>
    <row r="2511" ht="15.75" customHeight="1">
      <c r="A2511" s="95" t="s">
        <v>13939</v>
      </c>
      <c r="B2511" s="95" t="s">
        <v>22</v>
      </c>
      <c r="C2511" s="96" t="s">
        <v>13940</v>
      </c>
      <c r="D2511" s="95" t="s">
        <v>168</v>
      </c>
      <c r="E2511" s="95" t="s">
        <v>1228</v>
      </c>
      <c r="F2511" s="95" t="s">
        <v>19</v>
      </c>
      <c r="G2511" s="95" t="s">
        <v>1367</v>
      </c>
      <c r="H2511" s="95" t="s">
        <v>21</v>
      </c>
      <c r="I2511" s="95" t="s">
        <v>567</v>
      </c>
      <c r="J2511" s="97">
        <v>45978.46363230324</v>
      </c>
      <c r="K2511" s="95" t="s">
        <v>13941</v>
      </c>
      <c r="L2511" s="96" t="s">
        <v>13942</v>
      </c>
      <c r="M2511" s="95" t="s">
        <v>17</v>
      </c>
      <c r="N2511" s="95" t="s">
        <v>6861</v>
      </c>
      <c r="O2511" s="95" t="s">
        <v>6861</v>
      </c>
      <c r="P2511" s="95" t="s">
        <v>6862</v>
      </c>
      <c r="Q2511" s="98">
        <v>1.0</v>
      </c>
      <c r="R2511" s="97">
        <v>45927.52387731482</v>
      </c>
      <c r="S2511" s="99">
        <v>1519.0</v>
      </c>
      <c r="T2511" s="99">
        <v>298.0</v>
      </c>
      <c r="U2511" s="99">
        <v>32.0</v>
      </c>
      <c r="V2511" s="99">
        <v>18.0</v>
      </c>
      <c r="W2511" s="99">
        <v>75974.0</v>
      </c>
    </row>
    <row r="2512" ht="15.75" customHeight="1">
      <c r="A2512" s="95" t="s">
        <v>13943</v>
      </c>
      <c r="B2512" s="95" t="s">
        <v>22</v>
      </c>
      <c r="C2512" s="96" t="s">
        <v>13944</v>
      </c>
      <c r="D2512" s="95" t="s">
        <v>168</v>
      </c>
      <c r="E2512" s="95" t="s">
        <v>168</v>
      </c>
      <c r="F2512" s="95" t="s">
        <v>19</v>
      </c>
      <c r="G2512" s="95" t="s">
        <v>19</v>
      </c>
      <c r="H2512" s="95" t="s">
        <v>21</v>
      </c>
      <c r="I2512" s="95" t="s">
        <v>567</v>
      </c>
      <c r="J2512" s="97">
        <v>45993.7854622338</v>
      </c>
      <c r="K2512" s="96" t="s">
        <v>13945</v>
      </c>
      <c r="L2512" s="95"/>
      <c r="M2512" s="95" t="s">
        <v>17</v>
      </c>
      <c r="N2512" s="95" t="s">
        <v>13946</v>
      </c>
      <c r="O2512" s="95" t="s">
        <v>13946</v>
      </c>
      <c r="P2512" s="95" t="s">
        <v>13947</v>
      </c>
      <c r="Q2512" s="98">
        <v>1.0</v>
      </c>
      <c r="R2512" s="97">
        <v>45840.53049768518</v>
      </c>
      <c r="S2512" s="99">
        <v>350.0</v>
      </c>
      <c r="T2512" s="99">
        <v>8.0</v>
      </c>
      <c r="U2512" s="99">
        <v>1.0</v>
      </c>
      <c r="V2512" s="99">
        <v>150.0</v>
      </c>
      <c r="W2512" s="99">
        <v>121434.0</v>
      </c>
    </row>
    <row r="2513" ht="15.75" customHeight="1">
      <c r="A2513" s="95" t="s">
        <v>13948</v>
      </c>
      <c r="B2513" s="95" t="s">
        <v>157</v>
      </c>
      <c r="C2513" s="96" t="s">
        <v>13949</v>
      </c>
      <c r="D2513" s="95" t="s">
        <v>59</v>
      </c>
      <c r="E2513" s="95" t="s">
        <v>665</v>
      </c>
      <c r="F2513" s="95" t="s">
        <v>19</v>
      </c>
      <c r="G2513" s="95" t="s">
        <v>19</v>
      </c>
      <c r="H2513" s="95" t="s">
        <v>89</v>
      </c>
      <c r="I2513" s="95" t="s">
        <v>897</v>
      </c>
      <c r="J2513" s="97">
        <v>45975.67930844907</v>
      </c>
      <c r="K2513" s="96" t="s">
        <v>13950</v>
      </c>
      <c r="L2513" s="96" t="s">
        <v>13951</v>
      </c>
      <c r="M2513" s="95" t="s">
        <v>54</v>
      </c>
      <c r="N2513" s="95" t="s">
        <v>7025</v>
      </c>
      <c r="O2513" s="95" t="s">
        <v>7025</v>
      </c>
      <c r="P2513" s="95" t="s">
        <v>7026</v>
      </c>
      <c r="Q2513" s="98">
        <v>1.0</v>
      </c>
      <c r="R2513" s="97">
        <v>45888.58731481482</v>
      </c>
      <c r="S2513" s="99">
        <v>709.0</v>
      </c>
      <c r="T2513" s="99">
        <v>79.0</v>
      </c>
      <c r="U2513" s="99">
        <v>1.0</v>
      </c>
      <c r="V2513" s="99">
        <v>16.0</v>
      </c>
      <c r="W2513" s="99">
        <v>197628.0</v>
      </c>
    </row>
    <row r="2514" ht="15.75" customHeight="1">
      <c r="A2514" s="95" t="s">
        <v>13952</v>
      </c>
      <c r="B2514" s="95" t="s">
        <v>22</v>
      </c>
      <c r="C2514" s="96" t="s">
        <v>13953</v>
      </c>
      <c r="D2514" s="95" t="s">
        <v>49</v>
      </c>
      <c r="E2514" s="95" t="s">
        <v>1082</v>
      </c>
      <c r="F2514" s="95" t="s">
        <v>19</v>
      </c>
      <c r="G2514" s="95" t="s">
        <v>19</v>
      </c>
      <c r="H2514" s="95" t="s">
        <v>21</v>
      </c>
      <c r="I2514" s="95" t="s">
        <v>567</v>
      </c>
      <c r="J2514" s="97">
        <v>46021.51309140046</v>
      </c>
      <c r="K2514" s="95" t="s">
        <v>13954</v>
      </c>
      <c r="L2514" s="96" t="s">
        <v>13955</v>
      </c>
      <c r="M2514" s="95" t="s">
        <v>54</v>
      </c>
      <c r="N2514" s="95" t="s">
        <v>12647</v>
      </c>
      <c r="O2514" s="95" t="s">
        <v>12647</v>
      </c>
      <c r="P2514" s="95" t="s">
        <v>12648</v>
      </c>
      <c r="Q2514" s="98">
        <v>1.0</v>
      </c>
      <c r="R2514" s="97">
        <v>45912.97248842593</v>
      </c>
      <c r="S2514" s="99">
        <v>211.0</v>
      </c>
      <c r="T2514" s="99">
        <v>206.0</v>
      </c>
      <c r="U2514" s="99">
        <v>8.0</v>
      </c>
      <c r="V2514" s="99">
        <v>47.0</v>
      </c>
      <c r="W2514" s="99">
        <v>24682.0</v>
      </c>
    </row>
    <row r="2515" ht="15.75" customHeight="1">
      <c r="A2515" s="95" t="s">
        <v>13956</v>
      </c>
      <c r="B2515" s="95" t="s">
        <v>22</v>
      </c>
      <c r="C2515" s="96" t="s">
        <v>13957</v>
      </c>
      <c r="D2515" s="95" t="s">
        <v>39</v>
      </c>
      <c r="E2515" s="95" t="s">
        <v>39</v>
      </c>
      <c r="F2515" s="95" t="s">
        <v>19</v>
      </c>
      <c r="G2515" s="95" t="s">
        <v>1427</v>
      </c>
      <c r="H2515" s="95" t="s">
        <v>21</v>
      </c>
      <c r="I2515" s="95" t="s">
        <v>567</v>
      </c>
      <c r="J2515" s="97">
        <v>46021.50399828704</v>
      </c>
      <c r="K2515" s="95" t="s">
        <v>13958</v>
      </c>
      <c r="L2515" s="96" t="s">
        <v>13959</v>
      </c>
      <c r="M2515" s="95" t="s">
        <v>93</v>
      </c>
      <c r="N2515" s="95" t="s">
        <v>13960</v>
      </c>
      <c r="O2515" s="95" t="s">
        <v>13960</v>
      </c>
      <c r="P2515" s="95" t="s">
        <v>13961</v>
      </c>
      <c r="Q2515" s="98">
        <v>1.0</v>
      </c>
      <c r="R2515" s="97">
        <v>45756.80350694444</v>
      </c>
      <c r="S2515" s="99">
        <v>326.0</v>
      </c>
      <c r="T2515" s="99">
        <v>390.0</v>
      </c>
      <c r="U2515" s="99">
        <v>1.0</v>
      </c>
      <c r="V2515" s="99">
        <v>34.0</v>
      </c>
      <c r="W2515" s="99">
        <v>13264.0</v>
      </c>
    </row>
    <row r="2516" ht="15.75" customHeight="1">
      <c r="A2516" s="95" t="s">
        <v>13962</v>
      </c>
      <c r="B2516" s="95" t="s">
        <v>22</v>
      </c>
      <c r="C2516" s="96" t="s">
        <v>13963</v>
      </c>
      <c r="D2516" s="95" t="s">
        <v>168</v>
      </c>
      <c r="E2516" s="95" t="s">
        <v>1228</v>
      </c>
      <c r="F2516" s="95" t="s">
        <v>19</v>
      </c>
      <c r="G2516" s="95" t="s">
        <v>19</v>
      </c>
      <c r="H2516" s="95" t="s">
        <v>21</v>
      </c>
      <c r="I2516" s="95" t="s">
        <v>567</v>
      </c>
      <c r="J2516" s="97">
        <v>45975.67935613426</v>
      </c>
      <c r="K2516" s="96" t="s">
        <v>13964</v>
      </c>
      <c r="L2516" s="96" t="s">
        <v>13965</v>
      </c>
      <c r="M2516" s="95" t="s">
        <v>17</v>
      </c>
      <c r="N2516" s="95" t="s">
        <v>12806</v>
      </c>
      <c r="O2516" s="95" t="s">
        <v>12806</v>
      </c>
      <c r="P2516" s="95" t="s">
        <v>12807</v>
      </c>
      <c r="Q2516" s="98">
        <v>1.0</v>
      </c>
      <c r="R2516" s="97">
        <v>45642.8575</v>
      </c>
      <c r="S2516" s="99">
        <v>402.0</v>
      </c>
      <c r="T2516" s="99">
        <v>9.0</v>
      </c>
      <c r="U2516" s="99">
        <v>1.0</v>
      </c>
      <c r="V2516" s="99">
        <v>134.0</v>
      </c>
      <c r="W2516" s="99">
        <v>4514815.0</v>
      </c>
    </row>
    <row r="2517" ht="15.75" customHeight="1">
      <c r="A2517" s="95" t="s">
        <v>13966</v>
      </c>
      <c r="B2517" s="95" t="s">
        <v>157</v>
      </c>
      <c r="C2517" s="96" t="s">
        <v>13967</v>
      </c>
      <c r="D2517" s="95" t="s">
        <v>168</v>
      </c>
      <c r="E2517" s="95" t="s">
        <v>606</v>
      </c>
      <c r="F2517" s="95" t="s">
        <v>88</v>
      </c>
      <c r="G2517" s="95" t="s">
        <v>88</v>
      </c>
      <c r="H2517" s="95" t="s">
        <v>89</v>
      </c>
      <c r="I2517" s="95" t="s">
        <v>859</v>
      </c>
      <c r="J2517" s="97">
        <v>45975.67935613426</v>
      </c>
      <c r="K2517" s="96" t="s">
        <v>13968</v>
      </c>
      <c r="L2517" s="95"/>
      <c r="M2517" s="95" t="s">
        <v>17</v>
      </c>
      <c r="N2517" s="95" t="s">
        <v>13969</v>
      </c>
      <c r="O2517" s="95" t="s">
        <v>13969</v>
      </c>
      <c r="P2517" s="95" t="s">
        <v>13970</v>
      </c>
      <c r="Q2517" s="98">
        <v>1.0</v>
      </c>
      <c r="R2517" s="97">
        <v>45701.97715277778</v>
      </c>
      <c r="S2517" s="99">
        <v>86.0</v>
      </c>
      <c r="T2517" s="99">
        <v>4.0</v>
      </c>
      <c r="U2517" s="99">
        <v>1.0</v>
      </c>
      <c r="V2517" s="99">
        <v>52.0</v>
      </c>
      <c r="W2517" s="99">
        <v>25484.0</v>
      </c>
    </row>
    <row r="2518" ht="15.75" customHeight="1">
      <c r="A2518" s="95" t="s">
        <v>13971</v>
      </c>
      <c r="B2518" s="95" t="s">
        <v>22</v>
      </c>
      <c r="C2518" s="96" t="s">
        <v>13972</v>
      </c>
      <c r="D2518" s="95" t="s">
        <v>20</v>
      </c>
      <c r="E2518" s="95" t="s">
        <v>1991</v>
      </c>
      <c r="F2518" s="95" t="s">
        <v>19</v>
      </c>
      <c r="G2518" s="95" t="s">
        <v>19</v>
      </c>
      <c r="H2518" s="95" t="s">
        <v>21</v>
      </c>
      <c r="I2518" s="95" t="s">
        <v>567</v>
      </c>
      <c r="J2518" s="97">
        <v>45977.67877016203</v>
      </c>
      <c r="K2518" s="95" t="s">
        <v>13973</v>
      </c>
      <c r="L2518" s="95"/>
      <c r="M2518" s="95" t="s">
        <v>17</v>
      </c>
      <c r="N2518" s="95" t="s">
        <v>8161</v>
      </c>
      <c r="O2518" s="95" t="s">
        <v>8161</v>
      </c>
      <c r="P2518" s="95" t="s">
        <v>8162</v>
      </c>
      <c r="Q2518" s="98">
        <v>1.0</v>
      </c>
      <c r="R2518" s="97">
        <v>45880.83199074074</v>
      </c>
      <c r="S2518" s="99">
        <v>1050.0</v>
      </c>
      <c r="T2518" s="99">
        <v>97.0</v>
      </c>
      <c r="U2518" s="99">
        <v>8.0</v>
      </c>
      <c r="V2518" s="99">
        <v>48.0</v>
      </c>
      <c r="W2518" s="99">
        <v>999999.0</v>
      </c>
    </row>
    <row r="2519" ht="15.75" customHeight="1">
      <c r="A2519" s="95" t="s">
        <v>13974</v>
      </c>
      <c r="B2519" s="95" t="s">
        <v>22</v>
      </c>
      <c r="C2519" s="96" t="s">
        <v>13975</v>
      </c>
      <c r="D2519" s="95" t="s">
        <v>124</v>
      </c>
      <c r="E2519" s="95" t="s">
        <v>124</v>
      </c>
      <c r="F2519" s="95" t="s">
        <v>19</v>
      </c>
      <c r="G2519" s="95" t="s">
        <v>19</v>
      </c>
      <c r="H2519" s="95" t="s">
        <v>21</v>
      </c>
      <c r="I2519" s="95" t="s">
        <v>567</v>
      </c>
      <c r="J2519" s="97">
        <v>45977.67931064815</v>
      </c>
      <c r="K2519" s="95" t="s">
        <v>13976</v>
      </c>
      <c r="L2519" s="96" t="s">
        <v>13977</v>
      </c>
      <c r="M2519" s="95" t="s">
        <v>17</v>
      </c>
      <c r="N2519" s="95" t="s">
        <v>13978</v>
      </c>
      <c r="O2519" s="95" t="s">
        <v>13978</v>
      </c>
      <c r="P2519" s="95" t="s">
        <v>13979</v>
      </c>
      <c r="Q2519" s="98">
        <v>1.0</v>
      </c>
      <c r="R2519" s="97">
        <v>45745.84307870371</v>
      </c>
      <c r="S2519" s="99">
        <v>1549.0</v>
      </c>
      <c r="T2519" s="99">
        <v>435.0</v>
      </c>
      <c r="U2519" s="99">
        <v>1.0</v>
      </c>
      <c r="V2519" s="99">
        <v>32.0</v>
      </c>
      <c r="W2519" s="99">
        <v>33805.0</v>
      </c>
    </row>
    <row r="2520" ht="15.75" customHeight="1">
      <c r="A2520" s="95" t="s">
        <v>13980</v>
      </c>
      <c r="B2520" s="95" t="s">
        <v>22</v>
      </c>
      <c r="C2520" s="96" t="s">
        <v>13981</v>
      </c>
      <c r="D2520" s="95" t="s">
        <v>39</v>
      </c>
      <c r="E2520" s="95" t="s">
        <v>39</v>
      </c>
      <c r="F2520" s="95" t="s">
        <v>19</v>
      </c>
      <c r="G2520" s="95" t="s">
        <v>574</v>
      </c>
      <c r="H2520" s="95" t="s">
        <v>21</v>
      </c>
      <c r="I2520" s="95" t="s">
        <v>567</v>
      </c>
      <c r="J2520" s="97">
        <v>45993.7854622338</v>
      </c>
      <c r="K2520" s="96" t="s">
        <v>13982</v>
      </c>
      <c r="L2520" s="96" t="s">
        <v>13983</v>
      </c>
      <c r="M2520" s="95" t="s">
        <v>17</v>
      </c>
      <c r="N2520" s="95" t="s">
        <v>13984</v>
      </c>
      <c r="O2520" s="95" t="s">
        <v>13984</v>
      </c>
      <c r="P2520" s="95" t="s">
        <v>13985</v>
      </c>
      <c r="Q2520" s="98">
        <v>1.0</v>
      </c>
      <c r="R2520" s="97">
        <v>45740.72342592593</v>
      </c>
      <c r="S2520" s="99">
        <v>59.0</v>
      </c>
      <c r="T2520" s="99">
        <v>10.0</v>
      </c>
      <c r="U2520" s="99">
        <v>7.0</v>
      </c>
      <c r="V2520" s="99">
        <v>30.0</v>
      </c>
      <c r="W2520" s="99">
        <v>10953.0</v>
      </c>
    </row>
    <row r="2521" ht="15.75" customHeight="1">
      <c r="A2521" s="95" t="s">
        <v>13986</v>
      </c>
      <c r="B2521" s="95" t="s">
        <v>22</v>
      </c>
      <c r="C2521" s="96" t="s">
        <v>13987</v>
      </c>
      <c r="D2521" s="95" t="s">
        <v>49</v>
      </c>
      <c r="E2521" s="95" t="s">
        <v>581</v>
      </c>
      <c r="F2521" s="95" t="s">
        <v>19</v>
      </c>
      <c r="G2521" s="95" t="s">
        <v>19</v>
      </c>
      <c r="H2521" s="95" t="s">
        <v>21</v>
      </c>
      <c r="I2521" s="95" t="s">
        <v>567</v>
      </c>
      <c r="J2521" s="97">
        <v>46021.50628966435</v>
      </c>
      <c r="K2521" s="95" t="s">
        <v>13988</v>
      </c>
      <c r="L2521" s="96" t="s">
        <v>13989</v>
      </c>
      <c r="M2521" s="95" t="s">
        <v>67</v>
      </c>
      <c r="N2521" s="95" t="s">
        <v>13019</v>
      </c>
      <c r="O2521" s="95" t="s">
        <v>13019</v>
      </c>
      <c r="P2521" s="95" t="s">
        <v>13020</v>
      </c>
      <c r="Q2521" s="98">
        <v>1.0</v>
      </c>
      <c r="R2521" s="97">
        <v>45875.50800925926</v>
      </c>
      <c r="S2521" s="99">
        <v>234.0</v>
      </c>
      <c r="T2521" s="99">
        <v>8.0</v>
      </c>
      <c r="U2521" s="99">
        <v>6.0</v>
      </c>
      <c r="V2521" s="99">
        <v>53.0</v>
      </c>
      <c r="W2521" s="99">
        <v>105855.0</v>
      </c>
    </row>
    <row r="2522" ht="15.75" customHeight="1">
      <c r="A2522" s="95" t="s">
        <v>13990</v>
      </c>
      <c r="B2522" s="95" t="s">
        <v>22</v>
      </c>
      <c r="C2522" s="96" t="s">
        <v>13991</v>
      </c>
      <c r="D2522" s="95" t="s">
        <v>29</v>
      </c>
      <c r="E2522" s="95" t="s">
        <v>598</v>
      </c>
      <c r="F2522" s="95" t="s">
        <v>19</v>
      </c>
      <c r="G2522" s="95" t="s">
        <v>19</v>
      </c>
      <c r="H2522" s="95" t="s">
        <v>21</v>
      </c>
      <c r="I2522" s="95" t="s">
        <v>567</v>
      </c>
      <c r="J2522" s="97">
        <v>46008.6290738426</v>
      </c>
      <c r="K2522" s="96" t="s">
        <v>13992</v>
      </c>
      <c r="L2522" s="96" t="s">
        <v>13993</v>
      </c>
      <c r="M2522" s="95" t="s">
        <v>67</v>
      </c>
      <c r="N2522" s="95" t="s">
        <v>8333</v>
      </c>
      <c r="O2522" s="95" t="s">
        <v>8333</v>
      </c>
      <c r="P2522" s="95" t="s">
        <v>8334</v>
      </c>
      <c r="Q2522" s="98">
        <v>1.0</v>
      </c>
      <c r="R2522" s="97">
        <v>45630.72706018519</v>
      </c>
      <c r="S2522" s="99">
        <v>281.0</v>
      </c>
      <c r="T2522" s="99">
        <v>11.0</v>
      </c>
      <c r="U2522" s="99">
        <v>3.0</v>
      </c>
      <c r="V2522" s="99">
        <v>28.0</v>
      </c>
      <c r="W2522" s="99">
        <v>2038.0</v>
      </c>
    </row>
    <row r="2523" ht="15.75" customHeight="1">
      <c r="A2523" s="95" t="s">
        <v>13994</v>
      </c>
      <c r="B2523" s="95" t="s">
        <v>22</v>
      </c>
      <c r="C2523" s="96" t="s">
        <v>13995</v>
      </c>
      <c r="D2523" s="95" t="s">
        <v>124</v>
      </c>
      <c r="E2523" s="95" t="s">
        <v>983</v>
      </c>
      <c r="F2523" s="95" t="s">
        <v>19</v>
      </c>
      <c r="G2523" s="95" t="s">
        <v>19</v>
      </c>
      <c r="H2523" s="95" t="s">
        <v>21</v>
      </c>
      <c r="I2523" s="95" t="s">
        <v>567</v>
      </c>
      <c r="J2523" s="97">
        <v>45975.67932418981</v>
      </c>
      <c r="K2523" s="96" t="s">
        <v>13996</v>
      </c>
      <c r="L2523" s="96" t="s">
        <v>13997</v>
      </c>
      <c r="M2523" s="95" t="s">
        <v>93</v>
      </c>
      <c r="N2523" s="95" t="s">
        <v>13998</v>
      </c>
      <c r="O2523" s="95" t="s">
        <v>13998</v>
      </c>
      <c r="P2523" s="95" t="s">
        <v>13999</v>
      </c>
      <c r="Q2523" s="98">
        <v>1.0</v>
      </c>
      <c r="R2523" s="97">
        <v>43276.8622800926</v>
      </c>
      <c r="S2523" s="99">
        <v>4037.0</v>
      </c>
      <c r="T2523" s="99">
        <v>121.0</v>
      </c>
      <c r="U2523" s="99">
        <v>4.0</v>
      </c>
      <c r="V2523" s="99">
        <v>64.0</v>
      </c>
      <c r="W2523" s="99">
        <v>25961.0</v>
      </c>
    </row>
    <row r="2524" ht="15.75" customHeight="1">
      <c r="A2524" s="95" t="s">
        <v>14000</v>
      </c>
      <c r="B2524" s="95" t="s">
        <v>22</v>
      </c>
      <c r="C2524" s="96" t="s">
        <v>14001</v>
      </c>
      <c r="D2524" s="95" t="s">
        <v>548</v>
      </c>
      <c r="E2524" s="95" t="s">
        <v>4121</v>
      </c>
      <c r="F2524" s="95" t="s">
        <v>19</v>
      </c>
      <c r="G2524" s="95" t="s">
        <v>19</v>
      </c>
      <c r="H2524" s="95" t="s">
        <v>21</v>
      </c>
      <c r="I2524" s="95" t="s">
        <v>567</v>
      </c>
      <c r="J2524" s="97">
        <v>46009.8503700463</v>
      </c>
      <c r="K2524" s="95" t="s">
        <v>14002</v>
      </c>
      <c r="L2524" s="96" t="s">
        <v>14003</v>
      </c>
      <c r="M2524" s="95" t="s">
        <v>105</v>
      </c>
      <c r="N2524" s="95" t="s">
        <v>14004</v>
      </c>
      <c r="O2524" s="95" t="s">
        <v>14004</v>
      </c>
      <c r="P2524" s="95" t="s">
        <v>14005</v>
      </c>
      <c r="Q2524" s="98">
        <v>1.0</v>
      </c>
      <c r="R2524" s="97">
        <v>45988.65387731481</v>
      </c>
      <c r="S2524" s="99">
        <v>213.0</v>
      </c>
      <c r="T2524" s="99">
        <v>49.0</v>
      </c>
      <c r="U2524" s="99">
        <v>1.0</v>
      </c>
      <c r="V2524" s="99">
        <v>427.0</v>
      </c>
      <c r="W2524" s="99">
        <v>220774.0</v>
      </c>
    </row>
    <row r="2525" ht="15.75" customHeight="1">
      <c r="A2525" s="95" t="s">
        <v>14006</v>
      </c>
      <c r="B2525" s="95" t="s">
        <v>22</v>
      </c>
      <c r="C2525" s="96" t="s">
        <v>14007</v>
      </c>
      <c r="D2525" s="95" t="s">
        <v>547</v>
      </c>
      <c r="E2525" s="95" t="s">
        <v>710</v>
      </c>
      <c r="F2525" s="95" t="s">
        <v>19</v>
      </c>
      <c r="G2525" s="95" t="s">
        <v>19</v>
      </c>
      <c r="H2525" s="95" t="s">
        <v>21</v>
      </c>
      <c r="I2525" s="95" t="s">
        <v>567</v>
      </c>
      <c r="J2525" s="97">
        <v>46021.49322636574</v>
      </c>
      <c r="K2525" s="95" t="s">
        <v>14008</v>
      </c>
      <c r="L2525" s="96" t="s">
        <v>14009</v>
      </c>
      <c r="M2525" s="95" t="s">
        <v>105</v>
      </c>
      <c r="N2525" s="95" t="s">
        <v>8496</v>
      </c>
      <c r="O2525" s="95" t="s">
        <v>8496</v>
      </c>
      <c r="P2525" s="95" t="s">
        <v>8497</v>
      </c>
      <c r="Q2525" s="98">
        <v>1.0</v>
      </c>
      <c r="R2525" s="97">
        <v>45335.40621527778</v>
      </c>
      <c r="S2525" s="99">
        <v>1186.0</v>
      </c>
      <c r="T2525" s="99">
        <v>139.0</v>
      </c>
      <c r="U2525" s="99">
        <v>4.0</v>
      </c>
      <c r="V2525" s="99">
        <v>18.0</v>
      </c>
      <c r="W2525" s="99">
        <v>116430.0</v>
      </c>
    </row>
    <row r="2526" ht="15.75" customHeight="1">
      <c r="A2526" s="95" t="s">
        <v>14010</v>
      </c>
      <c r="B2526" s="95" t="s">
        <v>22</v>
      </c>
      <c r="C2526" s="96" t="s">
        <v>14011</v>
      </c>
      <c r="D2526" s="95" t="s">
        <v>59</v>
      </c>
      <c r="E2526" s="95" t="s">
        <v>59</v>
      </c>
      <c r="F2526" s="95" t="s">
        <v>19</v>
      </c>
      <c r="G2526" s="95" t="s">
        <v>19</v>
      </c>
      <c r="H2526" s="95" t="s">
        <v>21</v>
      </c>
      <c r="I2526" s="95" t="s">
        <v>567</v>
      </c>
      <c r="J2526" s="97">
        <v>45996.58818828704</v>
      </c>
      <c r="K2526" s="96" t="s">
        <v>14012</v>
      </c>
      <c r="L2526" s="96" t="s">
        <v>14013</v>
      </c>
      <c r="M2526" s="95" t="s">
        <v>503</v>
      </c>
      <c r="N2526" s="95" t="s">
        <v>13202</v>
      </c>
      <c r="O2526" s="95" t="s">
        <v>13202</v>
      </c>
      <c r="P2526" s="95" t="s">
        <v>13203</v>
      </c>
      <c r="Q2526" s="98">
        <v>1.0</v>
      </c>
      <c r="R2526" s="97">
        <v>45854.97802083333</v>
      </c>
      <c r="S2526" s="99">
        <v>1042.0</v>
      </c>
      <c r="T2526" s="99">
        <v>209.0</v>
      </c>
      <c r="U2526" s="99">
        <v>6.0</v>
      </c>
      <c r="V2526" s="99">
        <v>98.0</v>
      </c>
      <c r="W2526" s="99">
        <v>64175.0</v>
      </c>
    </row>
    <row r="2527" ht="15.75" customHeight="1">
      <c r="A2527" s="95" t="s">
        <v>14014</v>
      </c>
      <c r="B2527" s="95" t="s">
        <v>22</v>
      </c>
      <c r="C2527" s="96" t="s">
        <v>14015</v>
      </c>
      <c r="D2527" s="95" t="s">
        <v>68</v>
      </c>
      <c r="E2527" s="95" t="s">
        <v>1671</v>
      </c>
      <c r="F2527" s="95" t="s">
        <v>19</v>
      </c>
      <c r="G2527" s="95" t="s">
        <v>19</v>
      </c>
      <c r="H2527" s="95" t="s">
        <v>21</v>
      </c>
      <c r="I2527" s="95" t="s">
        <v>567</v>
      </c>
      <c r="J2527" s="97">
        <v>46056.94316913195</v>
      </c>
      <c r="K2527" s="95" t="s">
        <v>14016</v>
      </c>
      <c r="L2527" s="96" t="s">
        <v>14017</v>
      </c>
      <c r="M2527" s="95" t="s">
        <v>93</v>
      </c>
      <c r="N2527" s="95" t="s">
        <v>9159</v>
      </c>
      <c r="O2527" s="95" t="s">
        <v>9159</v>
      </c>
      <c r="P2527" s="95" t="s">
        <v>9160</v>
      </c>
      <c r="Q2527" s="98">
        <v>1.0</v>
      </c>
      <c r="R2527" s="97">
        <v>45667.93407407407</v>
      </c>
      <c r="S2527" s="99">
        <v>9444.0</v>
      </c>
      <c r="T2527" s="99">
        <v>2881.0</v>
      </c>
      <c r="U2527" s="99">
        <v>1.0</v>
      </c>
      <c r="V2527" s="99">
        <v>36.0</v>
      </c>
      <c r="W2527" s="99">
        <v>540958.0</v>
      </c>
    </row>
    <row r="2528" ht="15.75" customHeight="1">
      <c r="A2528" s="95" t="s">
        <v>14018</v>
      </c>
      <c r="B2528" s="95" t="s">
        <v>22</v>
      </c>
      <c r="C2528" s="96" t="s">
        <v>14019</v>
      </c>
      <c r="D2528" s="95" t="s">
        <v>39</v>
      </c>
      <c r="E2528" s="95" t="s">
        <v>614</v>
      </c>
      <c r="F2528" s="95" t="s">
        <v>19</v>
      </c>
      <c r="G2528" s="95" t="s">
        <v>19</v>
      </c>
      <c r="H2528" s="95" t="s">
        <v>21</v>
      </c>
      <c r="I2528" s="95" t="s">
        <v>567</v>
      </c>
      <c r="J2528" s="97">
        <v>46021.51435841435</v>
      </c>
      <c r="K2528" s="95" t="s">
        <v>14020</v>
      </c>
      <c r="L2528" s="96" t="s">
        <v>14021</v>
      </c>
      <c r="M2528" s="95" t="s">
        <v>93</v>
      </c>
      <c r="N2528" s="95" t="s">
        <v>14022</v>
      </c>
      <c r="O2528" s="95" t="s">
        <v>14022</v>
      </c>
      <c r="P2528" s="95" t="s">
        <v>14023</v>
      </c>
      <c r="Q2528" s="98">
        <v>1.0</v>
      </c>
      <c r="R2528" s="97">
        <v>45975.59986111111</v>
      </c>
      <c r="S2528" s="99">
        <v>337.0</v>
      </c>
      <c r="T2528" s="99">
        <v>38.0</v>
      </c>
      <c r="U2528" s="99">
        <v>1.0</v>
      </c>
      <c r="V2528" s="99">
        <v>17.0</v>
      </c>
      <c r="W2528" s="99">
        <v>58270.0</v>
      </c>
    </row>
    <row r="2529" ht="15.75" customHeight="1">
      <c r="A2529" s="95" t="s">
        <v>14024</v>
      </c>
      <c r="B2529" s="95" t="s">
        <v>22</v>
      </c>
      <c r="C2529" s="96" t="s">
        <v>14025</v>
      </c>
      <c r="D2529" s="95" t="s">
        <v>39</v>
      </c>
      <c r="E2529" s="95" t="s">
        <v>39</v>
      </c>
      <c r="F2529" s="95" t="s">
        <v>19</v>
      </c>
      <c r="G2529" s="95" t="s">
        <v>19</v>
      </c>
      <c r="H2529" s="95" t="s">
        <v>21</v>
      </c>
      <c r="I2529" s="95" t="s">
        <v>567</v>
      </c>
      <c r="J2529" s="97">
        <v>45993.78544196759</v>
      </c>
      <c r="K2529" s="96" t="s">
        <v>14026</v>
      </c>
      <c r="L2529" s="95"/>
      <c r="M2529" s="95" t="s">
        <v>93</v>
      </c>
      <c r="N2529" s="95" t="s">
        <v>13353</v>
      </c>
      <c r="O2529" s="95" t="s">
        <v>13353</v>
      </c>
      <c r="P2529" s="95" t="s">
        <v>13354</v>
      </c>
      <c r="Q2529" s="98">
        <v>1.0</v>
      </c>
      <c r="R2529" s="97">
        <v>45808.62414351852</v>
      </c>
      <c r="S2529" s="99">
        <v>4703.0</v>
      </c>
      <c r="T2529" s="99">
        <v>712.0</v>
      </c>
      <c r="U2529" s="99">
        <v>2.0</v>
      </c>
      <c r="V2529" s="99">
        <v>16.0</v>
      </c>
      <c r="W2529" s="99">
        <v>25891.0</v>
      </c>
    </row>
    <row r="2530" ht="15.75" customHeight="1">
      <c r="A2530" s="95" t="s">
        <v>14027</v>
      </c>
      <c r="B2530" s="95" t="s">
        <v>131</v>
      </c>
      <c r="C2530" s="96" t="s">
        <v>14028</v>
      </c>
      <c r="D2530" s="95" t="s">
        <v>49</v>
      </c>
      <c r="E2530" s="95" t="s">
        <v>948</v>
      </c>
      <c r="F2530" s="95" t="s">
        <v>58</v>
      </c>
      <c r="G2530" s="95" t="s">
        <v>2409</v>
      </c>
      <c r="H2530" s="95" t="s">
        <v>60</v>
      </c>
      <c r="I2530" s="95" t="s">
        <v>795</v>
      </c>
      <c r="J2530" s="97">
        <v>45993.7854622338</v>
      </c>
      <c r="K2530" s="96" t="s">
        <v>14029</v>
      </c>
      <c r="L2530" s="96" t="s">
        <v>14030</v>
      </c>
      <c r="M2530" s="95" t="s">
        <v>38</v>
      </c>
      <c r="N2530" s="95" t="s">
        <v>13363</v>
      </c>
      <c r="O2530" s="95" t="s">
        <v>13363</v>
      </c>
      <c r="P2530" s="95" t="s">
        <v>13364</v>
      </c>
      <c r="Q2530" s="98">
        <v>1.0</v>
      </c>
      <c r="R2530" s="97">
        <v>45678.76188657407</v>
      </c>
      <c r="S2530" s="99">
        <v>316.0</v>
      </c>
      <c r="T2530" s="99">
        <v>1.0</v>
      </c>
      <c r="U2530" s="99">
        <v>1.0</v>
      </c>
      <c r="V2530" s="99">
        <v>38.0</v>
      </c>
      <c r="W2530" s="99">
        <v>28426.0</v>
      </c>
    </row>
    <row r="2531" ht="15.75" customHeight="1">
      <c r="A2531" s="95" t="s">
        <v>14031</v>
      </c>
      <c r="B2531" s="95" t="s">
        <v>22</v>
      </c>
      <c r="C2531" s="96" t="s">
        <v>14032</v>
      </c>
      <c r="D2531" s="95" t="s">
        <v>124</v>
      </c>
      <c r="E2531" s="95" t="s">
        <v>3461</v>
      </c>
      <c r="F2531" s="95" t="s">
        <v>19</v>
      </c>
      <c r="G2531" s="95" t="s">
        <v>19</v>
      </c>
      <c r="H2531" s="95" t="s">
        <v>21</v>
      </c>
      <c r="I2531" s="95" t="s">
        <v>567</v>
      </c>
      <c r="J2531" s="97">
        <v>45975.67930844907</v>
      </c>
      <c r="K2531" s="96" t="s">
        <v>14033</v>
      </c>
      <c r="L2531" s="96" t="s">
        <v>14034</v>
      </c>
      <c r="M2531" s="95" t="s">
        <v>54</v>
      </c>
      <c r="N2531" s="95" t="s">
        <v>13411</v>
      </c>
      <c r="O2531" s="95" t="s">
        <v>13411</v>
      </c>
      <c r="P2531" s="95" t="s">
        <v>13412</v>
      </c>
      <c r="Q2531" s="98">
        <v>1.0</v>
      </c>
      <c r="R2531" s="97">
        <v>45898.84489583333</v>
      </c>
      <c r="S2531" s="99">
        <v>25751.0</v>
      </c>
      <c r="T2531" s="99">
        <v>426.0</v>
      </c>
      <c r="U2531" s="99">
        <v>41.0</v>
      </c>
      <c r="V2531" s="99">
        <v>286.0</v>
      </c>
      <c r="W2531" s="99">
        <v>400401.0</v>
      </c>
    </row>
    <row r="2532" ht="15.75" customHeight="1">
      <c r="A2532" s="95" t="s">
        <v>14035</v>
      </c>
      <c r="B2532" s="95" t="s">
        <v>22</v>
      </c>
      <c r="C2532" s="96" t="s">
        <v>14036</v>
      </c>
      <c r="D2532" s="95" t="s">
        <v>29</v>
      </c>
      <c r="E2532" s="95" t="s">
        <v>598</v>
      </c>
      <c r="F2532" s="95" t="s">
        <v>19</v>
      </c>
      <c r="G2532" s="95" t="s">
        <v>19</v>
      </c>
      <c r="H2532" s="95" t="s">
        <v>21</v>
      </c>
      <c r="I2532" s="95" t="s">
        <v>567</v>
      </c>
      <c r="J2532" s="97">
        <v>46021.51061192129</v>
      </c>
      <c r="K2532" s="95" t="s">
        <v>14037</v>
      </c>
      <c r="L2532" s="96" t="s">
        <v>14038</v>
      </c>
      <c r="M2532" s="95" t="s">
        <v>93</v>
      </c>
      <c r="N2532" s="95" t="s">
        <v>9947</v>
      </c>
      <c r="O2532" s="95" t="s">
        <v>9947</v>
      </c>
      <c r="P2532" s="95" t="s">
        <v>9948</v>
      </c>
      <c r="Q2532" s="98">
        <v>1.0</v>
      </c>
      <c r="R2532" s="97">
        <v>45992.4577199074</v>
      </c>
      <c r="S2532" s="99">
        <v>731.0</v>
      </c>
      <c r="T2532" s="99">
        <v>5064.0</v>
      </c>
      <c r="U2532" s="99">
        <v>1.0</v>
      </c>
      <c r="V2532" s="99">
        <v>143.0</v>
      </c>
      <c r="W2532" s="99">
        <v>363059.0</v>
      </c>
    </row>
    <row r="2533" ht="15.75" customHeight="1">
      <c r="A2533" s="95" t="s">
        <v>14039</v>
      </c>
      <c r="B2533" s="95" t="s">
        <v>22</v>
      </c>
      <c r="C2533" s="96" t="s">
        <v>14040</v>
      </c>
      <c r="D2533" s="95" t="s">
        <v>29</v>
      </c>
      <c r="E2533" s="95" t="s">
        <v>29</v>
      </c>
      <c r="F2533" s="95" t="s">
        <v>19</v>
      </c>
      <c r="G2533" s="95" t="s">
        <v>19</v>
      </c>
      <c r="H2533" s="95" t="s">
        <v>21</v>
      </c>
      <c r="I2533" s="95" t="s">
        <v>567</v>
      </c>
      <c r="J2533" s="97">
        <v>46021.50500998842</v>
      </c>
      <c r="K2533" s="95" t="s">
        <v>14041</v>
      </c>
      <c r="L2533" s="96" t="s">
        <v>14042</v>
      </c>
      <c r="M2533" s="95" t="s">
        <v>93</v>
      </c>
      <c r="N2533" s="95" t="s">
        <v>14043</v>
      </c>
      <c r="O2533" s="95" t="s">
        <v>14043</v>
      </c>
      <c r="P2533" s="95" t="s">
        <v>14044</v>
      </c>
      <c r="Q2533" s="98">
        <v>1.0</v>
      </c>
      <c r="R2533" s="97">
        <v>45707.36306712963</v>
      </c>
      <c r="S2533" s="99">
        <v>118.0</v>
      </c>
      <c r="T2533" s="99">
        <v>942.0</v>
      </c>
      <c r="U2533" s="99">
        <v>1.0</v>
      </c>
      <c r="V2533" s="99">
        <v>25.0</v>
      </c>
      <c r="W2533" s="99">
        <v>280493.0</v>
      </c>
    </row>
    <row r="2534" ht="15.75" customHeight="1">
      <c r="A2534" s="95" t="s">
        <v>14045</v>
      </c>
      <c r="B2534" s="95" t="s">
        <v>22</v>
      </c>
      <c r="C2534" s="96" t="s">
        <v>14046</v>
      </c>
      <c r="D2534" s="95" t="s">
        <v>29</v>
      </c>
      <c r="E2534" s="95" t="s">
        <v>658</v>
      </c>
      <c r="F2534" s="95" t="s">
        <v>19</v>
      </c>
      <c r="G2534" s="95" t="s">
        <v>19</v>
      </c>
      <c r="H2534" s="95" t="s">
        <v>21</v>
      </c>
      <c r="I2534" s="95" t="s">
        <v>567</v>
      </c>
      <c r="J2534" s="97">
        <v>45982.02350528935</v>
      </c>
      <c r="K2534" s="95" t="s">
        <v>14047</v>
      </c>
      <c r="L2534" s="96" t="s">
        <v>14048</v>
      </c>
      <c r="M2534" s="95" t="s">
        <v>54</v>
      </c>
      <c r="N2534" s="95" t="s">
        <v>14049</v>
      </c>
      <c r="O2534" s="95" t="s">
        <v>14049</v>
      </c>
      <c r="P2534" s="95" t="s">
        <v>14050</v>
      </c>
      <c r="Q2534" s="98">
        <v>1.0</v>
      </c>
      <c r="R2534" s="97">
        <v>45925.28746527778</v>
      </c>
      <c r="S2534" s="99">
        <v>23046.0</v>
      </c>
      <c r="T2534" s="99">
        <v>669.0</v>
      </c>
      <c r="U2534" s="99">
        <v>1.0</v>
      </c>
      <c r="V2534" s="99">
        <v>28.0</v>
      </c>
      <c r="W2534" s="99">
        <v>38188.0</v>
      </c>
    </row>
    <row r="2535" ht="15.75" customHeight="1">
      <c r="A2535" s="95" t="s">
        <v>14051</v>
      </c>
      <c r="B2535" s="95" t="s">
        <v>101</v>
      </c>
      <c r="C2535" s="96" t="s">
        <v>14052</v>
      </c>
      <c r="D2535" s="95" t="s">
        <v>39</v>
      </c>
      <c r="E2535" s="95" t="s">
        <v>614</v>
      </c>
      <c r="F2535" s="95" t="s">
        <v>19</v>
      </c>
      <c r="G2535" s="95" t="s">
        <v>19</v>
      </c>
      <c r="H2535" s="95" t="s">
        <v>21</v>
      </c>
      <c r="I2535" s="95" t="s">
        <v>955</v>
      </c>
      <c r="J2535" s="97">
        <v>45975.67938763889</v>
      </c>
      <c r="K2535" s="96" t="s">
        <v>14053</v>
      </c>
      <c r="L2535" s="96" t="s">
        <v>14054</v>
      </c>
      <c r="M2535" s="95" t="s">
        <v>74</v>
      </c>
      <c r="N2535" s="95" t="s">
        <v>10107</v>
      </c>
      <c r="O2535" s="95" t="s">
        <v>10107</v>
      </c>
      <c r="P2535" s="95" t="s">
        <v>10108</v>
      </c>
      <c r="Q2535" s="98">
        <v>1.0</v>
      </c>
      <c r="R2535" s="97">
        <v>45922.48782407407</v>
      </c>
      <c r="S2535" s="99">
        <v>78166.0</v>
      </c>
      <c r="T2535" s="99">
        <v>14.0</v>
      </c>
      <c r="U2535" s="99">
        <v>1.0</v>
      </c>
      <c r="V2535" s="99">
        <v>8.0</v>
      </c>
      <c r="W2535" s="99">
        <v>101808.0</v>
      </c>
    </row>
    <row r="2536" ht="15.75" customHeight="1">
      <c r="A2536" s="95" t="s">
        <v>14055</v>
      </c>
      <c r="B2536" s="95" t="s">
        <v>22</v>
      </c>
      <c r="C2536" s="96" t="s">
        <v>14056</v>
      </c>
      <c r="D2536" s="95" t="s">
        <v>124</v>
      </c>
      <c r="E2536" s="95" t="s">
        <v>794</v>
      </c>
      <c r="F2536" s="95" t="s">
        <v>19</v>
      </c>
      <c r="G2536" s="95" t="s">
        <v>19</v>
      </c>
      <c r="H2536" s="95" t="s">
        <v>21</v>
      </c>
      <c r="I2536" s="95" t="s">
        <v>567</v>
      </c>
      <c r="J2536" s="97">
        <v>45975.67936400463</v>
      </c>
      <c r="K2536" s="96" t="s">
        <v>14057</v>
      </c>
      <c r="L2536" s="96" t="s">
        <v>14058</v>
      </c>
      <c r="M2536" s="95" t="s">
        <v>17</v>
      </c>
      <c r="N2536" s="95" t="s">
        <v>14059</v>
      </c>
      <c r="O2536" s="95" t="s">
        <v>14059</v>
      </c>
      <c r="P2536" s="95" t="s">
        <v>14060</v>
      </c>
      <c r="Q2536" s="98">
        <v>1.0</v>
      </c>
      <c r="R2536" s="97">
        <v>45769.70142361111</v>
      </c>
      <c r="S2536" s="99">
        <v>20128.0</v>
      </c>
      <c r="T2536" s="99">
        <v>18.0</v>
      </c>
      <c r="U2536" s="99">
        <v>4.0</v>
      </c>
      <c r="V2536" s="99">
        <v>35.0</v>
      </c>
      <c r="W2536" s="99">
        <v>311027.0</v>
      </c>
    </row>
    <row r="2537" ht="15.75" customHeight="1">
      <c r="A2537" s="95" t="s">
        <v>14061</v>
      </c>
      <c r="B2537" s="95" t="s">
        <v>131</v>
      </c>
      <c r="C2537" s="96" t="s">
        <v>14062</v>
      </c>
      <c r="D2537" s="95" t="s">
        <v>547</v>
      </c>
      <c r="E2537" s="95" t="s">
        <v>2952</v>
      </c>
      <c r="F2537" s="95" t="s">
        <v>58</v>
      </c>
      <c r="G2537" s="95" t="s">
        <v>58</v>
      </c>
      <c r="H2537" s="95" t="s">
        <v>60</v>
      </c>
      <c r="I2537" s="95" t="s">
        <v>14063</v>
      </c>
      <c r="J2537" s="97">
        <v>46056.9401283449</v>
      </c>
      <c r="K2537" s="95" t="s">
        <v>14064</v>
      </c>
      <c r="L2537" s="96" t="s">
        <v>14065</v>
      </c>
      <c r="M2537" s="95" t="s">
        <v>74</v>
      </c>
      <c r="N2537" s="95" t="s">
        <v>14066</v>
      </c>
      <c r="O2537" s="95" t="s">
        <v>14066</v>
      </c>
      <c r="P2537" s="95" t="s">
        <v>14067</v>
      </c>
      <c r="Q2537" s="95"/>
      <c r="R2537" s="95"/>
      <c r="S2537" s="99">
        <v>65721.0</v>
      </c>
      <c r="T2537" s="99">
        <v>19.0</v>
      </c>
      <c r="U2537" s="99">
        <v>1.0</v>
      </c>
      <c r="V2537" s="95"/>
      <c r="W2537" s="99">
        <v>717139.0</v>
      </c>
    </row>
    <row r="2538" ht="15.75" customHeight="1">
      <c r="A2538" s="95" t="s">
        <v>14068</v>
      </c>
      <c r="B2538" s="95" t="s">
        <v>22</v>
      </c>
      <c r="C2538" s="96" t="s">
        <v>14069</v>
      </c>
      <c r="D2538" s="95" t="s">
        <v>124</v>
      </c>
      <c r="E2538" s="95" t="s">
        <v>983</v>
      </c>
      <c r="F2538" s="95" t="s">
        <v>19</v>
      </c>
      <c r="G2538" s="95" t="s">
        <v>574</v>
      </c>
      <c r="H2538" s="95" t="s">
        <v>21</v>
      </c>
      <c r="I2538" s="95" t="s">
        <v>567</v>
      </c>
      <c r="J2538" s="97">
        <v>46056.94108646991</v>
      </c>
      <c r="K2538" s="95" t="s">
        <v>14070</v>
      </c>
      <c r="L2538" s="95"/>
      <c r="M2538" s="95" t="s">
        <v>74</v>
      </c>
      <c r="N2538" s="95" t="s">
        <v>14071</v>
      </c>
      <c r="O2538" s="95" t="s">
        <v>14071</v>
      </c>
      <c r="P2538" s="95" t="s">
        <v>14072</v>
      </c>
      <c r="Q2538" s="95"/>
      <c r="R2538" s="95"/>
      <c r="S2538" s="99">
        <v>39913.0</v>
      </c>
      <c r="T2538" s="99">
        <v>32.0</v>
      </c>
      <c r="U2538" s="99">
        <v>21.0</v>
      </c>
      <c r="V2538" s="95"/>
      <c r="W2538" s="99">
        <v>335191.0</v>
      </c>
    </row>
    <row r="2539" ht="15.75" customHeight="1">
      <c r="A2539" s="95" t="s">
        <v>14073</v>
      </c>
      <c r="B2539" s="95" t="s">
        <v>131</v>
      </c>
      <c r="C2539" s="96" t="s">
        <v>14074</v>
      </c>
      <c r="D2539" s="95" t="s">
        <v>29</v>
      </c>
      <c r="E2539" s="95" t="s">
        <v>598</v>
      </c>
      <c r="F2539" s="95" t="s">
        <v>88</v>
      </c>
      <c r="G2539" s="95" t="s">
        <v>639</v>
      </c>
      <c r="H2539" s="95" t="s">
        <v>60</v>
      </c>
      <c r="I2539" s="95" t="s">
        <v>2332</v>
      </c>
      <c r="J2539" s="97">
        <v>46069.66181605324</v>
      </c>
      <c r="K2539" s="95" t="s">
        <v>14075</v>
      </c>
      <c r="L2539" s="95"/>
      <c r="M2539" s="95" t="s">
        <v>74</v>
      </c>
      <c r="N2539" s="95" t="s">
        <v>3853</v>
      </c>
      <c r="O2539" s="95" t="s">
        <v>3853</v>
      </c>
      <c r="P2539" s="95" t="s">
        <v>3854</v>
      </c>
      <c r="Q2539" s="95"/>
      <c r="R2539" s="95"/>
      <c r="S2539" s="99">
        <v>63812.0</v>
      </c>
      <c r="T2539" s="99">
        <v>10.0</v>
      </c>
      <c r="U2539" s="99">
        <v>12.0</v>
      </c>
      <c r="V2539" s="95"/>
      <c r="W2539" s="99">
        <v>999999.0</v>
      </c>
    </row>
    <row r="2540" ht="15.75" customHeight="1">
      <c r="A2540" s="95" t="s">
        <v>14076</v>
      </c>
      <c r="B2540" s="95" t="s">
        <v>101</v>
      </c>
      <c r="C2540" s="96" t="s">
        <v>14077</v>
      </c>
      <c r="D2540" s="95" t="s">
        <v>39</v>
      </c>
      <c r="E2540" s="95" t="s">
        <v>39</v>
      </c>
      <c r="F2540" s="95" t="s">
        <v>19</v>
      </c>
      <c r="G2540" s="95" t="s">
        <v>1367</v>
      </c>
      <c r="H2540" s="95" t="s">
        <v>21</v>
      </c>
      <c r="I2540" s="95" t="s">
        <v>1589</v>
      </c>
      <c r="J2540" s="97">
        <v>46056.94071748843</v>
      </c>
      <c r="K2540" s="95" t="s">
        <v>14078</v>
      </c>
      <c r="L2540" s="95"/>
      <c r="M2540" s="95" t="s">
        <v>503</v>
      </c>
      <c r="N2540" s="95" t="s">
        <v>14079</v>
      </c>
      <c r="O2540" s="95" t="s">
        <v>14079</v>
      </c>
      <c r="P2540" s="95" t="s">
        <v>14080</v>
      </c>
      <c r="Q2540" s="95"/>
      <c r="R2540" s="95"/>
      <c r="S2540" s="99">
        <v>14141.0</v>
      </c>
      <c r="T2540" s="99">
        <v>1.0</v>
      </c>
      <c r="U2540" s="99">
        <v>1.0</v>
      </c>
      <c r="V2540" s="95"/>
      <c r="W2540" s="99">
        <v>118799.0</v>
      </c>
    </row>
    <row r="2541" ht="15.75" customHeight="1">
      <c r="A2541" s="95" t="s">
        <v>14081</v>
      </c>
      <c r="B2541" s="95" t="s">
        <v>101</v>
      </c>
      <c r="C2541" s="96" t="s">
        <v>14082</v>
      </c>
      <c r="D2541" s="95" t="s">
        <v>124</v>
      </c>
      <c r="E2541" s="95" t="s">
        <v>6042</v>
      </c>
      <c r="F2541" s="95" t="s">
        <v>19</v>
      </c>
      <c r="G2541" s="95" t="s">
        <v>1004</v>
      </c>
      <c r="H2541" s="95" t="s">
        <v>21</v>
      </c>
      <c r="I2541" s="95" t="s">
        <v>1497</v>
      </c>
      <c r="J2541" s="97">
        <v>46056.9401283449</v>
      </c>
      <c r="K2541" s="95" t="s">
        <v>14083</v>
      </c>
      <c r="L2541" s="96" t="s">
        <v>14084</v>
      </c>
      <c r="M2541" s="95" t="s">
        <v>74</v>
      </c>
      <c r="N2541" s="95" t="s">
        <v>14085</v>
      </c>
      <c r="O2541" s="95" t="s">
        <v>14085</v>
      </c>
      <c r="P2541" s="95" t="s">
        <v>14086</v>
      </c>
      <c r="Q2541" s="95"/>
      <c r="R2541" s="95"/>
      <c r="S2541" s="99">
        <v>46064.0</v>
      </c>
      <c r="T2541" s="99">
        <v>39.0</v>
      </c>
      <c r="U2541" s="99">
        <v>27.0</v>
      </c>
      <c r="V2541" s="95"/>
      <c r="W2541" s="99">
        <v>277140.0</v>
      </c>
    </row>
    <row r="2542" ht="15.75" customHeight="1">
      <c r="A2542" s="95" t="s">
        <v>14087</v>
      </c>
      <c r="B2542" s="95" t="s">
        <v>101</v>
      </c>
      <c r="C2542" s="96" t="s">
        <v>14088</v>
      </c>
      <c r="D2542" s="95" t="s">
        <v>124</v>
      </c>
      <c r="E2542" s="95" t="s">
        <v>794</v>
      </c>
      <c r="F2542" s="95" t="s">
        <v>19</v>
      </c>
      <c r="G2542" s="95" t="s">
        <v>997</v>
      </c>
      <c r="H2542" s="95" t="s">
        <v>21</v>
      </c>
      <c r="I2542" s="95" t="s">
        <v>1760</v>
      </c>
      <c r="J2542" s="97">
        <v>45993.79076221065</v>
      </c>
      <c r="K2542" s="96" t="s">
        <v>14089</v>
      </c>
      <c r="L2542" s="96" t="s">
        <v>14090</v>
      </c>
      <c r="M2542" s="95" t="s">
        <v>74</v>
      </c>
      <c r="N2542" s="95" t="s">
        <v>14091</v>
      </c>
      <c r="O2542" s="95" t="s">
        <v>14091</v>
      </c>
      <c r="P2542" s="95" t="s">
        <v>14092</v>
      </c>
      <c r="Q2542" s="95"/>
      <c r="R2542" s="95"/>
      <c r="S2542" s="99">
        <v>29506.0</v>
      </c>
      <c r="T2542" s="99">
        <v>27.0</v>
      </c>
      <c r="U2542" s="99">
        <v>1.0</v>
      </c>
      <c r="V2542" s="95"/>
      <c r="W2542" s="99">
        <v>898399.0</v>
      </c>
    </row>
    <row r="2543" ht="15.75" customHeight="1">
      <c r="A2543" s="95" t="s">
        <v>14093</v>
      </c>
      <c r="B2543" s="95" t="s">
        <v>101</v>
      </c>
      <c r="C2543" s="96" t="s">
        <v>14094</v>
      </c>
      <c r="D2543" s="95" t="s">
        <v>548</v>
      </c>
      <c r="E2543" s="95" t="s">
        <v>6908</v>
      </c>
      <c r="F2543" s="95" t="s">
        <v>19</v>
      </c>
      <c r="G2543" s="95" t="s">
        <v>19</v>
      </c>
      <c r="H2543" s="95" t="s">
        <v>21</v>
      </c>
      <c r="I2543" s="95" t="s">
        <v>5078</v>
      </c>
      <c r="J2543" s="97">
        <v>46056.94108646991</v>
      </c>
      <c r="K2543" s="95" t="s">
        <v>14095</v>
      </c>
      <c r="L2543" s="95"/>
      <c r="M2543" s="95" t="s">
        <v>74</v>
      </c>
      <c r="N2543" s="95" t="s">
        <v>14096</v>
      </c>
      <c r="O2543" s="95" t="s">
        <v>14096</v>
      </c>
      <c r="P2543" s="95" t="s">
        <v>14097</v>
      </c>
      <c r="Q2543" s="95"/>
      <c r="R2543" s="95"/>
      <c r="S2543" s="99">
        <v>14800.0</v>
      </c>
      <c r="T2543" s="99">
        <v>57.0</v>
      </c>
      <c r="U2543" s="99">
        <v>6.0</v>
      </c>
      <c r="V2543" s="95"/>
      <c r="W2543" s="99">
        <v>37534.0</v>
      </c>
    </row>
    <row r="2544" ht="15.75" customHeight="1">
      <c r="A2544" s="95" t="s">
        <v>14098</v>
      </c>
      <c r="B2544" s="95" t="s">
        <v>101</v>
      </c>
      <c r="C2544" s="96" t="s">
        <v>14099</v>
      </c>
      <c r="D2544" s="95" t="s">
        <v>547</v>
      </c>
      <c r="E2544" s="95" t="s">
        <v>2952</v>
      </c>
      <c r="F2544" s="95" t="s">
        <v>19</v>
      </c>
      <c r="G2544" s="95" t="s">
        <v>3850</v>
      </c>
      <c r="H2544" s="95" t="s">
        <v>21</v>
      </c>
      <c r="I2544" s="95" t="s">
        <v>14100</v>
      </c>
      <c r="J2544" s="97">
        <v>46056.94108646991</v>
      </c>
      <c r="K2544" s="95" t="s">
        <v>14101</v>
      </c>
      <c r="L2544" s="96" t="s">
        <v>14102</v>
      </c>
      <c r="M2544" s="95" t="s">
        <v>74</v>
      </c>
      <c r="N2544" s="95" t="s">
        <v>14103</v>
      </c>
      <c r="O2544" s="95" t="s">
        <v>14103</v>
      </c>
      <c r="P2544" s="95" t="s">
        <v>14104</v>
      </c>
      <c r="Q2544" s="95"/>
      <c r="R2544" s="95"/>
      <c r="S2544" s="99">
        <v>12142.0</v>
      </c>
      <c r="T2544" s="99">
        <v>2275.0</v>
      </c>
      <c r="U2544" s="99">
        <v>8.0</v>
      </c>
      <c r="V2544" s="95"/>
      <c r="W2544" s="95"/>
    </row>
    <row r="2545" ht="15.75" customHeight="1">
      <c r="A2545" s="95" t="s">
        <v>14105</v>
      </c>
      <c r="B2545" s="95" t="s">
        <v>131</v>
      </c>
      <c r="C2545" s="96" t="s">
        <v>14106</v>
      </c>
      <c r="D2545" s="95" t="s">
        <v>547</v>
      </c>
      <c r="E2545" s="95" t="s">
        <v>2952</v>
      </c>
      <c r="F2545" s="95" t="s">
        <v>88</v>
      </c>
      <c r="G2545" s="95" t="s">
        <v>14107</v>
      </c>
      <c r="H2545" s="95" t="s">
        <v>89</v>
      </c>
      <c r="I2545" s="95" t="s">
        <v>14108</v>
      </c>
      <c r="J2545" s="97">
        <v>46056.94083783565</v>
      </c>
      <c r="K2545" s="95" t="s">
        <v>14109</v>
      </c>
      <c r="L2545" s="96" t="s">
        <v>14110</v>
      </c>
      <c r="M2545" s="95" t="s">
        <v>503</v>
      </c>
      <c r="N2545" s="95" t="s">
        <v>14111</v>
      </c>
      <c r="O2545" s="95" t="s">
        <v>14111</v>
      </c>
      <c r="P2545" s="95" t="s">
        <v>14112</v>
      </c>
      <c r="Q2545" s="95"/>
      <c r="R2545" s="95"/>
      <c r="S2545" s="99">
        <v>15448.0</v>
      </c>
      <c r="T2545" s="99">
        <v>88.0</v>
      </c>
      <c r="U2545" s="99">
        <v>1.0</v>
      </c>
      <c r="V2545" s="95"/>
      <c r="W2545" s="99">
        <v>3723.0</v>
      </c>
    </row>
    <row r="2546" ht="15.75" customHeight="1">
      <c r="A2546" s="95" t="s">
        <v>14113</v>
      </c>
      <c r="B2546" s="95" t="s">
        <v>22</v>
      </c>
      <c r="C2546" s="96" t="s">
        <v>14114</v>
      </c>
      <c r="D2546" s="95" t="s">
        <v>68</v>
      </c>
      <c r="E2546" s="95" t="s">
        <v>1901</v>
      </c>
      <c r="F2546" s="95" t="s">
        <v>19</v>
      </c>
      <c r="G2546" s="95" t="s">
        <v>574</v>
      </c>
      <c r="H2546" s="95" t="s">
        <v>21</v>
      </c>
      <c r="I2546" s="95" t="s">
        <v>567</v>
      </c>
      <c r="J2546" s="97">
        <v>45993.78544196759</v>
      </c>
      <c r="K2546" s="96" t="s">
        <v>14115</v>
      </c>
      <c r="L2546" s="96" t="s">
        <v>14116</v>
      </c>
      <c r="M2546" s="95" t="s">
        <v>54</v>
      </c>
      <c r="N2546" s="95" t="s">
        <v>12671</v>
      </c>
      <c r="O2546" s="95" t="s">
        <v>12671</v>
      </c>
      <c r="P2546" s="95" t="s">
        <v>12672</v>
      </c>
      <c r="Q2546" s="95"/>
      <c r="R2546" s="95"/>
      <c r="S2546" s="99">
        <v>10806.0</v>
      </c>
      <c r="T2546" s="99">
        <v>124.0</v>
      </c>
      <c r="U2546" s="99">
        <v>1.0</v>
      </c>
      <c r="V2546" s="95"/>
      <c r="W2546" s="99">
        <v>999999.0</v>
      </c>
    </row>
    <row r="2547" ht="15.75" customHeight="1">
      <c r="A2547" s="95" t="s">
        <v>14117</v>
      </c>
      <c r="B2547" s="95" t="s">
        <v>101</v>
      </c>
      <c r="C2547" s="96" t="s">
        <v>14118</v>
      </c>
      <c r="D2547" s="95" t="s">
        <v>29</v>
      </c>
      <c r="E2547" s="95" t="s">
        <v>29</v>
      </c>
      <c r="F2547" s="95" t="s">
        <v>19</v>
      </c>
      <c r="G2547" s="95" t="s">
        <v>19</v>
      </c>
      <c r="H2547" s="95" t="s">
        <v>21</v>
      </c>
      <c r="I2547" s="95" t="s">
        <v>1589</v>
      </c>
      <c r="J2547" s="97">
        <v>46056.94108646991</v>
      </c>
      <c r="K2547" s="95" t="s">
        <v>14119</v>
      </c>
      <c r="L2547" s="95"/>
      <c r="M2547" s="95" t="s">
        <v>74</v>
      </c>
      <c r="N2547" s="95" t="s">
        <v>14120</v>
      </c>
      <c r="O2547" s="95" t="s">
        <v>14120</v>
      </c>
      <c r="P2547" s="95" t="s">
        <v>14121</v>
      </c>
      <c r="Q2547" s="95"/>
      <c r="R2547" s="95"/>
      <c r="S2547" s="99">
        <v>20994.0</v>
      </c>
      <c r="T2547" s="99">
        <v>388.0</v>
      </c>
      <c r="U2547" s="99">
        <v>7.0</v>
      </c>
      <c r="V2547" s="95"/>
      <c r="W2547" s="99">
        <v>28586.0</v>
      </c>
    </row>
    <row r="2548" ht="15.75" customHeight="1">
      <c r="A2548" s="95" t="s">
        <v>14122</v>
      </c>
      <c r="B2548" s="95" t="s">
        <v>69</v>
      </c>
      <c r="C2548" s="96" t="s">
        <v>14123</v>
      </c>
      <c r="D2548" s="95" t="s">
        <v>49</v>
      </c>
      <c r="E2548" s="95" t="s">
        <v>4842</v>
      </c>
      <c r="F2548" s="95" t="s">
        <v>58</v>
      </c>
      <c r="G2548" s="95" t="s">
        <v>14124</v>
      </c>
      <c r="H2548" s="95" t="s">
        <v>89</v>
      </c>
      <c r="I2548" s="95" t="s">
        <v>14125</v>
      </c>
      <c r="J2548" s="97">
        <v>46069.66260454861</v>
      </c>
      <c r="K2548" s="95" t="s">
        <v>14126</v>
      </c>
      <c r="L2548" s="96" t="s">
        <v>14127</v>
      </c>
      <c r="M2548" s="95" t="s">
        <v>74</v>
      </c>
      <c r="N2548" s="95" t="s">
        <v>14128</v>
      </c>
      <c r="O2548" s="95" t="s">
        <v>14128</v>
      </c>
      <c r="P2548" s="95" t="s">
        <v>14129</v>
      </c>
      <c r="Q2548" s="95"/>
      <c r="R2548" s="95"/>
      <c r="S2548" s="99">
        <v>31588.0</v>
      </c>
      <c r="T2548" s="99">
        <v>1044.0</v>
      </c>
      <c r="U2548" s="99">
        <v>19.0</v>
      </c>
      <c r="V2548" s="95"/>
      <c r="W2548" s="99">
        <v>506767.0</v>
      </c>
    </row>
    <row r="2549" ht="15.75" customHeight="1">
      <c r="A2549" s="95" t="s">
        <v>14130</v>
      </c>
      <c r="B2549" s="95" t="s">
        <v>101</v>
      </c>
      <c r="C2549" s="96" t="s">
        <v>14131</v>
      </c>
      <c r="D2549" s="95" t="s">
        <v>59</v>
      </c>
      <c r="E2549" s="95" t="s">
        <v>59</v>
      </c>
      <c r="F2549" s="95" t="s">
        <v>19</v>
      </c>
      <c r="G2549" s="95" t="s">
        <v>588</v>
      </c>
      <c r="H2549" s="95" t="s">
        <v>21</v>
      </c>
      <c r="I2549" s="95" t="s">
        <v>1760</v>
      </c>
      <c r="J2549" s="97">
        <v>45993.78544196759</v>
      </c>
      <c r="K2549" s="96" t="s">
        <v>14132</v>
      </c>
      <c r="L2549" s="96" t="s">
        <v>14133</v>
      </c>
      <c r="M2549" s="95" t="s">
        <v>54</v>
      </c>
      <c r="N2549" s="95" t="s">
        <v>14134</v>
      </c>
      <c r="O2549" s="95" t="s">
        <v>14134</v>
      </c>
      <c r="P2549" s="95" t="s">
        <v>14135</v>
      </c>
      <c r="Q2549" s="95"/>
      <c r="R2549" s="95"/>
      <c r="S2549" s="99">
        <v>9278.0</v>
      </c>
      <c r="T2549" s="99">
        <v>61.0</v>
      </c>
      <c r="U2549" s="99">
        <v>4.0</v>
      </c>
      <c r="V2549" s="95"/>
      <c r="W2549" s="99">
        <v>21249.0</v>
      </c>
    </row>
    <row r="2550" ht="15.75" customHeight="1">
      <c r="A2550" s="95" t="s">
        <v>14136</v>
      </c>
      <c r="B2550" s="95" t="s">
        <v>69</v>
      </c>
      <c r="C2550" s="96" t="s">
        <v>14137</v>
      </c>
      <c r="D2550" s="95" t="s">
        <v>20</v>
      </c>
      <c r="E2550" s="95" t="s">
        <v>762</v>
      </c>
      <c r="F2550" s="95" t="s">
        <v>19</v>
      </c>
      <c r="G2550" s="95" t="s">
        <v>839</v>
      </c>
      <c r="H2550" s="95" t="s">
        <v>21</v>
      </c>
      <c r="I2550" s="95" t="s">
        <v>1044</v>
      </c>
      <c r="J2550" s="97">
        <v>45993.79076234953</v>
      </c>
      <c r="K2550" s="96" t="s">
        <v>14138</v>
      </c>
      <c r="L2550" s="96" t="s">
        <v>14139</v>
      </c>
      <c r="M2550" s="95" t="s">
        <v>74</v>
      </c>
      <c r="N2550" s="95" t="s">
        <v>14140</v>
      </c>
      <c r="O2550" s="95" t="s">
        <v>14140</v>
      </c>
      <c r="P2550" s="95" t="s">
        <v>14141</v>
      </c>
      <c r="Q2550" s="95"/>
      <c r="R2550" s="95"/>
      <c r="S2550" s="99">
        <v>14676.0</v>
      </c>
      <c r="T2550" s="99">
        <v>25.0</v>
      </c>
      <c r="U2550" s="99">
        <v>2.0</v>
      </c>
      <c r="V2550" s="95"/>
      <c r="W2550" s="99">
        <v>57630.0</v>
      </c>
    </row>
    <row r="2551" ht="15.75" customHeight="1">
      <c r="A2551" s="95" t="s">
        <v>14142</v>
      </c>
      <c r="B2551" s="95" t="s">
        <v>101</v>
      </c>
      <c r="C2551" s="96" t="s">
        <v>14143</v>
      </c>
      <c r="D2551" s="95" t="s">
        <v>39</v>
      </c>
      <c r="E2551" s="95" t="s">
        <v>39</v>
      </c>
      <c r="F2551" s="95" t="s">
        <v>19</v>
      </c>
      <c r="G2551" s="95" t="s">
        <v>839</v>
      </c>
      <c r="H2551" s="95" t="s">
        <v>21</v>
      </c>
      <c r="I2551" s="95" t="s">
        <v>14144</v>
      </c>
      <c r="J2551" s="97">
        <v>46014.00758163194</v>
      </c>
      <c r="K2551" s="95" t="s">
        <v>14145</v>
      </c>
      <c r="L2551" s="96" t="s">
        <v>14146</v>
      </c>
      <c r="M2551" s="95" t="s">
        <v>93</v>
      </c>
      <c r="N2551" s="95" t="s">
        <v>14147</v>
      </c>
      <c r="O2551" s="95" t="s">
        <v>14147</v>
      </c>
      <c r="P2551" s="95" t="s">
        <v>14148</v>
      </c>
      <c r="Q2551" s="95"/>
      <c r="R2551" s="95"/>
      <c r="S2551" s="99">
        <v>767.0</v>
      </c>
      <c r="T2551" s="99">
        <v>659.0</v>
      </c>
      <c r="U2551" s="99">
        <v>3.0</v>
      </c>
      <c r="V2551" s="95"/>
      <c r="W2551" s="99">
        <v>43248.0</v>
      </c>
    </row>
    <row r="2552" ht="15.75" customHeight="1">
      <c r="A2552" s="95" t="s">
        <v>14149</v>
      </c>
      <c r="B2552" s="95" t="s">
        <v>101</v>
      </c>
      <c r="C2552" s="96" t="s">
        <v>14150</v>
      </c>
      <c r="D2552" s="95" t="s">
        <v>20</v>
      </c>
      <c r="E2552" s="95" t="s">
        <v>762</v>
      </c>
      <c r="F2552" s="95" t="s">
        <v>19</v>
      </c>
      <c r="G2552" s="95" t="s">
        <v>588</v>
      </c>
      <c r="H2552" s="95" t="s">
        <v>21</v>
      </c>
      <c r="I2552" s="95" t="s">
        <v>890</v>
      </c>
      <c r="J2552" s="97">
        <v>46056.9401283449</v>
      </c>
      <c r="K2552" s="95" t="s">
        <v>14151</v>
      </c>
      <c r="L2552" s="96" t="s">
        <v>14152</v>
      </c>
      <c r="M2552" s="95" t="s">
        <v>74</v>
      </c>
      <c r="N2552" s="95" t="s">
        <v>10046</v>
      </c>
      <c r="O2552" s="95" t="s">
        <v>10046</v>
      </c>
      <c r="P2552" s="95" t="s">
        <v>10047</v>
      </c>
      <c r="Q2552" s="95"/>
      <c r="R2552" s="95"/>
      <c r="S2552" s="99">
        <v>21841.0</v>
      </c>
      <c r="T2552" s="99">
        <v>6.0</v>
      </c>
      <c r="U2552" s="99">
        <v>4.0</v>
      </c>
      <c r="V2552" s="95"/>
      <c r="W2552" s="99">
        <v>459807.0</v>
      </c>
    </row>
  </sheetData>
  <hyperlinks>
    <hyperlink r:id="rId1" ref="C2"/>
    <hyperlink r:id="rId2" ref="L2"/>
    <hyperlink r:id="rId3" ref="C3"/>
    <hyperlink r:id="rId4" ref="K3"/>
    <hyperlink r:id="rId5" ref="L3"/>
    <hyperlink r:id="rId6" ref="C4"/>
    <hyperlink r:id="rId7" ref="K4"/>
    <hyperlink r:id="rId8" ref="L4"/>
    <hyperlink r:id="rId9" ref="C5"/>
    <hyperlink r:id="rId10" ref="L5"/>
    <hyperlink r:id="rId11" ref="C6"/>
    <hyperlink r:id="rId12" ref="L6"/>
    <hyperlink r:id="rId13" ref="C7"/>
    <hyperlink r:id="rId14" ref="L7"/>
    <hyperlink r:id="rId15" ref="C8"/>
    <hyperlink r:id="rId16" ref="L8"/>
    <hyperlink r:id="rId17" ref="C9"/>
    <hyperlink r:id="rId18" ref="L9"/>
    <hyperlink r:id="rId19" ref="C10"/>
    <hyperlink r:id="rId20" ref="K10"/>
    <hyperlink r:id="rId21" ref="L10"/>
    <hyperlink r:id="rId22" ref="C11"/>
    <hyperlink r:id="rId23" ref="L11"/>
    <hyperlink r:id="rId24" ref="C12"/>
    <hyperlink r:id="rId25" ref="L12"/>
    <hyperlink r:id="rId26" ref="C13"/>
    <hyperlink r:id="rId27" ref="K13"/>
    <hyperlink r:id="rId28" ref="L13"/>
    <hyperlink r:id="rId29" ref="C14"/>
    <hyperlink r:id="rId30" ref="L14"/>
    <hyperlink r:id="rId31" ref="C15"/>
    <hyperlink r:id="rId32" ref="L15"/>
    <hyperlink r:id="rId33" ref="C16"/>
    <hyperlink r:id="rId34" ref="L16"/>
    <hyperlink r:id="rId35" ref="C17"/>
    <hyperlink r:id="rId36" ref="L17"/>
    <hyperlink r:id="rId37" ref="C18"/>
    <hyperlink r:id="rId38" ref="K18"/>
    <hyperlink r:id="rId39" ref="L18"/>
    <hyperlink r:id="rId40" ref="C19"/>
    <hyperlink r:id="rId41" ref="L19"/>
    <hyperlink r:id="rId42" ref="C20"/>
    <hyperlink r:id="rId43" ref="L20"/>
    <hyperlink r:id="rId44" ref="C21"/>
    <hyperlink r:id="rId45" ref="L21"/>
    <hyperlink r:id="rId46" ref="C22"/>
    <hyperlink r:id="rId47" ref="L22"/>
    <hyperlink r:id="rId48" ref="C23"/>
    <hyperlink r:id="rId49" ref="K23"/>
    <hyperlink r:id="rId50" ref="L23"/>
    <hyperlink r:id="rId51" ref="C24"/>
    <hyperlink r:id="rId52" ref="L24"/>
    <hyperlink r:id="rId53" ref="C25"/>
    <hyperlink r:id="rId54" ref="L25"/>
    <hyperlink r:id="rId55" ref="C26"/>
    <hyperlink r:id="rId56" ref="K26"/>
    <hyperlink r:id="rId57" ref="L26"/>
    <hyperlink r:id="rId58" ref="C27"/>
    <hyperlink r:id="rId59" ref="C28"/>
    <hyperlink r:id="rId60" ref="L28"/>
    <hyperlink r:id="rId61" ref="C29"/>
    <hyperlink r:id="rId62" ref="L29"/>
    <hyperlink r:id="rId63" ref="C30"/>
    <hyperlink r:id="rId64" ref="K30"/>
    <hyperlink r:id="rId65" ref="L30"/>
    <hyperlink r:id="rId66" ref="C31"/>
    <hyperlink r:id="rId67" ref="L31"/>
    <hyperlink r:id="rId68" ref="C32"/>
    <hyperlink r:id="rId69" ref="L32"/>
    <hyperlink r:id="rId70" ref="C33"/>
    <hyperlink r:id="rId71" ref="L33"/>
    <hyperlink r:id="rId72" ref="C34"/>
    <hyperlink r:id="rId73" ref="K34"/>
    <hyperlink r:id="rId74" ref="L34"/>
    <hyperlink r:id="rId75" ref="C35"/>
    <hyperlink r:id="rId76" ref="K35"/>
    <hyperlink r:id="rId77" ref="L35"/>
    <hyperlink r:id="rId78" ref="C36"/>
    <hyperlink r:id="rId79" ref="K36"/>
    <hyperlink r:id="rId80" ref="L36"/>
    <hyperlink r:id="rId81" ref="C37"/>
    <hyperlink r:id="rId82" ref="K37"/>
    <hyperlink r:id="rId83" ref="L37"/>
    <hyperlink r:id="rId84" ref="C38"/>
    <hyperlink r:id="rId85" ref="K38"/>
    <hyperlink r:id="rId86" ref="L38"/>
    <hyperlink r:id="rId87" ref="C39"/>
    <hyperlink r:id="rId88" ref="L39"/>
    <hyperlink r:id="rId89" ref="C40"/>
    <hyperlink r:id="rId90" ref="K40"/>
    <hyperlink r:id="rId91" ref="L40"/>
    <hyperlink r:id="rId92" ref="C41"/>
    <hyperlink r:id="rId93" ref="K41"/>
    <hyperlink r:id="rId94" ref="L41"/>
    <hyperlink r:id="rId95" ref="C42"/>
    <hyperlink r:id="rId96" ref="K42"/>
    <hyperlink r:id="rId97" ref="L42"/>
    <hyperlink r:id="rId98" ref="C43"/>
    <hyperlink r:id="rId99" ref="K43"/>
    <hyperlink r:id="rId100" ref="L43"/>
    <hyperlink r:id="rId101" ref="C44"/>
    <hyperlink r:id="rId102" ref="K44"/>
    <hyperlink r:id="rId103" ref="L44"/>
    <hyperlink r:id="rId104" ref="C45"/>
    <hyperlink r:id="rId105" ref="K45"/>
    <hyperlink r:id="rId106" ref="L45"/>
    <hyperlink r:id="rId107" ref="C46"/>
    <hyperlink r:id="rId108" ref="K46"/>
    <hyperlink r:id="rId109" ref="L46"/>
    <hyperlink r:id="rId110" ref="C47"/>
    <hyperlink r:id="rId111" ref="K47"/>
    <hyperlink r:id="rId112" ref="L47"/>
    <hyperlink r:id="rId113" ref="C48"/>
    <hyperlink r:id="rId114" ref="K48"/>
    <hyperlink r:id="rId115" ref="L48"/>
    <hyperlink r:id="rId116" ref="C49"/>
    <hyperlink r:id="rId117" ref="L49"/>
    <hyperlink r:id="rId118" ref="C50"/>
    <hyperlink r:id="rId119" ref="L50"/>
    <hyperlink r:id="rId120" ref="C51"/>
    <hyperlink r:id="rId121" ref="L51"/>
    <hyperlink r:id="rId122" ref="C52"/>
    <hyperlink r:id="rId123" ref="L52"/>
    <hyperlink r:id="rId124" ref="C53"/>
    <hyperlink r:id="rId125" ref="K53"/>
    <hyperlink r:id="rId126" ref="L53"/>
    <hyperlink r:id="rId127" ref="C54"/>
    <hyperlink r:id="rId128" ref="L54"/>
    <hyperlink r:id="rId129" ref="C55"/>
    <hyperlink r:id="rId130" ref="K55"/>
    <hyperlink r:id="rId131" ref="C56"/>
    <hyperlink r:id="rId132" ref="K56"/>
    <hyperlink r:id="rId133" ref="L56"/>
    <hyperlink r:id="rId134" ref="C57"/>
    <hyperlink r:id="rId135" ref="K57"/>
    <hyperlink r:id="rId136" ref="L57"/>
    <hyperlink r:id="rId137" ref="C58"/>
    <hyperlink r:id="rId138" ref="L58"/>
    <hyperlink r:id="rId139" ref="C59"/>
    <hyperlink r:id="rId140" ref="L59"/>
    <hyperlink r:id="rId141" ref="C60"/>
    <hyperlink r:id="rId142" ref="L60"/>
    <hyperlink r:id="rId143" ref="C61"/>
    <hyperlink r:id="rId144" ref="L61"/>
    <hyperlink r:id="rId145" ref="C62"/>
    <hyperlink r:id="rId146" ref="L62"/>
    <hyperlink r:id="rId147" ref="C63"/>
    <hyperlink r:id="rId148" ref="L63"/>
    <hyperlink r:id="rId149" ref="C64"/>
    <hyperlink r:id="rId150" ref="L64"/>
    <hyperlink r:id="rId151" ref="C65"/>
    <hyperlink r:id="rId152" ref="K65"/>
    <hyperlink r:id="rId153" ref="L65"/>
    <hyperlink r:id="rId154" ref="C66"/>
    <hyperlink r:id="rId155" ref="L66"/>
    <hyperlink r:id="rId156" ref="C67"/>
    <hyperlink r:id="rId157" ref="L67"/>
    <hyperlink r:id="rId158" ref="C68"/>
    <hyperlink r:id="rId159" ref="K68"/>
    <hyperlink r:id="rId160" ref="C69"/>
    <hyperlink r:id="rId161" ref="K69"/>
    <hyperlink r:id="rId162" ref="L69"/>
    <hyperlink r:id="rId163" ref="C70"/>
    <hyperlink r:id="rId164" ref="L70"/>
    <hyperlink r:id="rId165" ref="C71"/>
    <hyperlink r:id="rId166" ref="K71"/>
    <hyperlink r:id="rId167" ref="L71"/>
    <hyperlink r:id="rId168" ref="C72"/>
    <hyperlink r:id="rId169" ref="C73"/>
    <hyperlink r:id="rId170" ref="K73"/>
    <hyperlink r:id="rId171" ref="C74"/>
    <hyperlink r:id="rId172" ref="C75"/>
    <hyperlink r:id="rId173" ref="C76"/>
    <hyperlink r:id="rId174" ref="C77"/>
    <hyperlink r:id="rId175" ref="L77"/>
    <hyperlink r:id="rId176" ref="C78"/>
    <hyperlink r:id="rId177" ref="C79"/>
    <hyperlink r:id="rId178" ref="K79"/>
    <hyperlink r:id="rId179" ref="L79"/>
    <hyperlink r:id="rId180" ref="C80"/>
    <hyperlink r:id="rId181" ref="K80"/>
    <hyperlink r:id="rId182" ref="L80"/>
    <hyperlink r:id="rId183" ref="C81"/>
    <hyperlink r:id="rId184" ref="L81"/>
    <hyperlink r:id="rId185" ref="C82"/>
    <hyperlink r:id="rId186" ref="K82"/>
    <hyperlink r:id="rId187" ref="L82"/>
    <hyperlink r:id="rId188" ref="C83"/>
    <hyperlink r:id="rId189" ref="L83"/>
    <hyperlink r:id="rId190" ref="C84"/>
    <hyperlink r:id="rId191" ref="K84"/>
    <hyperlink r:id="rId192" ref="L84"/>
    <hyperlink r:id="rId193" ref="C85"/>
    <hyperlink r:id="rId194" ref="L85"/>
    <hyperlink r:id="rId195" ref="C86"/>
    <hyperlink r:id="rId196" ref="L86"/>
    <hyperlink r:id="rId197" ref="C87"/>
    <hyperlink r:id="rId198" ref="K87"/>
    <hyperlink r:id="rId199" ref="L87"/>
    <hyperlink r:id="rId200" ref="C88"/>
    <hyperlink r:id="rId201" ref="L88"/>
    <hyperlink r:id="rId202" ref="C89"/>
    <hyperlink r:id="rId203" ref="L89"/>
    <hyperlink r:id="rId204" ref="C90"/>
    <hyperlink r:id="rId205" ref="L90"/>
    <hyperlink r:id="rId206" ref="C91"/>
    <hyperlink r:id="rId207" ref="C92"/>
    <hyperlink r:id="rId208" ref="L92"/>
    <hyperlink r:id="rId209" ref="C93"/>
    <hyperlink r:id="rId210" ref="K93"/>
    <hyperlink r:id="rId211" ref="L93"/>
    <hyperlink r:id="rId212" ref="C94"/>
    <hyperlink r:id="rId213" ref="K94"/>
    <hyperlink r:id="rId214" ref="L94"/>
    <hyperlink r:id="rId215" ref="C95"/>
    <hyperlink r:id="rId216" ref="L95"/>
    <hyperlink r:id="rId217" ref="C96"/>
    <hyperlink r:id="rId218" ref="K96"/>
    <hyperlink r:id="rId219" ref="L96"/>
    <hyperlink r:id="rId220" ref="C97"/>
    <hyperlink r:id="rId221" ref="L97"/>
    <hyperlink r:id="rId222" ref="C98"/>
    <hyperlink r:id="rId223" ref="K98"/>
    <hyperlink r:id="rId224" ref="L98"/>
    <hyperlink r:id="rId225" ref="C99"/>
    <hyperlink r:id="rId226" ref="L99"/>
    <hyperlink r:id="rId227" ref="C100"/>
    <hyperlink r:id="rId228" ref="L100"/>
    <hyperlink r:id="rId229" ref="C101"/>
    <hyperlink r:id="rId230" ref="K101"/>
    <hyperlink r:id="rId231" ref="L101"/>
    <hyperlink r:id="rId232" ref="C102"/>
    <hyperlink r:id="rId233" ref="L102"/>
    <hyperlink r:id="rId234" ref="C103"/>
    <hyperlink r:id="rId235" ref="C104"/>
    <hyperlink r:id="rId236" ref="L104"/>
    <hyperlink r:id="rId237" ref="C105"/>
    <hyperlink r:id="rId238" ref="L105"/>
    <hyperlink r:id="rId239" ref="C106"/>
    <hyperlink r:id="rId240" ref="L106"/>
    <hyperlink r:id="rId241" ref="C107"/>
    <hyperlink r:id="rId242" ref="K107"/>
    <hyperlink r:id="rId243" ref="L107"/>
    <hyperlink r:id="rId244" ref="C108"/>
    <hyperlink r:id="rId245" ref="L108"/>
    <hyperlink r:id="rId246" ref="C109"/>
    <hyperlink r:id="rId247" ref="L109"/>
    <hyperlink r:id="rId248" ref="C110"/>
    <hyperlink r:id="rId249" ref="L110"/>
    <hyperlink r:id="rId250" ref="C111"/>
    <hyperlink r:id="rId251" ref="L111"/>
    <hyperlink r:id="rId252" ref="C112"/>
    <hyperlink r:id="rId253" ref="L112"/>
    <hyperlink r:id="rId254" ref="C113"/>
    <hyperlink r:id="rId255" ref="L113"/>
    <hyperlink r:id="rId256" ref="C114"/>
    <hyperlink r:id="rId257" ref="L114"/>
    <hyperlink r:id="rId258" ref="C115"/>
    <hyperlink r:id="rId259" ref="L115"/>
    <hyperlink r:id="rId260" ref="C116"/>
    <hyperlink r:id="rId261" ref="L116"/>
    <hyperlink r:id="rId262" ref="C117"/>
    <hyperlink r:id="rId263" ref="L117"/>
    <hyperlink r:id="rId264" ref="C118"/>
    <hyperlink r:id="rId265" ref="L118"/>
    <hyperlink r:id="rId266" ref="C119"/>
    <hyperlink r:id="rId267" ref="C120"/>
    <hyperlink r:id="rId268" ref="C121"/>
    <hyperlink r:id="rId269" ref="K121"/>
    <hyperlink r:id="rId270" ref="L121"/>
    <hyperlink r:id="rId271" ref="C122"/>
    <hyperlink r:id="rId272" ref="L122"/>
    <hyperlink r:id="rId273" ref="C123"/>
    <hyperlink r:id="rId274" ref="K123"/>
    <hyperlink r:id="rId275" ref="C124"/>
    <hyperlink r:id="rId276" ref="L124"/>
    <hyperlink r:id="rId277" ref="C125"/>
    <hyperlink r:id="rId278" ref="L125"/>
    <hyperlink r:id="rId279" ref="C126"/>
    <hyperlink r:id="rId280" ref="L126"/>
    <hyperlink r:id="rId281" ref="C127"/>
    <hyperlink r:id="rId282" ref="C128"/>
    <hyperlink r:id="rId283" ref="K128"/>
    <hyperlink r:id="rId284" ref="L128"/>
    <hyperlink r:id="rId285" ref="C129"/>
    <hyperlink r:id="rId286" ref="K129"/>
    <hyperlink r:id="rId287" ref="L129"/>
    <hyperlink r:id="rId288" ref="C130"/>
    <hyperlink r:id="rId289" ref="K130"/>
    <hyperlink r:id="rId290" ref="L130"/>
    <hyperlink r:id="rId291" ref="C131"/>
    <hyperlink r:id="rId292" ref="L131"/>
    <hyperlink r:id="rId293" ref="C132"/>
    <hyperlink r:id="rId294" ref="L132"/>
    <hyperlink r:id="rId295" ref="C133"/>
    <hyperlink r:id="rId296" ref="L133"/>
    <hyperlink r:id="rId297" ref="C134"/>
    <hyperlink r:id="rId298" ref="C135"/>
    <hyperlink r:id="rId299" ref="L135"/>
    <hyperlink r:id="rId300" ref="C136"/>
    <hyperlink r:id="rId301" ref="L136"/>
    <hyperlink r:id="rId302" ref="C137"/>
    <hyperlink r:id="rId303" ref="L137"/>
    <hyperlink r:id="rId304" ref="C138"/>
    <hyperlink r:id="rId305" ref="K138"/>
    <hyperlink r:id="rId306" ref="L138"/>
    <hyperlink r:id="rId307" ref="C139"/>
    <hyperlink r:id="rId308" ref="K139"/>
    <hyperlink r:id="rId309" ref="L139"/>
    <hyperlink r:id="rId310" ref="C140"/>
    <hyperlink r:id="rId311" ref="L140"/>
    <hyperlink r:id="rId312" ref="C141"/>
    <hyperlink r:id="rId313" ref="L141"/>
    <hyperlink r:id="rId314" ref="C142"/>
    <hyperlink r:id="rId315" ref="L142"/>
    <hyperlink r:id="rId316" ref="C143"/>
    <hyperlink r:id="rId317" ref="L143"/>
    <hyperlink r:id="rId318" ref="C144"/>
    <hyperlink r:id="rId319" ref="L144"/>
    <hyperlink r:id="rId320" ref="C145"/>
    <hyperlink r:id="rId321" ref="L145"/>
    <hyperlink r:id="rId322" ref="C146"/>
    <hyperlink r:id="rId323" ref="L146"/>
    <hyperlink r:id="rId324" ref="C147"/>
    <hyperlink r:id="rId325" ref="C148"/>
    <hyperlink r:id="rId326" ref="L148"/>
    <hyperlink r:id="rId327" ref="C149"/>
    <hyperlink r:id="rId328" ref="L149"/>
    <hyperlink r:id="rId329" ref="C150"/>
    <hyperlink r:id="rId330" ref="K150"/>
    <hyperlink r:id="rId331" ref="C151"/>
    <hyperlink r:id="rId332" ref="L151"/>
    <hyperlink r:id="rId333" ref="C152"/>
    <hyperlink r:id="rId334" ref="L152"/>
    <hyperlink r:id="rId335" ref="C153"/>
    <hyperlink r:id="rId336" ref="K153"/>
    <hyperlink r:id="rId337" ref="L153"/>
    <hyperlink r:id="rId338" ref="C154"/>
    <hyperlink r:id="rId339" ref="L154"/>
    <hyperlink r:id="rId340" ref="C155"/>
    <hyperlink r:id="rId341" ref="L155"/>
    <hyperlink r:id="rId342" ref="C156"/>
    <hyperlink r:id="rId343" ref="L156"/>
    <hyperlink r:id="rId344" ref="C157"/>
    <hyperlink r:id="rId345" ref="C158"/>
    <hyperlink r:id="rId346" ref="L158"/>
    <hyperlink r:id="rId347" ref="C159"/>
    <hyperlink r:id="rId348" ref="L159"/>
    <hyperlink r:id="rId349" ref="C160"/>
    <hyperlink r:id="rId350" ref="K160"/>
    <hyperlink r:id="rId351" ref="L160"/>
    <hyperlink r:id="rId352" ref="C161"/>
    <hyperlink r:id="rId353" ref="K161"/>
    <hyperlink r:id="rId354" ref="L161"/>
    <hyperlink r:id="rId355" ref="C162"/>
    <hyperlink r:id="rId356" ref="L162"/>
    <hyperlink r:id="rId357" ref="C163"/>
    <hyperlink r:id="rId358" ref="L163"/>
    <hyperlink r:id="rId359" ref="C164"/>
    <hyperlink r:id="rId360" ref="L164"/>
    <hyperlink r:id="rId361" ref="C165"/>
    <hyperlink r:id="rId362" ref="L165"/>
    <hyperlink r:id="rId363" ref="C166"/>
    <hyperlink r:id="rId364" ref="L166"/>
    <hyperlink r:id="rId365" ref="C167"/>
    <hyperlink r:id="rId366" ref="L167"/>
    <hyperlink r:id="rId367" ref="C168"/>
    <hyperlink r:id="rId368" ref="L168"/>
    <hyperlink r:id="rId369" ref="C169"/>
    <hyperlink r:id="rId370" ref="L169"/>
    <hyperlink r:id="rId371" ref="C170"/>
    <hyperlink r:id="rId372" ref="L170"/>
    <hyperlink r:id="rId373" ref="C171"/>
    <hyperlink r:id="rId374" ref="L171"/>
    <hyperlink r:id="rId375" ref="C172"/>
    <hyperlink r:id="rId376" ref="L172"/>
    <hyperlink r:id="rId377" ref="C173"/>
    <hyperlink r:id="rId378" ref="L173"/>
    <hyperlink r:id="rId379" ref="C174"/>
    <hyperlink r:id="rId380" ref="K174"/>
    <hyperlink r:id="rId381" ref="L174"/>
    <hyperlink r:id="rId382" ref="C175"/>
    <hyperlink r:id="rId383" ref="K175"/>
    <hyperlink r:id="rId384" ref="L175"/>
    <hyperlink r:id="rId385" ref="C176"/>
    <hyperlink r:id="rId386" ref="L176"/>
    <hyperlink r:id="rId387" ref="C177"/>
    <hyperlink r:id="rId388" ref="K177"/>
    <hyperlink r:id="rId389" ref="L177"/>
    <hyperlink r:id="rId390" ref="C178"/>
    <hyperlink r:id="rId391" ref="L178"/>
    <hyperlink r:id="rId392" ref="C179"/>
    <hyperlink r:id="rId393" ref="K179"/>
    <hyperlink r:id="rId394" ref="L179"/>
    <hyperlink r:id="rId395" ref="C180"/>
    <hyperlink r:id="rId396" ref="K180"/>
    <hyperlink r:id="rId397" ref="L180"/>
    <hyperlink r:id="rId398" ref="C181"/>
    <hyperlink r:id="rId399" ref="L181"/>
    <hyperlink r:id="rId400" ref="C182"/>
    <hyperlink r:id="rId401" ref="K182"/>
    <hyperlink r:id="rId402" ref="C183"/>
    <hyperlink r:id="rId403" ref="L183"/>
    <hyperlink r:id="rId404" ref="C184"/>
    <hyperlink r:id="rId405" ref="L184"/>
    <hyperlink r:id="rId406" ref="C185"/>
    <hyperlink r:id="rId407" ref="K185"/>
    <hyperlink r:id="rId408" ref="C186"/>
    <hyperlink r:id="rId409" ref="K186"/>
    <hyperlink r:id="rId410" ref="L186"/>
    <hyperlink r:id="rId411" ref="C187"/>
    <hyperlink r:id="rId412" ref="K187"/>
    <hyperlink r:id="rId413" ref="L187"/>
    <hyperlink r:id="rId414" ref="C188"/>
    <hyperlink r:id="rId415" ref="L188"/>
    <hyperlink r:id="rId416" ref="C189"/>
    <hyperlink r:id="rId417" ref="L189"/>
    <hyperlink r:id="rId418" ref="C190"/>
    <hyperlink r:id="rId419" ref="L190"/>
    <hyperlink r:id="rId420" ref="C191"/>
    <hyperlink r:id="rId421" ref="L191"/>
    <hyperlink r:id="rId422" ref="C192"/>
    <hyperlink r:id="rId423" ref="K192"/>
    <hyperlink r:id="rId424" ref="L192"/>
    <hyperlink r:id="rId425" ref="C193"/>
    <hyperlink r:id="rId426" ref="L193"/>
    <hyperlink r:id="rId427" ref="C194"/>
    <hyperlink r:id="rId428" ref="K194"/>
    <hyperlink r:id="rId429" ref="C195"/>
    <hyperlink r:id="rId430" ref="K195"/>
    <hyperlink r:id="rId431" ref="L195"/>
    <hyperlink r:id="rId432" ref="C196"/>
    <hyperlink r:id="rId433" ref="L196"/>
    <hyperlink r:id="rId434" ref="C197"/>
    <hyperlink r:id="rId435" ref="K197"/>
    <hyperlink r:id="rId436" ref="L197"/>
    <hyperlink r:id="rId437" ref="C198"/>
    <hyperlink r:id="rId438" ref="L198"/>
    <hyperlink r:id="rId439" ref="C199"/>
    <hyperlink r:id="rId440" ref="L199"/>
    <hyperlink r:id="rId441" ref="C200"/>
    <hyperlink r:id="rId442" ref="L200"/>
    <hyperlink r:id="rId443" ref="C201"/>
    <hyperlink r:id="rId444" ref="L201"/>
    <hyperlink r:id="rId445" ref="C202"/>
    <hyperlink r:id="rId446" ref="K202"/>
    <hyperlink r:id="rId447" ref="C203"/>
    <hyperlink r:id="rId448" ref="L203"/>
    <hyperlink r:id="rId449" ref="C204"/>
    <hyperlink r:id="rId450" ref="L204"/>
    <hyperlink r:id="rId451" ref="C205"/>
    <hyperlink r:id="rId452" ref="L205"/>
    <hyperlink r:id="rId453" ref="C206"/>
    <hyperlink r:id="rId454" ref="L206"/>
    <hyperlink r:id="rId455" ref="C207"/>
    <hyperlink r:id="rId456" ref="K207"/>
    <hyperlink r:id="rId457" ref="L207"/>
    <hyperlink r:id="rId458" ref="C208"/>
    <hyperlink r:id="rId459" ref="L208"/>
    <hyperlink r:id="rId460" ref="C209"/>
    <hyperlink r:id="rId461" ref="L209"/>
    <hyperlink r:id="rId462" ref="C210"/>
    <hyperlink r:id="rId463" ref="L210"/>
    <hyperlink r:id="rId464" ref="C211"/>
    <hyperlink r:id="rId465" ref="K211"/>
    <hyperlink r:id="rId466" ref="L211"/>
    <hyperlink r:id="rId467" ref="C212"/>
    <hyperlink r:id="rId468" ref="K212"/>
    <hyperlink r:id="rId469" ref="L212"/>
    <hyperlink r:id="rId470" ref="C213"/>
    <hyperlink r:id="rId471" ref="K213"/>
    <hyperlink r:id="rId472" ref="L213"/>
    <hyperlink r:id="rId473" ref="C214"/>
    <hyperlink r:id="rId474" ref="K214"/>
    <hyperlink r:id="rId475" ref="L214"/>
    <hyperlink r:id="rId476" ref="C215"/>
    <hyperlink r:id="rId477" ref="K215"/>
    <hyperlink r:id="rId478" ref="L215"/>
    <hyperlink r:id="rId479" ref="C216"/>
    <hyperlink r:id="rId480" ref="K216"/>
    <hyperlink r:id="rId481" ref="L216"/>
    <hyperlink r:id="rId482" ref="C217"/>
    <hyperlink r:id="rId483" ref="K217"/>
    <hyperlink r:id="rId484" ref="L217"/>
    <hyperlink r:id="rId485" ref="C218"/>
    <hyperlink r:id="rId486" ref="L218"/>
    <hyperlink r:id="rId487" ref="C219"/>
    <hyperlink r:id="rId488" ref="L219"/>
    <hyperlink r:id="rId489" ref="C220"/>
    <hyperlink r:id="rId490" ref="L220"/>
    <hyperlink r:id="rId491" ref="C221"/>
    <hyperlink r:id="rId492" ref="L221"/>
    <hyperlink r:id="rId493" ref="C222"/>
    <hyperlink r:id="rId494" ref="K222"/>
    <hyperlink r:id="rId495" ref="L222"/>
    <hyperlink r:id="rId496" ref="C223"/>
    <hyperlink r:id="rId497" ref="K223"/>
    <hyperlink r:id="rId498" ref="L223"/>
    <hyperlink r:id="rId499" ref="C224"/>
    <hyperlink r:id="rId500" ref="K224"/>
    <hyperlink r:id="rId501" ref="L224"/>
    <hyperlink r:id="rId502" ref="C225"/>
    <hyperlink r:id="rId503" ref="K225"/>
    <hyperlink r:id="rId504" ref="C226"/>
    <hyperlink r:id="rId505" ref="L226"/>
    <hyperlink r:id="rId506" ref="C227"/>
    <hyperlink r:id="rId507" ref="L227"/>
    <hyperlink r:id="rId508" ref="C228"/>
    <hyperlink r:id="rId509" ref="L228"/>
    <hyperlink r:id="rId510" ref="C229"/>
    <hyperlink r:id="rId511" ref="L229"/>
    <hyperlink r:id="rId512" ref="C230"/>
    <hyperlink r:id="rId513" ref="L230"/>
    <hyperlink r:id="rId514" ref="C231"/>
    <hyperlink r:id="rId515" ref="C232"/>
    <hyperlink r:id="rId516" ref="L232"/>
    <hyperlink r:id="rId517" ref="C233"/>
    <hyperlink r:id="rId518" ref="L233"/>
    <hyperlink r:id="rId519" ref="C234"/>
    <hyperlink r:id="rId520" ref="L234"/>
    <hyperlink r:id="rId521" ref="C235"/>
    <hyperlink r:id="rId522" ref="L235"/>
    <hyperlink r:id="rId523" ref="C236"/>
    <hyperlink r:id="rId524" ref="K236"/>
    <hyperlink r:id="rId525" ref="C237"/>
    <hyperlink r:id="rId526" ref="K237"/>
    <hyperlink r:id="rId527" ref="L237"/>
    <hyperlink r:id="rId528" ref="C238"/>
    <hyperlink r:id="rId529" ref="L238"/>
    <hyperlink r:id="rId530" ref="C239"/>
    <hyperlink r:id="rId531" ref="L239"/>
    <hyperlink r:id="rId532" ref="C240"/>
    <hyperlink r:id="rId533" ref="K240"/>
    <hyperlink r:id="rId534" ref="L240"/>
    <hyperlink r:id="rId535" ref="C241"/>
    <hyperlink r:id="rId536" ref="K241"/>
    <hyperlink r:id="rId537" ref="C242"/>
    <hyperlink r:id="rId538" ref="L242"/>
    <hyperlink r:id="rId539" ref="C243"/>
    <hyperlink r:id="rId540" ref="K243"/>
    <hyperlink r:id="rId541" ref="L243"/>
    <hyperlink r:id="rId542" ref="C244"/>
    <hyperlink r:id="rId543" ref="K244"/>
    <hyperlink r:id="rId544" ref="L244"/>
    <hyperlink r:id="rId545" ref="C245"/>
    <hyperlink r:id="rId546" ref="K245"/>
    <hyperlink r:id="rId547" ref="L245"/>
    <hyperlink r:id="rId548" ref="C246"/>
    <hyperlink r:id="rId549" ref="L246"/>
    <hyperlink r:id="rId550" ref="C247"/>
    <hyperlink r:id="rId551" ref="K247"/>
    <hyperlink r:id="rId552" ref="L247"/>
    <hyperlink r:id="rId553" ref="C248"/>
    <hyperlink r:id="rId554" ref="L248"/>
    <hyperlink r:id="rId555" ref="C249"/>
    <hyperlink r:id="rId556" ref="K249"/>
    <hyperlink r:id="rId557" ref="L249"/>
    <hyperlink r:id="rId558" ref="C250"/>
    <hyperlink r:id="rId559" ref="K250"/>
    <hyperlink r:id="rId560" ref="L250"/>
    <hyperlink r:id="rId561" ref="C251"/>
    <hyperlink r:id="rId562" ref="K251"/>
    <hyperlink r:id="rId563" ref="L251"/>
    <hyperlink r:id="rId564" ref="C252"/>
    <hyperlink r:id="rId565" ref="K252"/>
    <hyperlink r:id="rId566" ref="C253"/>
    <hyperlink r:id="rId567" ref="K253"/>
    <hyperlink r:id="rId568" ref="C254"/>
    <hyperlink r:id="rId569" ref="L254"/>
    <hyperlink r:id="rId570" ref="C255"/>
    <hyperlink r:id="rId571" ref="L255"/>
    <hyperlink r:id="rId572" ref="C256"/>
    <hyperlink r:id="rId573" ref="L256"/>
    <hyperlink r:id="rId574" ref="C257"/>
    <hyperlink r:id="rId575" ref="L257"/>
    <hyperlink r:id="rId576" ref="C258"/>
    <hyperlink r:id="rId577" ref="L258"/>
    <hyperlink r:id="rId578" ref="C259"/>
    <hyperlink r:id="rId579" ref="K259"/>
    <hyperlink r:id="rId580" ref="C260"/>
    <hyperlink r:id="rId581" ref="L260"/>
    <hyperlink r:id="rId582" ref="C261"/>
    <hyperlink r:id="rId583" ref="L261"/>
    <hyperlink r:id="rId584" ref="C262"/>
    <hyperlink r:id="rId585" ref="K262"/>
    <hyperlink r:id="rId586" ref="C263"/>
    <hyperlink r:id="rId587" ref="K263"/>
    <hyperlink r:id="rId588" ref="L263"/>
    <hyperlink r:id="rId589" ref="C264"/>
    <hyperlink r:id="rId590" ref="K264"/>
    <hyperlink r:id="rId591" ref="C265"/>
    <hyperlink r:id="rId592" ref="K265"/>
    <hyperlink r:id="rId593" ref="C266"/>
    <hyperlink r:id="rId594" ref="L266"/>
    <hyperlink r:id="rId595" ref="C267"/>
    <hyperlink r:id="rId596" ref="L267"/>
    <hyperlink r:id="rId597" ref="C268"/>
    <hyperlink r:id="rId598" ref="L268"/>
    <hyperlink r:id="rId599" ref="C269"/>
    <hyperlink r:id="rId600" ref="K269"/>
    <hyperlink r:id="rId601" ref="L269"/>
    <hyperlink r:id="rId602" ref="C270"/>
    <hyperlink r:id="rId603" ref="K270"/>
    <hyperlink r:id="rId604" ref="C271"/>
    <hyperlink r:id="rId605" ref="L271"/>
    <hyperlink r:id="rId606" ref="C272"/>
    <hyperlink r:id="rId607" ref="L272"/>
    <hyperlink r:id="rId608" ref="C273"/>
    <hyperlink r:id="rId609" ref="L273"/>
    <hyperlink r:id="rId610" ref="C274"/>
    <hyperlink r:id="rId611" ref="K274"/>
    <hyperlink r:id="rId612" ref="L274"/>
    <hyperlink r:id="rId613" ref="C275"/>
    <hyperlink r:id="rId614" ref="K275"/>
    <hyperlink r:id="rId615" ref="L275"/>
    <hyperlink r:id="rId616" ref="C276"/>
    <hyperlink r:id="rId617" ref="L276"/>
    <hyperlink r:id="rId618" ref="C277"/>
    <hyperlink r:id="rId619" ref="L277"/>
    <hyperlink r:id="rId620" ref="C278"/>
    <hyperlink r:id="rId621" ref="L278"/>
    <hyperlink r:id="rId622" ref="C279"/>
    <hyperlink r:id="rId623" ref="L279"/>
    <hyperlink r:id="rId624" ref="C280"/>
    <hyperlink r:id="rId625" ref="K280"/>
    <hyperlink r:id="rId626" ref="L280"/>
    <hyperlink r:id="rId627" ref="C281"/>
    <hyperlink r:id="rId628" ref="K281"/>
    <hyperlink r:id="rId629" ref="L281"/>
    <hyperlink r:id="rId630" ref="C282"/>
    <hyperlink r:id="rId631" ref="K282"/>
    <hyperlink r:id="rId632" ref="L282"/>
    <hyperlink r:id="rId633" ref="C283"/>
    <hyperlink r:id="rId634" ref="L283"/>
    <hyperlink r:id="rId635" ref="C284"/>
    <hyperlink r:id="rId636" ref="L284"/>
    <hyperlink r:id="rId637" ref="C285"/>
    <hyperlink r:id="rId638" ref="L285"/>
    <hyperlink r:id="rId639" ref="C286"/>
    <hyperlink r:id="rId640" ref="L286"/>
    <hyperlink r:id="rId641" ref="C287"/>
    <hyperlink r:id="rId642" ref="C288"/>
    <hyperlink r:id="rId643" ref="L288"/>
    <hyperlink r:id="rId644" ref="C289"/>
    <hyperlink r:id="rId645" ref="K289"/>
    <hyperlink r:id="rId646" ref="L289"/>
    <hyperlink r:id="rId647" ref="C290"/>
    <hyperlink r:id="rId648" ref="K290"/>
    <hyperlink r:id="rId649" ref="L290"/>
    <hyperlink r:id="rId650" ref="C291"/>
    <hyperlink r:id="rId651" ref="L291"/>
    <hyperlink r:id="rId652" ref="C292"/>
    <hyperlink r:id="rId653" ref="L292"/>
    <hyperlink r:id="rId654" ref="C293"/>
    <hyperlink r:id="rId655" ref="L293"/>
    <hyperlink r:id="rId656" ref="C294"/>
    <hyperlink r:id="rId657" ref="L294"/>
    <hyperlink r:id="rId658" ref="C295"/>
    <hyperlink r:id="rId659" ref="L295"/>
    <hyperlink r:id="rId660" ref="C296"/>
    <hyperlink r:id="rId661" ref="L296"/>
    <hyperlink r:id="rId662" ref="C297"/>
    <hyperlink r:id="rId663" ref="C298"/>
    <hyperlink r:id="rId664" ref="L298"/>
    <hyperlink r:id="rId665" ref="C299"/>
    <hyperlink r:id="rId666" ref="L299"/>
    <hyperlink r:id="rId667" ref="C300"/>
    <hyperlink r:id="rId668" ref="L300"/>
    <hyperlink r:id="rId669" ref="C301"/>
    <hyperlink r:id="rId670" ref="K301"/>
    <hyperlink r:id="rId671" ref="L301"/>
    <hyperlink r:id="rId672" ref="C302"/>
    <hyperlink r:id="rId673" ref="L302"/>
    <hyperlink r:id="rId674" ref="C303"/>
    <hyperlink r:id="rId675" ref="L303"/>
    <hyperlink r:id="rId676" ref="C304"/>
    <hyperlink r:id="rId677" ref="L304"/>
    <hyperlink r:id="rId678" ref="C305"/>
    <hyperlink r:id="rId679" ref="L305"/>
    <hyperlink r:id="rId680" ref="C306"/>
    <hyperlink r:id="rId681" ref="L306"/>
    <hyperlink r:id="rId682" ref="C307"/>
    <hyperlink r:id="rId683" ref="L307"/>
    <hyperlink r:id="rId684" ref="C308"/>
    <hyperlink r:id="rId685" ref="C309"/>
    <hyperlink r:id="rId686" ref="C310"/>
    <hyperlink r:id="rId687" ref="C311"/>
    <hyperlink r:id="rId688" ref="K311"/>
    <hyperlink r:id="rId689" ref="L311"/>
    <hyperlink r:id="rId690" ref="C312"/>
    <hyperlink r:id="rId691" ref="K312"/>
    <hyperlink r:id="rId692" ref="L312"/>
    <hyperlink r:id="rId693" ref="C313"/>
    <hyperlink r:id="rId694" ref="C314"/>
    <hyperlink r:id="rId695" ref="C315"/>
    <hyperlink r:id="rId696" ref="C316"/>
    <hyperlink r:id="rId697" ref="C317"/>
    <hyperlink r:id="rId698" ref="C318"/>
    <hyperlink r:id="rId699" ref="C319"/>
    <hyperlink r:id="rId700" ref="C320"/>
    <hyperlink r:id="rId701" ref="C321"/>
    <hyperlink r:id="rId702" ref="C322"/>
    <hyperlink r:id="rId703" ref="L322"/>
    <hyperlink r:id="rId704" ref="C323"/>
    <hyperlink r:id="rId705" ref="C324"/>
    <hyperlink r:id="rId706" ref="C325"/>
    <hyperlink r:id="rId707" ref="L325"/>
    <hyperlink r:id="rId708" ref="C326"/>
    <hyperlink r:id="rId709" ref="L326"/>
    <hyperlink r:id="rId710" ref="C327"/>
    <hyperlink r:id="rId711" ref="L327"/>
    <hyperlink r:id="rId712" ref="C328"/>
    <hyperlink r:id="rId713" ref="L328"/>
    <hyperlink r:id="rId714" ref="C329"/>
    <hyperlink r:id="rId715" ref="K329"/>
    <hyperlink r:id="rId716" ref="L329"/>
    <hyperlink r:id="rId717" ref="C330"/>
    <hyperlink r:id="rId718" ref="K330"/>
    <hyperlink r:id="rId719" ref="L330"/>
    <hyperlink r:id="rId720" ref="C331"/>
    <hyperlink r:id="rId721" ref="L331"/>
    <hyperlink r:id="rId722" ref="C332"/>
    <hyperlink r:id="rId723" ref="L332"/>
    <hyperlink r:id="rId724" ref="C333"/>
    <hyperlink r:id="rId725" ref="K333"/>
    <hyperlink r:id="rId726" ref="L333"/>
    <hyperlink r:id="rId727" ref="C334"/>
    <hyperlink r:id="rId728" ref="L334"/>
    <hyperlink r:id="rId729" ref="C335"/>
    <hyperlink r:id="rId730" ref="K335"/>
    <hyperlink r:id="rId731" ref="L335"/>
    <hyperlink r:id="rId732" ref="C336"/>
    <hyperlink r:id="rId733" ref="K336"/>
    <hyperlink r:id="rId734" ref="L336"/>
    <hyperlink r:id="rId735" ref="C337"/>
    <hyperlink r:id="rId736" ref="K337"/>
    <hyperlink r:id="rId737" ref="L337"/>
    <hyperlink r:id="rId738" ref="C338"/>
    <hyperlink r:id="rId739" ref="L338"/>
    <hyperlink r:id="rId740" ref="C339"/>
    <hyperlink r:id="rId741" ref="L339"/>
    <hyperlink r:id="rId742" ref="C340"/>
    <hyperlink r:id="rId743" ref="L340"/>
    <hyperlink r:id="rId744" ref="C341"/>
    <hyperlink r:id="rId745" ref="L341"/>
    <hyperlink r:id="rId746" ref="C342"/>
    <hyperlink r:id="rId747" ref="L342"/>
    <hyperlink r:id="rId748" ref="C343"/>
    <hyperlink r:id="rId749" ref="L343"/>
    <hyperlink r:id="rId750" ref="C344"/>
    <hyperlink r:id="rId751" ref="K344"/>
    <hyperlink r:id="rId752" ref="L344"/>
    <hyperlink r:id="rId753" ref="C345"/>
    <hyperlink r:id="rId754" ref="L345"/>
    <hyperlink r:id="rId755" ref="C346"/>
    <hyperlink r:id="rId756" ref="L346"/>
    <hyperlink r:id="rId757" ref="C347"/>
    <hyperlink r:id="rId758" ref="L347"/>
    <hyperlink r:id="rId759" ref="C348"/>
    <hyperlink r:id="rId760" ref="L348"/>
    <hyperlink r:id="rId761" ref="C349"/>
    <hyperlink r:id="rId762" ref="K349"/>
    <hyperlink r:id="rId763" ref="L349"/>
    <hyperlink r:id="rId764" ref="C350"/>
    <hyperlink r:id="rId765" ref="K350"/>
    <hyperlink r:id="rId766" ref="L350"/>
    <hyperlink r:id="rId767" ref="C351"/>
    <hyperlink r:id="rId768" ref="K351"/>
    <hyperlink r:id="rId769" ref="C352"/>
    <hyperlink r:id="rId770" ref="K352"/>
    <hyperlink r:id="rId771" ref="L352"/>
    <hyperlink r:id="rId772" ref="C353"/>
    <hyperlink r:id="rId773" ref="L353"/>
    <hyperlink r:id="rId774" ref="C354"/>
    <hyperlink r:id="rId775" ref="L354"/>
    <hyperlink r:id="rId776" ref="C355"/>
    <hyperlink r:id="rId777" ref="K355"/>
    <hyperlink r:id="rId778" ref="L355"/>
    <hyperlink r:id="rId779" ref="C356"/>
    <hyperlink r:id="rId780" ref="K356"/>
    <hyperlink r:id="rId781" ref="L356"/>
    <hyperlink r:id="rId782" ref="C357"/>
    <hyperlink r:id="rId783" ref="C358"/>
    <hyperlink r:id="rId784" ref="L358"/>
    <hyperlink r:id="rId785" ref="C359"/>
    <hyperlink r:id="rId786" ref="K359"/>
    <hyperlink r:id="rId787" ref="L359"/>
    <hyperlink r:id="rId788" ref="C360"/>
    <hyperlink r:id="rId789" ref="K360"/>
    <hyperlink r:id="rId790" ref="L360"/>
    <hyperlink r:id="rId791" ref="C361"/>
    <hyperlink r:id="rId792" ref="L361"/>
    <hyperlink r:id="rId793" ref="C362"/>
    <hyperlink r:id="rId794" ref="L362"/>
    <hyperlink r:id="rId795" ref="C363"/>
    <hyperlink r:id="rId796" ref="K363"/>
    <hyperlink r:id="rId797" ref="L363"/>
    <hyperlink r:id="rId798" ref="C364"/>
    <hyperlink r:id="rId799" ref="L364"/>
    <hyperlink r:id="rId800" ref="C365"/>
    <hyperlink r:id="rId801" ref="K365"/>
    <hyperlink r:id="rId802" ref="L365"/>
    <hyperlink r:id="rId803" ref="C366"/>
    <hyperlink r:id="rId804" ref="K366"/>
    <hyperlink r:id="rId805" ref="L366"/>
    <hyperlink r:id="rId806" ref="C367"/>
    <hyperlink r:id="rId807" ref="L367"/>
    <hyperlink r:id="rId808" ref="C368"/>
    <hyperlink r:id="rId809" ref="L368"/>
    <hyperlink r:id="rId810" ref="C369"/>
    <hyperlink r:id="rId811" ref="K369"/>
    <hyperlink r:id="rId812" ref="L369"/>
    <hyperlink r:id="rId813" ref="C370"/>
    <hyperlink r:id="rId814" ref="K370"/>
    <hyperlink r:id="rId815" ref="L370"/>
    <hyperlink r:id="rId816" ref="C371"/>
    <hyperlink r:id="rId817" ref="L371"/>
    <hyperlink r:id="rId818" ref="C372"/>
    <hyperlink r:id="rId819" ref="L372"/>
    <hyperlink r:id="rId820" ref="C373"/>
    <hyperlink r:id="rId821" ref="L373"/>
    <hyperlink r:id="rId822" ref="C374"/>
    <hyperlink r:id="rId823" ref="K374"/>
    <hyperlink r:id="rId824" ref="L374"/>
    <hyperlink r:id="rId825" ref="C375"/>
    <hyperlink r:id="rId826" ref="K375"/>
    <hyperlink r:id="rId827" ref="L375"/>
    <hyperlink r:id="rId828" ref="C376"/>
    <hyperlink r:id="rId829" ref="L376"/>
    <hyperlink r:id="rId830" ref="C377"/>
    <hyperlink r:id="rId831" ref="L377"/>
    <hyperlink r:id="rId832" ref="C378"/>
    <hyperlink r:id="rId833" ref="K378"/>
    <hyperlink r:id="rId834" ref="L378"/>
    <hyperlink r:id="rId835" ref="C379"/>
    <hyperlink r:id="rId836" ref="L379"/>
    <hyperlink r:id="rId837" ref="C380"/>
    <hyperlink r:id="rId838" ref="L380"/>
    <hyperlink r:id="rId839" ref="C381"/>
    <hyperlink r:id="rId840" ref="L381"/>
    <hyperlink r:id="rId841" ref="C382"/>
    <hyperlink r:id="rId842" ref="K382"/>
    <hyperlink r:id="rId843" ref="L382"/>
    <hyperlink r:id="rId844" ref="C383"/>
    <hyperlink r:id="rId845" ref="K383"/>
    <hyperlink r:id="rId846" ref="L383"/>
    <hyperlink r:id="rId847" ref="C384"/>
    <hyperlink r:id="rId848" ref="L384"/>
    <hyperlink r:id="rId849" ref="C385"/>
    <hyperlink r:id="rId850" ref="L385"/>
    <hyperlink r:id="rId851" ref="C386"/>
    <hyperlink r:id="rId852" ref="L386"/>
    <hyperlink r:id="rId853" ref="C387"/>
    <hyperlink r:id="rId854" ref="L387"/>
    <hyperlink r:id="rId855" ref="C388"/>
    <hyperlink r:id="rId856" ref="L388"/>
    <hyperlink r:id="rId857" ref="C389"/>
    <hyperlink r:id="rId858" ref="L389"/>
    <hyperlink r:id="rId859" ref="C390"/>
    <hyperlink r:id="rId860" ref="L390"/>
    <hyperlink r:id="rId861" ref="C391"/>
    <hyperlink r:id="rId862" ref="L391"/>
    <hyperlink r:id="rId863" ref="C392"/>
    <hyperlink r:id="rId864" ref="L392"/>
    <hyperlink r:id="rId865" ref="C393"/>
    <hyperlink r:id="rId866" ref="L393"/>
    <hyperlink r:id="rId867" ref="C394"/>
    <hyperlink r:id="rId868" ref="K394"/>
    <hyperlink r:id="rId869" ref="L394"/>
    <hyperlink r:id="rId870" ref="C395"/>
    <hyperlink r:id="rId871" ref="K395"/>
    <hyperlink r:id="rId872" ref="L395"/>
    <hyperlink r:id="rId873" ref="C396"/>
    <hyperlink r:id="rId874" ref="K396"/>
    <hyperlink r:id="rId875" ref="L396"/>
    <hyperlink r:id="rId876" ref="C397"/>
    <hyperlink r:id="rId877" ref="K397"/>
    <hyperlink r:id="rId878" ref="L397"/>
    <hyperlink r:id="rId879" ref="C398"/>
    <hyperlink r:id="rId880" ref="K398"/>
    <hyperlink r:id="rId881" ref="L398"/>
    <hyperlink r:id="rId882" ref="C399"/>
    <hyperlink r:id="rId883" ref="K399"/>
    <hyperlink r:id="rId884" ref="L399"/>
    <hyperlink r:id="rId885" ref="C400"/>
    <hyperlink r:id="rId886" ref="K400"/>
    <hyperlink r:id="rId887" ref="L400"/>
    <hyperlink r:id="rId888" ref="C401"/>
    <hyperlink r:id="rId889" ref="K401"/>
    <hyperlink r:id="rId890" ref="L401"/>
    <hyperlink r:id="rId891" ref="C402"/>
    <hyperlink r:id="rId892" ref="L402"/>
    <hyperlink r:id="rId893" ref="C403"/>
    <hyperlink r:id="rId894" ref="L403"/>
    <hyperlink r:id="rId895" ref="C404"/>
    <hyperlink r:id="rId896" ref="L404"/>
    <hyperlink r:id="rId897" ref="C405"/>
    <hyperlink r:id="rId898" ref="K405"/>
    <hyperlink r:id="rId899" ref="L405"/>
    <hyperlink r:id="rId900" ref="C406"/>
    <hyperlink r:id="rId901" ref="L406"/>
    <hyperlink r:id="rId902" ref="C407"/>
    <hyperlink r:id="rId903" ref="K407"/>
    <hyperlink r:id="rId904" ref="L407"/>
    <hyperlink r:id="rId905" ref="C408"/>
    <hyperlink r:id="rId906" ref="K408"/>
    <hyperlink r:id="rId907" ref="L408"/>
    <hyperlink r:id="rId908" ref="C409"/>
    <hyperlink r:id="rId909" ref="L409"/>
    <hyperlink r:id="rId910" ref="C410"/>
    <hyperlink r:id="rId911" ref="L410"/>
    <hyperlink r:id="rId912" ref="C411"/>
    <hyperlink r:id="rId913" ref="L411"/>
    <hyperlink r:id="rId914" ref="C412"/>
    <hyperlink r:id="rId915" ref="L412"/>
    <hyperlink r:id="rId916" ref="C413"/>
    <hyperlink r:id="rId917" ref="K413"/>
    <hyperlink r:id="rId918" ref="L413"/>
    <hyperlink r:id="rId919" ref="C414"/>
    <hyperlink r:id="rId920" ref="L414"/>
    <hyperlink r:id="rId921" ref="C415"/>
    <hyperlink r:id="rId922" ref="L415"/>
    <hyperlink r:id="rId923" ref="C416"/>
    <hyperlink r:id="rId924" ref="L416"/>
    <hyperlink r:id="rId925" ref="C417"/>
    <hyperlink r:id="rId926" ref="K417"/>
    <hyperlink r:id="rId927" ref="L417"/>
    <hyperlink r:id="rId928" ref="C418"/>
    <hyperlink r:id="rId929" ref="K418"/>
    <hyperlink r:id="rId930" ref="L418"/>
    <hyperlink r:id="rId931" ref="C419"/>
    <hyperlink r:id="rId932" ref="L419"/>
    <hyperlink r:id="rId933" ref="C420"/>
    <hyperlink r:id="rId934" ref="K420"/>
    <hyperlink r:id="rId935" ref="L420"/>
    <hyperlink r:id="rId936" ref="C421"/>
    <hyperlink r:id="rId937" ref="L421"/>
    <hyperlink r:id="rId938" ref="C422"/>
    <hyperlink r:id="rId939" ref="L422"/>
    <hyperlink r:id="rId940" ref="C423"/>
    <hyperlink r:id="rId941" ref="L423"/>
    <hyperlink r:id="rId942" ref="C424"/>
    <hyperlink r:id="rId943" ref="L424"/>
    <hyperlink r:id="rId944" ref="C425"/>
    <hyperlink r:id="rId945" ref="L425"/>
    <hyperlink r:id="rId946" ref="C426"/>
    <hyperlink r:id="rId947" ref="L426"/>
    <hyperlink r:id="rId948" ref="C427"/>
    <hyperlink r:id="rId949" ref="L427"/>
    <hyperlink r:id="rId950" ref="C428"/>
    <hyperlink r:id="rId951" ref="L428"/>
    <hyperlink r:id="rId952" ref="C429"/>
    <hyperlink r:id="rId953" ref="K429"/>
    <hyperlink r:id="rId954" ref="L429"/>
    <hyperlink r:id="rId955" ref="C430"/>
    <hyperlink r:id="rId956" ref="L430"/>
    <hyperlink r:id="rId957" ref="C431"/>
    <hyperlink r:id="rId958" ref="K431"/>
    <hyperlink r:id="rId959" ref="L431"/>
    <hyperlink r:id="rId960" ref="C432"/>
    <hyperlink r:id="rId961" ref="L432"/>
    <hyperlink r:id="rId962" ref="C433"/>
    <hyperlink r:id="rId963" ref="K433"/>
    <hyperlink r:id="rId964" ref="L433"/>
    <hyperlink r:id="rId965" ref="C434"/>
    <hyperlink r:id="rId966" ref="K434"/>
    <hyperlink r:id="rId967" ref="L434"/>
    <hyperlink r:id="rId968" ref="C435"/>
    <hyperlink r:id="rId969" ref="K435"/>
    <hyperlink r:id="rId970" ref="L435"/>
    <hyperlink r:id="rId971" ref="C436"/>
    <hyperlink r:id="rId972" ref="K436"/>
    <hyperlink r:id="rId973" ref="L436"/>
    <hyperlink r:id="rId974" ref="C437"/>
    <hyperlink r:id="rId975" ref="L437"/>
    <hyperlink r:id="rId976" ref="C438"/>
    <hyperlink r:id="rId977" ref="L438"/>
    <hyperlink r:id="rId978" ref="C439"/>
    <hyperlink r:id="rId979" ref="L439"/>
    <hyperlink r:id="rId980" ref="C440"/>
    <hyperlink r:id="rId981" ref="L440"/>
    <hyperlink r:id="rId982" ref="C441"/>
    <hyperlink r:id="rId983" ref="L441"/>
    <hyperlink r:id="rId984" ref="C442"/>
    <hyperlink r:id="rId985" ref="L442"/>
    <hyperlink r:id="rId986" ref="C443"/>
    <hyperlink r:id="rId987" ref="C444"/>
    <hyperlink r:id="rId988" ref="L444"/>
    <hyperlink r:id="rId989" ref="C445"/>
    <hyperlink r:id="rId990" ref="L445"/>
    <hyperlink r:id="rId991" ref="C446"/>
    <hyperlink r:id="rId992" ref="L446"/>
    <hyperlink r:id="rId993" ref="C447"/>
    <hyperlink r:id="rId994" ref="L447"/>
    <hyperlink r:id="rId995" ref="C448"/>
    <hyperlink r:id="rId996" ref="L448"/>
    <hyperlink r:id="rId997" ref="C449"/>
    <hyperlink r:id="rId998" ref="L449"/>
    <hyperlink r:id="rId999" ref="C450"/>
    <hyperlink r:id="rId1000" ref="K450"/>
    <hyperlink r:id="rId1001" ref="L450"/>
    <hyperlink r:id="rId1002" ref="C451"/>
    <hyperlink r:id="rId1003" ref="L451"/>
    <hyperlink r:id="rId1004" ref="C452"/>
    <hyperlink r:id="rId1005" ref="L452"/>
    <hyperlink r:id="rId1006" ref="C453"/>
    <hyperlink r:id="rId1007" ref="K453"/>
    <hyperlink r:id="rId1008" ref="L453"/>
    <hyperlink r:id="rId1009" ref="C454"/>
    <hyperlink r:id="rId1010" ref="K454"/>
    <hyperlink r:id="rId1011" ref="L454"/>
    <hyperlink r:id="rId1012" ref="C455"/>
    <hyperlink r:id="rId1013" ref="K455"/>
    <hyperlink r:id="rId1014" ref="L455"/>
    <hyperlink r:id="rId1015" ref="C456"/>
    <hyperlink r:id="rId1016" ref="K456"/>
    <hyperlink r:id="rId1017" ref="L456"/>
    <hyperlink r:id="rId1018" ref="C457"/>
    <hyperlink r:id="rId1019" ref="K457"/>
    <hyperlink r:id="rId1020" ref="C458"/>
    <hyperlink r:id="rId1021" ref="L458"/>
    <hyperlink r:id="rId1022" ref="C459"/>
    <hyperlink r:id="rId1023" ref="L459"/>
    <hyperlink r:id="rId1024" ref="C460"/>
    <hyperlink r:id="rId1025" ref="L460"/>
    <hyperlink r:id="rId1026" ref="C461"/>
    <hyperlink r:id="rId1027" ref="L461"/>
    <hyperlink r:id="rId1028" ref="C462"/>
    <hyperlink r:id="rId1029" ref="L462"/>
    <hyperlink r:id="rId1030" ref="C463"/>
    <hyperlink r:id="rId1031" ref="C464"/>
    <hyperlink r:id="rId1032" ref="L464"/>
    <hyperlink r:id="rId1033" ref="C465"/>
    <hyperlink r:id="rId1034" ref="L465"/>
    <hyperlink r:id="rId1035" ref="C466"/>
    <hyperlink r:id="rId1036" ref="L466"/>
    <hyperlink r:id="rId1037" ref="C467"/>
    <hyperlink r:id="rId1038" ref="K467"/>
    <hyperlink r:id="rId1039" ref="C468"/>
    <hyperlink r:id="rId1040" ref="L468"/>
    <hyperlink r:id="rId1041" ref="C469"/>
    <hyperlink r:id="rId1042" ref="L469"/>
    <hyperlink r:id="rId1043" ref="C470"/>
    <hyperlink r:id="rId1044" ref="L470"/>
    <hyperlink r:id="rId1045" ref="C471"/>
    <hyperlink r:id="rId1046" ref="L471"/>
    <hyperlink r:id="rId1047" ref="C472"/>
    <hyperlink r:id="rId1048" ref="L472"/>
    <hyperlink r:id="rId1049" ref="C473"/>
    <hyperlink r:id="rId1050" ref="L473"/>
    <hyperlink r:id="rId1051" ref="C474"/>
    <hyperlink r:id="rId1052" ref="L474"/>
    <hyperlink r:id="rId1053" ref="C475"/>
    <hyperlink r:id="rId1054" ref="L475"/>
    <hyperlink r:id="rId1055" ref="C476"/>
    <hyperlink r:id="rId1056" ref="K476"/>
    <hyperlink r:id="rId1057" ref="L476"/>
    <hyperlink r:id="rId1058" ref="C477"/>
    <hyperlink r:id="rId1059" ref="L477"/>
    <hyperlink r:id="rId1060" ref="C478"/>
    <hyperlink r:id="rId1061" ref="K478"/>
    <hyperlink r:id="rId1062" ref="L478"/>
    <hyperlink r:id="rId1063" ref="C479"/>
    <hyperlink r:id="rId1064" ref="L479"/>
    <hyperlink r:id="rId1065" ref="C480"/>
    <hyperlink r:id="rId1066" ref="K480"/>
    <hyperlink r:id="rId1067" ref="L480"/>
    <hyperlink r:id="rId1068" ref="C481"/>
    <hyperlink r:id="rId1069" ref="K481"/>
    <hyperlink r:id="rId1070" ref="L481"/>
    <hyperlink r:id="rId1071" ref="C482"/>
    <hyperlink r:id="rId1072" ref="L482"/>
    <hyperlink r:id="rId1073" ref="C483"/>
    <hyperlink r:id="rId1074" ref="K483"/>
    <hyperlink r:id="rId1075" ref="L483"/>
    <hyperlink r:id="rId1076" ref="C484"/>
    <hyperlink r:id="rId1077" ref="L484"/>
    <hyperlink r:id="rId1078" ref="C485"/>
    <hyperlink r:id="rId1079" ref="L485"/>
    <hyperlink r:id="rId1080" ref="C486"/>
    <hyperlink r:id="rId1081" ref="L486"/>
    <hyperlink r:id="rId1082" ref="C487"/>
    <hyperlink r:id="rId1083" ref="L487"/>
    <hyperlink r:id="rId1084" ref="C488"/>
    <hyperlink r:id="rId1085" ref="L488"/>
    <hyperlink r:id="rId1086" ref="C489"/>
    <hyperlink r:id="rId1087" ref="L489"/>
    <hyperlink r:id="rId1088" ref="C490"/>
    <hyperlink r:id="rId1089" ref="L490"/>
    <hyperlink r:id="rId1090" ref="C491"/>
    <hyperlink r:id="rId1091" ref="K491"/>
    <hyperlink r:id="rId1092" ref="L491"/>
    <hyperlink r:id="rId1093" ref="C492"/>
    <hyperlink r:id="rId1094" ref="L492"/>
    <hyperlink r:id="rId1095" ref="C493"/>
    <hyperlink r:id="rId1096" ref="K493"/>
    <hyperlink r:id="rId1097" ref="L493"/>
    <hyperlink r:id="rId1098" ref="C494"/>
    <hyperlink r:id="rId1099" ref="L494"/>
    <hyperlink r:id="rId1100" ref="C495"/>
    <hyperlink r:id="rId1101" ref="L495"/>
    <hyperlink r:id="rId1102" ref="C496"/>
    <hyperlink r:id="rId1103" ref="C497"/>
    <hyperlink r:id="rId1104" ref="L497"/>
    <hyperlink r:id="rId1105" ref="C498"/>
    <hyperlink r:id="rId1106" ref="C499"/>
    <hyperlink r:id="rId1107" ref="K499"/>
    <hyperlink r:id="rId1108" ref="L499"/>
    <hyperlink r:id="rId1109" ref="C500"/>
    <hyperlink r:id="rId1110" ref="K500"/>
    <hyperlink r:id="rId1111" ref="L500"/>
    <hyperlink r:id="rId1112" ref="C501"/>
    <hyperlink r:id="rId1113" ref="K501"/>
    <hyperlink r:id="rId1114" ref="L501"/>
    <hyperlink r:id="rId1115" ref="C502"/>
    <hyperlink r:id="rId1116" ref="L502"/>
    <hyperlink r:id="rId1117" ref="C503"/>
    <hyperlink r:id="rId1118" ref="K503"/>
    <hyperlink r:id="rId1119" ref="L503"/>
    <hyperlink r:id="rId1120" ref="C504"/>
    <hyperlink r:id="rId1121" ref="L504"/>
    <hyperlink r:id="rId1122" ref="C505"/>
    <hyperlink r:id="rId1123" ref="L505"/>
    <hyperlink r:id="rId1124" ref="C506"/>
    <hyperlink r:id="rId1125" ref="L506"/>
    <hyperlink r:id="rId1126" ref="C507"/>
    <hyperlink r:id="rId1127" ref="L507"/>
    <hyperlink r:id="rId1128" ref="C508"/>
    <hyperlink r:id="rId1129" ref="L508"/>
    <hyperlink r:id="rId1130" ref="C509"/>
    <hyperlink r:id="rId1131" ref="L509"/>
    <hyperlink r:id="rId1132" ref="C510"/>
    <hyperlink r:id="rId1133" ref="L510"/>
    <hyperlink r:id="rId1134" ref="C511"/>
    <hyperlink r:id="rId1135" ref="K511"/>
    <hyperlink r:id="rId1136" ref="L511"/>
    <hyperlink r:id="rId1137" ref="C512"/>
    <hyperlink r:id="rId1138" ref="K512"/>
    <hyperlink r:id="rId1139" ref="L512"/>
    <hyperlink r:id="rId1140" ref="C513"/>
    <hyperlink r:id="rId1141" ref="L513"/>
    <hyperlink r:id="rId1142" ref="C514"/>
    <hyperlink r:id="rId1143" ref="L514"/>
    <hyperlink r:id="rId1144" ref="C515"/>
    <hyperlink r:id="rId1145" ref="L515"/>
    <hyperlink r:id="rId1146" ref="C516"/>
    <hyperlink r:id="rId1147" ref="K516"/>
    <hyperlink r:id="rId1148" ref="L516"/>
    <hyperlink r:id="rId1149" ref="C517"/>
    <hyperlink r:id="rId1150" ref="K517"/>
    <hyperlink r:id="rId1151" ref="L517"/>
    <hyperlink r:id="rId1152" ref="C518"/>
    <hyperlink r:id="rId1153" ref="K518"/>
    <hyperlink r:id="rId1154" ref="L518"/>
    <hyperlink r:id="rId1155" ref="C519"/>
    <hyperlink r:id="rId1156" ref="L519"/>
    <hyperlink r:id="rId1157" ref="C520"/>
    <hyperlink r:id="rId1158" ref="L520"/>
    <hyperlink r:id="rId1159" ref="C521"/>
    <hyperlink r:id="rId1160" ref="L521"/>
    <hyperlink r:id="rId1161" ref="C522"/>
    <hyperlink r:id="rId1162" ref="K522"/>
    <hyperlink r:id="rId1163" ref="L522"/>
    <hyperlink r:id="rId1164" ref="C523"/>
    <hyperlink r:id="rId1165" ref="L523"/>
    <hyperlink r:id="rId1166" ref="C524"/>
    <hyperlink r:id="rId1167" ref="L524"/>
    <hyperlink r:id="rId1168" ref="C525"/>
    <hyperlink r:id="rId1169" ref="K525"/>
    <hyperlink r:id="rId1170" ref="L525"/>
    <hyperlink r:id="rId1171" ref="C526"/>
    <hyperlink r:id="rId1172" ref="L526"/>
    <hyperlink r:id="rId1173" ref="C527"/>
    <hyperlink r:id="rId1174" ref="L527"/>
    <hyperlink r:id="rId1175" ref="C528"/>
    <hyperlink r:id="rId1176" ref="L528"/>
    <hyperlink r:id="rId1177" ref="C529"/>
    <hyperlink r:id="rId1178" ref="C530"/>
    <hyperlink r:id="rId1179" ref="K530"/>
    <hyperlink r:id="rId1180" ref="C531"/>
    <hyperlink r:id="rId1181" ref="C532"/>
    <hyperlink r:id="rId1182" ref="L532"/>
    <hyperlink r:id="rId1183" ref="C533"/>
    <hyperlink r:id="rId1184" ref="C534"/>
    <hyperlink r:id="rId1185" ref="L534"/>
    <hyperlink r:id="rId1186" ref="C535"/>
    <hyperlink r:id="rId1187" ref="L535"/>
    <hyperlink r:id="rId1188" ref="C536"/>
    <hyperlink r:id="rId1189" ref="L536"/>
    <hyperlink r:id="rId1190" ref="C537"/>
    <hyperlink r:id="rId1191" ref="L537"/>
    <hyperlink r:id="rId1192" ref="C538"/>
    <hyperlink r:id="rId1193" ref="L538"/>
    <hyperlink r:id="rId1194" ref="C539"/>
    <hyperlink r:id="rId1195" ref="L539"/>
    <hyperlink r:id="rId1196" ref="C540"/>
    <hyperlink r:id="rId1197" ref="L540"/>
    <hyperlink r:id="rId1198" ref="C541"/>
    <hyperlink r:id="rId1199" ref="K541"/>
    <hyperlink r:id="rId1200" ref="L541"/>
    <hyperlink r:id="rId1201" ref="C542"/>
    <hyperlink r:id="rId1202" ref="L542"/>
    <hyperlink r:id="rId1203" ref="C543"/>
    <hyperlink r:id="rId1204" ref="K543"/>
    <hyperlink r:id="rId1205" ref="L543"/>
    <hyperlink r:id="rId1206" ref="C544"/>
    <hyperlink r:id="rId1207" ref="K544"/>
    <hyperlink r:id="rId1208" ref="L544"/>
    <hyperlink r:id="rId1209" ref="C545"/>
    <hyperlink r:id="rId1210" ref="K545"/>
    <hyperlink r:id="rId1211" ref="L545"/>
    <hyperlink r:id="rId1212" ref="C546"/>
    <hyperlink r:id="rId1213" ref="K546"/>
    <hyperlink r:id="rId1214" ref="L546"/>
    <hyperlink r:id="rId1215" ref="C547"/>
    <hyperlink r:id="rId1216" ref="L547"/>
    <hyperlink r:id="rId1217" ref="C548"/>
    <hyperlink r:id="rId1218" ref="C549"/>
    <hyperlink r:id="rId1219" ref="K549"/>
    <hyperlink r:id="rId1220" ref="C550"/>
    <hyperlink r:id="rId1221" ref="L550"/>
    <hyperlink r:id="rId1222" ref="C551"/>
    <hyperlink r:id="rId1223" ref="K551"/>
    <hyperlink r:id="rId1224" ref="L551"/>
    <hyperlink r:id="rId1225" ref="C552"/>
    <hyperlink r:id="rId1226" ref="K552"/>
    <hyperlink r:id="rId1227" ref="L552"/>
    <hyperlink r:id="rId1228" ref="C553"/>
    <hyperlink r:id="rId1229" ref="L553"/>
    <hyperlink r:id="rId1230" ref="C554"/>
    <hyperlink r:id="rId1231" ref="K554"/>
    <hyperlink r:id="rId1232" ref="L554"/>
    <hyperlink r:id="rId1233" ref="C555"/>
    <hyperlink r:id="rId1234" ref="L555"/>
    <hyperlink r:id="rId1235" ref="C556"/>
    <hyperlink r:id="rId1236" ref="K556"/>
    <hyperlink r:id="rId1237" ref="L556"/>
    <hyperlink r:id="rId1238" ref="C557"/>
    <hyperlink r:id="rId1239" ref="L557"/>
    <hyperlink r:id="rId1240" ref="C558"/>
    <hyperlink r:id="rId1241" ref="L558"/>
    <hyperlink r:id="rId1242" ref="C559"/>
    <hyperlink r:id="rId1243" ref="K559"/>
    <hyperlink r:id="rId1244" ref="L559"/>
    <hyperlink r:id="rId1245" ref="C560"/>
    <hyperlink r:id="rId1246" ref="L560"/>
    <hyperlink r:id="rId1247" ref="C561"/>
    <hyperlink r:id="rId1248" ref="L561"/>
    <hyperlink r:id="rId1249" ref="C562"/>
    <hyperlink r:id="rId1250" ref="L562"/>
    <hyperlink r:id="rId1251" ref="C563"/>
    <hyperlink r:id="rId1252" ref="L563"/>
    <hyperlink r:id="rId1253" ref="C564"/>
    <hyperlink r:id="rId1254" ref="K564"/>
    <hyperlink r:id="rId1255" ref="L564"/>
    <hyperlink r:id="rId1256" ref="C565"/>
    <hyperlink r:id="rId1257" ref="L565"/>
    <hyperlink r:id="rId1258" ref="C566"/>
    <hyperlink r:id="rId1259" ref="K566"/>
    <hyperlink r:id="rId1260" ref="L566"/>
    <hyperlink r:id="rId1261" ref="C567"/>
    <hyperlink r:id="rId1262" ref="L567"/>
    <hyperlink r:id="rId1263" ref="C568"/>
    <hyperlink r:id="rId1264" ref="K568"/>
    <hyperlink r:id="rId1265" ref="L568"/>
    <hyperlink r:id="rId1266" ref="C569"/>
    <hyperlink r:id="rId1267" ref="C570"/>
    <hyperlink r:id="rId1268" ref="L570"/>
    <hyperlink r:id="rId1269" ref="C571"/>
    <hyperlink r:id="rId1270" ref="L571"/>
    <hyperlink r:id="rId1271" ref="C572"/>
    <hyperlink r:id="rId1272" ref="L572"/>
    <hyperlink r:id="rId1273" ref="C573"/>
    <hyperlink r:id="rId1274" ref="L573"/>
    <hyperlink r:id="rId1275" ref="C574"/>
    <hyperlink r:id="rId1276" ref="L574"/>
    <hyperlink r:id="rId1277" ref="C575"/>
    <hyperlink r:id="rId1278" ref="L575"/>
    <hyperlink r:id="rId1279" ref="C576"/>
    <hyperlink r:id="rId1280" ref="K576"/>
    <hyperlink r:id="rId1281" ref="L576"/>
    <hyperlink r:id="rId1282" ref="C577"/>
    <hyperlink r:id="rId1283" ref="C578"/>
    <hyperlink r:id="rId1284" ref="L578"/>
    <hyperlink r:id="rId1285" ref="C579"/>
    <hyperlink r:id="rId1286" ref="L579"/>
    <hyperlink r:id="rId1287" ref="C580"/>
    <hyperlink r:id="rId1288" ref="L580"/>
    <hyperlink r:id="rId1289" ref="C581"/>
    <hyperlink r:id="rId1290" ref="K581"/>
    <hyperlink r:id="rId1291" ref="L581"/>
    <hyperlink r:id="rId1292" ref="C582"/>
    <hyperlink r:id="rId1293" ref="L582"/>
    <hyperlink r:id="rId1294" ref="C583"/>
    <hyperlink r:id="rId1295" ref="K583"/>
    <hyperlink r:id="rId1296" ref="C584"/>
    <hyperlink r:id="rId1297" ref="K584"/>
    <hyperlink r:id="rId1298" ref="C585"/>
    <hyperlink r:id="rId1299" ref="K585"/>
    <hyperlink r:id="rId1300" ref="C586"/>
    <hyperlink r:id="rId1301" ref="L586"/>
    <hyperlink r:id="rId1302" ref="C587"/>
    <hyperlink r:id="rId1303" ref="K587"/>
    <hyperlink r:id="rId1304" ref="L587"/>
    <hyperlink r:id="rId1305" ref="C588"/>
    <hyperlink r:id="rId1306" ref="K588"/>
    <hyperlink r:id="rId1307" ref="L588"/>
    <hyperlink r:id="rId1308" ref="C589"/>
    <hyperlink r:id="rId1309" ref="L589"/>
    <hyperlink r:id="rId1310" ref="C590"/>
    <hyperlink r:id="rId1311" ref="L590"/>
    <hyperlink r:id="rId1312" ref="C591"/>
    <hyperlink r:id="rId1313" ref="L591"/>
    <hyperlink r:id="rId1314" ref="C592"/>
    <hyperlink r:id="rId1315" ref="L592"/>
    <hyperlink r:id="rId1316" ref="C593"/>
    <hyperlink r:id="rId1317" ref="L593"/>
    <hyperlink r:id="rId1318" ref="C594"/>
    <hyperlink r:id="rId1319" ref="L594"/>
    <hyperlink r:id="rId1320" ref="C595"/>
    <hyperlink r:id="rId1321" ref="K595"/>
    <hyperlink r:id="rId1322" ref="C596"/>
    <hyperlink r:id="rId1323" ref="K596"/>
    <hyperlink r:id="rId1324" ref="C597"/>
    <hyperlink r:id="rId1325" ref="K597"/>
    <hyperlink r:id="rId1326" ref="C598"/>
    <hyperlink r:id="rId1327" ref="K598"/>
    <hyperlink r:id="rId1328" ref="C599"/>
    <hyperlink r:id="rId1329" ref="K599"/>
    <hyperlink r:id="rId1330" ref="L599"/>
    <hyperlink r:id="rId1331" ref="C600"/>
    <hyperlink r:id="rId1332" ref="K600"/>
    <hyperlink r:id="rId1333" ref="L600"/>
    <hyperlink r:id="rId1334" ref="C601"/>
    <hyperlink r:id="rId1335" ref="K601"/>
    <hyperlink r:id="rId1336" ref="L601"/>
    <hyperlink r:id="rId1337" ref="C602"/>
    <hyperlink r:id="rId1338" ref="K602"/>
    <hyperlink r:id="rId1339" ref="C603"/>
    <hyperlink r:id="rId1340" ref="K603"/>
    <hyperlink r:id="rId1341" ref="C604"/>
    <hyperlink r:id="rId1342" ref="K604"/>
    <hyperlink r:id="rId1343" ref="C605"/>
    <hyperlink r:id="rId1344" ref="C606"/>
    <hyperlink r:id="rId1345" ref="C607"/>
    <hyperlink r:id="rId1346" ref="C608"/>
    <hyperlink r:id="rId1347" ref="C609"/>
    <hyperlink r:id="rId1348" ref="C610"/>
    <hyperlink r:id="rId1349" ref="C611"/>
    <hyperlink r:id="rId1350" ref="C612"/>
    <hyperlink r:id="rId1351" ref="L612"/>
    <hyperlink r:id="rId1352" ref="C613"/>
    <hyperlink r:id="rId1353" ref="L613"/>
    <hyperlink r:id="rId1354" ref="C614"/>
    <hyperlink r:id="rId1355" ref="K614"/>
    <hyperlink r:id="rId1356" ref="L614"/>
    <hyperlink r:id="rId1357" ref="C615"/>
    <hyperlink r:id="rId1358" ref="L615"/>
    <hyperlink r:id="rId1359" ref="C616"/>
    <hyperlink r:id="rId1360" ref="K616"/>
    <hyperlink r:id="rId1361" ref="L616"/>
    <hyperlink r:id="rId1362" ref="C617"/>
    <hyperlink r:id="rId1363" ref="K617"/>
    <hyperlink r:id="rId1364" ref="L617"/>
    <hyperlink r:id="rId1365" ref="C618"/>
    <hyperlink r:id="rId1366" ref="K618"/>
    <hyperlink r:id="rId1367" ref="L618"/>
    <hyperlink r:id="rId1368" ref="C619"/>
    <hyperlink r:id="rId1369" ref="K619"/>
    <hyperlink r:id="rId1370" ref="L619"/>
    <hyperlink r:id="rId1371" ref="C620"/>
    <hyperlink r:id="rId1372" ref="K620"/>
    <hyperlink r:id="rId1373" ref="L620"/>
    <hyperlink r:id="rId1374" ref="C621"/>
    <hyperlink r:id="rId1375" ref="K621"/>
    <hyperlink r:id="rId1376" ref="L621"/>
    <hyperlink r:id="rId1377" ref="C622"/>
    <hyperlink r:id="rId1378" ref="L622"/>
    <hyperlink r:id="rId1379" ref="C623"/>
    <hyperlink r:id="rId1380" ref="L623"/>
    <hyperlink r:id="rId1381" ref="C624"/>
    <hyperlink r:id="rId1382" ref="L624"/>
    <hyperlink r:id="rId1383" ref="C625"/>
    <hyperlink r:id="rId1384" ref="K625"/>
    <hyperlink r:id="rId1385" ref="L625"/>
    <hyperlink r:id="rId1386" ref="C626"/>
    <hyperlink r:id="rId1387" ref="K626"/>
    <hyperlink r:id="rId1388" ref="C627"/>
    <hyperlink r:id="rId1389" ref="L627"/>
    <hyperlink r:id="rId1390" ref="C628"/>
    <hyperlink r:id="rId1391" ref="L628"/>
    <hyperlink r:id="rId1392" ref="C629"/>
    <hyperlink r:id="rId1393" ref="L629"/>
    <hyperlink r:id="rId1394" ref="C630"/>
    <hyperlink r:id="rId1395" ref="L630"/>
    <hyperlink r:id="rId1396" ref="C631"/>
    <hyperlink r:id="rId1397" ref="L631"/>
    <hyperlink r:id="rId1398" ref="C632"/>
    <hyperlink r:id="rId1399" ref="L632"/>
    <hyperlink r:id="rId1400" ref="C633"/>
    <hyperlink r:id="rId1401" ref="L633"/>
    <hyperlink r:id="rId1402" ref="C634"/>
    <hyperlink r:id="rId1403" ref="L634"/>
    <hyperlink r:id="rId1404" ref="C635"/>
    <hyperlink r:id="rId1405" ref="L635"/>
    <hyperlink r:id="rId1406" ref="C636"/>
    <hyperlink r:id="rId1407" ref="L636"/>
    <hyperlink r:id="rId1408" ref="C637"/>
    <hyperlink r:id="rId1409" ref="K637"/>
    <hyperlink r:id="rId1410" ref="C638"/>
    <hyperlink r:id="rId1411" ref="K638"/>
    <hyperlink r:id="rId1412" ref="L638"/>
    <hyperlink r:id="rId1413" ref="C639"/>
    <hyperlink r:id="rId1414" ref="C640"/>
    <hyperlink r:id="rId1415" ref="L640"/>
    <hyperlink r:id="rId1416" ref="C641"/>
    <hyperlink r:id="rId1417" ref="L641"/>
    <hyperlink r:id="rId1418" ref="C642"/>
    <hyperlink r:id="rId1419" ref="L642"/>
    <hyperlink r:id="rId1420" ref="C643"/>
    <hyperlink r:id="rId1421" ref="L643"/>
    <hyperlink r:id="rId1422" ref="C644"/>
    <hyperlink r:id="rId1423" ref="L644"/>
    <hyperlink r:id="rId1424" ref="C645"/>
    <hyperlink r:id="rId1425" ref="C646"/>
    <hyperlink r:id="rId1426" ref="L646"/>
    <hyperlink r:id="rId1427" ref="C647"/>
    <hyperlink r:id="rId1428" ref="L647"/>
    <hyperlink r:id="rId1429" ref="C648"/>
    <hyperlink r:id="rId1430" ref="L648"/>
    <hyperlink r:id="rId1431" ref="C649"/>
    <hyperlink r:id="rId1432" ref="L649"/>
    <hyperlink r:id="rId1433" ref="C650"/>
    <hyperlink r:id="rId1434" ref="L650"/>
    <hyperlink r:id="rId1435" ref="C651"/>
    <hyperlink r:id="rId1436" ref="L651"/>
    <hyperlink r:id="rId1437" ref="C652"/>
    <hyperlink r:id="rId1438" ref="K652"/>
    <hyperlink r:id="rId1439" ref="L652"/>
    <hyperlink r:id="rId1440" ref="C653"/>
    <hyperlink r:id="rId1441" ref="L653"/>
    <hyperlink r:id="rId1442" ref="C654"/>
    <hyperlink r:id="rId1443" ref="L654"/>
    <hyperlink r:id="rId1444" ref="C655"/>
    <hyperlink r:id="rId1445" ref="L655"/>
    <hyperlink r:id="rId1446" ref="C656"/>
    <hyperlink r:id="rId1447" ref="K656"/>
    <hyperlink r:id="rId1448" ref="L656"/>
    <hyperlink r:id="rId1449" ref="C657"/>
    <hyperlink r:id="rId1450" ref="K657"/>
    <hyperlink r:id="rId1451" ref="L657"/>
    <hyperlink r:id="rId1452" ref="C658"/>
    <hyperlink r:id="rId1453" ref="L658"/>
    <hyperlink r:id="rId1454" ref="C659"/>
    <hyperlink r:id="rId1455" ref="L659"/>
    <hyperlink r:id="rId1456" ref="C660"/>
    <hyperlink r:id="rId1457" ref="L660"/>
    <hyperlink r:id="rId1458" ref="C661"/>
    <hyperlink r:id="rId1459" ref="L661"/>
    <hyperlink r:id="rId1460" ref="C662"/>
    <hyperlink r:id="rId1461" ref="C663"/>
    <hyperlink r:id="rId1462" ref="C664"/>
    <hyperlink r:id="rId1463" ref="L664"/>
    <hyperlink r:id="rId1464" ref="C665"/>
    <hyperlink r:id="rId1465" ref="K665"/>
    <hyperlink r:id="rId1466" ref="L665"/>
    <hyperlink r:id="rId1467" ref="C666"/>
    <hyperlink r:id="rId1468" ref="K666"/>
    <hyperlink r:id="rId1469" ref="L666"/>
    <hyperlink r:id="rId1470" ref="C667"/>
    <hyperlink r:id="rId1471" ref="L667"/>
    <hyperlink r:id="rId1472" ref="C668"/>
    <hyperlink r:id="rId1473" ref="L668"/>
    <hyperlink r:id="rId1474" ref="C669"/>
    <hyperlink r:id="rId1475" ref="L669"/>
    <hyperlink r:id="rId1476" ref="C670"/>
    <hyperlink r:id="rId1477" ref="K670"/>
    <hyperlink r:id="rId1478" ref="L670"/>
    <hyperlink r:id="rId1479" ref="C671"/>
    <hyperlink r:id="rId1480" ref="L671"/>
    <hyperlink r:id="rId1481" ref="C672"/>
    <hyperlink r:id="rId1482" ref="L672"/>
    <hyperlink r:id="rId1483" ref="C673"/>
    <hyperlink r:id="rId1484" ref="L673"/>
    <hyperlink r:id="rId1485" ref="C674"/>
    <hyperlink r:id="rId1486" ref="K674"/>
    <hyperlink r:id="rId1487" ref="L674"/>
    <hyperlink r:id="rId1488" ref="C675"/>
    <hyperlink r:id="rId1489" ref="L675"/>
    <hyperlink r:id="rId1490" ref="C676"/>
    <hyperlink r:id="rId1491" ref="K676"/>
    <hyperlink r:id="rId1492" ref="L676"/>
    <hyperlink r:id="rId1493" ref="C677"/>
    <hyperlink r:id="rId1494" ref="L677"/>
    <hyperlink r:id="rId1495" ref="C678"/>
    <hyperlink r:id="rId1496" ref="L678"/>
    <hyperlink r:id="rId1497" ref="C679"/>
    <hyperlink r:id="rId1498" ref="L679"/>
    <hyperlink r:id="rId1499" ref="C680"/>
    <hyperlink r:id="rId1500" ref="L680"/>
    <hyperlink r:id="rId1501" ref="C681"/>
    <hyperlink r:id="rId1502" ref="L681"/>
    <hyperlink r:id="rId1503" ref="C682"/>
    <hyperlink r:id="rId1504" ref="L682"/>
    <hyperlink r:id="rId1505" ref="C683"/>
    <hyperlink r:id="rId1506" ref="L683"/>
    <hyperlink r:id="rId1507" ref="C684"/>
    <hyperlink r:id="rId1508" ref="L684"/>
    <hyperlink r:id="rId1509" ref="C685"/>
    <hyperlink r:id="rId1510" ref="L685"/>
    <hyperlink r:id="rId1511" ref="C686"/>
    <hyperlink r:id="rId1512" ref="K686"/>
    <hyperlink r:id="rId1513" ref="L686"/>
    <hyperlink r:id="rId1514" ref="C687"/>
    <hyperlink r:id="rId1515" ref="L687"/>
    <hyperlink r:id="rId1516" ref="C688"/>
    <hyperlink r:id="rId1517" ref="C689"/>
    <hyperlink r:id="rId1518" ref="C690"/>
    <hyperlink r:id="rId1519" ref="L690"/>
    <hyperlink r:id="rId1520" ref="C691"/>
    <hyperlink r:id="rId1521" ref="L691"/>
    <hyperlink r:id="rId1522" ref="C692"/>
    <hyperlink r:id="rId1523" ref="L692"/>
    <hyperlink r:id="rId1524" ref="C693"/>
    <hyperlink r:id="rId1525" ref="L693"/>
    <hyperlink r:id="rId1526" ref="C694"/>
    <hyperlink r:id="rId1527" ref="L694"/>
    <hyperlink r:id="rId1528" ref="C695"/>
    <hyperlink r:id="rId1529" ref="L695"/>
    <hyperlink r:id="rId1530" ref="C696"/>
    <hyperlink r:id="rId1531" ref="L696"/>
    <hyperlink r:id="rId1532" ref="C697"/>
    <hyperlink r:id="rId1533" ref="K697"/>
    <hyperlink r:id="rId1534" ref="L697"/>
    <hyperlink r:id="rId1535" ref="C698"/>
    <hyperlink r:id="rId1536" ref="K698"/>
    <hyperlink r:id="rId1537" ref="L698"/>
    <hyperlink r:id="rId1538" ref="C699"/>
    <hyperlink r:id="rId1539" ref="L699"/>
    <hyperlink r:id="rId1540" ref="C700"/>
    <hyperlink r:id="rId1541" ref="L700"/>
    <hyperlink r:id="rId1542" ref="C701"/>
    <hyperlink r:id="rId1543" ref="K701"/>
    <hyperlink r:id="rId1544" ref="L701"/>
    <hyperlink r:id="rId1545" ref="C702"/>
    <hyperlink r:id="rId1546" ref="L702"/>
    <hyperlink r:id="rId1547" ref="C703"/>
    <hyperlink r:id="rId1548" ref="K703"/>
    <hyperlink r:id="rId1549" ref="L703"/>
    <hyperlink r:id="rId1550" ref="C704"/>
    <hyperlink r:id="rId1551" ref="K704"/>
    <hyperlink r:id="rId1552" ref="L704"/>
    <hyperlink r:id="rId1553" ref="C705"/>
    <hyperlink r:id="rId1554" ref="K705"/>
    <hyperlink r:id="rId1555" ref="L705"/>
    <hyperlink r:id="rId1556" ref="C706"/>
    <hyperlink r:id="rId1557" ref="L706"/>
    <hyperlink r:id="rId1558" ref="C707"/>
    <hyperlink r:id="rId1559" ref="L707"/>
    <hyperlink r:id="rId1560" ref="C708"/>
    <hyperlink r:id="rId1561" ref="L708"/>
    <hyperlink r:id="rId1562" ref="C709"/>
    <hyperlink r:id="rId1563" ref="L709"/>
    <hyperlink r:id="rId1564" ref="C710"/>
    <hyperlink r:id="rId1565" ref="L710"/>
    <hyperlink r:id="rId1566" ref="C711"/>
    <hyperlink r:id="rId1567" ref="L711"/>
    <hyperlink r:id="rId1568" ref="C712"/>
    <hyperlink r:id="rId1569" ref="L712"/>
    <hyperlink r:id="rId1570" ref="C713"/>
    <hyperlink r:id="rId1571" ref="L713"/>
    <hyperlink r:id="rId1572" ref="C714"/>
    <hyperlink r:id="rId1573" ref="C715"/>
    <hyperlink r:id="rId1574" ref="L715"/>
    <hyperlink r:id="rId1575" ref="C716"/>
    <hyperlink r:id="rId1576" ref="L716"/>
    <hyperlink r:id="rId1577" ref="C717"/>
    <hyperlink r:id="rId1578" ref="L717"/>
    <hyperlink r:id="rId1579" ref="C718"/>
    <hyperlink r:id="rId1580" ref="C719"/>
    <hyperlink r:id="rId1581" ref="K719"/>
    <hyperlink r:id="rId1582" ref="L719"/>
    <hyperlink r:id="rId1583" ref="C720"/>
    <hyperlink r:id="rId1584" ref="K720"/>
    <hyperlink r:id="rId1585" ref="L720"/>
    <hyperlink r:id="rId1586" ref="C721"/>
    <hyperlink r:id="rId1587" ref="K721"/>
    <hyperlink r:id="rId1588" ref="L721"/>
    <hyperlink r:id="rId1589" ref="C722"/>
    <hyperlink r:id="rId1590" ref="L722"/>
    <hyperlink r:id="rId1591" ref="C723"/>
    <hyperlink r:id="rId1592" ref="K723"/>
    <hyperlink r:id="rId1593" ref="L723"/>
    <hyperlink r:id="rId1594" ref="C724"/>
    <hyperlink r:id="rId1595" ref="L724"/>
    <hyperlink r:id="rId1596" ref="C725"/>
    <hyperlink r:id="rId1597" ref="K725"/>
    <hyperlink r:id="rId1598" ref="L725"/>
    <hyperlink r:id="rId1599" ref="C726"/>
    <hyperlink r:id="rId1600" ref="L726"/>
    <hyperlink r:id="rId1601" ref="C727"/>
    <hyperlink r:id="rId1602" ref="K727"/>
    <hyperlink r:id="rId1603" ref="C728"/>
    <hyperlink r:id="rId1604" ref="L728"/>
    <hyperlink r:id="rId1605" ref="C729"/>
    <hyperlink r:id="rId1606" ref="L729"/>
    <hyperlink r:id="rId1607" ref="C730"/>
    <hyperlink r:id="rId1608" ref="K730"/>
    <hyperlink r:id="rId1609" ref="L730"/>
    <hyperlink r:id="rId1610" ref="C731"/>
    <hyperlink r:id="rId1611" ref="K731"/>
    <hyperlink r:id="rId1612" ref="L731"/>
    <hyperlink r:id="rId1613" ref="C732"/>
    <hyperlink r:id="rId1614" ref="L732"/>
    <hyperlink r:id="rId1615" ref="C733"/>
    <hyperlink r:id="rId1616" ref="K733"/>
    <hyperlink r:id="rId1617" ref="L733"/>
    <hyperlink r:id="rId1618" ref="C734"/>
    <hyperlink r:id="rId1619" ref="K734"/>
    <hyperlink r:id="rId1620" ref="L734"/>
    <hyperlink r:id="rId1621" ref="C735"/>
    <hyperlink r:id="rId1622" ref="L735"/>
    <hyperlink r:id="rId1623" ref="C736"/>
    <hyperlink r:id="rId1624" ref="L736"/>
    <hyperlink r:id="rId1625" ref="C737"/>
    <hyperlink r:id="rId1626" ref="K737"/>
    <hyperlink r:id="rId1627" ref="L737"/>
    <hyperlink r:id="rId1628" ref="C738"/>
    <hyperlink r:id="rId1629" ref="K738"/>
    <hyperlink r:id="rId1630" ref="L738"/>
    <hyperlink r:id="rId1631" ref="C739"/>
    <hyperlink r:id="rId1632" ref="L739"/>
    <hyperlink r:id="rId1633" ref="C740"/>
    <hyperlink r:id="rId1634" ref="L740"/>
    <hyperlink r:id="rId1635" ref="C741"/>
    <hyperlink r:id="rId1636" ref="L741"/>
    <hyperlink r:id="rId1637" ref="C742"/>
    <hyperlink r:id="rId1638" ref="L742"/>
    <hyperlink r:id="rId1639" ref="C743"/>
    <hyperlink r:id="rId1640" ref="K743"/>
    <hyperlink r:id="rId1641" ref="L743"/>
    <hyperlink r:id="rId1642" ref="C744"/>
    <hyperlink r:id="rId1643" ref="L744"/>
    <hyperlink r:id="rId1644" ref="C745"/>
    <hyperlink r:id="rId1645" ref="L745"/>
    <hyperlink r:id="rId1646" ref="C746"/>
    <hyperlink r:id="rId1647" ref="K746"/>
    <hyperlink r:id="rId1648" ref="C747"/>
    <hyperlink r:id="rId1649" ref="C748"/>
    <hyperlink r:id="rId1650" ref="L748"/>
    <hyperlink r:id="rId1651" ref="C749"/>
    <hyperlink r:id="rId1652" ref="L749"/>
    <hyperlink r:id="rId1653" ref="C750"/>
    <hyperlink r:id="rId1654" ref="L750"/>
    <hyperlink r:id="rId1655" ref="C751"/>
    <hyperlink r:id="rId1656" ref="K751"/>
    <hyperlink r:id="rId1657" ref="L751"/>
    <hyperlink r:id="rId1658" ref="C752"/>
    <hyperlink r:id="rId1659" ref="L752"/>
    <hyperlink r:id="rId1660" ref="C753"/>
    <hyperlink r:id="rId1661" ref="L753"/>
    <hyperlink r:id="rId1662" ref="C754"/>
    <hyperlink r:id="rId1663" ref="L754"/>
    <hyperlink r:id="rId1664" ref="C755"/>
    <hyperlink r:id="rId1665" ref="K755"/>
    <hyperlink r:id="rId1666" ref="L755"/>
    <hyperlink r:id="rId1667" ref="C756"/>
    <hyperlink r:id="rId1668" ref="K756"/>
    <hyperlink r:id="rId1669" ref="L756"/>
    <hyperlink r:id="rId1670" ref="C757"/>
    <hyperlink r:id="rId1671" ref="K757"/>
    <hyperlink r:id="rId1672" ref="L757"/>
    <hyperlink r:id="rId1673" ref="C758"/>
    <hyperlink r:id="rId1674" ref="L758"/>
    <hyperlink r:id="rId1675" ref="C759"/>
    <hyperlink r:id="rId1676" ref="L759"/>
    <hyperlink r:id="rId1677" ref="C760"/>
    <hyperlink r:id="rId1678" ref="K760"/>
    <hyperlink r:id="rId1679" ref="L760"/>
    <hyperlink r:id="rId1680" ref="C761"/>
    <hyperlink r:id="rId1681" ref="L761"/>
    <hyperlink r:id="rId1682" ref="C762"/>
    <hyperlink r:id="rId1683" ref="K762"/>
    <hyperlink r:id="rId1684" ref="L762"/>
    <hyperlink r:id="rId1685" ref="C763"/>
    <hyperlink r:id="rId1686" ref="K763"/>
    <hyperlink r:id="rId1687" ref="L763"/>
    <hyperlink r:id="rId1688" ref="C764"/>
    <hyperlink r:id="rId1689" ref="L764"/>
    <hyperlink r:id="rId1690" ref="C765"/>
    <hyperlink r:id="rId1691" ref="L765"/>
    <hyperlink r:id="rId1692" ref="C766"/>
    <hyperlink r:id="rId1693" ref="L766"/>
    <hyperlink r:id="rId1694" ref="C767"/>
    <hyperlink r:id="rId1695" ref="L767"/>
    <hyperlink r:id="rId1696" ref="C768"/>
    <hyperlink r:id="rId1697" ref="L768"/>
    <hyperlink r:id="rId1698" ref="C769"/>
    <hyperlink r:id="rId1699" ref="L769"/>
    <hyperlink r:id="rId1700" ref="C770"/>
    <hyperlink r:id="rId1701" ref="C771"/>
    <hyperlink r:id="rId1702" ref="L771"/>
    <hyperlink r:id="rId1703" ref="C772"/>
    <hyperlink r:id="rId1704" ref="L772"/>
    <hyperlink r:id="rId1705" ref="C773"/>
    <hyperlink r:id="rId1706" ref="L773"/>
    <hyperlink r:id="rId1707" ref="C774"/>
    <hyperlink r:id="rId1708" ref="K774"/>
    <hyperlink r:id="rId1709" ref="L774"/>
    <hyperlink r:id="rId1710" ref="C775"/>
    <hyperlink r:id="rId1711" ref="L775"/>
    <hyperlink r:id="rId1712" ref="C776"/>
    <hyperlink r:id="rId1713" ref="L776"/>
    <hyperlink r:id="rId1714" ref="C777"/>
    <hyperlink r:id="rId1715" ref="L777"/>
    <hyperlink r:id="rId1716" ref="C778"/>
    <hyperlink r:id="rId1717" ref="L778"/>
    <hyperlink r:id="rId1718" ref="C779"/>
    <hyperlink r:id="rId1719" ref="C780"/>
    <hyperlink r:id="rId1720" ref="L780"/>
    <hyperlink r:id="rId1721" ref="C781"/>
    <hyperlink r:id="rId1722" ref="L781"/>
    <hyperlink r:id="rId1723" ref="C782"/>
    <hyperlink r:id="rId1724" ref="L782"/>
    <hyperlink r:id="rId1725" ref="C783"/>
    <hyperlink r:id="rId1726" ref="L783"/>
    <hyperlink r:id="rId1727" ref="C784"/>
    <hyperlink r:id="rId1728" ref="L784"/>
    <hyperlink r:id="rId1729" ref="C785"/>
    <hyperlink r:id="rId1730" ref="L785"/>
    <hyperlink r:id="rId1731" ref="C786"/>
    <hyperlink r:id="rId1732" ref="L786"/>
    <hyperlink r:id="rId1733" ref="C787"/>
    <hyperlink r:id="rId1734" ref="L787"/>
    <hyperlink r:id="rId1735" ref="C788"/>
    <hyperlink r:id="rId1736" ref="L788"/>
    <hyperlink r:id="rId1737" ref="C789"/>
    <hyperlink r:id="rId1738" ref="L789"/>
    <hyperlink r:id="rId1739" ref="C790"/>
    <hyperlink r:id="rId1740" ref="L790"/>
    <hyperlink r:id="rId1741" ref="C791"/>
    <hyperlink r:id="rId1742" ref="L791"/>
    <hyperlink r:id="rId1743" ref="C792"/>
    <hyperlink r:id="rId1744" ref="L792"/>
    <hyperlink r:id="rId1745" ref="C793"/>
    <hyperlink r:id="rId1746" ref="K793"/>
    <hyperlink r:id="rId1747" ref="L793"/>
    <hyperlink r:id="rId1748" ref="C794"/>
    <hyperlink r:id="rId1749" ref="L794"/>
    <hyperlink r:id="rId1750" ref="C795"/>
    <hyperlink r:id="rId1751" ref="K795"/>
    <hyperlink r:id="rId1752" ref="L795"/>
    <hyperlink r:id="rId1753" ref="C796"/>
    <hyperlink r:id="rId1754" ref="K796"/>
    <hyperlink r:id="rId1755" ref="L796"/>
    <hyperlink r:id="rId1756" ref="C797"/>
    <hyperlink r:id="rId1757" ref="C798"/>
    <hyperlink r:id="rId1758" ref="K798"/>
    <hyperlink r:id="rId1759" ref="L798"/>
    <hyperlink r:id="rId1760" ref="C799"/>
    <hyperlink r:id="rId1761" ref="L799"/>
    <hyperlink r:id="rId1762" ref="C800"/>
    <hyperlink r:id="rId1763" ref="L800"/>
    <hyperlink r:id="rId1764" ref="C801"/>
    <hyperlink r:id="rId1765" ref="L801"/>
    <hyperlink r:id="rId1766" ref="C802"/>
    <hyperlink r:id="rId1767" ref="L802"/>
    <hyperlink r:id="rId1768" ref="C803"/>
    <hyperlink r:id="rId1769" ref="L803"/>
    <hyperlink r:id="rId1770" ref="C804"/>
    <hyperlink r:id="rId1771" ref="L804"/>
    <hyperlink r:id="rId1772" ref="C805"/>
    <hyperlink r:id="rId1773" ref="L805"/>
    <hyperlink r:id="rId1774" ref="C806"/>
    <hyperlink r:id="rId1775" ref="L806"/>
    <hyperlink r:id="rId1776" ref="C807"/>
    <hyperlink r:id="rId1777" ref="L807"/>
    <hyperlink r:id="rId1778" ref="C808"/>
    <hyperlink r:id="rId1779" ref="K808"/>
    <hyperlink r:id="rId1780" ref="L808"/>
    <hyperlink r:id="rId1781" ref="C809"/>
    <hyperlink r:id="rId1782" ref="L809"/>
    <hyperlink r:id="rId1783" ref="C810"/>
    <hyperlink r:id="rId1784" ref="K810"/>
    <hyperlink r:id="rId1785" ref="L810"/>
    <hyperlink r:id="rId1786" ref="C811"/>
    <hyperlink r:id="rId1787" ref="C812"/>
    <hyperlink r:id="rId1788" ref="K812"/>
    <hyperlink r:id="rId1789" ref="L812"/>
    <hyperlink r:id="rId1790" ref="C813"/>
    <hyperlink r:id="rId1791" ref="L813"/>
    <hyperlink r:id="rId1792" ref="C814"/>
    <hyperlink r:id="rId1793" ref="L814"/>
    <hyperlink r:id="rId1794" ref="C815"/>
    <hyperlink r:id="rId1795" ref="C816"/>
    <hyperlink r:id="rId1796" ref="K816"/>
    <hyperlink r:id="rId1797" ref="L816"/>
    <hyperlink r:id="rId1798" ref="C817"/>
    <hyperlink r:id="rId1799" ref="K817"/>
    <hyperlink r:id="rId1800" ref="L817"/>
    <hyperlink r:id="rId1801" ref="C818"/>
    <hyperlink r:id="rId1802" ref="L818"/>
    <hyperlink r:id="rId1803" ref="C819"/>
    <hyperlink r:id="rId1804" ref="K819"/>
    <hyperlink r:id="rId1805" ref="L819"/>
    <hyperlink r:id="rId1806" ref="C820"/>
    <hyperlink r:id="rId1807" ref="L820"/>
    <hyperlink r:id="rId1808" ref="C821"/>
    <hyperlink r:id="rId1809" ref="K821"/>
    <hyperlink r:id="rId1810" ref="L821"/>
    <hyperlink r:id="rId1811" ref="C822"/>
    <hyperlink r:id="rId1812" ref="K822"/>
    <hyperlink r:id="rId1813" ref="L822"/>
    <hyperlink r:id="rId1814" ref="C823"/>
    <hyperlink r:id="rId1815" ref="L823"/>
    <hyperlink r:id="rId1816" ref="C824"/>
    <hyperlink r:id="rId1817" ref="L824"/>
    <hyperlink r:id="rId1818" ref="C825"/>
    <hyperlink r:id="rId1819" ref="L825"/>
    <hyperlink r:id="rId1820" ref="C826"/>
    <hyperlink r:id="rId1821" ref="L826"/>
    <hyperlink r:id="rId1822" ref="C827"/>
    <hyperlink r:id="rId1823" ref="L827"/>
    <hyperlink r:id="rId1824" ref="C828"/>
    <hyperlink r:id="rId1825" ref="K828"/>
    <hyperlink r:id="rId1826" ref="L828"/>
    <hyperlink r:id="rId1827" ref="C829"/>
    <hyperlink r:id="rId1828" ref="K829"/>
    <hyperlink r:id="rId1829" ref="L829"/>
    <hyperlink r:id="rId1830" ref="C830"/>
    <hyperlink r:id="rId1831" ref="K830"/>
    <hyperlink r:id="rId1832" ref="L830"/>
    <hyperlink r:id="rId1833" ref="C831"/>
    <hyperlink r:id="rId1834" ref="K831"/>
    <hyperlink r:id="rId1835" ref="L831"/>
    <hyperlink r:id="rId1836" ref="C832"/>
    <hyperlink r:id="rId1837" ref="L832"/>
    <hyperlink r:id="rId1838" ref="C833"/>
    <hyperlink r:id="rId1839" ref="L833"/>
    <hyperlink r:id="rId1840" ref="C834"/>
    <hyperlink r:id="rId1841" ref="L834"/>
    <hyperlink r:id="rId1842" ref="C835"/>
    <hyperlink r:id="rId1843" ref="L835"/>
    <hyperlink r:id="rId1844" ref="C836"/>
    <hyperlink r:id="rId1845" ref="L836"/>
    <hyperlink r:id="rId1846" ref="C837"/>
    <hyperlink r:id="rId1847" ref="L837"/>
    <hyperlink r:id="rId1848" ref="C838"/>
    <hyperlink r:id="rId1849" ref="K838"/>
    <hyperlink r:id="rId1850" ref="L838"/>
    <hyperlink r:id="rId1851" ref="C839"/>
    <hyperlink r:id="rId1852" ref="K839"/>
    <hyperlink r:id="rId1853" ref="L839"/>
    <hyperlink r:id="rId1854" ref="C840"/>
    <hyperlink r:id="rId1855" ref="L840"/>
    <hyperlink r:id="rId1856" ref="C841"/>
    <hyperlink r:id="rId1857" ref="L841"/>
    <hyperlink r:id="rId1858" ref="C842"/>
    <hyperlink r:id="rId1859" ref="L842"/>
    <hyperlink r:id="rId1860" ref="C843"/>
    <hyperlink r:id="rId1861" ref="L843"/>
    <hyperlink r:id="rId1862" ref="C844"/>
    <hyperlink r:id="rId1863" ref="L844"/>
    <hyperlink r:id="rId1864" ref="C845"/>
    <hyperlink r:id="rId1865" ref="L845"/>
    <hyperlink r:id="rId1866" ref="C846"/>
    <hyperlink r:id="rId1867" ref="L846"/>
    <hyperlink r:id="rId1868" ref="C847"/>
    <hyperlink r:id="rId1869" ref="K847"/>
    <hyperlink r:id="rId1870" ref="L847"/>
    <hyperlink r:id="rId1871" ref="C848"/>
    <hyperlink r:id="rId1872" ref="K848"/>
    <hyperlink r:id="rId1873" ref="L848"/>
    <hyperlink r:id="rId1874" ref="C849"/>
    <hyperlink r:id="rId1875" ref="L849"/>
    <hyperlink r:id="rId1876" ref="C850"/>
    <hyperlink r:id="rId1877" ref="L850"/>
    <hyperlink r:id="rId1878" ref="C851"/>
    <hyperlink r:id="rId1879" ref="L851"/>
    <hyperlink r:id="rId1880" ref="C852"/>
    <hyperlink r:id="rId1881" ref="L852"/>
    <hyperlink r:id="rId1882" ref="C853"/>
    <hyperlink r:id="rId1883" ref="L853"/>
    <hyperlink r:id="rId1884" ref="C854"/>
    <hyperlink r:id="rId1885" ref="L854"/>
    <hyperlink r:id="rId1886" ref="C855"/>
    <hyperlink r:id="rId1887" ref="L855"/>
    <hyperlink r:id="rId1888" ref="C856"/>
    <hyperlink r:id="rId1889" ref="K856"/>
    <hyperlink r:id="rId1890" ref="L856"/>
    <hyperlink r:id="rId1891" ref="C857"/>
    <hyperlink r:id="rId1892" ref="L857"/>
    <hyperlink r:id="rId1893" ref="C858"/>
    <hyperlink r:id="rId1894" ref="L858"/>
    <hyperlink r:id="rId1895" ref="C859"/>
    <hyperlink r:id="rId1896" ref="L859"/>
    <hyperlink r:id="rId1897" ref="C860"/>
    <hyperlink r:id="rId1898" ref="K860"/>
    <hyperlink r:id="rId1899" ref="L860"/>
    <hyperlink r:id="rId1900" ref="C861"/>
    <hyperlink r:id="rId1901" ref="K861"/>
    <hyperlink r:id="rId1902" ref="L861"/>
    <hyperlink r:id="rId1903" ref="C862"/>
    <hyperlink r:id="rId1904" ref="L862"/>
    <hyperlink r:id="rId1905" ref="C863"/>
    <hyperlink r:id="rId1906" ref="L863"/>
    <hyperlink r:id="rId1907" ref="C864"/>
    <hyperlink r:id="rId1908" ref="K864"/>
    <hyperlink r:id="rId1909" ref="L864"/>
    <hyperlink r:id="rId1910" ref="C865"/>
    <hyperlink r:id="rId1911" ref="L865"/>
    <hyperlink r:id="rId1912" ref="C866"/>
    <hyperlink r:id="rId1913" ref="L866"/>
    <hyperlink r:id="rId1914" ref="C867"/>
    <hyperlink r:id="rId1915" ref="K867"/>
    <hyperlink r:id="rId1916" ref="L867"/>
    <hyperlink r:id="rId1917" ref="C868"/>
    <hyperlink r:id="rId1918" ref="K868"/>
    <hyperlink r:id="rId1919" ref="L868"/>
    <hyperlink r:id="rId1920" ref="C869"/>
    <hyperlink r:id="rId1921" ref="L869"/>
    <hyperlink r:id="rId1922" ref="C870"/>
    <hyperlink r:id="rId1923" ref="K870"/>
    <hyperlink r:id="rId1924" ref="L870"/>
    <hyperlink r:id="rId1925" ref="C871"/>
    <hyperlink r:id="rId1926" ref="K871"/>
    <hyperlink r:id="rId1927" ref="L871"/>
    <hyperlink r:id="rId1928" ref="C872"/>
    <hyperlink r:id="rId1929" ref="L872"/>
    <hyperlink r:id="rId1930" ref="C873"/>
    <hyperlink r:id="rId1931" ref="L873"/>
    <hyperlink r:id="rId1932" ref="C874"/>
    <hyperlink r:id="rId1933" ref="L874"/>
    <hyperlink r:id="rId1934" ref="C875"/>
    <hyperlink r:id="rId1935" ref="K875"/>
    <hyperlink r:id="rId1936" ref="L875"/>
    <hyperlink r:id="rId1937" ref="C876"/>
    <hyperlink r:id="rId1938" ref="K876"/>
    <hyperlink r:id="rId1939" ref="L876"/>
    <hyperlink r:id="rId1940" ref="C877"/>
    <hyperlink r:id="rId1941" ref="K877"/>
    <hyperlink r:id="rId1942" ref="L877"/>
    <hyperlink r:id="rId1943" ref="C878"/>
    <hyperlink r:id="rId1944" ref="C879"/>
    <hyperlink r:id="rId1945" ref="C880"/>
    <hyperlink r:id="rId1946" ref="L880"/>
    <hyperlink r:id="rId1947" ref="C881"/>
    <hyperlink r:id="rId1948" ref="L881"/>
    <hyperlink r:id="rId1949" ref="C882"/>
    <hyperlink r:id="rId1950" ref="K882"/>
    <hyperlink r:id="rId1951" ref="L882"/>
    <hyperlink r:id="rId1952" ref="C883"/>
    <hyperlink r:id="rId1953" ref="K883"/>
    <hyperlink r:id="rId1954" ref="L883"/>
    <hyperlink r:id="rId1955" ref="C884"/>
    <hyperlink r:id="rId1956" ref="L884"/>
    <hyperlink r:id="rId1957" ref="C885"/>
    <hyperlink r:id="rId1958" ref="L885"/>
    <hyperlink r:id="rId1959" ref="C886"/>
    <hyperlink r:id="rId1960" ref="L886"/>
    <hyperlink r:id="rId1961" ref="C887"/>
    <hyperlink r:id="rId1962" ref="L887"/>
    <hyperlink r:id="rId1963" ref="C888"/>
    <hyperlink r:id="rId1964" ref="L888"/>
    <hyperlink r:id="rId1965" ref="C889"/>
    <hyperlink r:id="rId1966" ref="L889"/>
    <hyperlink r:id="rId1967" ref="C890"/>
    <hyperlink r:id="rId1968" ref="L890"/>
    <hyperlink r:id="rId1969" ref="C891"/>
    <hyperlink r:id="rId1970" ref="L891"/>
    <hyperlink r:id="rId1971" ref="C892"/>
    <hyperlink r:id="rId1972" ref="C893"/>
    <hyperlink r:id="rId1973" ref="L893"/>
    <hyperlink r:id="rId1974" ref="C894"/>
    <hyperlink r:id="rId1975" ref="L894"/>
    <hyperlink r:id="rId1976" ref="C895"/>
    <hyperlink r:id="rId1977" ref="K895"/>
    <hyperlink r:id="rId1978" ref="L895"/>
    <hyperlink r:id="rId1979" ref="C896"/>
    <hyperlink r:id="rId1980" ref="C897"/>
    <hyperlink r:id="rId1981" ref="K897"/>
    <hyperlink r:id="rId1982" ref="L897"/>
    <hyperlink r:id="rId1983" ref="C898"/>
    <hyperlink r:id="rId1984" ref="L898"/>
    <hyperlink r:id="rId1985" ref="C899"/>
    <hyperlink r:id="rId1986" ref="K899"/>
    <hyperlink r:id="rId1987" ref="L899"/>
    <hyperlink r:id="rId1988" ref="C900"/>
    <hyperlink r:id="rId1989" ref="L900"/>
    <hyperlink r:id="rId1990" ref="C901"/>
    <hyperlink r:id="rId1991" ref="L901"/>
    <hyperlink r:id="rId1992" ref="C902"/>
    <hyperlink r:id="rId1993" ref="K902"/>
    <hyperlink r:id="rId1994" ref="L902"/>
    <hyperlink r:id="rId1995" ref="C903"/>
    <hyperlink r:id="rId1996" ref="K903"/>
    <hyperlink r:id="rId1997" ref="C904"/>
    <hyperlink r:id="rId1998" ref="C905"/>
    <hyperlink r:id="rId1999" ref="L905"/>
    <hyperlink r:id="rId2000" ref="C906"/>
    <hyperlink r:id="rId2001" ref="L906"/>
    <hyperlink r:id="rId2002" ref="C907"/>
    <hyperlink r:id="rId2003" ref="L907"/>
    <hyperlink r:id="rId2004" ref="C908"/>
    <hyperlink r:id="rId2005" ref="L908"/>
    <hyperlink r:id="rId2006" ref="C909"/>
    <hyperlink r:id="rId2007" ref="K909"/>
    <hyperlink r:id="rId2008" ref="L909"/>
    <hyperlink r:id="rId2009" ref="C910"/>
    <hyperlink r:id="rId2010" ref="L910"/>
    <hyperlink r:id="rId2011" ref="C911"/>
    <hyperlink r:id="rId2012" ref="K911"/>
    <hyperlink r:id="rId2013" ref="C912"/>
    <hyperlink r:id="rId2014" ref="K912"/>
    <hyperlink r:id="rId2015" ref="L912"/>
    <hyperlink r:id="rId2016" ref="C913"/>
    <hyperlink r:id="rId2017" ref="L913"/>
    <hyperlink r:id="rId2018" ref="C914"/>
    <hyperlink r:id="rId2019" ref="L914"/>
    <hyperlink r:id="rId2020" ref="C915"/>
    <hyperlink r:id="rId2021" ref="L915"/>
    <hyperlink r:id="rId2022" ref="C916"/>
    <hyperlink r:id="rId2023" ref="L916"/>
    <hyperlink r:id="rId2024" ref="C917"/>
    <hyperlink r:id="rId2025" ref="L917"/>
    <hyperlink r:id="rId2026" ref="C918"/>
    <hyperlink r:id="rId2027" ref="L918"/>
    <hyperlink r:id="rId2028" ref="C919"/>
    <hyperlink r:id="rId2029" ref="L919"/>
    <hyperlink r:id="rId2030" ref="C920"/>
    <hyperlink r:id="rId2031" ref="L920"/>
    <hyperlink r:id="rId2032" ref="C921"/>
    <hyperlink r:id="rId2033" ref="L921"/>
    <hyperlink r:id="rId2034" ref="C922"/>
    <hyperlink r:id="rId2035" ref="L922"/>
    <hyperlink r:id="rId2036" ref="C923"/>
    <hyperlink r:id="rId2037" ref="K923"/>
    <hyperlink r:id="rId2038" ref="C924"/>
    <hyperlink r:id="rId2039" ref="L924"/>
    <hyperlink r:id="rId2040" ref="C925"/>
    <hyperlink r:id="rId2041" ref="L925"/>
    <hyperlink r:id="rId2042" ref="C926"/>
    <hyperlink r:id="rId2043" ref="L926"/>
    <hyperlink r:id="rId2044" ref="C927"/>
    <hyperlink r:id="rId2045" ref="L927"/>
    <hyperlink r:id="rId2046" ref="C928"/>
    <hyperlink r:id="rId2047" ref="L928"/>
    <hyperlink r:id="rId2048" ref="C929"/>
    <hyperlink r:id="rId2049" ref="L929"/>
    <hyperlink r:id="rId2050" ref="C930"/>
    <hyperlink r:id="rId2051" ref="L930"/>
    <hyperlink r:id="rId2052" ref="C931"/>
    <hyperlink r:id="rId2053" ref="L931"/>
    <hyperlink r:id="rId2054" ref="C932"/>
    <hyperlink r:id="rId2055" ref="L932"/>
    <hyperlink r:id="rId2056" ref="C933"/>
    <hyperlink r:id="rId2057" ref="L933"/>
    <hyperlink r:id="rId2058" ref="C934"/>
    <hyperlink r:id="rId2059" ref="L934"/>
    <hyperlink r:id="rId2060" ref="C935"/>
    <hyperlink r:id="rId2061" ref="K935"/>
    <hyperlink r:id="rId2062" ref="L935"/>
    <hyperlink r:id="rId2063" ref="C936"/>
    <hyperlink r:id="rId2064" ref="L936"/>
    <hyperlink r:id="rId2065" ref="C937"/>
    <hyperlink r:id="rId2066" ref="L937"/>
    <hyperlink r:id="rId2067" ref="C938"/>
    <hyperlink r:id="rId2068" ref="L938"/>
    <hyperlink r:id="rId2069" ref="C939"/>
    <hyperlink r:id="rId2070" ref="K939"/>
    <hyperlink r:id="rId2071" ref="L939"/>
    <hyperlink r:id="rId2072" ref="C940"/>
    <hyperlink r:id="rId2073" ref="K940"/>
    <hyperlink r:id="rId2074" ref="L940"/>
    <hyperlink r:id="rId2075" ref="C941"/>
    <hyperlink r:id="rId2076" ref="K941"/>
    <hyperlink r:id="rId2077" ref="L941"/>
    <hyperlink r:id="rId2078" ref="C942"/>
    <hyperlink r:id="rId2079" ref="K942"/>
    <hyperlink r:id="rId2080" ref="L942"/>
    <hyperlink r:id="rId2081" ref="C943"/>
    <hyperlink r:id="rId2082" ref="K943"/>
    <hyperlink r:id="rId2083" ref="L943"/>
    <hyperlink r:id="rId2084" ref="C944"/>
    <hyperlink r:id="rId2085" ref="K944"/>
    <hyperlink r:id="rId2086" ref="L944"/>
    <hyperlink r:id="rId2087" ref="C945"/>
    <hyperlink r:id="rId2088" ref="K945"/>
    <hyperlink r:id="rId2089" ref="L945"/>
    <hyperlink r:id="rId2090" ref="C946"/>
    <hyperlink r:id="rId2091" ref="K946"/>
    <hyperlink r:id="rId2092" ref="L946"/>
    <hyperlink r:id="rId2093" ref="C947"/>
    <hyperlink r:id="rId2094" ref="K947"/>
    <hyperlink r:id="rId2095" ref="L947"/>
    <hyperlink r:id="rId2096" ref="C948"/>
    <hyperlink r:id="rId2097" ref="L948"/>
    <hyperlink r:id="rId2098" ref="C949"/>
    <hyperlink r:id="rId2099" ref="C950"/>
    <hyperlink r:id="rId2100" ref="L950"/>
    <hyperlink r:id="rId2101" ref="C951"/>
    <hyperlink r:id="rId2102" ref="C952"/>
    <hyperlink r:id="rId2103" ref="L952"/>
    <hyperlink r:id="rId2104" ref="C953"/>
    <hyperlink r:id="rId2105" ref="C954"/>
    <hyperlink r:id="rId2106" ref="K954"/>
    <hyperlink r:id="rId2107" ref="L954"/>
    <hyperlink r:id="rId2108" ref="C955"/>
    <hyperlink r:id="rId2109" ref="K955"/>
    <hyperlink r:id="rId2110" ref="L955"/>
    <hyperlink r:id="rId2111" ref="C956"/>
    <hyperlink r:id="rId2112" ref="L956"/>
    <hyperlink r:id="rId2113" ref="C957"/>
    <hyperlink r:id="rId2114" ref="L957"/>
    <hyperlink r:id="rId2115" ref="C958"/>
    <hyperlink r:id="rId2116" ref="L958"/>
    <hyperlink r:id="rId2117" ref="C959"/>
    <hyperlink r:id="rId2118" ref="K959"/>
    <hyperlink r:id="rId2119" ref="L959"/>
    <hyperlink r:id="rId2120" ref="C960"/>
    <hyperlink r:id="rId2121" ref="K960"/>
    <hyperlink r:id="rId2122" ref="L960"/>
    <hyperlink r:id="rId2123" ref="C961"/>
    <hyperlink r:id="rId2124" ref="L961"/>
    <hyperlink r:id="rId2125" ref="C962"/>
    <hyperlink r:id="rId2126" ref="K962"/>
    <hyperlink r:id="rId2127" ref="L962"/>
    <hyperlink r:id="rId2128" ref="C963"/>
    <hyperlink r:id="rId2129" ref="L963"/>
    <hyperlink r:id="rId2130" ref="C964"/>
    <hyperlink r:id="rId2131" ref="L964"/>
    <hyperlink r:id="rId2132" ref="C965"/>
    <hyperlink r:id="rId2133" ref="L965"/>
    <hyperlink r:id="rId2134" ref="C966"/>
    <hyperlink r:id="rId2135" ref="L966"/>
    <hyperlink r:id="rId2136" ref="C967"/>
    <hyperlink r:id="rId2137" ref="L967"/>
    <hyperlink r:id="rId2138" ref="C968"/>
    <hyperlink r:id="rId2139" ref="K968"/>
    <hyperlink r:id="rId2140" ref="L968"/>
    <hyperlink r:id="rId2141" ref="C969"/>
    <hyperlink r:id="rId2142" ref="L969"/>
    <hyperlink r:id="rId2143" ref="C970"/>
    <hyperlink r:id="rId2144" ref="L970"/>
    <hyperlink r:id="rId2145" ref="C971"/>
    <hyperlink r:id="rId2146" ref="L971"/>
    <hyperlink r:id="rId2147" ref="C972"/>
    <hyperlink r:id="rId2148" ref="L972"/>
    <hyperlink r:id="rId2149" ref="C973"/>
    <hyperlink r:id="rId2150" ref="L973"/>
    <hyperlink r:id="rId2151" ref="C974"/>
    <hyperlink r:id="rId2152" ref="L974"/>
    <hyperlink r:id="rId2153" ref="C975"/>
    <hyperlink r:id="rId2154" ref="L975"/>
    <hyperlink r:id="rId2155" ref="C976"/>
    <hyperlink r:id="rId2156" ref="L976"/>
    <hyperlink r:id="rId2157" ref="C977"/>
    <hyperlink r:id="rId2158" ref="L977"/>
    <hyperlink r:id="rId2159" ref="C978"/>
    <hyperlink r:id="rId2160" ref="K978"/>
    <hyperlink r:id="rId2161" ref="L978"/>
    <hyperlink r:id="rId2162" ref="C979"/>
    <hyperlink r:id="rId2163" ref="K979"/>
    <hyperlink r:id="rId2164" ref="L979"/>
    <hyperlink r:id="rId2165" ref="C980"/>
    <hyperlink r:id="rId2166" ref="L980"/>
    <hyperlink r:id="rId2167" ref="C981"/>
    <hyperlink r:id="rId2168" ref="K981"/>
    <hyperlink r:id="rId2169" ref="C982"/>
    <hyperlink r:id="rId2170" ref="L982"/>
    <hyperlink r:id="rId2171" ref="C983"/>
    <hyperlink r:id="rId2172" ref="L983"/>
    <hyperlink r:id="rId2173" ref="C984"/>
    <hyperlink r:id="rId2174" ref="K984"/>
    <hyperlink r:id="rId2175" ref="L984"/>
    <hyperlink r:id="rId2176" ref="C985"/>
    <hyperlink r:id="rId2177" ref="L985"/>
    <hyperlink r:id="rId2178" ref="C986"/>
    <hyperlink r:id="rId2179" ref="L986"/>
    <hyperlink r:id="rId2180" ref="C987"/>
    <hyperlink r:id="rId2181" ref="L987"/>
    <hyperlink r:id="rId2182" ref="C988"/>
    <hyperlink r:id="rId2183" ref="L988"/>
    <hyperlink r:id="rId2184" ref="C989"/>
    <hyperlink r:id="rId2185" ref="L989"/>
    <hyperlink r:id="rId2186" ref="C990"/>
    <hyperlink r:id="rId2187" ref="L990"/>
    <hyperlink r:id="rId2188" ref="C991"/>
    <hyperlink r:id="rId2189" ref="K991"/>
    <hyperlink r:id="rId2190" ref="L991"/>
    <hyperlink r:id="rId2191" ref="C992"/>
    <hyperlink r:id="rId2192" ref="K992"/>
    <hyperlink r:id="rId2193" ref="L992"/>
    <hyperlink r:id="rId2194" ref="C993"/>
    <hyperlink r:id="rId2195" ref="C994"/>
    <hyperlink r:id="rId2196" ref="K994"/>
    <hyperlink r:id="rId2197" ref="L994"/>
    <hyperlink r:id="rId2198" ref="C995"/>
    <hyperlink r:id="rId2199" ref="K995"/>
    <hyperlink r:id="rId2200" ref="L995"/>
    <hyperlink r:id="rId2201" ref="C996"/>
    <hyperlink r:id="rId2202" ref="K996"/>
    <hyperlink r:id="rId2203" ref="C997"/>
    <hyperlink r:id="rId2204" ref="L997"/>
    <hyperlink r:id="rId2205" ref="C998"/>
    <hyperlink r:id="rId2206" ref="C999"/>
    <hyperlink r:id="rId2207" ref="L999"/>
    <hyperlink r:id="rId2208" ref="C1000"/>
    <hyperlink r:id="rId2209" ref="L1000"/>
    <hyperlink r:id="rId2210" ref="C1001"/>
    <hyperlink r:id="rId2211" ref="L1001"/>
    <hyperlink r:id="rId2212" ref="C1002"/>
    <hyperlink r:id="rId2213" ref="K1002"/>
    <hyperlink r:id="rId2214" ref="L1002"/>
    <hyperlink r:id="rId2215" ref="C1003"/>
    <hyperlink r:id="rId2216" ref="L1003"/>
    <hyperlink r:id="rId2217" ref="C1004"/>
    <hyperlink r:id="rId2218" ref="L1004"/>
    <hyperlink r:id="rId2219" ref="C1005"/>
    <hyperlink r:id="rId2220" ref="K1005"/>
    <hyperlink r:id="rId2221" ref="C1006"/>
    <hyperlink r:id="rId2222" ref="L1006"/>
    <hyperlink r:id="rId2223" ref="C1007"/>
    <hyperlink r:id="rId2224" ref="K1007"/>
    <hyperlink r:id="rId2225" ref="L1007"/>
    <hyperlink r:id="rId2226" ref="C1008"/>
    <hyperlink r:id="rId2227" ref="K1008"/>
    <hyperlink r:id="rId2228" ref="L1008"/>
    <hyperlink r:id="rId2229" ref="C1009"/>
    <hyperlink r:id="rId2230" ref="L1009"/>
    <hyperlink r:id="rId2231" ref="C1010"/>
    <hyperlink r:id="rId2232" ref="K1010"/>
    <hyperlink r:id="rId2233" ref="L1010"/>
    <hyperlink r:id="rId2234" ref="C1011"/>
    <hyperlink r:id="rId2235" ref="K1011"/>
    <hyperlink r:id="rId2236" ref="L1011"/>
    <hyperlink r:id="rId2237" ref="C1012"/>
    <hyperlink r:id="rId2238" ref="L1012"/>
    <hyperlink r:id="rId2239" ref="C1013"/>
    <hyperlink r:id="rId2240" ref="K1013"/>
    <hyperlink r:id="rId2241" ref="L1013"/>
    <hyperlink r:id="rId2242" ref="C1014"/>
    <hyperlink r:id="rId2243" ref="K1014"/>
    <hyperlink r:id="rId2244" ref="L1014"/>
    <hyperlink r:id="rId2245" ref="C1015"/>
    <hyperlink r:id="rId2246" ref="C1016"/>
    <hyperlink r:id="rId2247" ref="L1016"/>
    <hyperlink r:id="rId2248" ref="C1017"/>
    <hyperlink r:id="rId2249" ref="L1017"/>
    <hyperlink r:id="rId2250" ref="C1018"/>
    <hyperlink r:id="rId2251" ref="L1018"/>
    <hyperlink r:id="rId2252" ref="C1019"/>
    <hyperlink r:id="rId2253" ref="K1019"/>
    <hyperlink r:id="rId2254" ref="L1019"/>
    <hyperlink r:id="rId2255" ref="C1020"/>
    <hyperlink r:id="rId2256" ref="L1020"/>
    <hyperlink r:id="rId2257" ref="C1021"/>
    <hyperlink r:id="rId2258" ref="L1021"/>
    <hyperlink r:id="rId2259" ref="C1022"/>
    <hyperlink r:id="rId2260" ref="C1023"/>
    <hyperlink r:id="rId2261" ref="L1023"/>
    <hyperlink r:id="rId2262" ref="C1024"/>
    <hyperlink r:id="rId2263" ref="L1024"/>
    <hyperlink r:id="rId2264" ref="C1025"/>
    <hyperlink r:id="rId2265" ref="L1025"/>
    <hyperlink r:id="rId2266" ref="C1026"/>
    <hyperlink r:id="rId2267" ref="L1026"/>
    <hyperlink r:id="rId2268" ref="C1027"/>
    <hyperlink r:id="rId2269" ref="K1027"/>
    <hyperlink r:id="rId2270" ref="C1028"/>
    <hyperlink r:id="rId2271" ref="K1028"/>
    <hyperlink r:id="rId2272" ref="C1029"/>
    <hyperlink r:id="rId2273" ref="L1029"/>
    <hyperlink r:id="rId2274" ref="C1030"/>
    <hyperlink r:id="rId2275" ref="C1031"/>
    <hyperlink r:id="rId2276" ref="L1031"/>
    <hyperlink r:id="rId2277" ref="C1032"/>
    <hyperlink r:id="rId2278" ref="L1032"/>
    <hyperlink r:id="rId2279" ref="C1033"/>
    <hyperlink r:id="rId2280" ref="L1033"/>
    <hyperlink r:id="rId2281" ref="C1034"/>
    <hyperlink r:id="rId2282" ref="L1034"/>
    <hyperlink r:id="rId2283" ref="C1035"/>
    <hyperlink r:id="rId2284" ref="L1035"/>
    <hyperlink r:id="rId2285" ref="C1036"/>
    <hyperlink r:id="rId2286" ref="C1037"/>
    <hyperlink r:id="rId2287" ref="L1037"/>
    <hyperlink r:id="rId2288" ref="C1038"/>
    <hyperlink r:id="rId2289" ref="L1038"/>
    <hyperlink r:id="rId2290" ref="C1039"/>
    <hyperlink r:id="rId2291" ref="L1039"/>
    <hyperlink r:id="rId2292" ref="C1040"/>
    <hyperlink r:id="rId2293" ref="L1040"/>
    <hyperlink r:id="rId2294" ref="C1041"/>
    <hyperlink r:id="rId2295" ref="K1041"/>
    <hyperlink r:id="rId2296" ref="L1041"/>
    <hyperlink r:id="rId2297" ref="C1042"/>
    <hyperlink r:id="rId2298" ref="K1042"/>
    <hyperlink r:id="rId2299" ref="L1042"/>
    <hyperlink r:id="rId2300" ref="C1043"/>
    <hyperlink r:id="rId2301" ref="L1043"/>
    <hyperlink r:id="rId2302" ref="C1044"/>
    <hyperlink r:id="rId2303" ref="L1044"/>
    <hyperlink r:id="rId2304" ref="C1045"/>
    <hyperlink r:id="rId2305" ref="L1045"/>
    <hyperlink r:id="rId2306" ref="C1046"/>
    <hyperlink r:id="rId2307" ref="L1046"/>
    <hyperlink r:id="rId2308" ref="C1047"/>
    <hyperlink r:id="rId2309" ref="L1047"/>
    <hyperlink r:id="rId2310" ref="C1048"/>
    <hyperlink r:id="rId2311" ref="L1048"/>
    <hyperlink r:id="rId2312" ref="C1049"/>
    <hyperlink r:id="rId2313" ref="L1049"/>
    <hyperlink r:id="rId2314" ref="C1050"/>
    <hyperlink r:id="rId2315" ref="L1050"/>
    <hyperlink r:id="rId2316" ref="C1051"/>
    <hyperlink r:id="rId2317" ref="L1051"/>
    <hyperlink r:id="rId2318" ref="C1052"/>
    <hyperlink r:id="rId2319" ref="L1052"/>
    <hyperlink r:id="rId2320" ref="C1053"/>
    <hyperlink r:id="rId2321" ref="L1053"/>
    <hyperlink r:id="rId2322" ref="C1054"/>
    <hyperlink r:id="rId2323" ref="L1054"/>
    <hyperlink r:id="rId2324" ref="C1055"/>
    <hyperlink r:id="rId2325" ref="C1056"/>
    <hyperlink r:id="rId2326" ref="L1056"/>
    <hyperlink r:id="rId2327" ref="C1057"/>
    <hyperlink r:id="rId2328" ref="L1057"/>
    <hyperlink r:id="rId2329" ref="C1058"/>
    <hyperlink r:id="rId2330" ref="L1058"/>
    <hyperlink r:id="rId2331" ref="C1059"/>
    <hyperlink r:id="rId2332" ref="L1059"/>
    <hyperlink r:id="rId2333" ref="C1060"/>
    <hyperlink r:id="rId2334" ref="L1060"/>
    <hyperlink r:id="rId2335" ref="C1061"/>
    <hyperlink r:id="rId2336" ref="L1061"/>
    <hyperlink r:id="rId2337" ref="C1062"/>
    <hyperlink r:id="rId2338" ref="K1062"/>
    <hyperlink r:id="rId2339" ref="L1062"/>
    <hyperlink r:id="rId2340" ref="C1063"/>
    <hyperlink r:id="rId2341" ref="K1063"/>
    <hyperlink r:id="rId2342" ref="L1063"/>
    <hyperlink r:id="rId2343" ref="C1064"/>
    <hyperlink r:id="rId2344" ref="K1064"/>
    <hyperlink r:id="rId2345" ref="L1064"/>
    <hyperlink r:id="rId2346" ref="C1065"/>
    <hyperlink r:id="rId2347" ref="L1065"/>
    <hyperlink r:id="rId2348" ref="C1066"/>
    <hyperlink r:id="rId2349" ref="K1066"/>
    <hyperlink r:id="rId2350" ref="L1066"/>
    <hyperlink r:id="rId2351" ref="C1067"/>
    <hyperlink r:id="rId2352" ref="L1067"/>
    <hyperlink r:id="rId2353" ref="C1068"/>
    <hyperlink r:id="rId2354" ref="K1068"/>
    <hyperlink r:id="rId2355" ref="L1068"/>
    <hyperlink r:id="rId2356" ref="C1069"/>
    <hyperlink r:id="rId2357" ref="K1069"/>
    <hyperlink r:id="rId2358" ref="L1069"/>
    <hyperlink r:id="rId2359" ref="C1070"/>
    <hyperlink r:id="rId2360" ref="L1070"/>
    <hyperlink r:id="rId2361" ref="C1071"/>
    <hyperlink r:id="rId2362" ref="K1071"/>
    <hyperlink r:id="rId2363" ref="L1071"/>
    <hyperlink r:id="rId2364" ref="C1072"/>
    <hyperlink r:id="rId2365" ref="L1072"/>
    <hyperlink r:id="rId2366" ref="C1073"/>
    <hyperlink r:id="rId2367" ref="L1073"/>
    <hyperlink r:id="rId2368" ref="C1074"/>
    <hyperlink r:id="rId2369" ref="K1074"/>
    <hyperlink r:id="rId2370" ref="L1074"/>
    <hyperlink r:id="rId2371" ref="C1075"/>
    <hyperlink r:id="rId2372" ref="L1075"/>
    <hyperlink r:id="rId2373" ref="C1076"/>
    <hyperlink r:id="rId2374" ref="K1076"/>
    <hyperlink r:id="rId2375" ref="L1076"/>
    <hyperlink r:id="rId2376" ref="C1077"/>
    <hyperlink r:id="rId2377" ref="C1078"/>
    <hyperlink r:id="rId2378" ref="K1078"/>
    <hyperlink r:id="rId2379" ref="L1078"/>
    <hyperlink r:id="rId2380" ref="C1079"/>
    <hyperlink r:id="rId2381" ref="K1079"/>
    <hyperlink r:id="rId2382" ref="L1079"/>
    <hyperlink r:id="rId2383" ref="C1080"/>
    <hyperlink r:id="rId2384" ref="L1080"/>
    <hyperlink r:id="rId2385" ref="C1081"/>
    <hyperlink r:id="rId2386" ref="K1081"/>
    <hyperlink r:id="rId2387" ref="L1081"/>
    <hyperlink r:id="rId2388" ref="C1082"/>
    <hyperlink r:id="rId2389" ref="L1082"/>
    <hyperlink r:id="rId2390" ref="C1083"/>
    <hyperlink r:id="rId2391" ref="K1083"/>
    <hyperlink r:id="rId2392" ref="L1083"/>
    <hyperlink r:id="rId2393" ref="C1084"/>
    <hyperlink r:id="rId2394" ref="L1084"/>
    <hyperlink r:id="rId2395" ref="C1085"/>
    <hyperlink r:id="rId2396" ref="L1085"/>
    <hyperlink r:id="rId2397" ref="C1086"/>
    <hyperlink r:id="rId2398" ref="K1086"/>
    <hyperlink r:id="rId2399" ref="L1086"/>
    <hyperlink r:id="rId2400" ref="C1087"/>
    <hyperlink r:id="rId2401" ref="L1087"/>
    <hyperlink r:id="rId2402" ref="C1088"/>
    <hyperlink r:id="rId2403" ref="K1088"/>
    <hyperlink r:id="rId2404" ref="L1088"/>
    <hyperlink r:id="rId2405" ref="C1089"/>
    <hyperlink r:id="rId2406" ref="L1089"/>
    <hyperlink r:id="rId2407" ref="C1090"/>
    <hyperlink r:id="rId2408" ref="K1090"/>
    <hyperlink r:id="rId2409" ref="L1090"/>
    <hyperlink r:id="rId2410" ref="C1091"/>
    <hyperlink r:id="rId2411" ref="K1091"/>
    <hyperlink r:id="rId2412" ref="L1091"/>
    <hyperlink r:id="rId2413" ref="C1092"/>
    <hyperlink r:id="rId2414" ref="K1092"/>
    <hyperlink r:id="rId2415" ref="L1092"/>
    <hyperlink r:id="rId2416" ref="C1093"/>
    <hyperlink r:id="rId2417" ref="L1093"/>
    <hyperlink r:id="rId2418" ref="C1094"/>
    <hyperlink r:id="rId2419" ref="L1094"/>
    <hyperlink r:id="rId2420" ref="C1095"/>
    <hyperlink r:id="rId2421" ref="K1095"/>
    <hyperlink r:id="rId2422" ref="L1095"/>
    <hyperlink r:id="rId2423" ref="C1096"/>
    <hyperlink r:id="rId2424" ref="K1096"/>
    <hyperlink r:id="rId2425" ref="L1096"/>
    <hyperlink r:id="rId2426" ref="C1097"/>
    <hyperlink r:id="rId2427" ref="K1097"/>
    <hyperlink r:id="rId2428" ref="L1097"/>
    <hyperlink r:id="rId2429" ref="C1098"/>
    <hyperlink r:id="rId2430" ref="L1098"/>
    <hyperlink r:id="rId2431" ref="C1099"/>
    <hyperlink r:id="rId2432" ref="L1099"/>
    <hyperlink r:id="rId2433" ref="C1100"/>
    <hyperlink r:id="rId2434" ref="K1100"/>
    <hyperlink r:id="rId2435" ref="L1100"/>
    <hyperlink r:id="rId2436" ref="C1101"/>
    <hyperlink r:id="rId2437" ref="L1101"/>
    <hyperlink r:id="rId2438" ref="C1102"/>
    <hyperlink r:id="rId2439" ref="L1102"/>
    <hyperlink r:id="rId2440" ref="C1103"/>
    <hyperlink r:id="rId2441" ref="L1103"/>
    <hyperlink r:id="rId2442" ref="C1104"/>
    <hyperlink r:id="rId2443" ref="K1104"/>
    <hyperlink r:id="rId2444" ref="C1105"/>
    <hyperlink r:id="rId2445" ref="L1105"/>
    <hyperlink r:id="rId2446" ref="C1106"/>
    <hyperlink r:id="rId2447" ref="L1106"/>
    <hyperlink r:id="rId2448" ref="C1107"/>
    <hyperlink r:id="rId2449" ref="L1107"/>
    <hyperlink r:id="rId2450" ref="C1108"/>
    <hyperlink r:id="rId2451" ref="L1108"/>
    <hyperlink r:id="rId2452" ref="C1109"/>
    <hyperlink r:id="rId2453" ref="L1109"/>
    <hyperlink r:id="rId2454" ref="C1110"/>
    <hyperlink r:id="rId2455" ref="L1110"/>
    <hyperlink r:id="rId2456" ref="C1111"/>
    <hyperlink r:id="rId2457" ref="L1111"/>
    <hyperlink r:id="rId2458" ref="C1112"/>
    <hyperlink r:id="rId2459" ref="L1112"/>
    <hyperlink r:id="rId2460" ref="C1113"/>
    <hyperlink r:id="rId2461" ref="L1113"/>
    <hyperlink r:id="rId2462" ref="C1114"/>
    <hyperlink r:id="rId2463" ref="L1114"/>
    <hyperlink r:id="rId2464" ref="C1115"/>
    <hyperlink r:id="rId2465" ref="K1115"/>
    <hyperlink r:id="rId2466" ref="L1115"/>
    <hyperlink r:id="rId2467" ref="C1116"/>
    <hyperlink r:id="rId2468" ref="K1116"/>
    <hyperlink r:id="rId2469" ref="L1116"/>
    <hyperlink r:id="rId2470" ref="C1117"/>
    <hyperlink r:id="rId2471" ref="K1117"/>
    <hyperlink r:id="rId2472" ref="L1117"/>
    <hyperlink r:id="rId2473" ref="C1118"/>
    <hyperlink r:id="rId2474" ref="K1118"/>
    <hyperlink r:id="rId2475" ref="L1118"/>
    <hyperlink r:id="rId2476" ref="C1119"/>
    <hyperlink r:id="rId2477" ref="L1119"/>
    <hyperlink r:id="rId2478" ref="C1120"/>
    <hyperlink r:id="rId2479" ref="C1121"/>
    <hyperlink r:id="rId2480" ref="C1122"/>
    <hyperlink r:id="rId2481" ref="K1122"/>
    <hyperlink r:id="rId2482" ref="C1123"/>
    <hyperlink r:id="rId2483" ref="C1124"/>
    <hyperlink r:id="rId2484" ref="K1124"/>
    <hyperlink r:id="rId2485" ref="L1124"/>
    <hyperlink r:id="rId2486" ref="C1125"/>
    <hyperlink r:id="rId2487" ref="L1125"/>
    <hyperlink r:id="rId2488" ref="C1126"/>
    <hyperlink r:id="rId2489" ref="K1126"/>
    <hyperlink r:id="rId2490" ref="L1126"/>
    <hyperlink r:id="rId2491" ref="C1127"/>
    <hyperlink r:id="rId2492" ref="L1127"/>
    <hyperlink r:id="rId2493" ref="C1128"/>
    <hyperlink r:id="rId2494" ref="L1128"/>
    <hyperlink r:id="rId2495" ref="C1129"/>
    <hyperlink r:id="rId2496" ref="L1129"/>
    <hyperlink r:id="rId2497" ref="C1130"/>
    <hyperlink r:id="rId2498" ref="L1130"/>
    <hyperlink r:id="rId2499" ref="C1131"/>
    <hyperlink r:id="rId2500" ref="L1131"/>
    <hyperlink r:id="rId2501" ref="C1132"/>
    <hyperlink r:id="rId2502" ref="L1132"/>
    <hyperlink r:id="rId2503" ref="C1133"/>
    <hyperlink r:id="rId2504" ref="L1133"/>
    <hyperlink r:id="rId2505" ref="C1134"/>
    <hyperlink r:id="rId2506" ref="L1134"/>
    <hyperlink r:id="rId2507" ref="C1135"/>
    <hyperlink r:id="rId2508" ref="K1135"/>
    <hyperlink r:id="rId2509" ref="L1135"/>
    <hyperlink r:id="rId2510" ref="C1136"/>
    <hyperlink r:id="rId2511" ref="L1136"/>
    <hyperlink r:id="rId2512" ref="C1137"/>
    <hyperlink r:id="rId2513" ref="L1137"/>
    <hyperlink r:id="rId2514" ref="C1138"/>
    <hyperlink r:id="rId2515" ref="L1138"/>
    <hyperlink r:id="rId2516" ref="C1139"/>
    <hyperlink r:id="rId2517" ref="L1139"/>
    <hyperlink r:id="rId2518" ref="C1140"/>
    <hyperlink r:id="rId2519" ref="L1140"/>
    <hyperlink r:id="rId2520" ref="C1141"/>
    <hyperlink r:id="rId2521" ref="L1141"/>
    <hyperlink r:id="rId2522" ref="C1142"/>
    <hyperlink r:id="rId2523" ref="L1142"/>
    <hyperlink r:id="rId2524" ref="C1143"/>
    <hyperlink r:id="rId2525" ref="L1143"/>
    <hyperlink r:id="rId2526" ref="C1144"/>
    <hyperlink r:id="rId2527" ref="L1144"/>
    <hyperlink r:id="rId2528" ref="C1145"/>
    <hyperlink r:id="rId2529" ref="L1145"/>
    <hyperlink r:id="rId2530" ref="C1146"/>
    <hyperlink r:id="rId2531" ref="K1146"/>
    <hyperlink r:id="rId2532" ref="L1146"/>
    <hyperlink r:id="rId2533" ref="C1147"/>
    <hyperlink r:id="rId2534" ref="K1147"/>
    <hyperlink r:id="rId2535" ref="L1147"/>
    <hyperlink r:id="rId2536" ref="C1148"/>
    <hyperlink r:id="rId2537" ref="L1148"/>
    <hyperlink r:id="rId2538" ref="C1149"/>
    <hyperlink r:id="rId2539" ref="L1149"/>
    <hyperlink r:id="rId2540" ref="C1150"/>
    <hyperlink r:id="rId2541" ref="L1150"/>
    <hyperlink r:id="rId2542" ref="C1151"/>
    <hyperlink r:id="rId2543" ref="K1151"/>
    <hyperlink r:id="rId2544" ref="L1151"/>
    <hyperlink r:id="rId2545" ref="C1152"/>
    <hyperlink r:id="rId2546" ref="K1152"/>
    <hyperlink r:id="rId2547" ref="L1152"/>
    <hyperlink r:id="rId2548" ref="C1153"/>
    <hyperlink r:id="rId2549" ref="L1153"/>
    <hyperlink r:id="rId2550" ref="C1154"/>
    <hyperlink r:id="rId2551" ref="K1154"/>
    <hyperlink r:id="rId2552" ref="L1154"/>
    <hyperlink r:id="rId2553" ref="C1155"/>
    <hyperlink r:id="rId2554" ref="L1155"/>
    <hyperlink r:id="rId2555" ref="C1156"/>
    <hyperlink r:id="rId2556" ref="K1156"/>
    <hyperlink r:id="rId2557" ref="L1156"/>
    <hyperlink r:id="rId2558" ref="C1157"/>
    <hyperlink r:id="rId2559" ref="L1157"/>
    <hyperlink r:id="rId2560" ref="C1158"/>
    <hyperlink r:id="rId2561" ref="L1158"/>
    <hyperlink r:id="rId2562" ref="C1159"/>
    <hyperlink r:id="rId2563" ref="K1159"/>
    <hyperlink r:id="rId2564" ref="C1160"/>
    <hyperlink r:id="rId2565" ref="K1160"/>
    <hyperlink r:id="rId2566" ref="C1161"/>
    <hyperlink r:id="rId2567" ref="K1161"/>
    <hyperlink r:id="rId2568" ref="C1162"/>
    <hyperlink r:id="rId2569" ref="L1162"/>
    <hyperlink r:id="rId2570" ref="C1163"/>
    <hyperlink r:id="rId2571" ref="K1163"/>
    <hyperlink r:id="rId2572" ref="L1163"/>
    <hyperlink r:id="rId2573" ref="C1164"/>
    <hyperlink r:id="rId2574" ref="K1164"/>
    <hyperlink r:id="rId2575" ref="L1164"/>
    <hyperlink r:id="rId2576" ref="C1165"/>
    <hyperlink r:id="rId2577" ref="K1165"/>
    <hyperlink r:id="rId2578" ref="L1165"/>
    <hyperlink r:id="rId2579" ref="C1166"/>
    <hyperlink r:id="rId2580" ref="K1166"/>
    <hyperlink r:id="rId2581" ref="L1166"/>
    <hyperlink r:id="rId2582" ref="C1167"/>
    <hyperlink r:id="rId2583" ref="K1167"/>
    <hyperlink r:id="rId2584" ref="L1167"/>
    <hyperlink r:id="rId2585" ref="C1168"/>
    <hyperlink r:id="rId2586" ref="K1168"/>
    <hyperlink r:id="rId2587" ref="L1168"/>
    <hyperlink r:id="rId2588" ref="C1169"/>
    <hyperlink r:id="rId2589" ref="K1169"/>
    <hyperlink r:id="rId2590" ref="L1169"/>
    <hyperlink r:id="rId2591" ref="C1170"/>
    <hyperlink r:id="rId2592" ref="L1170"/>
    <hyperlink r:id="rId2593" ref="C1171"/>
    <hyperlink r:id="rId2594" ref="L1171"/>
    <hyperlink r:id="rId2595" ref="C1172"/>
    <hyperlink r:id="rId2596" ref="L1172"/>
    <hyperlink r:id="rId2597" ref="C1173"/>
    <hyperlink r:id="rId2598" ref="L1173"/>
    <hyperlink r:id="rId2599" ref="C1174"/>
    <hyperlink r:id="rId2600" ref="K1174"/>
    <hyperlink r:id="rId2601" ref="L1174"/>
    <hyperlink r:id="rId2602" ref="C1175"/>
    <hyperlink r:id="rId2603" ref="L1175"/>
    <hyperlink r:id="rId2604" ref="C1176"/>
    <hyperlink r:id="rId2605" ref="L1176"/>
    <hyperlink r:id="rId2606" ref="C1177"/>
    <hyperlink r:id="rId2607" ref="K1177"/>
    <hyperlink r:id="rId2608" ref="L1177"/>
    <hyperlink r:id="rId2609" ref="C1178"/>
    <hyperlink r:id="rId2610" ref="L1178"/>
    <hyperlink r:id="rId2611" ref="C1179"/>
    <hyperlink r:id="rId2612" ref="K1179"/>
    <hyperlink r:id="rId2613" ref="L1179"/>
    <hyperlink r:id="rId2614" ref="C1180"/>
    <hyperlink r:id="rId2615" ref="K1180"/>
    <hyperlink r:id="rId2616" ref="L1180"/>
    <hyperlink r:id="rId2617" ref="C1181"/>
    <hyperlink r:id="rId2618" ref="L1181"/>
    <hyperlink r:id="rId2619" ref="C1182"/>
    <hyperlink r:id="rId2620" ref="L1182"/>
    <hyperlink r:id="rId2621" ref="C1183"/>
    <hyperlink r:id="rId2622" ref="L1183"/>
    <hyperlink r:id="rId2623" ref="C1184"/>
    <hyperlink r:id="rId2624" ref="L1184"/>
    <hyperlink r:id="rId2625" ref="C1185"/>
    <hyperlink r:id="rId2626" ref="K1185"/>
    <hyperlink r:id="rId2627" ref="L1185"/>
    <hyperlink r:id="rId2628" ref="C1186"/>
    <hyperlink r:id="rId2629" ref="L1186"/>
    <hyperlink r:id="rId2630" ref="C1187"/>
    <hyperlink r:id="rId2631" ref="L1187"/>
    <hyperlink r:id="rId2632" ref="C1188"/>
    <hyperlink r:id="rId2633" ref="K1188"/>
    <hyperlink r:id="rId2634" ref="L1188"/>
    <hyperlink r:id="rId2635" ref="C1189"/>
    <hyperlink r:id="rId2636" ref="L1189"/>
    <hyperlink r:id="rId2637" ref="C1190"/>
    <hyperlink r:id="rId2638" ref="K1190"/>
    <hyperlink r:id="rId2639" ref="L1190"/>
    <hyperlink r:id="rId2640" ref="C1191"/>
    <hyperlink r:id="rId2641" ref="L1191"/>
    <hyperlink r:id="rId2642" ref="C1192"/>
    <hyperlink r:id="rId2643" ref="K1192"/>
    <hyperlink r:id="rId2644" ref="L1192"/>
    <hyperlink r:id="rId2645" ref="C1193"/>
    <hyperlink r:id="rId2646" ref="L1193"/>
    <hyperlink r:id="rId2647" ref="C1194"/>
    <hyperlink r:id="rId2648" ref="L1194"/>
    <hyperlink r:id="rId2649" ref="C1195"/>
    <hyperlink r:id="rId2650" ref="L1195"/>
    <hyperlink r:id="rId2651" ref="C1196"/>
    <hyperlink r:id="rId2652" ref="K1196"/>
    <hyperlink r:id="rId2653" ref="L1196"/>
    <hyperlink r:id="rId2654" ref="C1197"/>
    <hyperlink r:id="rId2655" ref="L1197"/>
    <hyperlink r:id="rId2656" ref="C1198"/>
    <hyperlink r:id="rId2657" ref="K1198"/>
    <hyperlink r:id="rId2658" ref="L1198"/>
    <hyperlink r:id="rId2659" ref="C1199"/>
    <hyperlink r:id="rId2660" ref="L1199"/>
    <hyperlink r:id="rId2661" ref="C1200"/>
    <hyperlink r:id="rId2662" ref="L1200"/>
    <hyperlink r:id="rId2663" ref="C1201"/>
    <hyperlink r:id="rId2664" ref="L1201"/>
    <hyperlink r:id="rId2665" ref="C1202"/>
    <hyperlink r:id="rId2666" ref="K1202"/>
    <hyperlink r:id="rId2667" ref="L1202"/>
    <hyperlink r:id="rId2668" ref="C1203"/>
    <hyperlink r:id="rId2669" ref="L1203"/>
    <hyperlink r:id="rId2670" ref="C1204"/>
    <hyperlink r:id="rId2671" ref="L1204"/>
    <hyperlink r:id="rId2672" ref="C1205"/>
    <hyperlink r:id="rId2673" ref="K1205"/>
    <hyperlink r:id="rId2674" ref="L1205"/>
    <hyperlink r:id="rId2675" ref="C1206"/>
    <hyperlink r:id="rId2676" ref="K1206"/>
    <hyperlink r:id="rId2677" ref="L1206"/>
    <hyperlink r:id="rId2678" ref="C1207"/>
    <hyperlink r:id="rId2679" ref="K1207"/>
    <hyperlink r:id="rId2680" ref="L1207"/>
    <hyperlink r:id="rId2681" ref="C1208"/>
    <hyperlink r:id="rId2682" ref="L1208"/>
    <hyperlink r:id="rId2683" ref="C1209"/>
    <hyperlink r:id="rId2684" ref="K1209"/>
    <hyperlink r:id="rId2685" ref="L1209"/>
    <hyperlink r:id="rId2686" ref="C1210"/>
    <hyperlink r:id="rId2687" ref="L1210"/>
    <hyperlink r:id="rId2688" ref="C1211"/>
    <hyperlink r:id="rId2689" ref="L1211"/>
    <hyperlink r:id="rId2690" ref="C1212"/>
    <hyperlink r:id="rId2691" ref="L1212"/>
    <hyperlink r:id="rId2692" ref="C1213"/>
    <hyperlink r:id="rId2693" ref="K1213"/>
    <hyperlink r:id="rId2694" ref="L1213"/>
    <hyperlink r:id="rId2695" ref="C1214"/>
    <hyperlink r:id="rId2696" ref="K1214"/>
    <hyperlink r:id="rId2697" ref="L1214"/>
    <hyperlink r:id="rId2698" ref="C1215"/>
    <hyperlink r:id="rId2699" ref="L1215"/>
    <hyperlink r:id="rId2700" ref="C1216"/>
    <hyperlink r:id="rId2701" ref="L1216"/>
    <hyperlink r:id="rId2702" ref="C1217"/>
    <hyperlink r:id="rId2703" ref="L1217"/>
    <hyperlink r:id="rId2704" ref="C1218"/>
    <hyperlink r:id="rId2705" ref="L1218"/>
    <hyperlink r:id="rId2706" ref="C1219"/>
    <hyperlink r:id="rId2707" ref="K1219"/>
    <hyperlink r:id="rId2708" ref="L1219"/>
    <hyperlink r:id="rId2709" ref="C1220"/>
    <hyperlink r:id="rId2710" ref="K1220"/>
    <hyperlink r:id="rId2711" ref="L1220"/>
    <hyperlink r:id="rId2712" ref="C1221"/>
    <hyperlink r:id="rId2713" ref="K1221"/>
    <hyperlink r:id="rId2714" ref="L1221"/>
    <hyperlink r:id="rId2715" ref="C1222"/>
    <hyperlink r:id="rId2716" ref="L1222"/>
    <hyperlink r:id="rId2717" ref="C1223"/>
    <hyperlink r:id="rId2718" ref="L1223"/>
    <hyperlink r:id="rId2719" ref="C1224"/>
    <hyperlink r:id="rId2720" ref="K1224"/>
    <hyperlink r:id="rId2721" ref="L1224"/>
    <hyperlink r:id="rId2722" ref="C1225"/>
    <hyperlink r:id="rId2723" ref="L1225"/>
    <hyperlink r:id="rId2724" ref="C1226"/>
    <hyperlink r:id="rId2725" ref="L1226"/>
    <hyperlink r:id="rId2726" ref="C1227"/>
    <hyperlink r:id="rId2727" ref="K1227"/>
    <hyperlink r:id="rId2728" ref="L1227"/>
    <hyperlink r:id="rId2729" ref="C1228"/>
    <hyperlink r:id="rId2730" ref="K1228"/>
    <hyperlink r:id="rId2731" ref="L1228"/>
    <hyperlink r:id="rId2732" ref="C1229"/>
    <hyperlink r:id="rId2733" ref="L1229"/>
    <hyperlink r:id="rId2734" ref="C1230"/>
    <hyperlink r:id="rId2735" ref="L1230"/>
    <hyperlink r:id="rId2736" ref="C1231"/>
    <hyperlink r:id="rId2737" ref="L1231"/>
    <hyperlink r:id="rId2738" ref="C1232"/>
    <hyperlink r:id="rId2739" ref="L1232"/>
    <hyperlink r:id="rId2740" ref="C1233"/>
    <hyperlink r:id="rId2741" ref="L1233"/>
    <hyperlink r:id="rId2742" ref="C1234"/>
    <hyperlink r:id="rId2743" ref="K1234"/>
    <hyperlink r:id="rId2744" ref="C1235"/>
    <hyperlink r:id="rId2745" ref="K1235"/>
    <hyperlink r:id="rId2746" ref="C1236"/>
    <hyperlink r:id="rId2747" ref="L1236"/>
    <hyperlink r:id="rId2748" ref="C1237"/>
    <hyperlink r:id="rId2749" ref="L1237"/>
    <hyperlink r:id="rId2750" ref="C1238"/>
    <hyperlink r:id="rId2751" ref="L1238"/>
    <hyperlink r:id="rId2752" ref="C1239"/>
    <hyperlink r:id="rId2753" ref="L1239"/>
    <hyperlink r:id="rId2754" ref="C1240"/>
    <hyperlink r:id="rId2755" ref="L1240"/>
    <hyperlink r:id="rId2756" ref="C1241"/>
    <hyperlink r:id="rId2757" ref="L1241"/>
    <hyperlink r:id="rId2758" ref="C1242"/>
    <hyperlink r:id="rId2759" ref="L1242"/>
    <hyperlink r:id="rId2760" ref="C1243"/>
    <hyperlink r:id="rId2761" ref="C1244"/>
    <hyperlink r:id="rId2762" ref="K1244"/>
    <hyperlink r:id="rId2763" ref="L1244"/>
    <hyperlink r:id="rId2764" ref="C1245"/>
    <hyperlink r:id="rId2765" ref="K1245"/>
    <hyperlink r:id="rId2766" ref="L1245"/>
    <hyperlink r:id="rId2767" ref="C1246"/>
    <hyperlink r:id="rId2768" ref="L1246"/>
    <hyperlink r:id="rId2769" ref="C1247"/>
    <hyperlink r:id="rId2770" ref="K1247"/>
    <hyperlink r:id="rId2771" ref="L1247"/>
    <hyperlink r:id="rId2772" ref="C1248"/>
    <hyperlink r:id="rId2773" ref="L1248"/>
    <hyperlink r:id="rId2774" ref="C1249"/>
    <hyperlink r:id="rId2775" ref="K1249"/>
    <hyperlink r:id="rId2776" ref="L1249"/>
    <hyperlink r:id="rId2777" ref="C1250"/>
    <hyperlink r:id="rId2778" ref="K1250"/>
    <hyperlink r:id="rId2779" ref="L1250"/>
    <hyperlink r:id="rId2780" ref="C1251"/>
    <hyperlink r:id="rId2781" ref="C1252"/>
    <hyperlink r:id="rId2782" ref="L1252"/>
    <hyperlink r:id="rId2783" ref="C1253"/>
    <hyperlink r:id="rId2784" ref="L1253"/>
    <hyperlink r:id="rId2785" ref="C1254"/>
    <hyperlink r:id="rId2786" ref="L1254"/>
    <hyperlink r:id="rId2787" ref="C1255"/>
    <hyperlink r:id="rId2788" ref="L1255"/>
    <hyperlink r:id="rId2789" ref="C1256"/>
    <hyperlink r:id="rId2790" ref="L1256"/>
    <hyperlink r:id="rId2791" ref="C1257"/>
    <hyperlink r:id="rId2792" ref="K1257"/>
    <hyperlink r:id="rId2793" ref="L1257"/>
    <hyperlink r:id="rId2794" ref="C1258"/>
    <hyperlink r:id="rId2795" ref="L1258"/>
    <hyperlink r:id="rId2796" ref="C1259"/>
    <hyperlink r:id="rId2797" ref="K1259"/>
    <hyperlink r:id="rId2798" ref="L1259"/>
    <hyperlink r:id="rId2799" ref="C1260"/>
    <hyperlink r:id="rId2800" ref="L1260"/>
    <hyperlink r:id="rId2801" ref="C1261"/>
    <hyperlink r:id="rId2802" ref="L1261"/>
    <hyperlink r:id="rId2803" ref="C1262"/>
    <hyperlink r:id="rId2804" ref="K1262"/>
    <hyperlink r:id="rId2805" ref="C1263"/>
    <hyperlink r:id="rId2806" ref="K1263"/>
    <hyperlink r:id="rId2807" ref="L1263"/>
    <hyperlink r:id="rId2808" ref="C1264"/>
    <hyperlink r:id="rId2809" ref="K1264"/>
    <hyperlink r:id="rId2810" ref="L1264"/>
    <hyperlink r:id="rId2811" ref="C1265"/>
    <hyperlink r:id="rId2812" ref="L1265"/>
    <hyperlink r:id="rId2813" ref="C1266"/>
    <hyperlink r:id="rId2814" ref="L1266"/>
    <hyperlink r:id="rId2815" ref="C1267"/>
    <hyperlink r:id="rId2816" ref="L1267"/>
    <hyperlink r:id="rId2817" ref="C1268"/>
    <hyperlink r:id="rId2818" ref="L1268"/>
    <hyperlink r:id="rId2819" ref="C1269"/>
    <hyperlink r:id="rId2820" ref="L1269"/>
    <hyperlink r:id="rId2821" ref="C1270"/>
    <hyperlink r:id="rId2822" ref="K1270"/>
    <hyperlink r:id="rId2823" ref="L1270"/>
    <hyperlink r:id="rId2824" ref="C1271"/>
    <hyperlink r:id="rId2825" ref="L1271"/>
    <hyperlink r:id="rId2826" ref="C1272"/>
    <hyperlink r:id="rId2827" ref="L1272"/>
    <hyperlink r:id="rId2828" ref="C1273"/>
    <hyperlink r:id="rId2829" ref="L1273"/>
    <hyperlink r:id="rId2830" ref="C1274"/>
    <hyperlink r:id="rId2831" ref="L1274"/>
    <hyperlink r:id="rId2832" ref="C1275"/>
    <hyperlink r:id="rId2833" ref="L1275"/>
    <hyperlink r:id="rId2834" ref="C1276"/>
    <hyperlink r:id="rId2835" ref="L1276"/>
    <hyperlink r:id="rId2836" ref="C1277"/>
    <hyperlink r:id="rId2837" ref="C1278"/>
    <hyperlink r:id="rId2838" ref="C1279"/>
    <hyperlink r:id="rId2839" ref="K1279"/>
    <hyperlink r:id="rId2840" ref="L1279"/>
    <hyperlink r:id="rId2841" ref="C1280"/>
    <hyperlink r:id="rId2842" ref="K1280"/>
    <hyperlink r:id="rId2843" ref="C1281"/>
    <hyperlink r:id="rId2844" ref="L1281"/>
    <hyperlink r:id="rId2845" ref="C1282"/>
    <hyperlink r:id="rId2846" ref="L1282"/>
    <hyperlink r:id="rId2847" ref="C1283"/>
    <hyperlink r:id="rId2848" ref="K1283"/>
    <hyperlink r:id="rId2849" ref="L1283"/>
    <hyperlink r:id="rId2850" ref="C1284"/>
    <hyperlink r:id="rId2851" ref="K1284"/>
    <hyperlink r:id="rId2852" ref="L1284"/>
    <hyperlink r:id="rId2853" ref="C1285"/>
    <hyperlink r:id="rId2854" ref="L1285"/>
    <hyperlink r:id="rId2855" ref="C1286"/>
    <hyperlink r:id="rId2856" ref="L1286"/>
    <hyperlink r:id="rId2857" ref="C1287"/>
    <hyperlink r:id="rId2858" ref="L1287"/>
    <hyperlink r:id="rId2859" ref="C1288"/>
    <hyperlink r:id="rId2860" ref="K1288"/>
    <hyperlink r:id="rId2861" ref="L1288"/>
    <hyperlink r:id="rId2862" ref="C1289"/>
    <hyperlink r:id="rId2863" ref="K1289"/>
    <hyperlink r:id="rId2864" ref="L1289"/>
    <hyperlink r:id="rId2865" ref="C1290"/>
    <hyperlink r:id="rId2866" ref="L1290"/>
    <hyperlink r:id="rId2867" ref="C1291"/>
    <hyperlink r:id="rId2868" ref="K1291"/>
    <hyperlink r:id="rId2869" ref="L1291"/>
    <hyperlink r:id="rId2870" ref="C1292"/>
    <hyperlink r:id="rId2871" ref="L1292"/>
    <hyperlink r:id="rId2872" ref="C1293"/>
    <hyperlink r:id="rId2873" ref="L1293"/>
    <hyperlink r:id="rId2874" ref="C1294"/>
    <hyperlink r:id="rId2875" ref="L1294"/>
    <hyperlink r:id="rId2876" ref="C1295"/>
    <hyperlink r:id="rId2877" ref="L1295"/>
    <hyperlink r:id="rId2878" ref="C1296"/>
    <hyperlink r:id="rId2879" ref="L1296"/>
    <hyperlink r:id="rId2880" ref="C1297"/>
    <hyperlink r:id="rId2881" ref="L1297"/>
    <hyperlink r:id="rId2882" ref="C1298"/>
    <hyperlink r:id="rId2883" ref="L1298"/>
    <hyperlink r:id="rId2884" ref="C1299"/>
    <hyperlink r:id="rId2885" ref="L1299"/>
    <hyperlink r:id="rId2886" ref="C1300"/>
    <hyperlink r:id="rId2887" ref="L1300"/>
    <hyperlink r:id="rId2888" ref="C1301"/>
    <hyperlink r:id="rId2889" ref="K1301"/>
    <hyperlink r:id="rId2890" ref="L1301"/>
    <hyperlink r:id="rId2891" ref="C1302"/>
    <hyperlink r:id="rId2892" ref="L1302"/>
    <hyperlink r:id="rId2893" ref="C1303"/>
    <hyperlink r:id="rId2894" ref="L1303"/>
    <hyperlink r:id="rId2895" ref="C1304"/>
    <hyperlink r:id="rId2896" ref="K1304"/>
    <hyperlink r:id="rId2897" ref="L1304"/>
    <hyperlink r:id="rId2898" ref="C1305"/>
    <hyperlink r:id="rId2899" ref="L1305"/>
    <hyperlink r:id="rId2900" ref="C1306"/>
    <hyperlink r:id="rId2901" ref="L1306"/>
    <hyperlink r:id="rId2902" ref="C1307"/>
    <hyperlink r:id="rId2903" ref="K1307"/>
    <hyperlink r:id="rId2904" ref="L1307"/>
    <hyperlink r:id="rId2905" ref="C1308"/>
    <hyperlink r:id="rId2906" ref="K1308"/>
    <hyperlink r:id="rId2907" ref="C1309"/>
    <hyperlink r:id="rId2908" ref="L1309"/>
    <hyperlink r:id="rId2909" ref="C1310"/>
    <hyperlink r:id="rId2910" ref="L1310"/>
    <hyperlink r:id="rId2911" ref="C1311"/>
    <hyperlink r:id="rId2912" ref="L1311"/>
    <hyperlink r:id="rId2913" ref="C1312"/>
    <hyperlink r:id="rId2914" ref="L1312"/>
    <hyperlink r:id="rId2915" ref="C1313"/>
    <hyperlink r:id="rId2916" ref="L1313"/>
    <hyperlink r:id="rId2917" ref="C1314"/>
    <hyperlink r:id="rId2918" ref="L1314"/>
    <hyperlink r:id="rId2919" ref="C1315"/>
    <hyperlink r:id="rId2920" ref="L1315"/>
    <hyperlink r:id="rId2921" ref="C1316"/>
    <hyperlink r:id="rId2922" ref="K1316"/>
    <hyperlink r:id="rId2923" ref="L1316"/>
    <hyperlink r:id="rId2924" ref="C1317"/>
    <hyperlink r:id="rId2925" ref="K1317"/>
    <hyperlink r:id="rId2926" ref="L1317"/>
    <hyperlink r:id="rId2927" ref="C1318"/>
    <hyperlink r:id="rId2928" ref="C1319"/>
    <hyperlink r:id="rId2929" ref="K1319"/>
    <hyperlink r:id="rId2930" ref="L1319"/>
    <hyperlink r:id="rId2931" ref="C1320"/>
    <hyperlink r:id="rId2932" ref="K1320"/>
    <hyperlink r:id="rId2933" ref="L1320"/>
    <hyperlink r:id="rId2934" ref="C1321"/>
    <hyperlink r:id="rId2935" ref="L1321"/>
    <hyperlink r:id="rId2936" ref="C1322"/>
    <hyperlink r:id="rId2937" ref="L1322"/>
    <hyperlink r:id="rId2938" ref="C1323"/>
    <hyperlink r:id="rId2939" ref="L1323"/>
    <hyperlink r:id="rId2940" ref="C1324"/>
    <hyperlink r:id="rId2941" ref="K1324"/>
    <hyperlink r:id="rId2942" ref="L1324"/>
    <hyperlink r:id="rId2943" ref="C1325"/>
    <hyperlink r:id="rId2944" ref="L1325"/>
    <hyperlink r:id="rId2945" ref="C1326"/>
    <hyperlink r:id="rId2946" ref="L1326"/>
    <hyperlink r:id="rId2947" ref="C1327"/>
    <hyperlink r:id="rId2948" ref="K1327"/>
    <hyperlink r:id="rId2949" ref="L1327"/>
    <hyperlink r:id="rId2950" ref="C1328"/>
    <hyperlink r:id="rId2951" ref="L1328"/>
    <hyperlink r:id="rId2952" ref="C1329"/>
    <hyperlink r:id="rId2953" ref="K1329"/>
    <hyperlink r:id="rId2954" ref="L1329"/>
    <hyperlink r:id="rId2955" ref="C1330"/>
    <hyperlink r:id="rId2956" ref="K1330"/>
    <hyperlink r:id="rId2957" ref="C1331"/>
    <hyperlink r:id="rId2958" ref="C1332"/>
    <hyperlink r:id="rId2959" ref="L1332"/>
    <hyperlink r:id="rId2960" ref="C1333"/>
    <hyperlink r:id="rId2961" ref="K1333"/>
    <hyperlink r:id="rId2962" ref="C1334"/>
    <hyperlink r:id="rId2963" ref="L1334"/>
    <hyperlink r:id="rId2964" ref="C1335"/>
    <hyperlink r:id="rId2965" ref="L1335"/>
    <hyperlink r:id="rId2966" ref="C1336"/>
    <hyperlink r:id="rId2967" ref="L1336"/>
    <hyperlink r:id="rId2968" ref="C1337"/>
    <hyperlink r:id="rId2969" ref="L1337"/>
    <hyperlink r:id="rId2970" ref="C1338"/>
    <hyperlink r:id="rId2971" ref="K1338"/>
    <hyperlink r:id="rId2972" ref="L1338"/>
    <hyperlink r:id="rId2973" ref="C1339"/>
    <hyperlink r:id="rId2974" ref="L1339"/>
    <hyperlink r:id="rId2975" ref="C1340"/>
    <hyperlink r:id="rId2976" ref="L1340"/>
    <hyperlink r:id="rId2977" ref="C1341"/>
    <hyperlink r:id="rId2978" ref="L1341"/>
    <hyperlink r:id="rId2979" ref="C1342"/>
    <hyperlink r:id="rId2980" ref="L1342"/>
    <hyperlink r:id="rId2981" ref="C1343"/>
    <hyperlink r:id="rId2982" ref="C1344"/>
    <hyperlink r:id="rId2983" ref="L1344"/>
    <hyperlink r:id="rId2984" ref="C1345"/>
    <hyperlink r:id="rId2985" ref="C1346"/>
    <hyperlink r:id="rId2986" ref="K1346"/>
    <hyperlink r:id="rId2987" ref="L1346"/>
    <hyperlink r:id="rId2988" ref="C1347"/>
    <hyperlink r:id="rId2989" ref="L1347"/>
    <hyperlink r:id="rId2990" ref="C1348"/>
    <hyperlink r:id="rId2991" ref="L1348"/>
    <hyperlink r:id="rId2992" ref="C1349"/>
    <hyperlink r:id="rId2993" ref="L1349"/>
    <hyperlink r:id="rId2994" ref="C1350"/>
    <hyperlink r:id="rId2995" ref="K1350"/>
    <hyperlink r:id="rId2996" ref="L1350"/>
    <hyperlink r:id="rId2997" ref="C1351"/>
    <hyperlink r:id="rId2998" ref="K1351"/>
    <hyperlink r:id="rId2999" ref="C1352"/>
    <hyperlink r:id="rId3000" ref="K1352"/>
    <hyperlink r:id="rId3001" ref="L1352"/>
    <hyperlink r:id="rId3002" ref="C1353"/>
    <hyperlink r:id="rId3003" ref="L1353"/>
    <hyperlink r:id="rId3004" ref="C1354"/>
    <hyperlink r:id="rId3005" ref="L1354"/>
    <hyperlink r:id="rId3006" ref="C1355"/>
    <hyperlink r:id="rId3007" ref="K1355"/>
    <hyperlink r:id="rId3008" ref="L1355"/>
    <hyperlink r:id="rId3009" ref="C1356"/>
    <hyperlink r:id="rId3010" ref="K1356"/>
    <hyperlink r:id="rId3011" ref="L1356"/>
    <hyperlink r:id="rId3012" ref="C1357"/>
    <hyperlink r:id="rId3013" ref="K1357"/>
    <hyperlink r:id="rId3014" ref="L1357"/>
    <hyperlink r:id="rId3015" ref="C1358"/>
    <hyperlink r:id="rId3016" ref="K1358"/>
    <hyperlink r:id="rId3017" ref="L1358"/>
    <hyperlink r:id="rId3018" ref="C1359"/>
    <hyperlink r:id="rId3019" ref="K1359"/>
    <hyperlink r:id="rId3020" ref="L1359"/>
    <hyperlink r:id="rId3021" ref="C1360"/>
    <hyperlink r:id="rId3022" ref="K1360"/>
    <hyperlink r:id="rId3023" ref="L1360"/>
    <hyperlink r:id="rId3024" ref="C1361"/>
    <hyperlink r:id="rId3025" ref="K1361"/>
    <hyperlink r:id="rId3026" ref="L1361"/>
    <hyperlink r:id="rId3027" ref="C1362"/>
    <hyperlink r:id="rId3028" ref="K1362"/>
    <hyperlink r:id="rId3029" ref="C1363"/>
    <hyperlink r:id="rId3030" ref="L1363"/>
    <hyperlink r:id="rId3031" ref="C1364"/>
    <hyperlink r:id="rId3032" ref="L1364"/>
    <hyperlink r:id="rId3033" ref="C1365"/>
    <hyperlink r:id="rId3034" ref="L1365"/>
    <hyperlink r:id="rId3035" ref="C1366"/>
    <hyperlink r:id="rId3036" ref="L1366"/>
    <hyperlink r:id="rId3037" ref="C1367"/>
    <hyperlink r:id="rId3038" ref="K1367"/>
    <hyperlink r:id="rId3039" ref="L1367"/>
    <hyperlink r:id="rId3040" ref="C1368"/>
    <hyperlink r:id="rId3041" ref="K1368"/>
    <hyperlink r:id="rId3042" ref="L1368"/>
    <hyperlink r:id="rId3043" ref="C1369"/>
    <hyperlink r:id="rId3044" ref="L1369"/>
    <hyperlink r:id="rId3045" ref="C1370"/>
    <hyperlink r:id="rId3046" ref="L1370"/>
    <hyperlink r:id="rId3047" ref="C1371"/>
    <hyperlink r:id="rId3048" ref="K1371"/>
    <hyperlink r:id="rId3049" ref="L1371"/>
    <hyperlink r:id="rId3050" ref="C1372"/>
    <hyperlink r:id="rId3051" ref="L1372"/>
    <hyperlink r:id="rId3052" ref="C1373"/>
    <hyperlink r:id="rId3053" ref="L1373"/>
    <hyperlink r:id="rId3054" ref="C1374"/>
    <hyperlink r:id="rId3055" ref="L1374"/>
    <hyperlink r:id="rId3056" ref="C1375"/>
    <hyperlink r:id="rId3057" ref="K1375"/>
    <hyperlink r:id="rId3058" ref="L1375"/>
    <hyperlink r:id="rId3059" ref="C1376"/>
    <hyperlink r:id="rId3060" ref="K1376"/>
    <hyperlink r:id="rId3061" ref="L1376"/>
    <hyperlink r:id="rId3062" ref="C1377"/>
    <hyperlink r:id="rId3063" ref="K1377"/>
    <hyperlink r:id="rId3064" ref="L1377"/>
    <hyperlink r:id="rId3065" ref="C1378"/>
    <hyperlink r:id="rId3066" ref="K1378"/>
    <hyperlink r:id="rId3067" ref="L1378"/>
    <hyperlink r:id="rId3068" ref="C1379"/>
    <hyperlink r:id="rId3069" ref="L1379"/>
    <hyperlink r:id="rId3070" ref="C1380"/>
    <hyperlink r:id="rId3071" ref="L1380"/>
    <hyperlink r:id="rId3072" ref="C1381"/>
    <hyperlink r:id="rId3073" ref="K1381"/>
    <hyperlink r:id="rId3074" ref="L1381"/>
    <hyperlink r:id="rId3075" ref="C1382"/>
    <hyperlink r:id="rId3076" ref="K1382"/>
    <hyperlink r:id="rId3077" ref="L1382"/>
    <hyperlink r:id="rId3078" ref="C1383"/>
    <hyperlink r:id="rId3079" ref="K1383"/>
    <hyperlink r:id="rId3080" ref="L1383"/>
    <hyperlink r:id="rId3081" ref="C1384"/>
    <hyperlink r:id="rId3082" ref="K1384"/>
    <hyperlink r:id="rId3083" ref="L1384"/>
    <hyperlink r:id="rId3084" ref="C1385"/>
    <hyperlink r:id="rId3085" ref="K1385"/>
    <hyperlink r:id="rId3086" ref="L1385"/>
    <hyperlink r:id="rId3087" ref="C1386"/>
    <hyperlink r:id="rId3088" ref="K1386"/>
    <hyperlink r:id="rId3089" ref="L1386"/>
    <hyperlink r:id="rId3090" ref="C1387"/>
    <hyperlink r:id="rId3091" ref="K1387"/>
    <hyperlink r:id="rId3092" ref="L1387"/>
    <hyperlink r:id="rId3093" ref="C1388"/>
    <hyperlink r:id="rId3094" ref="L1388"/>
    <hyperlink r:id="rId3095" ref="C1389"/>
    <hyperlink r:id="rId3096" ref="K1389"/>
    <hyperlink r:id="rId3097" ref="L1389"/>
    <hyperlink r:id="rId3098" ref="C1390"/>
    <hyperlink r:id="rId3099" ref="K1390"/>
    <hyperlink r:id="rId3100" ref="C1391"/>
    <hyperlink r:id="rId3101" ref="K1391"/>
    <hyperlink r:id="rId3102" ref="L1391"/>
    <hyperlink r:id="rId3103" ref="C1392"/>
    <hyperlink r:id="rId3104" ref="C1393"/>
    <hyperlink r:id="rId3105" ref="K1393"/>
    <hyperlink r:id="rId3106" ref="C1394"/>
    <hyperlink r:id="rId3107" ref="K1394"/>
    <hyperlink r:id="rId3108" ref="C1395"/>
    <hyperlink r:id="rId3109" ref="K1395"/>
    <hyperlink r:id="rId3110" ref="L1395"/>
    <hyperlink r:id="rId3111" ref="C1396"/>
    <hyperlink r:id="rId3112" ref="K1396"/>
    <hyperlink r:id="rId3113" ref="L1396"/>
    <hyperlink r:id="rId3114" ref="C1397"/>
    <hyperlink r:id="rId3115" ref="K1397"/>
    <hyperlink r:id="rId3116" ref="L1397"/>
    <hyperlink r:id="rId3117" ref="C1398"/>
    <hyperlink r:id="rId3118" ref="K1398"/>
    <hyperlink r:id="rId3119" ref="L1398"/>
    <hyperlink r:id="rId3120" ref="C1399"/>
    <hyperlink r:id="rId3121" ref="C1400"/>
    <hyperlink r:id="rId3122" ref="K1400"/>
    <hyperlink r:id="rId3123" ref="L1400"/>
    <hyperlink r:id="rId3124" ref="C1401"/>
    <hyperlink r:id="rId3125" ref="K1401"/>
    <hyperlink r:id="rId3126" ref="L1401"/>
    <hyperlink r:id="rId3127" ref="C1402"/>
    <hyperlink r:id="rId3128" ref="K1402"/>
    <hyperlink r:id="rId3129" ref="C1403"/>
    <hyperlink r:id="rId3130" ref="C1404"/>
    <hyperlink r:id="rId3131" ref="L1404"/>
    <hyperlink r:id="rId3132" ref="C1405"/>
    <hyperlink r:id="rId3133" ref="K1405"/>
    <hyperlink r:id="rId3134" ref="L1405"/>
    <hyperlink r:id="rId3135" ref="C1406"/>
    <hyperlink r:id="rId3136" ref="C1407"/>
    <hyperlink r:id="rId3137" ref="L1407"/>
    <hyperlink r:id="rId3138" ref="C1408"/>
    <hyperlink r:id="rId3139" ref="L1408"/>
    <hyperlink r:id="rId3140" ref="C1409"/>
    <hyperlink r:id="rId3141" ref="K1409"/>
    <hyperlink r:id="rId3142" ref="L1409"/>
    <hyperlink r:id="rId3143" ref="C1410"/>
    <hyperlink r:id="rId3144" ref="K1410"/>
    <hyperlink r:id="rId3145" ref="L1410"/>
    <hyperlink r:id="rId3146" ref="C1411"/>
    <hyperlink r:id="rId3147" ref="L1411"/>
    <hyperlink r:id="rId3148" ref="C1412"/>
    <hyperlink r:id="rId3149" ref="K1412"/>
    <hyperlink r:id="rId3150" ref="L1412"/>
    <hyperlink r:id="rId3151" ref="C1413"/>
    <hyperlink r:id="rId3152" ref="L1413"/>
    <hyperlink r:id="rId3153" ref="C1414"/>
    <hyperlink r:id="rId3154" ref="L1414"/>
    <hyperlink r:id="rId3155" ref="C1415"/>
    <hyperlink r:id="rId3156" ref="K1415"/>
    <hyperlink r:id="rId3157" ref="L1415"/>
    <hyperlink r:id="rId3158" ref="C1416"/>
    <hyperlink r:id="rId3159" ref="L1416"/>
    <hyperlink r:id="rId3160" ref="C1417"/>
    <hyperlink r:id="rId3161" ref="L1417"/>
    <hyperlink r:id="rId3162" ref="C1418"/>
    <hyperlink r:id="rId3163" ref="L1418"/>
    <hyperlink r:id="rId3164" ref="C1419"/>
    <hyperlink r:id="rId3165" ref="L1419"/>
    <hyperlink r:id="rId3166" ref="C1420"/>
    <hyperlink r:id="rId3167" ref="L1420"/>
    <hyperlink r:id="rId3168" ref="C1421"/>
    <hyperlink r:id="rId3169" ref="L1421"/>
    <hyperlink r:id="rId3170" ref="C1422"/>
    <hyperlink r:id="rId3171" ref="L1422"/>
    <hyperlink r:id="rId3172" ref="C1423"/>
    <hyperlink r:id="rId3173" ref="K1423"/>
    <hyperlink r:id="rId3174" ref="L1423"/>
    <hyperlink r:id="rId3175" ref="C1424"/>
    <hyperlink r:id="rId3176" ref="L1424"/>
    <hyperlink r:id="rId3177" ref="C1425"/>
    <hyperlink r:id="rId3178" ref="L1425"/>
    <hyperlink r:id="rId3179" ref="C1426"/>
    <hyperlink r:id="rId3180" ref="L1426"/>
    <hyperlink r:id="rId3181" ref="C1427"/>
    <hyperlink r:id="rId3182" ref="L1427"/>
    <hyperlink r:id="rId3183" ref="C1428"/>
    <hyperlink r:id="rId3184" ref="L1428"/>
    <hyperlink r:id="rId3185" ref="C1429"/>
    <hyperlink r:id="rId3186" ref="L1429"/>
    <hyperlink r:id="rId3187" ref="C1430"/>
    <hyperlink r:id="rId3188" ref="K1430"/>
    <hyperlink r:id="rId3189" ref="C1431"/>
    <hyperlink r:id="rId3190" ref="L1431"/>
    <hyperlink r:id="rId3191" ref="C1432"/>
    <hyperlink r:id="rId3192" ref="L1432"/>
    <hyperlink r:id="rId3193" ref="C1433"/>
    <hyperlink r:id="rId3194" ref="K1433"/>
    <hyperlink r:id="rId3195" ref="L1433"/>
    <hyperlink r:id="rId3196" ref="C1434"/>
    <hyperlink r:id="rId3197" ref="L1434"/>
    <hyperlink r:id="rId3198" ref="C1435"/>
    <hyperlink r:id="rId3199" ref="L1435"/>
    <hyperlink r:id="rId3200" ref="C1436"/>
    <hyperlink r:id="rId3201" ref="L1436"/>
    <hyperlink r:id="rId3202" ref="C1437"/>
    <hyperlink r:id="rId3203" ref="K1437"/>
    <hyperlink r:id="rId3204" ref="C1438"/>
    <hyperlink r:id="rId3205" ref="L1438"/>
    <hyperlink r:id="rId3206" ref="C1439"/>
    <hyperlink r:id="rId3207" ref="K1439"/>
    <hyperlink r:id="rId3208" ref="L1439"/>
    <hyperlink r:id="rId3209" ref="C1440"/>
    <hyperlink r:id="rId3210" ref="L1440"/>
    <hyperlink r:id="rId3211" ref="C1441"/>
    <hyperlink r:id="rId3212" ref="K1441"/>
    <hyperlink r:id="rId3213" ref="L1441"/>
    <hyperlink r:id="rId3214" ref="C1442"/>
    <hyperlink r:id="rId3215" ref="C1443"/>
    <hyperlink r:id="rId3216" ref="L1443"/>
    <hyperlink r:id="rId3217" ref="C1444"/>
    <hyperlink r:id="rId3218" ref="L1444"/>
    <hyperlink r:id="rId3219" ref="C1445"/>
    <hyperlink r:id="rId3220" ref="L1445"/>
    <hyperlink r:id="rId3221" ref="C1446"/>
    <hyperlink r:id="rId3222" ref="L1446"/>
    <hyperlink r:id="rId3223" ref="C1447"/>
    <hyperlink r:id="rId3224" ref="L1447"/>
    <hyperlink r:id="rId3225" ref="C1448"/>
    <hyperlink r:id="rId3226" ref="L1448"/>
    <hyperlink r:id="rId3227" ref="C1449"/>
    <hyperlink r:id="rId3228" ref="L1449"/>
    <hyperlink r:id="rId3229" ref="C1450"/>
    <hyperlink r:id="rId3230" ref="L1450"/>
    <hyperlink r:id="rId3231" ref="C1451"/>
    <hyperlink r:id="rId3232" ref="L1451"/>
    <hyperlink r:id="rId3233" ref="C1452"/>
    <hyperlink r:id="rId3234" ref="L1452"/>
    <hyperlink r:id="rId3235" ref="C1453"/>
    <hyperlink r:id="rId3236" ref="K1453"/>
    <hyperlink r:id="rId3237" ref="L1453"/>
    <hyperlink r:id="rId3238" ref="C1454"/>
    <hyperlink r:id="rId3239" ref="L1454"/>
    <hyperlink r:id="rId3240" ref="C1455"/>
    <hyperlink r:id="rId3241" ref="L1455"/>
    <hyperlink r:id="rId3242" ref="C1456"/>
    <hyperlink r:id="rId3243" ref="L1456"/>
    <hyperlink r:id="rId3244" ref="C1457"/>
    <hyperlink r:id="rId3245" ref="L1457"/>
    <hyperlink r:id="rId3246" ref="C1458"/>
    <hyperlink r:id="rId3247" ref="L1458"/>
    <hyperlink r:id="rId3248" ref="C1459"/>
    <hyperlink r:id="rId3249" ref="K1459"/>
    <hyperlink r:id="rId3250" ref="L1459"/>
    <hyperlink r:id="rId3251" ref="C1460"/>
    <hyperlink r:id="rId3252" ref="L1460"/>
    <hyperlink r:id="rId3253" ref="C1461"/>
    <hyperlink r:id="rId3254" ref="K1461"/>
    <hyperlink r:id="rId3255" ref="L1461"/>
    <hyperlink r:id="rId3256" ref="C1462"/>
    <hyperlink r:id="rId3257" ref="L1462"/>
    <hyperlink r:id="rId3258" ref="C1463"/>
    <hyperlink r:id="rId3259" ref="K1463"/>
    <hyperlink r:id="rId3260" ref="L1463"/>
    <hyperlink r:id="rId3261" ref="C1464"/>
    <hyperlink r:id="rId3262" ref="K1464"/>
    <hyperlink r:id="rId3263" ref="L1464"/>
    <hyperlink r:id="rId3264" ref="C1465"/>
    <hyperlink r:id="rId3265" ref="K1465"/>
    <hyperlink r:id="rId3266" ref="L1465"/>
    <hyperlink r:id="rId3267" ref="C1466"/>
    <hyperlink r:id="rId3268" ref="K1466"/>
    <hyperlink r:id="rId3269" ref="L1466"/>
    <hyperlink r:id="rId3270" ref="C1467"/>
    <hyperlink r:id="rId3271" ref="K1467"/>
    <hyperlink r:id="rId3272" ref="L1467"/>
    <hyperlink r:id="rId3273" ref="C1468"/>
    <hyperlink r:id="rId3274" ref="K1468"/>
    <hyperlink r:id="rId3275" ref="L1468"/>
    <hyperlink r:id="rId3276" ref="C1469"/>
    <hyperlink r:id="rId3277" ref="L1469"/>
    <hyperlink r:id="rId3278" ref="C1470"/>
    <hyperlink r:id="rId3279" ref="L1470"/>
    <hyperlink r:id="rId3280" ref="C1471"/>
    <hyperlink r:id="rId3281" ref="L1471"/>
    <hyperlink r:id="rId3282" ref="C1472"/>
    <hyperlink r:id="rId3283" ref="L1472"/>
    <hyperlink r:id="rId3284" ref="C1473"/>
    <hyperlink r:id="rId3285" ref="L1473"/>
    <hyperlink r:id="rId3286" ref="C1474"/>
    <hyperlink r:id="rId3287" ref="L1474"/>
    <hyperlink r:id="rId3288" ref="C1475"/>
    <hyperlink r:id="rId3289" ref="L1475"/>
    <hyperlink r:id="rId3290" ref="C1476"/>
    <hyperlink r:id="rId3291" ref="K1476"/>
    <hyperlink r:id="rId3292" ref="L1476"/>
    <hyperlink r:id="rId3293" ref="C1477"/>
    <hyperlink r:id="rId3294" ref="K1477"/>
    <hyperlink r:id="rId3295" ref="L1477"/>
    <hyperlink r:id="rId3296" ref="C1478"/>
    <hyperlink r:id="rId3297" ref="K1478"/>
    <hyperlink r:id="rId3298" ref="L1478"/>
    <hyperlink r:id="rId3299" ref="C1479"/>
    <hyperlink r:id="rId3300" ref="K1479"/>
    <hyperlink r:id="rId3301" ref="L1479"/>
    <hyperlink r:id="rId3302" ref="C1480"/>
    <hyperlink r:id="rId3303" ref="L1480"/>
    <hyperlink r:id="rId3304" ref="C1481"/>
    <hyperlink r:id="rId3305" ref="L1481"/>
    <hyperlink r:id="rId3306" ref="C1482"/>
    <hyperlink r:id="rId3307" ref="L1482"/>
    <hyperlink r:id="rId3308" ref="C1483"/>
    <hyperlink r:id="rId3309" ref="L1483"/>
    <hyperlink r:id="rId3310" ref="C1484"/>
    <hyperlink r:id="rId3311" ref="L1484"/>
    <hyperlink r:id="rId3312" ref="C1485"/>
    <hyperlink r:id="rId3313" ref="L1485"/>
    <hyperlink r:id="rId3314" ref="C1486"/>
    <hyperlink r:id="rId3315" ref="C1487"/>
    <hyperlink r:id="rId3316" ref="L1487"/>
    <hyperlink r:id="rId3317" ref="C1488"/>
    <hyperlink r:id="rId3318" ref="L1488"/>
    <hyperlink r:id="rId3319" ref="C1489"/>
    <hyperlink r:id="rId3320" ref="L1489"/>
    <hyperlink r:id="rId3321" ref="C1490"/>
    <hyperlink r:id="rId3322" ref="K1490"/>
    <hyperlink r:id="rId3323" ref="L1490"/>
    <hyperlink r:id="rId3324" ref="C1491"/>
    <hyperlink r:id="rId3325" ref="L1491"/>
    <hyperlink r:id="rId3326" ref="C1492"/>
    <hyperlink r:id="rId3327" ref="L1492"/>
    <hyperlink r:id="rId3328" ref="C1493"/>
    <hyperlink r:id="rId3329" ref="K1493"/>
    <hyperlink r:id="rId3330" ref="L1493"/>
    <hyperlink r:id="rId3331" ref="C1494"/>
    <hyperlink r:id="rId3332" ref="L1494"/>
    <hyperlink r:id="rId3333" ref="C1495"/>
    <hyperlink r:id="rId3334" ref="L1495"/>
    <hyperlink r:id="rId3335" ref="C1496"/>
    <hyperlink r:id="rId3336" ref="L1496"/>
    <hyperlink r:id="rId3337" ref="C1497"/>
    <hyperlink r:id="rId3338" ref="L1497"/>
    <hyperlink r:id="rId3339" ref="C1498"/>
    <hyperlink r:id="rId3340" ref="L1498"/>
    <hyperlink r:id="rId3341" ref="C1499"/>
    <hyperlink r:id="rId3342" ref="L1499"/>
    <hyperlink r:id="rId3343" ref="C1500"/>
    <hyperlink r:id="rId3344" ref="K1500"/>
    <hyperlink r:id="rId3345" ref="C1501"/>
    <hyperlink r:id="rId3346" ref="L1501"/>
    <hyperlink r:id="rId3347" ref="C1502"/>
    <hyperlink r:id="rId3348" ref="C1503"/>
    <hyperlink r:id="rId3349" ref="L1503"/>
    <hyperlink r:id="rId3350" ref="C1504"/>
    <hyperlink r:id="rId3351" ref="L1504"/>
    <hyperlink r:id="rId3352" ref="C1505"/>
    <hyperlink r:id="rId3353" ref="L1505"/>
    <hyperlink r:id="rId3354" ref="C1506"/>
    <hyperlink r:id="rId3355" ref="L1506"/>
    <hyperlink r:id="rId3356" ref="C1507"/>
    <hyperlink r:id="rId3357" ref="K1507"/>
    <hyperlink r:id="rId3358" ref="L1507"/>
    <hyperlink r:id="rId3359" ref="C1508"/>
    <hyperlink r:id="rId3360" ref="L1508"/>
    <hyperlink r:id="rId3361" ref="C1509"/>
    <hyperlink r:id="rId3362" ref="K1509"/>
    <hyperlink r:id="rId3363" ref="L1509"/>
    <hyperlink r:id="rId3364" ref="C1510"/>
    <hyperlink r:id="rId3365" ref="L1510"/>
    <hyperlink r:id="rId3366" ref="C1511"/>
    <hyperlink r:id="rId3367" ref="L1511"/>
    <hyperlink r:id="rId3368" ref="C1512"/>
    <hyperlink r:id="rId3369" ref="K1512"/>
    <hyperlink r:id="rId3370" ref="L1512"/>
    <hyperlink r:id="rId3371" ref="C1513"/>
    <hyperlink r:id="rId3372" ref="K1513"/>
    <hyperlink r:id="rId3373" ref="C1514"/>
    <hyperlink r:id="rId3374" ref="K1514"/>
    <hyperlink r:id="rId3375" ref="L1514"/>
    <hyperlink r:id="rId3376" ref="C1515"/>
    <hyperlink r:id="rId3377" ref="K1515"/>
    <hyperlink r:id="rId3378" ref="C1516"/>
    <hyperlink r:id="rId3379" ref="L1516"/>
    <hyperlink r:id="rId3380" ref="C1517"/>
    <hyperlink r:id="rId3381" ref="C1518"/>
    <hyperlink r:id="rId3382" ref="L1518"/>
    <hyperlink r:id="rId3383" ref="C1519"/>
    <hyperlink r:id="rId3384" ref="L1519"/>
    <hyperlink r:id="rId3385" ref="C1520"/>
    <hyperlink r:id="rId3386" ref="L1520"/>
    <hyperlink r:id="rId3387" ref="C1521"/>
    <hyperlink r:id="rId3388" ref="L1521"/>
    <hyperlink r:id="rId3389" ref="C1522"/>
    <hyperlink r:id="rId3390" ref="L1522"/>
    <hyperlink r:id="rId3391" ref="C1523"/>
    <hyperlink r:id="rId3392" ref="K1523"/>
    <hyperlink r:id="rId3393" ref="L1523"/>
    <hyperlink r:id="rId3394" ref="C1524"/>
    <hyperlink r:id="rId3395" ref="K1524"/>
    <hyperlink r:id="rId3396" ref="L1524"/>
    <hyperlink r:id="rId3397" ref="C1525"/>
    <hyperlink r:id="rId3398" ref="K1525"/>
    <hyperlink r:id="rId3399" ref="L1525"/>
    <hyperlink r:id="rId3400" ref="C1526"/>
    <hyperlink r:id="rId3401" ref="C1527"/>
    <hyperlink r:id="rId3402" ref="C1528"/>
    <hyperlink r:id="rId3403" ref="K1528"/>
    <hyperlink r:id="rId3404" ref="L1528"/>
    <hyperlink r:id="rId3405" ref="C1529"/>
    <hyperlink r:id="rId3406" ref="L1529"/>
    <hyperlink r:id="rId3407" ref="C1530"/>
    <hyperlink r:id="rId3408" ref="L1530"/>
    <hyperlink r:id="rId3409" ref="C1531"/>
    <hyperlink r:id="rId3410" ref="L1531"/>
    <hyperlink r:id="rId3411" ref="C1532"/>
    <hyperlink r:id="rId3412" ref="L1532"/>
    <hyperlink r:id="rId3413" ref="C1533"/>
    <hyperlink r:id="rId3414" ref="L1533"/>
    <hyperlink r:id="rId3415" ref="C1534"/>
    <hyperlink r:id="rId3416" ref="L1534"/>
    <hyperlink r:id="rId3417" ref="C1535"/>
    <hyperlink r:id="rId3418" ref="L1535"/>
    <hyperlink r:id="rId3419" ref="C1536"/>
    <hyperlink r:id="rId3420" ref="L1536"/>
    <hyperlink r:id="rId3421" ref="C1537"/>
    <hyperlink r:id="rId3422" ref="K1537"/>
    <hyperlink r:id="rId3423" ref="L1537"/>
    <hyperlink r:id="rId3424" ref="C1538"/>
    <hyperlink r:id="rId3425" ref="L1538"/>
    <hyperlink r:id="rId3426" ref="C1539"/>
    <hyperlink r:id="rId3427" ref="K1539"/>
    <hyperlink r:id="rId3428" ref="L1539"/>
    <hyperlink r:id="rId3429" ref="C1540"/>
    <hyperlink r:id="rId3430" ref="K1540"/>
    <hyperlink r:id="rId3431" ref="L1540"/>
    <hyperlink r:id="rId3432" ref="C1541"/>
    <hyperlink r:id="rId3433" ref="K1541"/>
    <hyperlink r:id="rId3434" ref="L1541"/>
    <hyperlink r:id="rId3435" ref="C1542"/>
    <hyperlink r:id="rId3436" ref="L1542"/>
    <hyperlink r:id="rId3437" ref="C1543"/>
    <hyperlink r:id="rId3438" ref="K1543"/>
    <hyperlink r:id="rId3439" ref="L1543"/>
    <hyperlink r:id="rId3440" ref="C1544"/>
    <hyperlink r:id="rId3441" ref="K1544"/>
    <hyperlink r:id="rId3442" ref="L1544"/>
    <hyperlink r:id="rId3443" ref="C1545"/>
    <hyperlink r:id="rId3444" ref="L1545"/>
    <hyperlink r:id="rId3445" ref="C1546"/>
    <hyperlink r:id="rId3446" ref="K1546"/>
    <hyperlink r:id="rId3447" ref="L1546"/>
    <hyperlink r:id="rId3448" ref="C1547"/>
    <hyperlink r:id="rId3449" ref="K1547"/>
    <hyperlink r:id="rId3450" ref="L1547"/>
    <hyperlink r:id="rId3451" ref="C1548"/>
    <hyperlink r:id="rId3452" ref="K1548"/>
    <hyperlink r:id="rId3453" ref="L1548"/>
    <hyperlink r:id="rId3454" ref="C1549"/>
    <hyperlink r:id="rId3455" ref="K1549"/>
    <hyperlink r:id="rId3456" ref="L1549"/>
    <hyperlink r:id="rId3457" ref="C1550"/>
    <hyperlink r:id="rId3458" ref="L1550"/>
    <hyperlink r:id="rId3459" ref="C1551"/>
    <hyperlink r:id="rId3460" ref="K1551"/>
    <hyperlink r:id="rId3461" ref="L1551"/>
    <hyperlink r:id="rId3462" ref="C1552"/>
    <hyperlink r:id="rId3463" ref="K1552"/>
    <hyperlink r:id="rId3464" ref="L1552"/>
    <hyperlink r:id="rId3465" ref="C1553"/>
    <hyperlink r:id="rId3466" ref="K1553"/>
    <hyperlink r:id="rId3467" ref="C1554"/>
    <hyperlink r:id="rId3468" ref="K1554"/>
    <hyperlink r:id="rId3469" ref="L1554"/>
    <hyperlink r:id="rId3470" ref="C1555"/>
    <hyperlink r:id="rId3471" ref="L1555"/>
    <hyperlink r:id="rId3472" ref="C1556"/>
    <hyperlink r:id="rId3473" ref="L1556"/>
    <hyperlink r:id="rId3474" ref="C1557"/>
    <hyperlink r:id="rId3475" ref="L1557"/>
    <hyperlink r:id="rId3476" ref="C1558"/>
    <hyperlink r:id="rId3477" ref="L1558"/>
    <hyperlink r:id="rId3478" ref="C1559"/>
    <hyperlink r:id="rId3479" ref="L1559"/>
    <hyperlink r:id="rId3480" ref="C1560"/>
    <hyperlink r:id="rId3481" ref="L1560"/>
    <hyperlink r:id="rId3482" ref="C1561"/>
    <hyperlink r:id="rId3483" ref="L1561"/>
    <hyperlink r:id="rId3484" ref="C1562"/>
    <hyperlink r:id="rId3485" ref="L1562"/>
    <hyperlink r:id="rId3486" ref="C1563"/>
    <hyperlink r:id="rId3487" ref="L1563"/>
    <hyperlink r:id="rId3488" ref="C1564"/>
    <hyperlink r:id="rId3489" ref="L1564"/>
    <hyperlink r:id="rId3490" ref="C1565"/>
    <hyperlink r:id="rId3491" ref="L1565"/>
    <hyperlink r:id="rId3492" ref="C1566"/>
    <hyperlink r:id="rId3493" ref="L1566"/>
    <hyperlink r:id="rId3494" ref="C1567"/>
    <hyperlink r:id="rId3495" ref="L1567"/>
    <hyperlink r:id="rId3496" ref="C1568"/>
    <hyperlink r:id="rId3497" ref="L1568"/>
    <hyperlink r:id="rId3498" ref="C1569"/>
    <hyperlink r:id="rId3499" ref="L1569"/>
    <hyperlink r:id="rId3500" ref="C1570"/>
    <hyperlink r:id="rId3501" ref="L1570"/>
    <hyperlink r:id="rId3502" ref="C1571"/>
    <hyperlink r:id="rId3503" ref="L1571"/>
    <hyperlink r:id="rId3504" ref="C1572"/>
    <hyperlink r:id="rId3505" ref="K1572"/>
    <hyperlink r:id="rId3506" ref="L1572"/>
    <hyperlink r:id="rId3507" ref="C1573"/>
    <hyperlink r:id="rId3508" ref="L1573"/>
    <hyperlink r:id="rId3509" ref="C1574"/>
    <hyperlink r:id="rId3510" ref="K1574"/>
    <hyperlink r:id="rId3511" ref="C1575"/>
    <hyperlink r:id="rId3512" ref="K1575"/>
    <hyperlink r:id="rId3513" ref="L1575"/>
    <hyperlink r:id="rId3514" ref="C1576"/>
    <hyperlink r:id="rId3515" ref="L1576"/>
    <hyperlink r:id="rId3516" ref="C1577"/>
    <hyperlink r:id="rId3517" ref="L1577"/>
    <hyperlink r:id="rId3518" ref="C1578"/>
    <hyperlink r:id="rId3519" ref="L1578"/>
    <hyperlink r:id="rId3520" ref="C1579"/>
    <hyperlink r:id="rId3521" ref="L1579"/>
    <hyperlink r:id="rId3522" ref="C1580"/>
    <hyperlink r:id="rId3523" ref="L1580"/>
    <hyperlink r:id="rId3524" ref="C1581"/>
    <hyperlink r:id="rId3525" ref="L1581"/>
    <hyperlink r:id="rId3526" ref="C1582"/>
    <hyperlink r:id="rId3527" ref="L1582"/>
    <hyperlink r:id="rId3528" ref="C1583"/>
    <hyperlink r:id="rId3529" ref="K1583"/>
    <hyperlink r:id="rId3530" ref="L1583"/>
    <hyperlink r:id="rId3531" ref="C1584"/>
    <hyperlink r:id="rId3532" ref="K1584"/>
    <hyperlink r:id="rId3533" ref="L1584"/>
    <hyperlink r:id="rId3534" ref="C1585"/>
    <hyperlink r:id="rId3535" ref="L1585"/>
    <hyperlink r:id="rId3536" ref="C1586"/>
    <hyperlink r:id="rId3537" ref="L1586"/>
    <hyperlink r:id="rId3538" ref="C1587"/>
    <hyperlink r:id="rId3539" ref="L1587"/>
    <hyperlink r:id="rId3540" ref="C1588"/>
    <hyperlink r:id="rId3541" ref="L1588"/>
    <hyperlink r:id="rId3542" ref="C1589"/>
    <hyperlink r:id="rId3543" ref="L1589"/>
    <hyperlink r:id="rId3544" ref="C1590"/>
    <hyperlink r:id="rId3545" ref="L1590"/>
    <hyperlink r:id="rId3546" ref="C1591"/>
    <hyperlink r:id="rId3547" ref="L1591"/>
    <hyperlink r:id="rId3548" ref="C1592"/>
    <hyperlink r:id="rId3549" ref="L1592"/>
    <hyperlink r:id="rId3550" ref="C1593"/>
    <hyperlink r:id="rId3551" ref="L1593"/>
    <hyperlink r:id="rId3552" ref="C1594"/>
    <hyperlink r:id="rId3553" ref="L1594"/>
    <hyperlink r:id="rId3554" ref="C1595"/>
    <hyperlink r:id="rId3555" ref="K1595"/>
    <hyperlink r:id="rId3556" ref="C1596"/>
    <hyperlink r:id="rId3557" ref="L1596"/>
    <hyperlink r:id="rId3558" ref="C1597"/>
    <hyperlink r:id="rId3559" ref="L1597"/>
    <hyperlink r:id="rId3560" ref="C1598"/>
    <hyperlink r:id="rId3561" ref="K1598"/>
    <hyperlink r:id="rId3562" ref="L1598"/>
    <hyperlink r:id="rId3563" ref="C1599"/>
    <hyperlink r:id="rId3564" ref="L1599"/>
    <hyperlink r:id="rId3565" ref="C1600"/>
    <hyperlink r:id="rId3566" ref="K1600"/>
    <hyperlink r:id="rId3567" ref="L1600"/>
    <hyperlink r:id="rId3568" ref="C1601"/>
    <hyperlink r:id="rId3569" ref="L1601"/>
    <hyperlink r:id="rId3570" ref="C1602"/>
    <hyperlink r:id="rId3571" ref="L1602"/>
    <hyperlink r:id="rId3572" ref="C1603"/>
    <hyperlink r:id="rId3573" ref="L1603"/>
    <hyperlink r:id="rId3574" ref="C1604"/>
    <hyperlink r:id="rId3575" ref="L1604"/>
    <hyperlink r:id="rId3576" ref="C1605"/>
    <hyperlink r:id="rId3577" ref="L1605"/>
    <hyperlink r:id="rId3578" ref="C1606"/>
    <hyperlink r:id="rId3579" ref="K1606"/>
    <hyperlink r:id="rId3580" ref="L1606"/>
    <hyperlink r:id="rId3581" ref="C1607"/>
    <hyperlink r:id="rId3582" ref="L1607"/>
    <hyperlink r:id="rId3583" ref="C1608"/>
    <hyperlink r:id="rId3584" ref="C1609"/>
    <hyperlink r:id="rId3585" ref="K1609"/>
    <hyperlink r:id="rId3586" ref="L1609"/>
    <hyperlink r:id="rId3587" ref="C1610"/>
    <hyperlink r:id="rId3588" ref="L1610"/>
    <hyperlink r:id="rId3589" ref="C1611"/>
    <hyperlink r:id="rId3590" ref="L1611"/>
    <hyperlink r:id="rId3591" ref="C1612"/>
    <hyperlink r:id="rId3592" ref="L1612"/>
    <hyperlink r:id="rId3593" ref="C1613"/>
    <hyperlink r:id="rId3594" ref="L1613"/>
    <hyperlink r:id="rId3595" ref="C1614"/>
    <hyperlink r:id="rId3596" ref="L1614"/>
    <hyperlink r:id="rId3597" ref="C1615"/>
    <hyperlink r:id="rId3598" ref="K1615"/>
    <hyperlink r:id="rId3599" ref="L1615"/>
    <hyperlink r:id="rId3600" ref="C1616"/>
    <hyperlink r:id="rId3601" ref="K1616"/>
    <hyperlink r:id="rId3602" ref="L1616"/>
    <hyperlink r:id="rId3603" ref="C1617"/>
    <hyperlink r:id="rId3604" ref="K1617"/>
    <hyperlink r:id="rId3605" ref="L1617"/>
    <hyperlink r:id="rId3606" ref="C1618"/>
    <hyperlink r:id="rId3607" ref="L1618"/>
    <hyperlink r:id="rId3608" ref="C1619"/>
    <hyperlink r:id="rId3609" ref="L1619"/>
    <hyperlink r:id="rId3610" ref="C1620"/>
    <hyperlink r:id="rId3611" ref="L1620"/>
    <hyperlink r:id="rId3612" ref="C1621"/>
    <hyperlink r:id="rId3613" ref="L1621"/>
    <hyperlink r:id="rId3614" ref="C1622"/>
    <hyperlink r:id="rId3615" ref="L1622"/>
    <hyperlink r:id="rId3616" ref="C1623"/>
    <hyperlink r:id="rId3617" ref="L1623"/>
    <hyperlink r:id="rId3618" ref="C1624"/>
    <hyperlink r:id="rId3619" ref="K1624"/>
    <hyperlink r:id="rId3620" ref="L1624"/>
    <hyperlink r:id="rId3621" ref="C1625"/>
    <hyperlink r:id="rId3622" ref="C1626"/>
    <hyperlink r:id="rId3623" ref="L1626"/>
    <hyperlink r:id="rId3624" ref="C1627"/>
    <hyperlink r:id="rId3625" ref="L1627"/>
    <hyperlink r:id="rId3626" ref="C1628"/>
    <hyperlink r:id="rId3627" ref="L1628"/>
    <hyperlink r:id="rId3628" ref="C1629"/>
    <hyperlink r:id="rId3629" ref="K1629"/>
    <hyperlink r:id="rId3630" ref="L1629"/>
    <hyperlink r:id="rId3631" ref="C1630"/>
    <hyperlink r:id="rId3632" ref="L1630"/>
    <hyperlink r:id="rId3633" ref="C1631"/>
    <hyperlink r:id="rId3634" ref="L1631"/>
    <hyperlink r:id="rId3635" ref="C1632"/>
    <hyperlink r:id="rId3636" ref="K1632"/>
    <hyperlink r:id="rId3637" ref="L1632"/>
    <hyperlink r:id="rId3638" ref="C1633"/>
    <hyperlink r:id="rId3639" ref="K1633"/>
    <hyperlink r:id="rId3640" ref="L1633"/>
    <hyperlink r:id="rId3641" ref="C1634"/>
    <hyperlink r:id="rId3642" ref="K1634"/>
    <hyperlink r:id="rId3643" ref="L1634"/>
    <hyperlink r:id="rId3644" ref="C1635"/>
    <hyperlink r:id="rId3645" ref="K1635"/>
    <hyperlink r:id="rId3646" ref="L1635"/>
    <hyperlink r:id="rId3647" ref="C1636"/>
    <hyperlink r:id="rId3648" ref="K1636"/>
    <hyperlink r:id="rId3649" ref="L1636"/>
    <hyperlink r:id="rId3650" ref="C1637"/>
    <hyperlink r:id="rId3651" ref="L1637"/>
    <hyperlink r:id="rId3652" ref="C1638"/>
    <hyperlink r:id="rId3653" ref="K1638"/>
    <hyperlink r:id="rId3654" ref="L1638"/>
    <hyperlink r:id="rId3655" ref="C1639"/>
    <hyperlink r:id="rId3656" ref="K1639"/>
    <hyperlink r:id="rId3657" ref="L1639"/>
    <hyperlink r:id="rId3658" ref="C1640"/>
    <hyperlink r:id="rId3659" ref="L1640"/>
    <hyperlink r:id="rId3660" ref="C1641"/>
    <hyperlink r:id="rId3661" ref="L1641"/>
    <hyperlink r:id="rId3662" ref="C1642"/>
    <hyperlink r:id="rId3663" ref="L1642"/>
    <hyperlink r:id="rId3664" ref="C1643"/>
    <hyperlink r:id="rId3665" ref="L1643"/>
    <hyperlink r:id="rId3666" ref="C1644"/>
    <hyperlink r:id="rId3667" ref="L1644"/>
    <hyperlink r:id="rId3668" ref="C1645"/>
    <hyperlink r:id="rId3669" ref="L1645"/>
    <hyperlink r:id="rId3670" ref="C1646"/>
    <hyperlink r:id="rId3671" ref="L1646"/>
    <hyperlink r:id="rId3672" ref="C1647"/>
    <hyperlink r:id="rId3673" ref="L1647"/>
    <hyperlink r:id="rId3674" ref="C1648"/>
    <hyperlink r:id="rId3675" ref="L1648"/>
    <hyperlink r:id="rId3676" ref="C1649"/>
    <hyperlink r:id="rId3677" ref="L1649"/>
    <hyperlink r:id="rId3678" ref="C1650"/>
    <hyperlink r:id="rId3679" ref="L1650"/>
    <hyperlink r:id="rId3680" ref="C1651"/>
    <hyperlink r:id="rId3681" ref="L1651"/>
    <hyperlink r:id="rId3682" ref="C1652"/>
    <hyperlink r:id="rId3683" ref="L1652"/>
    <hyperlink r:id="rId3684" ref="C1653"/>
    <hyperlink r:id="rId3685" ref="L1653"/>
    <hyperlink r:id="rId3686" ref="C1654"/>
    <hyperlink r:id="rId3687" ref="K1654"/>
    <hyperlink r:id="rId3688" ref="L1654"/>
    <hyperlink r:id="rId3689" ref="C1655"/>
    <hyperlink r:id="rId3690" ref="L1655"/>
    <hyperlink r:id="rId3691" ref="C1656"/>
    <hyperlink r:id="rId3692" ref="K1656"/>
    <hyperlink r:id="rId3693" ref="L1656"/>
    <hyperlink r:id="rId3694" ref="C1657"/>
    <hyperlink r:id="rId3695" ref="L1657"/>
    <hyperlink r:id="rId3696" ref="C1658"/>
    <hyperlink r:id="rId3697" ref="L1658"/>
    <hyperlink r:id="rId3698" ref="C1659"/>
    <hyperlink r:id="rId3699" ref="L1659"/>
    <hyperlink r:id="rId3700" ref="C1660"/>
    <hyperlink r:id="rId3701" ref="L1660"/>
    <hyperlink r:id="rId3702" ref="C1661"/>
    <hyperlink r:id="rId3703" ref="L1661"/>
    <hyperlink r:id="rId3704" ref="C1662"/>
    <hyperlink r:id="rId3705" ref="L1662"/>
    <hyperlink r:id="rId3706" ref="C1663"/>
    <hyperlink r:id="rId3707" ref="K1663"/>
    <hyperlink r:id="rId3708" ref="L1663"/>
    <hyperlink r:id="rId3709" ref="C1664"/>
    <hyperlink r:id="rId3710" ref="L1664"/>
    <hyperlink r:id="rId3711" ref="C1665"/>
    <hyperlink r:id="rId3712" ref="L1665"/>
    <hyperlink r:id="rId3713" ref="C1666"/>
    <hyperlink r:id="rId3714" ref="C1667"/>
    <hyperlink r:id="rId3715" ref="L1667"/>
    <hyperlink r:id="rId3716" ref="C1668"/>
    <hyperlink r:id="rId3717" ref="K1668"/>
    <hyperlink r:id="rId3718" ref="C1669"/>
    <hyperlink r:id="rId3719" ref="K1669"/>
    <hyperlink r:id="rId3720" ref="L1669"/>
    <hyperlink r:id="rId3721" ref="C1670"/>
    <hyperlink r:id="rId3722" ref="L1670"/>
    <hyperlink r:id="rId3723" ref="C1671"/>
    <hyperlink r:id="rId3724" ref="L1671"/>
    <hyperlink r:id="rId3725" ref="C1672"/>
    <hyperlink r:id="rId3726" ref="L1672"/>
    <hyperlink r:id="rId3727" ref="C1673"/>
    <hyperlink r:id="rId3728" ref="L1673"/>
    <hyperlink r:id="rId3729" ref="C1674"/>
    <hyperlink r:id="rId3730" ref="K1674"/>
    <hyperlink r:id="rId3731" ref="L1674"/>
    <hyperlink r:id="rId3732" ref="C1675"/>
    <hyperlink r:id="rId3733" ref="K1675"/>
    <hyperlink r:id="rId3734" ref="L1675"/>
    <hyperlink r:id="rId3735" ref="C1676"/>
    <hyperlink r:id="rId3736" ref="L1676"/>
    <hyperlink r:id="rId3737" ref="C1677"/>
    <hyperlink r:id="rId3738" ref="K1677"/>
    <hyperlink r:id="rId3739" ref="C1678"/>
    <hyperlink r:id="rId3740" ref="K1678"/>
    <hyperlink r:id="rId3741" ref="C1679"/>
    <hyperlink r:id="rId3742" ref="K1679"/>
    <hyperlink r:id="rId3743" ref="C1680"/>
    <hyperlink r:id="rId3744" ref="K1680"/>
    <hyperlink r:id="rId3745" ref="C1681"/>
    <hyperlink r:id="rId3746" ref="K1681"/>
    <hyperlink r:id="rId3747" ref="C1682"/>
    <hyperlink r:id="rId3748" ref="K1682"/>
    <hyperlink r:id="rId3749" ref="L1682"/>
    <hyperlink r:id="rId3750" ref="C1683"/>
    <hyperlink r:id="rId3751" ref="K1683"/>
    <hyperlink r:id="rId3752" ref="L1683"/>
    <hyperlink r:id="rId3753" ref="C1684"/>
    <hyperlink r:id="rId3754" ref="L1684"/>
    <hyperlink r:id="rId3755" ref="C1685"/>
    <hyperlink r:id="rId3756" ref="L1685"/>
    <hyperlink r:id="rId3757" ref="C1686"/>
    <hyperlink r:id="rId3758" ref="K1686"/>
    <hyperlink r:id="rId3759" ref="L1686"/>
    <hyperlink r:id="rId3760" ref="C1687"/>
    <hyperlink r:id="rId3761" ref="K1687"/>
    <hyperlink r:id="rId3762" ref="L1687"/>
    <hyperlink r:id="rId3763" ref="C1688"/>
    <hyperlink r:id="rId3764" ref="K1688"/>
    <hyperlink r:id="rId3765" ref="L1688"/>
    <hyperlink r:id="rId3766" ref="C1689"/>
    <hyperlink r:id="rId3767" ref="L1689"/>
    <hyperlink r:id="rId3768" ref="C1690"/>
    <hyperlink r:id="rId3769" ref="K1690"/>
    <hyperlink r:id="rId3770" ref="L1690"/>
    <hyperlink r:id="rId3771" ref="C1691"/>
    <hyperlink r:id="rId3772" ref="K1691"/>
    <hyperlink r:id="rId3773" ref="C1692"/>
    <hyperlink r:id="rId3774" ref="L1692"/>
    <hyperlink r:id="rId3775" ref="C1693"/>
    <hyperlink r:id="rId3776" ref="K1693"/>
    <hyperlink r:id="rId3777" ref="L1693"/>
    <hyperlink r:id="rId3778" ref="C1694"/>
    <hyperlink r:id="rId3779" ref="L1694"/>
    <hyperlink r:id="rId3780" ref="C1695"/>
    <hyperlink r:id="rId3781" ref="K1695"/>
    <hyperlink r:id="rId3782" ref="L1695"/>
    <hyperlink r:id="rId3783" ref="C1696"/>
    <hyperlink r:id="rId3784" ref="L1696"/>
    <hyperlink r:id="rId3785" ref="C1697"/>
    <hyperlink r:id="rId3786" ref="L1697"/>
    <hyperlink r:id="rId3787" ref="C1698"/>
    <hyperlink r:id="rId3788" ref="L1698"/>
    <hyperlink r:id="rId3789" ref="C1699"/>
    <hyperlink r:id="rId3790" ref="L1699"/>
    <hyperlink r:id="rId3791" ref="C1700"/>
    <hyperlink r:id="rId3792" ref="L1700"/>
    <hyperlink r:id="rId3793" ref="C1701"/>
    <hyperlink r:id="rId3794" ref="L1701"/>
    <hyperlink r:id="rId3795" ref="C1702"/>
    <hyperlink r:id="rId3796" ref="K1702"/>
    <hyperlink r:id="rId3797" ref="C1703"/>
    <hyperlink r:id="rId3798" ref="K1703"/>
    <hyperlink r:id="rId3799" ref="C1704"/>
    <hyperlink r:id="rId3800" ref="K1704"/>
    <hyperlink r:id="rId3801" ref="L1704"/>
    <hyperlink r:id="rId3802" ref="C1705"/>
    <hyperlink r:id="rId3803" ref="L1705"/>
    <hyperlink r:id="rId3804" ref="C1706"/>
    <hyperlink r:id="rId3805" ref="K1706"/>
    <hyperlink r:id="rId3806" ref="L1706"/>
    <hyperlink r:id="rId3807" ref="C1707"/>
    <hyperlink r:id="rId3808" ref="L1707"/>
    <hyperlink r:id="rId3809" ref="C1708"/>
    <hyperlink r:id="rId3810" ref="L1708"/>
    <hyperlink r:id="rId3811" ref="C1709"/>
    <hyperlink r:id="rId3812" ref="L1709"/>
    <hyperlink r:id="rId3813" ref="C1710"/>
    <hyperlink r:id="rId3814" ref="K1710"/>
    <hyperlink r:id="rId3815" ref="L1710"/>
    <hyperlink r:id="rId3816" ref="C1711"/>
    <hyperlink r:id="rId3817" ref="K1711"/>
    <hyperlink r:id="rId3818" ref="L1711"/>
    <hyperlink r:id="rId3819" ref="C1712"/>
    <hyperlink r:id="rId3820" ref="K1712"/>
    <hyperlink r:id="rId3821" ref="L1712"/>
    <hyperlink r:id="rId3822" ref="C1713"/>
    <hyperlink r:id="rId3823" ref="K1713"/>
    <hyperlink r:id="rId3824" ref="L1713"/>
    <hyperlink r:id="rId3825" ref="C1714"/>
    <hyperlink r:id="rId3826" ref="L1714"/>
    <hyperlink r:id="rId3827" ref="C1715"/>
    <hyperlink r:id="rId3828" ref="L1715"/>
    <hyperlink r:id="rId3829" ref="C1716"/>
    <hyperlink r:id="rId3830" ref="L1716"/>
    <hyperlink r:id="rId3831" ref="C1717"/>
    <hyperlink r:id="rId3832" ref="K1717"/>
    <hyperlink r:id="rId3833" ref="L1717"/>
    <hyperlink r:id="rId3834" ref="C1718"/>
    <hyperlink r:id="rId3835" ref="L1718"/>
    <hyperlink r:id="rId3836" ref="C1719"/>
    <hyperlink r:id="rId3837" ref="L1719"/>
    <hyperlink r:id="rId3838" ref="C1720"/>
    <hyperlink r:id="rId3839" ref="L1720"/>
    <hyperlink r:id="rId3840" ref="C1721"/>
    <hyperlink r:id="rId3841" ref="L1721"/>
    <hyperlink r:id="rId3842" ref="C1722"/>
    <hyperlink r:id="rId3843" ref="L1722"/>
    <hyperlink r:id="rId3844" ref="C1723"/>
    <hyperlink r:id="rId3845" ref="L1723"/>
    <hyperlink r:id="rId3846" ref="C1724"/>
    <hyperlink r:id="rId3847" ref="K1724"/>
    <hyperlink r:id="rId3848" ref="L1724"/>
    <hyperlink r:id="rId3849" ref="C1725"/>
    <hyperlink r:id="rId3850" ref="L1725"/>
    <hyperlink r:id="rId3851" ref="C1726"/>
    <hyperlink r:id="rId3852" ref="L1726"/>
    <hyperlink r:id="rId3853" ref="C1727"/>
    <hyperlink r:id="rId3854" ref="L1727"/>
    <hyperlink r:id="rId3855" ref="C1728"/>
    <hyperlink r:id="rId3856" ref="L1728"/>
    <hyperlink r:id="rId3857" ref="C1729"/>
    <hyperlink r:id="rId3858" ref="L1729"/>
    <hyperlink r:id="rId3859" ref="C1730"/>
    <hyperlink r:id="rId3860" ref="K1730"/>
    <hyperlink r:id="rId3861" ref="L1730"/>
    <hyperlink r:id="rId3862" ref="C1731"/>
    <hyperlink r:id="rId3863" ref="K1731"/>
    <hyperlink r:id="rId3864" ref="L1731"/>
    <hyperlink r:id="rId3865" ref="C1732"/>
    <hyperlink r:id="rId3866" ref="K1732"/>
    <hyperlink r:id="rId3867" ref="L1732"/>
    <hyperlink r:id="rId3868" ref="C1733"/>
    <hyperlink r:id="rId3869" ref="K1733"/>
    <hyperlink r:id="rId3870" ref="L1733"/>
    <hyperlink r:id="rId3871" ref="C1734"/>
    <hyperlink r:id="rId3872" ref="K1734"/>
    <hyperlink r:id="rId3873" ref="L1734"/>
    <hyperlink r:id="rId3874" ref="C1735"/>
    <hyperlink r:id="rId3875" ref="K1735"/>
    <hyperlink r:id="rId3876" ref="L1735"/>
    <hyperlink r:id="rId3877" ref="C1736"/>
    <hyperlink r:id="rId3878" ref="K1736"/>
    <hyperlink r:id="rId3879" ref="L1736"/>
    <hyperlink r:id="rId3880" ref="C1737"/>
    <hyperlink r:id="rId3881" ref="L1737"/>
    <hyperlink r:id="rId3882" ref="C1738"/>
    <hyperlink r:id="rId3883" ref="L1738"/>
    <hyperlink r:id="rId3884" ref="C1739"/>
    <hyperlink r:id="rId3885" ref="K1739"/>
    <hyperlink r:id="rId3886" ref="L1739"/>
    <hyperlink r:id="rId3887" ref="C1740"/>
    <hyperlink r:id="rId3888" ref="K1740"/>
    <hyperlink r:id="rId3889" ref="C1741"/>
    <hyperlink r:id="rId3890" ref="L1741"/>
    <hyperlink r:id="rId3891" ref="C1742"/>
    <hyperlink r:id="rId3892" ref="K1742"/>
    <hyperlink r:id="rId3893" ref="L1742"/>
    <hyperlink r:id="rId3894" ref="C1743"/>
    <hyperlink r:id="rId3895" ref="K1743"/>
    <hyperlink r:id="rId3896" ref="L1743"/>
    <hyperlink r:id="rId3897" ref="C1744"/>
    <hyperlink r:id="rId3898" ref="K1744"/>
    <hyperlink r:id="rId3899" ref="L1744"/>
    <hyperlink r:id="rId3900" ref="C1745"/>
    <hyperlink r:id="rId3901" ref="K1745"/>
    <hyperlink r:id="rId3902" ref="L1745"/>
    <hyperlink r:id="rId3903" ref="C1746"/>
    <hyperlink r:id="rId3904" ref="L1746"/>
    <hyperlink r:id="rId3905" ref="C1747"/>
    <hyperlink r:id="rId3906" ref="L1747"/>
    <hyperlink r:id="rId3907" ref="C1748"/>
    <hyperlink r:id="rId3908" ref="L1748"/>
    <hyperlink r:id="rId3909" ref="C1749"/>
    <hyperlink r:id="rId3910" ref="L1749"/>
    <hyperlink r:id="rId3911" ref="C1750"/>
    <hyperlink r:id="rId3912" ref="K1750"/>
    <hyperlink r:id="rId3913" ref="L1750"/>
    <hyperlink r:id="rId3914" ref="C1751"/>
    <hyperlink r:id="rId3915" ref="K1751"/>
    <hyperlink r:id="rId3916" ref="L1751"/>
    <hyperlink r:id="rId3917" ref="C1752"/>
    <hyperlink r:id="rId3918" ref="L1752"/>
    <hyperlink r:id="rId3919" ref="C1753"/>
    <hyperlink r:id="rId3920" ref="K1753"/>
    <hyperlink r:id="rId3921" ref="L1753"/>
    <hyperlink r:id="rId3922" ref="C1754"/>
    <hyperlink r:id="rId3923" ref="L1754"/>
    <hyperlink r:id="rId3924" ref="C1755"/>
    <hyperlink r:id="rId3925" ref="K1755"/>
    <hyperlink r:id="rId3926" ref="L1755"/>
    <hyperlink r:id="rId3927" ref="C1756"/>
    <hyperlink r:id="rId3928" ref="C1757"/>
    <hyperlink r:id="rId3929" ref="C1758"/>
    <hyperlink r:id="rId3930" ref="K1758"/>
    <hyperlink r:id="rId3931" ref="L1758"/>
    <hyperlink r:id="rId3932" ref="C1759"/>
    <hyperlink r:id="rId3933" ref="K1759"/>
    <hyperlink r:id="rId3934" ref="L1759"/>
    <hyperlink r:id="rId3935" ref="C1760"/>
    <hyperlink r:id="rId3936" ref="L1760"/>
    <hyperlink r:id="rId3937" ref="C1761"/>
    <hyperlink r:id="rId3938" ref="L1761"/>
    <hyperlink r:id="rId3939" ref="C1762"/>
    <hyperlink r:id="rId3940" ref="L1762"/>
    <hyperlink r:id="rId3941" ref="C1763"/>
    <hyperlink r:id="rId3942" ref="L1763"/>
    <hyperlink r:id="rId3943" ref="C1764"/>
    <hyperlink r:id="rId3944" ref="L1764"/>
    <hyperlink r:id="rId3945" ref="C1765"/>
    <hyperlink r:id="rId3946" ref="K1765"/>
    <hyperlink r:id="rId3947" ref="L1765"/>
    <hyperlink r:id="rId3948" ref="C1766"/>
    <hyperlink r:id="rId3949" ref="K1766"/>
    <hyperlink r:id="rId3950" ref="L1766"/>
    <hyperlink r:id="rId3951" ref="C1767"/>
    <hyperlink r:id="rId3952" ref="L1767"/>
    <hyperlink r:id="rId3953" ref="C1768"/>
    <hyperlink r:id="rId3954" ref="L1768"/>
    <hyperlink r:id="rId3955" ref="C1769"/>
    <hyperlink r:id="rId3956" ref="L1769"/>
    <hyperlink r:id="rId3957" ref="C1770"/>
    <hyperlink r:id="rId3958" ref="K1770"/>
    <hyperlink r:id="rId3959" ref="L1770"/>
    <hyperlink r:id="rId3960" ref="C1771"/>
    <hyperlink r:id="rId3961" ref="K1771"/>
    <hyperlink r:id="rId3962" ref="L1771"/>
    <hyperlink r:id="rId3963" ref="C1772"/>
    <hyperlink r:id="rId3964" ref="L1772"/>
    <hyperlink r:id="rId3965" ref="C1773"/>
    <hyperlink r:id="rId3966" ref="K1773"/>
    <hyperlink r:id="rId3967" ref="C1774"/>
    <hyperlink r:id="rId3968" ref="K1774"/>
    <hyperlink r:id="rId3969" ref="L1774"/>
    <hyperlink r:id="rId3970" ref="C1775"/>
    <hyperlink r:id="rId3971" ref="L1775"/>
    <hyperlink r:id="rId3972" ref="C1776"/>
    <hyperlink r:id="rId3973" ref="L1776"/>
    <hyperlink r:id="rId3974" ref="C1777"/>
    <hyperlink r:id="rId3975" ref="L1777"/>
    <hyperlink r:id="rId3976" ref="C1778"/>
    <hyperlink r:id="rId3977" ref="L1778"/>
    <hyperlink r:id="rId3978" ref="C1779"/>
    <hyperlink r:id="rId3979" ref="L1779"/>
    <hyperlink r:id="rId3980" ref="C1780"/>
    <hyperlink r:id="rId3981" ref="L1780"/>
    <hyperlink r:id="rId3982" ref="C1781"/>
    <hyperlink r:id="rId3983" ref="L1781"/>
    <hyperlink r:id="rId3984" ref="C1782"/>
    <hyperlink r:id="rId3985" ref="L1782"/>
    <hyperlink r:id="rId3986" ref="C1783"/>
    <hyperlink r:id="rId3987" ref="K1783"/>
    <hyperlink r:id="rId3988" ref="L1783"/>
    <hyperlink r:id="rId3989" ref="C1784"/>
    <hyperlink r:id="rId3990" ref="K1784"/>
    <hyperlink r:id="rId3991" ref="L1784"/>
    <hyperlink r:id="rId3992" ref="C1785"/>
    <hyperlink r:id="rId3993" ref="L1785"/>
    <hyperlink r:id="rId3994" ref="C1786"/>
    <hyperlink r:id="rId3995" ref="L1786"/>
    <hyperlink r:id="rId3996" ref="C1787"/>
    <hyperlink r:id="rId3997" ref="L1787"/>
    <hyperlink r:id="rId3998" ref="C1788"/>
    <hyperlink r:id="rId3999" ref="L1788"/>
    <hyperlink r:id="rId4000" ref="C1789"/>
    <hyperlink r:id="rId4001" ref="L1789"/>
    <hyperlink r:id="rId4002" ref="C1790"/>
    <hyperlink r:id="rId4003" ref="L1790"/>
    <hyperlink r:id="rId4004" ref="C1791"/>
    <hyperlink r:id="rId4005" ref="L1791"/>
    <hyperlink r:id="rId4006" ref="C1792"/>
    <hyperlink r:id="rId4007" ref="L1792"/>
    <hyperlink r:id="rId4008" ref="C1793"/>
    <hyperlink r:id="rId4009" ref="K1793"/>
    <hyperlink r:id="rId4010" ref="L1793"/>
    <hyperlink r:id="rId4011" ref="C1794"/>
    <hyperlink r:id="rId4012" ref="L1794"/>
    <hyperlink r:id="rId4013" ref="C1795"/>
    <hyperlink r:id="rId4014" ref="L1795"/>
    <hyperlink r:id="rId4015" ref="C1796"/>
    <hyperlink r:id="rId4016" ref="L1796"/>
    <hyperlink r:id="rId4017" ref="C1797"/>
    <hyperlink r:id="rId4018" ref="L1797"/>
    <hyperlink r:id="rId4019" ref="C1798"/>
    <hyperlink r:id="rId4020" ref="L1798"/>
    <hyperlink r:id="rId4021" ref="C1799"/>
    <hyperlink r:id="rId4022" ref="L1799"/>
    <hyperlink r:id="rId4023" ref="C1800"/>
    <hyperlink r:id="rId4024" ref="K1800"/>
    <hyperlink r:id="rId4025" ref="L1800"/>
    <hyperlink r:id="rId4026" ref="C1801"/>
    <hyperlink r:id="rId4027" ref="L1801"/>
    <hyperlink r:id="rId4028" ref="C1802"/>
    <hyperlink r:id="rId4029" ref="K1802"/>
    <hyperlink r:id="rId4030" ref="L1802"/>
    <hyperlink r:id="rId4031" ref="C1803"/>
    <hyperlink r:id="rId4032" ref="K1803"/>
    <hyperlink r:id="rId4033" ref="L1803"/>
    <hyperlink r:id="rId4034" ref="C1804"/>
    <hyperlink r:id="rId4035" ref="L1804"/>
    <hyperlink r:id="rId4036" ref="C1805"/>
    <hyperlink r:id="rId4037" ref="L1805"/>
    <hyperlink r:id="rId4038" ref="C1806"/>
    <hyperlink r:id="rId4039" ref="L1806"/>
    <hyperlink r:id="rId4040" ref="C1807"/>
    <hyperlink r:id="rId4041" ref="L1807"/>
    <hyperlink r:id="rId4042" ref="C1808"/>
    <hyperlink r:id="rId4043" ref="L1808"/>
    <hyperlink r:id="rId4044" ref="C1809"/>
    <hyperlink r:id="rId4045" ref="L1809"/>
    <hyperlink r:id="rId4046" ref="C1810"/>
    <hyperlink r:id="rId4047" ref="L1810"/>
    <hyperlink r:id="rId4048" ref="C1811"/>
    <hyperlink r:id="rId4049" ref="K1811"/>
    <hyperlink r:id="rId4050" ref="L1811"/>
    <hyperlink r:id="rId4051" ref="C1812"/>
    <hyperlink r:id="rId4052" ref="K1812"/>
    <hyperlink r:id="rId4053" ref="L1812"/>
    <hyperlink r:id="rId4054" ref="C1813"/>
    <hyperlink r:id="rId4055" ref="K1813"/>
    <hyperlink r:id="rId4056" ref="L1813"/>
    <hyperlink r:id="rId4057" ref="C1814"/>
    <hyperlink r:id="rId4058" ref="C1815"/>
    <hyperlink r:id="rId4059" ref="K1815"/>
    <hyperlink r:id="rId4060" ref="L1815"/>
    <hyperlink r:id="rId4061" ref="C1816"/>
    <hyperlink r:id="rId4062" ref="L1816"/>
    <hyperlink r:id="rId4063" ref="C1817"/>
    <hyperlink r:id="rId4064" ref="L1817"/>
    <hyperlink r:id="rId4065" ref="C1818"/>
    <hyperlink r:id="rId4066" ref="K1818"/>
    <hyperlink r:id="rId4067" ref="L1818"/>
    <hyperlink r:id="rId4068" ref="C1819"/>
    <hyperlink r:id="rId4069" ref="L1819"/>
    <hyperlink r:id="rId4070" ref="C1820"/>
    <hyperlink r:id="rId4071" ref="L1820"/>
    <hyperlink r:id="rId4072" ref="C1821"/>
    <hyperlink r:id="rId4073" ref="L1821"/>
    <hyperlink r:id="rId4074" ref="C1822"/>
    <hyperlink r:id="rId4075" ref="L1822"/>
    <hyperlink r:id="rId4076" ref="C1823"/>
    <hyperlink r:id="rId4077" ref="K1823"/>
    <hyperlink r:id="rId4078" ref="L1823"/>
    <hyperlink r:id="rId4079" ref="C1824"/>
    <hyperlink r:id="rId4080" ref="L1824"/>
    <hyperlink r:id="rId4081" ref="C1825"/>
    <hyperlink r:id="rId4082" ref="K1825"/>
    <hyperlink r:id="rId4083" ref="L1825"/>
    <hyperlink r:id="rId4084" ref="C1826"/>
    <hyperlink r:id="rId4085" ref="K1826"/>
    <hyperlink r:id="rId4086" ref="L1826"/>
    <hyperlink r:id="rId4087" ref="C1827"/>
    <hyperlink r:id="rId4088" ref="L1827"/>
    <hyperlink r:id="rId4089" ref="C1828"/>
    <hyperlink r:id="rId4090" ref="L1828"/>
    <hyperlink r:id="rId4091" ref="C1829"/>
    <hyperlink r:id="rId4092" ref="K1829"/>
    <hyperlink r:id="rId4093" ref="L1829"/>
    <hyperlink r:id="rId4094" ref="C1830"/>
    <hyperlink r:id="rId4095" ref="K1830"/>
    <hyperlink r:id="rId4096" ref="L1830"/>
    <hyperlink r:id="rId4097" ref="C1831"/>
    <hyperlink r:id="rId4098" ref="C1832"/>
    <hyperlink r:id="rId4099" ref="C1833"/>
    <hyperlink r:id="rId4100" ref="C1834"/>
    <hyperlink r:id="rId4101" ref="K1834"/>
    <hyperlink r:id="rId4102" ref="C1835"/>
    <hyperlink r:id="rId4103" ref="K1835"/>
    <hyperlink r:id="rId4104" ref="L1835"/>
    <hyperlink r:id="rId4105" ref="C1836"/>
    <hyperlink r:id="rId4106" ref="K1836"/>
    <hyperlink r:id="rId4107" ref="L1836"/>
    <hyperlink r:id="rId4108" ref="C1837"/>
    <hyperlink r:id="rId4109" ref="L1837"/>
    <hyperlink r:id="rId4110" ref="C1838"/>
    <hyperlink r:id="rId4111" ref="L1838"/>
    <hyperlink r:id="rId4112" ref="C1839"/>
    <hyperlink r:id="rId4113" ref="K1839"/>
    <hyperlink r:id="rId4114" ref="L1839"/>
    <hyperlink r:id="rId4115" ref="C1840"/>
    <hyperlink r:id="rId4116" ref="L1840"/>
    <hyperlink r:id="rId4117" ref="C1841"/>
    <hyperlink r:id="rId4118" ref="K1841"/>
    <hyperlink r:id="rId4119" ref="L1841"/>
    <hyperlink r:id="rId4120" ref="C1842"/>
    <hyperlink r:id="rId4121" ref="L1842"/>
    <hyperlink r:id="rId4122" ref="C1843"/>
    <hyperlink r:id="rId4123" ref="L1843"/>
    <hyperlink r:id="rId4124" ref="C1844"/>
    <hyperlink r:id="rId4125" ref="L1844"/>
    <hyperlink r:id="rId4126" ref="C1845"/>
    <hyperlink r:id="rId4127" ref="L1845"/>
    <hyperlink r:id="rId4128" ref="C1846"/>
    <hyperlink r:id="rId4129" ref="L1846"/>
    <hyperlink r:id="rId4130" ref="C1847"/>
    <hyperlink r:id="rId4131" ref="K1847"/>
    <hyperlink r:id="rId4132" ref="L1847"/>
    <hyperlink r:id="rId4133" ref="C1848"/>
    <hyperlink r:id="rId4134" ref="L1848"/>
    <hyperlink r:id="rId4135" ref="C1849"/>
    <hyperlink r:id="rId4136" ref="L1849"/>
    <hyperlink r:id="rId4137" ref="C1850"/>
    <hyperlink r:id="rId4138" ref="L1850"/>
    <hyperlink r:id="rId4139" ref="C1851"/>
    <hyperlink r:id="rId4140" ref="L1851"/>
    <hyperlink r:id="rId4141" ref="C1852"/>
    <hyperlink r:id="rId4142" ref="L1852"/>
    <hyperlink r:id="rId4143" ref="C1853"/>
    <hyperlink r:id="rId4144" ref="L1853"/>
    <hyperlink r:id="rId4145" ref="C1854"/>
    <hyperlink r:id="rId4146" ref="L1854"/>
    <hyperlink r:id="rId4147" ref="C1855"/>
    <hyperlink r:id="rId4148" ref="K1855"/>
    <hyperlink r:id="rId4149" ref="L1855"/>
    <hyperlink r:id="rId4150" ref="C1856"/>
    <hyperlink r:id="rId4151" ref="L1856"/>
    <hyperlink r:id="rId4152" ref="C1857"/>
    <hyperlink r:id="rId4153" ref="L1857"/>
    <hyperlink r:id="rId4154" ref="C1858"/>
    <hyperlink r:id="rId4155" ref="L1858"/>
    <hyperlink r:id="rId4156" ref="C1859"/>
    <hyperlink r:id="rId4157" ref="K1859"/>
    <hyperlink r:id="rId4158" ref="L1859"/>
    <hyperlink r:id="rId4159" ref="C1860"/>
    <hyperlink r:id="rId4160" ref="K1860"/>
    <hyperlink r:id="rId4161" ref="C1861"/>
    <hyperlink r:id="rId4162" ref="L1861"/>
    <hyperlink r:id="rId4163" ref="C1862"/>
    <hyperlink r:id="rId4164" ref="L1862"/>
    <hyperlink r:id="rId4165" ref="C1863"/>
    <hyperlink r:id="rId4166" ref="L1863"/>
    <hyperlink r:id="rId4167" ref="C1864"/>
    <hyperlink r:id="rId4168" ref="K1864"/>
    <hyperlink r:id="rId4169" ref="L1864"/>
    <hyperlink r:id="rId4170" ref="C1865"/>
    <hyperlink r:id="rId4171" ref="L1865"/>
    <hyperlink r:id="rId4172" ref="C1866"/>
    <hyperlink r:id="rId4173" ref="L1866"/>
    <hyperlink r:id="rId4174" ref="C1867"/>
    <hyperlink r:id="rId4175" ref="K1867"/>
    <hyperlink r:id="rId4176" ref="L1867"/>
    <hyperlink r:id="rId4177" ref="C1868"/>
    <hyperlink r:id="rId4178" ref="K1868"/>
    <hyperlink r:id="rId4179" ref="L1868"/>
    <hyperlink r:id="rId4180" ref="C1869"/>
    <hyperlink r:id="rId4181" ref="C1870"/>
    <hyperlink r:id="rId4182" ref="K1870"/>
    <hyperlink r:id="rId4183" ref="L1870"/>
    <hyperlink r:id="rId4184" ref="C1871"/>
    <hyperlink r:id="rId4185" ref="L1871"/>
    <hyperlink r:id="rId4186" ref="C1872"/>
    <hyperlink r:id="rId4187" ref="K1872"/>
    <hyperlink r:id="rId4188" ref="L1872"/>
    <hyperlink r:id="rId4189" ref="C1873"/>
    <hyperlink r:id="rId4190" ref="K1873"/>
    <hyperlink r:id="rId4191" ref="L1873"/>
    <hyperlink r:id="rId4192" ref="C1874"/>
    <hyperlink r:id="rId4193" ref="K1874"/>
    <hyperlink r:id="rId4194" ref="L1874"/>
    <hyperlink r:id="rId4195" ref="C1875"/>
    <hyperlink r:id="rId4196" ref="K1875"/>
    <hyperlink r:id="rId4197" ref="L1875"/>
    <hyperlink r:id="rId4198" ref="C1876"/>
    <hyperlink r:id="rId4199" ref="K1876"/>
    <hyperlink r:id="rId4200" ref="L1876"/>
    <hyperlink r:id="rId4201" ref="C1877"/>
    <hyperlink r:id="rId4202" ref="K1877"/>
    <hyperlink r:id="rId4203" ref="L1877"/>
    <hyperlink r:id="rId4204" ref="C1878"/>
    <hyperlink r:id="rId4205" ref="L1878"/>
    <hyperlink r:id="rId4206" ref="C1879"/>
    <hyperlink r:id="rId4207" ref="K1879"/>
    <hyperlink r:id="rId4208" ref="L1879"/>
    <hyperlink r:id="rId4209" ref="C1880"/>
    <hyperlink r:id="rId4210" ref="L1880"/>
    <hyperlink r:id="rId4211" ref="C1881"/>
    <hyperlink r:id="rId4212" ref="K1881"/>
    <hyperlink r:id="rId4213" ref="L1881"/>
    <hyperlink r:id="rId4214" ref="C1882"/>
    <hyperlink r:id="rId4215" ref="L1882"/>
    <hyperlink r:id="rId4216" ref="C1883"/>
    <hyperlink r:id="rId4217" ref="K1883"/>
    <hyperlink r:id="rId4218" ref="L1883"/>
    <hyperlink r:id="rId4219" ref="C1884"/>
    <hyperlink r:id="rId4220" ref="L1884"/>
    <hyperlink r:id="rId4221" ref="C1885"/>
    <hyperlink r:id="rId4222" ref="L1885"/>
    <hyperlink r:id="rId4223" ref="C1886"/>
    <hyperlink r:id="rId4224" ref="L1886"/>
    <hyperlink r:id="rId4225" ref="C1887"/>
    <hyperlink r:id="rId4226" ref="L1887"/>
    <hyperlink r:id="rId4227" ref="C1888"/>
    <hyperlink r:id="rId4228" ref="L1888"/>
    <hyperlink r:id="rId4229" ref="C1889"/>
    <hyperlink r:id="rId4230" ref="K1889"/>
    <hyperlink r:id="rId4231" ref="L1889"/>
    <hyperlink r:id="rId4232" ref="C1890"/>
    <hyperlink r:id="rId4233" ref="K1890"/>
    <hyperlink r:id="rId4234" ref="L1890"/>
    <hyperlink r:id="rId4235" ref="C1891"/>
    <hyperlink r:id="rId4236" ref="L1891"/>
    <hyperlink r:id="rId4237" ref="C1892"/>
    <hyperlink r:id="rId4238" ref="K1892"/>
    <hyperlink r:id="rId4239" ref="L1892"/>
    <hyperlink r:id="rId4240" ref="C1893"/>
    <hyperlink r:id="rId4241" ref="K1893"/>
    <hyperlink r:id="rId4242" ref="L1893"/>
    <hyperlink r:id="rId4243" ref="C1894"/>
    <hyperlink r:id="rId4244" ref="K1894"/>
    <hyperlink r:id="rId4245" ref="L1894"/>
    <hyperlink r:id="rId4246" ref="C1895"/>
    <hyperlink r:id="rId4247" ref="L1895"/>
    <hyperlink r:id="rId4248" ref="C1896"/>
    <hyperlink r:id="rId4249" ref="L1896"/>
    <hyperlink r:id="rId4250" ref="C1897"/>
    <hyperlink r:id="rId4251" ref="L1897"/>
    <hyperlink r:id="rId4252" ref="C1898"/>
    <hyperlink r:id="rId4253" ref="K1898"/>
    <hyperlink r:id="rId4254" ref="C1899"/>
    <hyperlink r:id="rId4255" ref="L1899"/>
    <hyperlink r:id="rId4256" ref="C1900"/>
    <hyperlink r:id="rId4257" ref="L1900"/>
    <hyperlink r:id="rId4258" ref="C1901"/>
    <hyperlink r:id="rId4259" ref="C1902"/>
    <hyperlink r:id="rId4260" ref="L1902"/>
    <hyperlink r:id="rId4261" ref="C1903"/>
    <hyperlink r:id="rId4262" ref="K1903"/>
    <hyperlink r:id="rId4263" ref="L1903"/>
    <hyperlink r:id="rId4264" ref="C1904"/>
    <hyperlink r:id="rId4265" ref="K1904"/>
    <hyperlink r:id="rId4266" ref="L1904"/>
    <hyperlink r:id="rId4267" ref="C1905"/>
    <hyperlink r:id="rId4268" ref="C1906"/>
    <hyperlink r:id="rId4269" ref="L1906"/>
    <hyperlink r:id="rId4270" ref="C1907"/>
    <hyperlink r:id="rId4271" ref="L1907"/>
    <hyperlink r:id="rId4272" ref="C1908"/>
    <hyperlink r:id="rId4273" ref="L1908"/>
    <hyperlink r:id="rId4274" ref="C1909"/>
    <hyperlink r:id="rId4275" ref="K1909"/>
    <hyperlink r:id="rId4276" ref="L1909"/>
    <hyperlink r:id="rId4277" ref="C1910"/>
    <hyperlink r:id="rId4278" ref="L1910"/>
    <hyperlink r:id="rId4279" ref="C1911"/>
    <hyperlink r:id="rId4280" ref="L1911"/>
    <hyperlink r:id="rId4281" ref="C1912"/>
    <hyperlink r:id="rId4282" ref="K1912"/>
    <hyperlink r:id="rId4283" ref="L1912"/>
    <hyperlink r:id="rId4284" ref="C1913"/>
    <hyperlink r:id="rId4285" ref="L1913"/>
    <hyperlink r:id="rId4286" ref="C1914"/>
    <hyperlink r:id="rId4287" ref="L1914"/>
    <hyperlink r:id="rId4288" ref="C1915"/>
    <hyperlink r:id="rId4289" ref="L1915"/>
    <hyperlink r:id="rId4290" ref="C1916"/>
    <hyperlink r:id="rId4291" ref="K1916"/>
    <hyperlink r:id="rId4292" ref="L1916"/>
    <hyperlink r:id="rId4293" ref="C1917"/>
    <hyperlink r:id="rId4294" ref="L1917"/>
    <hyperlink r:id="rId4295" ref="C1918"/>
    <hyperlink r:id="rId4296" ref="L1918"/>
    <hyperlink r:id="rId4297" ref="C1919"/>
    <hyperlink r:id="rId4298" ref="K1919"/>
    <hyperlink r:id="rId4299" ref="L1919"/>
    <hyperlink r:id="rId4300" ref="C1920"/>
    <hyperlink r:id="rId4301" ref="L1920"/>
    <hyperlink r:id="rId4302" ref="C1921"/>
    <hyperlink r:id="rId4303" ref="L1921"/>
    <hyperlink r:id="rId4304" ref="C1922"/>
    <hyperlink r:id="rId4305" ref="L1922"/>
    <hyperlink r:id="rId4306" ref="C1923"/>
    <hyperlink r:id="rId4307" ref="L1923"/>
    <hyperlink r:id="rId4308" ref="C1924"/>
    <hyperlink r:id="rId4309" ref="K1924"/>
    <hyperlink r:id="rId4310" ref="L1924"/>
    <hyperlink r:id="rId4311" ref="C1925"/>
    <hyperlink r:id="rId4312" ref="L1925"/>
    <hyperlink r:id="rId4313" ref="C1926"/>
    <hyperlink r:id="rId4314" ref="L1926"/>
    <hyperlink r:id="rId4315" ref="C1927"/>
    <hyperlink r:id="rId4316" ref="K1927"/>
    <hyperlink r:id="rId4317" ref="L1927"/>
    <hyperlink r:id="rId4318" ref="C1928"/>
    <hyperlink r:id="rId4319" ref="C1929"/>
    <hyperlink r:id="rId4320" ref="L1929"/>
    <hyperlink r:id="rId4321" ref="C1930"/>
    <hyperlink r:id="rId4322" ref="K1930"/>
    <hyperlink r:id="rId4323" ref="C1931"/>
    <hyperlink r:id="rId4324" ref="C1932"/>
    <hyperlink r:id="rId4325" ref="K1932"/>
    <hyperlink r:id="rId4326" ref="L1932"/>
    <hyperlink r:id="rId4327" ref="C1933"/>
    <hyperlink r:id="rId4328" ref="K1933"/>
    <hyperlink r:id="rId4329" ref="L1933"/>
    <hyperlink r:id="rId4330" ref="C1934"/>
    <hyperlink r:id="rId4331" ref="K1934"/>
    <hyperlink r:id="rId4332" ref="L1934"/>
    <hyperlink r:id="rId4333" ref="C1935"/>
    <hyperlink r:id="rId4334" ref="K1935"/>
    <hyperlink r:id="rId4335" ref="L1935"/>
    <hyperlink r:id="rId4336" ref="C1936"/>
    <hyperlink r:id="rId4337" ref="K1936"/>
    <hyperlink r:id="rId4338" ref="L1936"/>
    <hyperlink r:id="rId4339" ref="C1937"/>
    <hyperlink r:id="rId4340" ref="L1937"/>
    <hyperlink r:id="rId4341" ref="C1938"/>
    <hyperlink r:id="rId4342" ref="L1938"/>
    <hyperlink r:id="rId4343" ref="C1939"/>
    <hyperlink r:id="rId4344" ref="L1939"/>
    <hyperlink r:id="rId4345" ref="C1940"/>
    <hyperlink r:id="rId4346" ref="L1940"/>
    <hyperlink r:id="rId4347" ref="C1941"/>
    <hyperlink r:id="rId4348" ref="K1941"/>
    <hyperlink r:id="rId4349" ref="C1942"/>
    <hyperlink r:id="rId4350" ref="L1942"/>
    <hyperlink r:id="rId4351" ref="C1943"/>
    <hyperlink r:id="rId4352" ref="L1943"/>
    <hyperlink r:id="rId4353" ref="C1944"/>
    <hyperlink r:id="rId4354" ref="L1944"/>
    <hyperlink r:id="rId4355" ref="C1945"/>
    <hyperlink r:id="rId4356" ref="L1945"/>
    <hyperlink r:id="rId4357" ref="C1946"/>
    <hyperlink r:id="rId4358" ref="K1946"/>
    <hyperlink r:id="rId4359" ref="L1946"/>
    <hyperlink r:id="rId4360" ref="C1947"/>
    <hyperlink r:id="rId4361" ref="L1947"/>
    <hyperlink r:id="rId4362" ref="C1948"/>
    <hyperlink r:id="rId4363" ref="K1948"/>
    <hyperlink r:id="rId4364" ref="L1948"/>
    <hyperlink r:id="rId4365" ref="C1949"/>
    <hyperlink r:id="rId4366" ref="L1949"/>
    <hyperlink r:id="rId4367" ref="C1950"/>
    <hyperlink r:id="rId4368" ref="K1950"/>
    <hyperlink r:id="rId4369" ref="L1950"/>
    <hyperlink r:id="rId4370" ref="C1951"/>
    <hyperlink r:id="rId4371" ref="L1951"/>
    <hyperlink r:id="rId4372" ref="C1952"/>
    <hyperlink r:id="rId4373" ref="L1952"/>
    <hyperlink r:id="rId4374" ref="C1953"/>
    <hyperlink r:id="rId4375" ref="L1953"/>
    <hyperlink r:id="rId4376" ref="C1954"/>
    <hyperlink r:id="rId4377" ref="L1954"/>
    <hyperlink r:id="rId4378" ref="C1955"/>
    <hyperlink r:id="rId4379" ref="K1955"/>
    <hyperlink r:id="rId4380" ref="L1955"/>
    <hyperlink r:id="rId4381" ref="C1956"/>
    <hyperlink r:id="rId4382" ref="K1956"/>
    <hyperlink r:id="rId4383" ref="L1956"/>
    <hyperlink r:id="rId4384" ref="C1957"/>
    <hyperlink r:id="rId4385" ref="K1957"/>
    <hyperlink r:id="rId4386" ref="L1957"/>
    <hyperlink r:id="rId4387" ref="C1958"/>
    <hyperlink r:id="rId4388" ref="K1958"/>
    <hyperlink r:id="rId4389" ref="L1958"/>
    <hyperlink r:id="rId4390" ref="C1959"/>
    <hyperlink r:id="rId4391" ref="K1959"/>
    <hyperlink r:id="rId4392" ref="L1959"/>
    <hyperlink r:id="rId4393" ref="C1960"/>
    <hyperlink r:id="rId4394" ref="C1961"/>
    <hyperlink r:id="rId4395" ref="L1961"/>
    <hyperlink r:id="rId4396" ref="C1962"/>
    <hyperlink r:id="rId4397" ref="K1962"/>
    <hyperlink r:id="rId4398" ref="L1962"/>
    <hyperlink r:id="rId4399" ref="C1963"/>
    <hyperlink r:id="rId4400" ref="L1963"/>
    <hyperlink r:id="rId4401" ref="C1964"/>
    <hyperlink r:id="rId4402" ref="K1964"/>
    <hyperlink r:id="rId4403" ref="L1964"/>
    <hyperlink r:id="rId4404" ref="C1965"/>
    <hyperlink r:id="rId4405" ref="K1965"/>
    <hyperlink r:id="rId4406" ref="L1965"/>
    <hyperlink r:id="rId4407" ref="C1966"/>
    <hyperlink r:id="rId4408" ref="C1967"/>
    <hyperlink r:id="rId4409" ref="L1967"/>
    <hyperlink r:id="rId4410" ref="C1968"/>
    <hyperlink r:id="rId4411" ref="K1968"/>
    <hyperlink r:id="rId4412" ref="L1968"/>
    <hyperlink r:id="rId4413" ref="C1969"/>
    <hyperlink r:id="rId4414" ref="L1969"/>
    <hyperlink r:id="rId4415" ref="C1970"/>
    <hyperlink r:id="rId4416" ref="L1970"/>
    <hyperlink r:id="rId4417" ref="C1971"/>
    <hyperlink r:id="rId4418" ref="L1971"/>
    <hyperlink r:id="rId4419" ref="C1972"/>
    <hyperlink r:id="rId4420" ref="L1972"/>
    <hyperlink r:id="rId4421" ref="C1973"/>
    <hyperlink r:id="rId4422" ref="K1973"/>
    <hyperlink r:id="rId4423" ref="L1973"/>
    <hyperlink r:id="rId4424" ref="C1974"/>
    <hyperlink r:id="rId4425" ref="L1974"/>
    <hyperlink r:id="rId4426" ref="C1975"/>
    <hyperlink r:id="rId4427" ref="L1975"/>
    <hyperlink r:id="rId4428" ref="C1976"/>
    <hyperlink r:id="rId4429" ref="L1976"/>
    <hyperlink r:id="rId4430" ref="C1977"/>
    <hyperlink r:id="rId4431" ref="L1977"/>
    <hyperlink r:id="rId4432" ref="C1978"/>
    <hyperlink r:id="rId4433" ref="C1979"/>
    <hyperlink r:id="rId4434" ref="K1979"/>
    <hyperlink r:id="rId4435" ref="L1979"/>
    <hyperlink r:id="rId4436" ref="C1980"/>
    <hyperlink r:id="rId4437" ref="K1980"/>
    <hyperlink r:id="rId4438" ref="L1980"/>
    <hyperlink r:id="rId4439" ref="C1981"/>
    <hyperlink r:id="rId4440" ref="K1981"/>
    <hyperlink r:id="rId4441" ref="L1981"/>
    <hyperlink r:id="rId4442" ref="C1982"/>
    <hyperlink r:id="rId4443" ref="K1982"/>
    <hyperlink r:id="rId4444" ref="L1982"/>
    <hyperlink r:id="rId4445" ref="C1983"/>
    <hyperlink r:id="rId4446" ref="K1983"/>
    <hyperlink r:id="rId4447" ref="L1983"/>
    <hyperlink r:id="rId4448" ref="C1984"/>
    <hyperlink r:id="rId4449" ref="K1984"/>
    <hyperlink r:id="rId4450" ref="L1984"/>
    <hyperlink r:id="rId4451" ref="C1985"/>
    <hyperlink r:id="rId4452" ref="K1985"/>
    <hyperlink r:id="rId4453" ref="L1985"/>
    <hyperlink r:id="rId4454" ref="C1986"/>
    <hyperlink r:id="rId4455" ref="K1986"/>
    <hyperlink r:id="rId4456" ref="L1986"/>
    <hyperlink r:id="rId4457" ref="C1987"/>
    <hyperlink r:id="rId4458" ref="K1987"/>
    <hyperlink r:id="rId4459" ref="L1987"/>
    <hyperlink r:id="rId4460" ref="C1988"/>
    <hyperlink r:id="rId4461" ref="K1988"/>
    <hyperlink r:id="rId4462" ref="L1988"/>
    <hyperlink r:id="rId4463" ref="C1989"/>
    <hyperlink r:id="rId4464" ref="K1989"/>
    <hyperlink r:id="rId4465" ref="L1989"/>
    <hyperlink r:id="rId4466" ref="C1990"/>
    <hyperlink r:id="rId4467" ref="K1990"/>
    <hyperlink r:id="rId4468" ref="L1990"/>
    <hyperlink r:id="rId4469" ref="C1991"/>
    <hyperlink r:id="rId4470" ref="K1991"/>
    <hyperlink r:id="rId4471" ref="L1991"/>
    <hyperlink r:id="rId4472" ref="C1992"/>
    <hyperlink r:id="rId4473" ref="K1992"/>
    <hyperlink r:id="rId4474" ref="L1992"/>
    <hyperlink r:id="rId4475" ref="C1993"/>
    <hyperlink r:id="rId4476" ref="C1994"/>
    <hyperlink r:id="rId4477" ref="L1994"/>
    <hyperlink r:id="rId4478" ref="C1995"/>
    <hyperlink r:id="rId4479" ref="K1995"/>
    <hyperlink r:id="rId4480" ref="L1995"/>
    <hyperlink r:id="rId4481" ref="C1996"/>
    <hyperlink r:id="rId4482" ref="L1996"/>
    <hyperlink r:id="rId4483" ref="C1997"/>
    <hyperlink r:id="rId4484" ref="K1997"/>
    <hyperlink r:id="rId4485" ref="L1997"/>
    <hyperlink r:id="rId4486" ref="C1998"/>
    <hyperlink r:id="rId4487" ref="K1998"/>
    <hyperlink r:id="rId4488" ref="L1998"/>
    <hyperlink r:id="rId4489" ref="C1999"/>
    <hyperlink r:id="rId4490" ref="C2000"/>
    <hyperlink r:id="rId4491" ref="K2000"/>
    <hyperlink r:id="rId4492" ref="L2000"/>
    <hyperlink r:id="rId4493" ref="C2001"/>
    <hyperlink r:id="rId4494" ref="K2001"/>
    <hyperlink r:id="rId4495" ref="L2001"/>
    <hyperlink r:id="rId4496" ref="C2002"/>
    <hyperlink r:id="rId4497" ref="L2002"/>
    <hyperlink r:id="rId4498" ref="C2003"/>
    <hyperlink r:id="rId4499" ref="L2003"/>
    <hyperlink r:id="rId4500" ref="C2004"/>
    <hyperlink r:id="rId4501" ref="L2004"/>
    <hyperlink r:id="rId4502" ref="C2005"/>
    <hyperlink r:id="rId4503" ref="L2005"/>
    <hyperlink r:id="rId4504" ref="C2006"/>
    <hyperlink r:id="rId4505" ref="L2006"/>
    <hyperlink r:id="rId4506" ref="C2007"/>
    <hyperlink r:id="rId4507" ref="L2007"/>
    <hyperlink r:id="rId4508" ref="C2008"/>
    <hyperlink r:id="rId4509" ref="L2008"/>
    <hyperlink r:id="rId4510" ref="C2009"/>
    <hyperlink r:id="rId4511" ref="L2009"/>
    <hyperlink r:id="rId4512" ref="C2010"/>
    <hyperlink r:id="rId4513" ref="K2010"/>
    <hyperlink r:id="rId4514" ref="C2011"/>
    <hyperlink r:id="rId4515" ref="K2011"/>
    <hyperlink r:id="rId4516" ref="L2011"/>
    <hyperlink r:id="rId4517" ref="C2012"/>
    <hyperlink r:id="rId4518" ref="C2013"/>
    <hyperlink r:id="rId4519" ref="K2013"/>
    <hyperlink r:id="rId4520" ref="L2013"/>
    <hyperlink r:id="rId4521" ref="C2014"/>
    <hyperlink r:id="rId4522" ref="L2014"/>
    <hyperlink r:id="rId4523" ref="C2015"/>
    <hyperlink r:id="rId4524" ref="L2015"/>
    <hyperlink r:id="rId4525" ref="C2016"/>
    <hyperlink r:id="rId4526" ref="L2016"/>
    <hyperlink r:id="rId4527" ref="C2017"/>
    <hyperlink r:id="rId4528" ref="L2017"/>
    <hyperlink r:id="rId4529" ref="C2018"/>
    <hyperlink r:id="rId4530" ref="K2018"/>
    <hyperlink r:id="rId4531" ref="L2018"/>
    <hyperlink r:id="rId4532" ref="C2019"/>
    <hyperlink r:id="rId4533" ref="L2019"/>
    <hyperlink r:id="rId4534" ref="C2020"/>
    <hyperlink r:id="rId4535" ref="L2020"/>
    <hyperlink r:id="rId4536" ref="C2021"/>
    <hyperlink r:id="rId4537" ref="K2021"/>
    <hyperlink r:id="rId4538" ref="L2021"/>
    <hyperlink r:id="rId4539" ref="C2022"/>
    <hyperlink r:id="rId4540" ref="K2022"/>
    <hyperlink r:id="rId4541" ref="L2022"/>
    <hyperlink r:id="rId4542" ref="C2023"/>
    <hyperlink r:id="rId4543" ref="K2023"/>
    <hyperlink r:id="rId4544" ref="L2023"/>
    <hyperlink r:id="rId4545" ref="C2024"/>
    <hyperlink r:id="rId4546" ref="K2024"/>
    <hyperlink r:id="rId4547" ref="L2024"/>
    <hyperlink r:id="rId4548" ref="C2025"/>
    <hyperlink r:id="rId4549" ref="L2025"/>
    <hyperlink r:id="rId4550" ref="C2026"/>
    <hyperlink r:id="rId4551" ref="K2026"/>
    <hyperlink r:id="rId4552" ref="L2026"/>
    <hyperlink r:id="rId4553" ref="C2027"/>
    <hyperlink r:id="rId4554" ref="L2027"/>
    <hyperlink r:id="rId4555" ref="C2028"/>
    <hyperlink r:id="rId4556" ref="L2028"/>
    <hyperlink r:id="rId4557" ref="C2029"/>
    <hyperlink r:id="rId4558" ref="K2029"/>
    <hyperlink r:id="rId4559" ref="L2029"/>
    <hyperlink r:id="rId4560" ref="C2030"/>
    <hyperlink r:id="rId4561" ref="L2030"/>
    <hyperlink r:id="rId4562" ref="C2031"/>
    <hyperlink r:id="rId4563" ref="L2031"/>
    <hyperlink r:id="rId4564" ref="C2032"/>
    <hyperlink r:id="rId4565" ref="L2032"/>
    <hyperlink r:id="rId4566" ref="C2033"/>
    <hyperlink r:id="rId4567" ref="K2033"/>
    <hyperlink r:id="rId4568" ref="C2034"/>
    <hyperlink r:id="rId4569" ref="L2034"/>
    <hyperlink r:id="rId4570" ref="C2035"/>
    <hyperlink r:id="rId4571" ref="L2035"/>
    <hyperlink r:id="rId4572" ref="C2036"/>
    <hyperlink r:id="rId4573" ref="K2036"/>
    <hyperlink r:id="rId4574" ref="L2036"/>
    <hyperlink r:id="rId4575" ref="C2037"/>
    <hyperlink r:id="rId4576" ref="K2037"/>
    <hyperlink r:id="rId4577" ref="L2037"/>
    <hyperlink r:id="rId4578" ref="C2038"/>
    <hyperlink r:id="rId4579" ref="L2038"/>
    <hyperlink r:id="rId4580" ref="C2039"/>
    <hyperlink r:id="rId4581" ref="K2039"/>
    <hyperlink r:id="rId4582" ref="C2040"/>
    <hyperlink r:id="rId4583" ref="K2040"/>
    <hyperlink r:id="rId4584" ref="L2040"/>
    <hyperlink r:id="rId4585" ref="C2041"/>
    <hyperlink r:id="rId4586" ref="C2042"/>
    <hyperlink r:id="rId4587" ref="K2042"/>
    <hyperlink r:id="rId4588" ref="L2042"/>
    <hyperlink r:id="rId4589" ref="C2043"/>
    <hyperlink r:id="rId4590" ref="K2043"/>
    <hyperlink r:id="rId4591" ref="L2043"/>
    <hyperlink r:id="rId4592" ref="C2044"/>
    <hyperlink r:id="rId4593" ref="L2044"/>
    <hyperlink r:id="rId4594" ref="C2045"/>
    <hyperlink r:id="rId4595" ref="L2045"/>
    <hyperlink r:id="rId4596" ref="C2046"/>
    <hyperlink r:id="rId4597" ref="L2046"/>
    <hyperlink r:id="rId4598" ref="C2047"/>
    <hyperlink r:id="rId4599" ref="K2047"/>
    <hyperlink r:id="rId4600" ref="L2047"/>
    <hyperlink r:id="rId4601" ref="C2048"/>
    <hyperlink r:id="rId4602" ref="L2048"/>
    <hyperlink r:id="rId4603" ref="C2049"/>
    <hyperlink r:id="rId4604" ref="L2049"/>
    <hyperlink r:id="rId4605" ref="C2050"/>
    <hyperlink r:id="rId4606" ref="K2050"/>
    <hyperlink r:id="rId4607" ref="L2050"/>
    <hyperlink r:id="rId4608" ref="C2051"/>
    <hyperlink r:id="rId4609" ref="L2051"/>
    <hyperlink r:id="rId4610" ref="C2052"/>
    <hyperlink r:id="rId4611" ref="L2052"/>
    <hyperlink r:id="rId4612" ref="C2053"/>
    <hyperlink r:id="rId4613" ref="L2053"/>
    <hyperlink r:id="rId4614" ref="C2054"/>
    <hyperlink r:id="rId4615" ref="C2055"/>
    <hyperlink r:id="rId4616" ref="K2055"/>
    <hyperlink r:id="rId4617" ref="L2055"/>
    <hyperlink r:id="rId4618" ref="C2056"/>
    <hyperlink r:id="rId4619" ref="K2056"/>
    <hyperlink r:id="rId4620" ref="C2057"/>
    <hyperlink r:id="rId4621" ref="K2057"/>
    <hyperlink r:id="rId4622" ref="C2058"/>
    <hyperlink r:id="rId4623" ref="L2058"/>
    <hyperlink r:id="rId4624" ref="C2059"/>
    <hyperlink r:id="rId4625" ref="K2059"/>
    <hyperlink r:id="rId4626" ref="C2060"/>
    <hyperlink r:id="rId4627" ref="L2060"/>
    <hyperlink r:id="rId4628" ref="C2061"/>
    <hyperlink r:id="rId4629" ref="K2061"/>
    <hyperlink r:id="rId4630" ref="L2061"/>
    <hyperlink r:id="rId4631" ref="C2062"/>
    <hyperlink r:id="rId4632" ref="K2062"/>
    <hyperlink r:id="rId4633" ref="L2062"/>
    <hyperlink r:id="rId4634" ref="C2063"/>
    <hyperlink r:id="rId4635" ref="K2063"/>
    <hyperlink r:id="rId4636" ref="C2064"/>
    <hyperlink r:id="rId4637" ref="K2064"/>
    <hyperlink r:id="rId4638" ref="L2064"/>
    <hyperlink r:id="rId4639" ref="C2065"/>
    <hyperlink r:id="rId4640" ref="C2066"/>
    <hyperlink r:id="rId4641" ref="C2067"/>
    <hyperlink r:id="rId4642" ref="K2067"/>
    <hyperlink r:id="rId4643" ref="C2068"/>
    <hyperlink r:id="rId4644" ref="L2068"/>
    <hyperlink r:id="rId4645" ref="C2069"/>
    <hyperlink r:id="rId4646" ref="L2069"/>
    <hyperlink r:id="rId4647" ref="C2070"/>
    <hyperlink r:id="rId4648" ref="L2070"/>
    <hyperlink r:id="rId4649" ref="C2071"/>
    <hyperlink r:id="rId4650" ref="L2071"/>
    <hyperlink r:id="rId4651" ref="C2072"/>
    <hyperlink r:id="rId4652" ref="C2073"/>
    <hyperlink r:id="rId4653" ref="L2073"/>
    <hyperlink r:id="rId4654" ref="C2074"/>
    <hyperlink r:id="rId4655" ref="K2074"/>
    <hyperlink r:id="rId4656" ref="L2074"/>
    <hyperlink r:id="rId4657" ref="C2075"/>
    <hyperlink r:id="rId4658" ref="K2075"/>
    <hyperlink r:id="rId4659" ref="L2075"/>
    <hyperlink r:id="rId4660" ref="C2076"/>
    <hyperlink r:id="rId4661" ref="K2076"/>
    <hyperlink r:id="rId4662" ref="L2076"/>
    <hyperlink r:id="rId4663" ref="C2077"/>
    <hyperlink r:id="rId4664" ref="L2077"/>
    <hyperlink r:id="rId4665" ref="C2078"/>
    <hyperlink r:id="rId4666" ref="L2078"/>
    <hyperlink r:id="rId4667" ref="C2079"/>
    <hyperlink r:id="rId4668" ref="L2079"/>
    <hyperlink r:id="rId4669" ref="C2080"/>
    <hyperlink r:id="rId4670" ref="L2080"/>
    <hyperlink r:id="rId4671" ref="C2081"/>
    <hyperlink r:id="rId4672" ref="L2081"/>
    <hyperlink r:id="rId4673" ref="C2082"/>
    <hyperlink r:id="rId4674" ref="L2082"/>
    <hyperlink r:id="rId4675" ref="C2083"/>
    <hyperlink r:id="rId4676" ref="L2083"/>
    <hyperlink r:id="rId4677" ref="C2084"/>
    <hyperlink r:id="rId4678" ref="K2084"/>
    <hyperlink r:id="rId4679" ref="L2084"/>
    <hyperlink r:id="rId4680" ref="C2085"/>
    <hyperlink r:id="rId4681" ref="K2085"/>
    <hyperlink r:id="rId4682" ref="L2085"/>
    <hyperlink r:id="rId4683" ref="C2086"/>
    <hyperlink r:id="rId4684" ref="L2086"/>
    <hyperlink r:id="rId4685" ref="C2087"/>
    <hyperlink r:id="rId4686" ref="K2087"/>
    <hyperlink r:id="rId4687" ref="L2087"/>
    <hyperlink r:id="rId4688" ref="C2088"/>
    <hyperlink r:id="rId4689" ref="L2088"/>
    <hyperlink r:id="rId4690" ref="C2089"/>
    <hyperlink r:id="rId4691" ref="L2089"/>
    <hyperlink r:id="rId4692" ref="C2090"/>
    <hyperlink r:id="rId4693" ref="L2090"/>
    <hyperlink r:id="rId4694" ref="C2091"/>
    <hyperlink r:id="rId4695" ref="L2091"/>
    <hyperlink r:id="rId4696" ref="C2092"/>
    <hyperlink r:id="rId4697" ref="L2092"/>
    <hyperlink r:id="rId4698" ref="C2093"/>
    <hyperlink r:id="rId4699" ref="C2094"/>
    <hyperlink r:id="rId4700" ref="K2094"/>
    <hyperlink r:id="rId4701" ref="L2094"/>
    <hyperlink r:id="rId4702" ref="C2095"/>
    <hyperlink r:id="rId4703" ref="L2095"/>
    <hyperlink r:id="rId4704" ref="C2096"/>
    <hyperlink r:id="rId4705" ref="K2096"/>
    <hyperlink r:id="rId4706" ref="L2096"/>
    <hyperlink r:id="rId4707" ref="C2097"/>
    <hyperlink r:id="rId4708" ref="K2097"/>
    <hyperlink r:id="rId4709" ref="L2097"/>
    <hyperlink r:id="rId4710" ref="C2098"/>
    <hyperlink r:id="rId4711" ref="K2098"/>
    <hyperlink r:id="rId4712" ref="C2099"/>
    <hyperlink r:id="rId4713" ref="L2099"/>
    <hyperlink r:id="rId4714" ref="C2100"/>
    <hyperlink r:id="rId4715" ref="L2100"/>
    <hyperlink r:id="rId4716" ref="C2101"/>
    <hyperlink r:id="rId4717" ref="K2101"/>
    <hyperlink r:id="rId4718" ref="L2101"/>
    <hyperlink r:id="rId4719" ref="C2102"/>
    <hyperlink r:id="rId4720" ref="L2102"/>
    <hyperlink r:id="rId4721" ref="C2103"/>
    <hyperlink r:id="rId4722" ref="L2103"/>
    <hyperlink r:id="rId4723" ref="C2104"/>
    <hyperlink r:id="rId4724" ref="K2104"/>
    <hyperlink r:id="rId4725" ref="L2104"/>
    <hyperlink r:id="rId4726" ref="C2105"/>
    <hyperlink r:id="rId4727" ref="L2105"/>
    <hyperlink r:id="rId4728" ref="C2106"/>
    <hyperlink r:id="rId4729" ref="K2106"/>
    <hyperlink r:id="rId4730" ref="L2106"/>
    <hyperlink r:id="rId4731" ref="C2107"/>
    <hyperlink r:id="rId4732" ref="K2107"/>
    <hyperlink r:id="rId4733" ref="L2107"/>
    <hyperlink r:id="rId4734" ref="C2108"/>
    <hyperlink r:id="rId4735" ref="K2108"/>
    <hyperlink r:id="rId4736" ref="C2109"/>
    <hyperlink r:id="rId4737" ref="L2109"/>
    <hyperlink r:id="rId4738" ref="C2110"/>
    <hyperlink r:id="rId4739" ref="L2110"/>
    <hyperlink r:id="rId4740" ref="C2111"/>
    <hyperlink r:id="rId4741" ref="K2111"/>
    <hyperlink r:id="rId4742" ref="L2111"/>
    <hyperlink r:id="rId4743" ref="C2112"/>
    <hyperlink r:id="rId4744" ref="K2112"/>
    <hyperlink r:id="rId4745" ref="L2112"/>
    <hyperlink r:id="rId4746" ref="C2113"/>
    <hyperlink r:id="rId4747" ref="K2113"/>
    <hyperlink r:id="rId4748" ref="L2113"/>
    <hyperlink r:id="rId4749" ref="C2114"/>
    <hyperlink r:id="rId4750" ref="L2114"/>
    <hyperlink r:id="rId4751" ref="C2115"/>
    <hyperlink r:id="rId4752" ref="K2115"/>
    <hyperlink r:id="rId4753" ref="L2115"/>
    <hyperlink r:id="rId4754" ref="C2116"/>
    <hyperlink r:id="rId4755" ref="L2116"/>
    <hyperlink r:id="rId4756" ref="C2117"/>
    <hyperlink r:id="rId4757" ref="L2117"/>
    <hyperlink r:id="rId4758" ref="C2118"/>
    <hyperlink r:id="rId4759" ref="L2118"/>
    <hyperlink r:id="rId4760" ref="C2119"/>
    <hyperlink r:id="rId4761" ref="K2119"/>
    <hyperlink r:id="rId4762" ref="L2119"/>
    <hyperlink r:id="rId4763" ref="C2120"/>
    <hyperlink r:id="rId4764" ref="K2120"/>
    <hyperlink r:id="rId4765" ref="L2120"/>
    <hyperlink r:id="rId4766" ref="C2121"/>
    <hyperlink r:id="rId4767" ref="L2121"/>
    <hyperlink r:id="rId4768" ref="C2122"/>
    <hyperlink r:id="rId4769" ref="K2122"/>
    <hyperlink r:id="rId4770" ref="L2122"/>
    <hyperlink r:id="rId4771" ref="C2123"/>
    <hyperlink r:id="rId4772" ref="L2123"/>
    <hyperlink r:id="rId4773" ref="C2124"/>
    <hyperlink r:id="rId4774" ref="L2124"/>
    <hyperlink r:id="rId4775" ref="C2125"/>
    <hyperlink r:id="rId4776" ref="K2125"/>
    <hyperlink r:id="rId4777" ref="L2125"/>
    <hyperlink r:id="rId4778" ref="C2126"/>
    <hyperlink r:id="rId4779" ref="K2126"/>
    <hyperlink r:id="rId4780" ref="L2126"/>
    <hyperlink r:id="rId4781" ref="C2127"/>
    <hyperlink r:id="rId4782" ref="L2127"/>
    <hyperlink r:id="rId4783" ref="C2128"/>
    <hyperlink r:id="rId4784" ref="L2128"/>
    <hyperlink r:id="rId4785" ref="C2129"/>
    <hyperlink r:id="rId4786" ref="K2129"/>
    <hyperlink r:id="rId4787" ref="L2129"/>
    <hyperlink r:id="rId4788" ref="C2130"/>
    <hyperlink r:id="rId4789" ref="L2130"/>
    <hyperlink r:id="rId4790" ref="C2131"/>
    <hyperlink r:id="rId4791" ref="K2131"/>
    <hyperlink r:id="rId4792" ref="C2132"/>
    <hyperlink r:id="rId4793" ref="K2132"/>
    <hyperlink r:id="rId4794" ref="L2132"/>
    <hyperlink r:id="rId4795" ref="C2133"/>
    <hyperlink r:id="rId4796" ref="L2133"/>
    <hyperlink r:id="rId4797" ref="C2134"/>
    <hyperlink r:id="rId4798" ref="L2134"/>
    <hyperlink r:id="rId4799" ref="C2135"/>
    <hyperlink r:id="rId4800" ref="L2135"/>
    <hyperlink r:id="rId4801" ref="C2136"/>
    <hyperlink r:id="rId4802" ref="L2136"/>
    <hyperlink r:id="rId4803" ref="C2137"/>
    <hyperlink r:id="rId4804" ref="K2137"/>
    <hyperlink r:id="rId4805" ref="L2137"/>
    <hyperlink r:id="rId4806" ref="C2138"/>
    <hyperlink r:id="rId4807" ref="K2138"/>
    <hyperlink r:id="rId4808" ref="L2138"/>
    <hyperlink r:id="rId4809" ref="C2139"/>
    <hyperlink r:id="rId4810" ref="L2139"/>
    <hyperlink r:id="rId4811" ref="C2140"/>
    <hyperlink r:id="rId4812" ref="L2140"/>
    <hyperlink r:id="rId4813" ref="C2141"/>
    <hyperlink r:id="rId4814" ref="K2141"/>
    <hyperlink r:id="rId4815" ref="L2141"/>
    <hyperlink r:id="rId4816" ref="C2142"/>
    <hyperlink r:id="rId4817" ref="L2142"/>
    <hyperlink r:id="rId4818" ref="C2143"/>
    <hyperlink r:id="rId4819" ref="L2143"/>
    <hyperlink r:id="rId4820" ref="C2144"/>
    <hyperlink r:id="rId4821" ref="C2145"/>
    <hyperlink r:id="rId4822" ref="L2145"/>
    <hyperlink r:id="rId4823" ref="C2146"/>
    <hyperlink r:id="rId4824" ref="L2146"/>
    <hyperlink r:id="rId4825" ref="C2147"/>
    <hyperlink r:id="rId4826" ref="K2147"/>
    <hyperlink r:id="rId4827" ref="L2147"/>
    <hyperlink r:id="rId4828" ref="C2148"/>
    <hyperlink r:id="rId4829" ref="K2148"/>
    <hyperlink r:id="rId4830" ref="L2148"/>
    <hyperlink r:id="rId4831" ref="C2149"/>
    <hyperlink r:id="rId4832" ref="L2149"/>
    <hyperlink r:id="rId4833" ref="C2150"/>
    <hyperlink r:id="rId4834" ref="L2150"/>
    <hyperlink r:id="rId4835" ref="C2151"/>
    <hyperlink r:id="rId4836" ref="L2151"/>
    <hyperlink r:id="rId4837" ref="C2152"/>
    <hyperlink r:id="rId4838" ref="K2152"/>
    <hyperlink r:id="rId4839" ref="L2152"/>
    <hyperlink r:id="rId4840" ref="C2153"/>
    <hyperlink r:id="rId4841" ref="L2153"/>
    <hyperlink r:id="rId4842" ref="C2154"/>
    <hyperlink r:id="rId4843" ref="K2154"/>
    <hyperlink r:id="rId4844" ref="C2155"/>
    <hyperlink r:id="rId4845" ref="L2155"/>
    <hyperlink r:id="rId4846" ref="C2156"/>
    <hyperlink r:id="rId4847" ref="K2156"/>
    <hyperlink r:id="rId4848" ref="C2157"/>
    <hyperlink r:id="rId4849" ref="L2157"/>
    <hyperlink r:id="rId4850" ref="C2158"/>
    <hyperlink r:id="rId4851" ref="K2158"/>
    <hyperlink r:id="rId4852" ref="L2158"/>
    <hyperlink r:id="rId4853" ref="C2159"/>
    <hyperlink r:id="rId4854" ref="L2159"/>
    <hyperlink r:id="rId4855" ref="C2160"/>
    <hyperlink r:id="rId4856" ref="L2160"/>
    <hyperlink r:id="rId4857" ref="C2161"/>
    <hyperlink r:id="rId4858" ref="L2161"/>
    <hyperlink r:id="rId4859" ref="C2162"/>
    <hyperlink r:id="rId4860" ref="K2162"/>
    <hyperlink r:id="rId4861" ref="L2162"/>
    <hyperlink r:id="rId4862" ref="C2163"/>
    <hyperlink r:id="rId4863" ref="L2163"/>
    <hyperlink r:id="rId4864" ref="C2164"/>
    <hyperlink r:id="rId4865" ref="K2164"/>
    <hyperlink r:id="rId4866" ref="L2164"/>
    <hyperlink r:id="rId4867" ref="C2165"/>
    <hyperlink r:id="rId4868" ref="K2165"/>
    <hyperlink r:id="rId4869" ref="L2165"/>
    <hyperlink r:id="rId4870" ref="C2166"/>
    <hyperlink r:id="rId4871" ref="C2167"/>
    <hyperlink r:id="rId4872" ref="L2167"/>
    <hyperlink r:id="rId4873" ref="C2168"/>
    <hyperlink r:id="rId4874" ref="C2169"/>
    <hyperlink r:id="rId4875" ref="K2169"/>
    <hyperlink r:id="rId4876" ref="L2169"/>
    <hyperlink r:id="rId4877" ref="C2170"/>
    <hyperlink r:id="rId4878" ref="K2170"/>
    <hyperlink r:id="rId4879" ref="L2170"/>
    <hyperlink r:id="rId4880" ref="C2171"/>
    <hyperlink r:id="rId4881" ref="L2171"/>
    <hyperlink r:id="rId4882" ref="C2172"/>
    <hyperlink r:id="rId4883" ref="L2172"/>
    <hyperlink r:id="rId4884" ref="C2173"/>
    <hyperlink r:id="rId4885" ref="L2173"/>
    <hyperlink r:id="rId4886" ref="C2174"/>
    <hyperlink r:id="rId4887" ref="L2174"/>
    <hyperlink r:id="rId4888" ref="C2175"/>
    <hyperlink r:id="rId4889" ref="L2175"/>
    <hyperlink r:id="rId4890" ref="C2176"/>
    <hyperlink r:id="rId4891" ref="K2176"/>
    <hyperlink r:id="rId4892" ref="L2176"/>
    <hyperlink r:id="rId4893" ref="C2177"/>
    <hyperlink r:id="rId4894" ref="K2177"/>
    <hyperlink r:id="rId4895" ref="L2177"/>
    <hyperlink r:id="rId4896" ref="C2178"/>
    <hyperlink r:id="rId4897" ref="K2178"/>
    <hyperlink r:id="rId4898" ref="L2178"/>
    <hyperlink r:id="rId4899" ref="C2179"/>
    <hyperlink r:id="rId4900" ref="K2179"/>
    <hyperlink r:id="rId4901" ref="L2179"/>
    <hyperlink r:id="rId4902" ref="C2180"/>
    <hyperlink r:id="rId4903" ref="K2180"/>
    <hyperlink r:id="rId4904" ref="L2180"/>
    <hyperlink r:id="rId4905" ref="C2181"/>
    <hyperlink r:id="rId4906" ref="K2181"/>
    <hyperlink r:id="rId4907" ref="L2181"/>
    <hyperlink r:id="rId4908" ref="C2182"/>
    <hyperlink r:id="rId4909" ref="L2182"/>
    <hyperlink r:id="rId4910" ref="C2183"/>
    <hyperlink r:id="rId4911" ref="L2183"/>
    <hyperlink r:id="rId4912" ref="C2184"/>
    <hyperlink r:id="rId4913" ref="L2184"/>
    <hyperlink r:id="rId4914" ref="C2185"/>
    <hyperlink r:id="rId4915" ref="K2185"/>
    <hyperlink r:id="rId4916" ref="L2185"/>
    <hyperlink r:id="rId4917" ref="C2186"/>
    <hyperlink r:id="rId4918" ref="K2186"/>
    <hyperlink r:id="rId4919" ref="L2186"/>
    <hyperlink r:id="rId4920" ref="C2187"/>
    <hyperlink r:id="rId4921" ref="L2187"/>
    <hyperlink r:id="rId4922" ref="C2188"/>
    <hyperlink r:id="rId4923" ref="K2188"/>
    <hyperlink r:id="rId4924" ref="L2188"/>
    <hyperlink r:id="rId4925" ref="C2189"/>
    <hyperlink r:id="rId4926" ref="K2189"/>
    <hyperlink r:id="rId4927" ref="L2189"/>
    <hyperlink r:id="rId4928" ref="C2190"/>
    <hyperlink r:id="rId4929" ref="L2190"/>
    <hyperlink r:id="rId4930" ref="C2191"/>
    <hyperlink r:id="rId4931" ref="K2191"/>
    <hyperlink r:id="rId4932" ref="L2191"/>
    <hyperlink r:id="rId4933" ref="C2192"/>
    <hyperlink r:id="rId4934" ref="L2192"/>
    <hyperlink r:id="rId4935" ref="C2193"/>
    <hyperlink r:id="rId4936" ref="K2193"/>
    <hyperlink r:id="rId4937" ref="L2193"/>
    <hyperlink r:id="rId4938" ref="C2194"/>
    <hyperlink r:id="rId4939" ref="L2194"/>
    <hyperlink r:id="rId4940" ref="C2195"/>
    <hyperlink r:id="rId4941" ref="K2195"/>
    <hyperlink r:id="rId4942" ref="L2195"/>
    <hyperlink r:id="rId4943" ref="C2196"/>
    <hyperlink r:id="rId4944" ref="L2196"/>
    <hyperlink r:id="rId4945" ref="C2197"/>
    <hyperlink r:id="rId4946" ref="K2197"/>
    <hyperlink r:id="rId4947" ref="L2197"/>
    <hyperlink r:id="rId4948" ref="C2198"/>
    <hyperlink r:id="rId4949" ref="K2198"/>
    <hyperlink r:id="rId4950" ref="L2198"/>
    <hyperlink r:id="rId4951" ref="C2199"/>
    <hyperlink r:id="rId4952" ref="K2199"/>
    <hyperlink r:id="rId4953" ref="L2199"/>
    <hyperlink r:id="rId4954" ref="C2200"/>
    <hyperlink r:id="rId4955" ref="L2200"/>
    <hyperlink r:id="rId4956" ref="C2201"/>
    <hyperlink r:id="rId4957" ref="L2201"/>
    <hyperlink r:id="rId4958" ref="C2202"/>
    <hyperlink r:id="rId4959" ref="K2202"/>
    <hyperlink r:id="rId4960" ref="L2202"/>
    <hyperlink r:id="rId4961" ref="C2203"/>
    <hyperlink r:id="rId4962" ref="K2203"/>
    <hyperlink r:id="rId4963" ref="L2203"/>
    <hyperlink r:id="rId4964" ref="C2204"/>
    <hyperlink r:id="rId4965" ref="K2204"/>
    <hyperlink r:id="rId4966" ref="L2204"/>
    <hyperlink r:id="rId4967" ref="C2205"/>
    <hyperlink r:id="rId4968" ref="L2205"/>
    <hyperlink r:id="rId4969" ref="C2206"/>
    <hyperlink r:id="rId4970" ref="K2206"/>
    <hyperlink r:id="rId4971" ref="C2207"/>
    <hyperlink r:id="rId4972" ref="L2207"/>
    <hyperlink r:id="rId4973" ref="C2208"/>
    <hyperlink r:id="rId4974" ref="L2208"/>
    <hyperlink r:id="rId4975" ref="C2209"/>
    <hyperlink r:id="rId4976" ref="L2209"/>
    <hyperlink r:id="rId4977" ref="C2210"/>
    <hyperlink r:id="rId4978" ref="L2210"/>
    <hyperlink r:id="rId4979" ref="C2211"/>
    <hyperlink r:id="rId4980" ref="L2211"/>
    <hyperlink r:id="rId4981" ref="C2212"/>
    <hyperlink r:id="rId4982" ref="C2213"/>
    <hyperlink r:id="rId4983" ref="K2213"/>
    <hyperlink r:id="rId4984" ref="L2213"/>
    <hyperlink r:id="rId4985" ref="C2214"/>
    <hyperlink r:id="rId4986" ref="L2214"/>
    <hyperlink r:id="rId4987" ref="C2215"/>
    <hyperlink r:id="rId4988" ref="K2215"/>
    <hyperlink r:id="rId4989" ref="L2215"/>
    <hyperlink r:id="rId4990" ref="C2216"/>
    <hyperlink r:id="rId4991" ref="K2216"/>
    <hyperlink r:id="rId4992" ref="L2216"/>
    <hyperlink r:id="rId4993" ref="C2217"/>
    <hyperlink r:id="rId4994" ref="C2218"/>
    <hyperlink r:id="rId4995" ref="K2218"/>
    <hyperlink r:id="rId4996" ref="L2218"/>
    <hyperlink r:id="rId4997" ref="C2219"/>
    <hyperlink r:id="rId4998" ref="K2219"/>
    <hyperlink r:id="rId4999" ref="L2219"/>
    <hyperlink r:id="rId5000" ref="C2220"/>
    <hyperlink r:id="rId5001" ref="L2220"/>
    <hyperlink r:id="rId5002" ref="C2221"/>
    <hyperlink r:id="rId5003" ref="K2221"/>
    <hyperlink r:id="rId5004" ref="L2221"/>
    <hyperlink r:id="rId5005" ref="C2222"/>
    <hyperlink r:id="rId5006" ref="K2222"/>
    <hyperlink r:id="rId5007" ref="L2222"/>
    <hyperlink r:id="rId5008" ref="C2223"/>
    <hyperlink r:id="rId5009" ref="L2223"/>
    <hyperlink r:id="rId5010" ref="C2224"/>
    <hyperlink r:id="rId5011" ref="L2224"/>
    <hyperlink r:id="rId5012" ref="C2225"/>
    <hyperlink r:id="rId5013" ref="K2225"/>
    <hyperlink r:id="rId5014" ref="L2225"/>
    <hyperlink r:id="rId5015" ref="C2226"/>
    <hyperlink r:id="rId5016" ref="L2226"/>
    <hyperlink r:id="rId5017" ref="C2227"/>
    <hyperlink r:id="rId5018" ref="K2227"/>
    <hyperlink r:id="rId5019" ref="L2227"/>
    <hyperlink r:id="rId5020" ref="C2228"/>
    <hyperlink r:id="rId5021" ref="K2228"/>
    <hyperlink r:id="rId5022" ref="L2228"/>
    <hyperlink r:id="rId5023" ref="C2229"/>
    <hyperlink r:id="rId5024" ref="K2229"/>
    <hyperlink r:id="rId5025" ref="C2230"/>
    <hyperlink r:id="rId5026" ref="K2230"/>
    <hyperlink r:id="rId5027" ref="L2230"/>
    <hyperlink r:id="rId5028" ref="C2231"/>
    <hyperlink r:id="rId5029" ref="K2231"/>
    <hyperlink r:id="rId5030" ref="L2231"/>
    <hyperlink r:id="rId5031" ref="C2232"/>
    <hyperlink r:id="rId5032" ref="L2232"/>
    <hyperlink r:id="rId5033" ref="C2233"/>
    <hyperlink r:id="rId5034" ref="K2233"/>
    <hyperlink r:id="rId5035" ref="L2233"/>
    <hyperlink r:id="rId5036" ref="C2234"/>
    <hyperlink r:id="rId5037" ref="K2234"/>
    <hyperlink r:id="rId5038" ref="L2234"/>
    <hyperlink r:id="rId5039" ref="C2235"/>
    <hyperlink r:id="rId5040" ref="L2235"/>
    <hyperlink r:id="rId5041" ref="C2236"/>
    <hyperlink r:id="rId5042" ref="L2236"/>
    <hyperlink r:id="rId5043" ref="C2237"/>
    <hyperlink r:id="rId5044" ref="L2237"/>
    <hyperlink r:id="rId5045" ref="C2238"/>
    <hyperlink r:id="rId5046" ref="K2238"/>
    <hyperlink r:id="rId5047" ref="C2239"/>
    <hyperlink r:id="rId5048" ref="L2239"/>
    <hyperlink r:id="rId5049" ref="C2240"/>
    <hyperlink r:id="rId5050" ref="L2240"/>
    <hyperlink r:id="rId5051" ref="C2241"/>
    <hyperlink r:id="rId5052" ref="K2241"/>
    <hyperlink r:id="rId5053" ref="L2241"/>
    <hyperlink r:id="rId5054" ref="C2242"/>
    <hyperlink r:id="rId5055" ref="L2242"/>
    <hyperlink r:id="rId5056" ref="C2243"/>
    <hyperlink r:id="rId5057" ref="L2243"/>
    <hyperlink r:id="rId5058" ref="C2244"/>
    <hyperlink r:id="rId5059" ref="C2245"/>
    <hyperlink r:id="rId5060" ref="K2245"/>
    <hyperlink r:id="rId5061" ref="L2245"/>
    <hyperlink r:id="rId5062" ref="C2246"/>
    <hyperlink r:id="rId5063" ref="L2246"/>
    <hyperlink r:id="rId5064" ref="C2247"/>
    <hyperlink r:id="rId5065" ref="L2247"/>
    <hyperlink r:id="rId5066" ref="C2248"/>
    <hyperlink r:id="rId5067" ref="L2248"/>
    <hyperlink r:id="rId5068" ref="C2249"/>
    <hyperlink r:id="rId5069" ref="L2249"/>
    <hyperlink r:id="rId5070" ref="C2250"/>
    <hyperlink r:id="rId5071" ref="K2250"/>
    <hyperlink r:id="rId5072" ref="L2250"/>
    <hyperlink r:id="rId5073" ref="C2251"/>
    <hyperlink r:id="rId5074" ref="L2251"/>
    <hyperlink r:id="rId5075" ref="C2252"/>
    <hyperlink r:id="rId5076" ref="L2252"/>
    <hyperlink r:id="rId5077" ref="C2253"/>
    <hyperlink r:id="rId5078" ref="C2254"/>
    <hyperlink r:id="rId5079" ref="L2254"/>
    <hyperlink r:id="rId5080" ref="C2255"/>
    <hyperlink r:id="rId5081" ref="L2255"/>
    <hyperlink r:id="rId5082" ref="C2256"/>
    <hyperlink r:id="rId5083" ref="L2256"/>
    <hyperlink r:id="rId5084" ref="C2257"/>
    <hyperlink r:id="rId5085" ref="L2257"/>
    <hyperlink r:id="rId5086" ref="C2258"/>
    <hyperlink r:id="rId5087" ref="K2258"/>
    <hyperlink r:id="rId5088" ref="L2258"/>
    <hyperlink r:id="rId5089" ref="C2259"/>
    <hyperlink r:id="rId5090" ref="L2259"/>
    <hyperlink r:id="rId5091" ref="C2260"/>
    <hyperlink r:id="rId5092" ref="C2261"/>
    <hyperlink r:id="rId5093" ref="C2262"/>
    <hyperlink r:id="rId5094" ref="L2262"/>
    <hyperlink r:id="rId5095" ref="C2263"/>
    <hyperlink r:id="rId5096" ref="L2263"/>
    <hyperlink r:id="rId5097" ref="C2264"/>
    <hyperlink r:id="rId5098" ref="L2264"/>
    <hyperlink r:id="rId5099" ref="C2265"/>
    <hyperlink r:id="rId5100" ref="L2265"/>
    <hyperlink r:id="rId5101" ref="C2266"/>
    <hyperlink r:id="rId5102" ref="L2266"/>
    <hyperlink r:id="rId5103" ref="C2267"/>
    <hyperlink r:id="rId5104" ref="L2267"/>
    <hyperlink r:id="rId5105" ref="C2268"/>
    <hyperlink r:id="rId5106" ref="K2268"/>
    <hyperlink r:id="rId5107" ref="L2268"/>
    <hyperlink r:id="rId5108" ref="C2269"/>
    <hyperlink r:id="rId5109" ref="K2269"/>
    <hyperlink r:id="rId5110" ref="L2269"/>
    <hyperlink r:id="rId5111" ref="C2270"/>
    <hyperlink r:id="rId5112" ref="L2270"/>
    <hyperlink r:id="rId5113" ref="C2271"/>
    <hyperlink r:id="rId5114" ref="K2271"/>
    <hyperlink r:id="rId5115" ref="L2271"/>
    <hyperlink r:id="rId5116" ref="C2272"/>
    <hyperlink r:id="rId5117" ref="L2272"/>
    <hyperlink r:id="rId5118" ref="C2273"/>
    <hyperlink r:id="rId5119" ref="L2273"/>
    <hyperlink r:id="rId5120" ref="C2274"/>
    <hyperlink r:id="rId5121" ref="L2274"/>
    <hyperlink r:id="rId5122" ref="C2275"/>
    <hyperlink r:id="rId5123" ref="L2275"/>
    <hyperlink r:id="rId5124" ref="C2276"/>
    <hyperlink r:id="rId5125" ref="K2276"/>
    <hyperlink r:id="rId5126" ref="L2276"/>
    <hyperlink r:id="rId5127" ref="C2277"/>
    <hyperlink r:id="rId5128" ref="K2277"/>
    <hyperlink r:id="rId5129" ref="C2278"/>
    <hyperlink r:id="rId5130" ref="L2278"/>
    <hyperlink r:id="rId5131" ref="C2279"/>
    <hyperlink r:id="rId5132" ref="L2279"/>
    <hyperlink r:id="rId5133" ref="C2280"/>
    <hyperlink r:id="rId5134" ref="K2280"/>
    <hyperlink r:id="rId5135" ref="L2280"/>
    <hyperlink r:id="rId5136" ref="C2281"/>
    <hyperlink r:id="rId5137" ref="K2281"/>
    <hyperlink r:id="rId5138" ref="L2281"/>
    <hyperlink r:id="rId5139" ref="C2282"/>
    <hyperlink r:id="rId5140" ref="K2282"/>
    <hyperlink r:id="rId5141" ref="L2282"/>
    <hyperlink r:id="rId5142" ref="C2283"/>
    <hyperlink r:id="rId5143" ref="L2283"/>
    <hyperlink r:id="rId5144" ref="C2284"/>
    <hyperlink r:id="rId5145" ref="L2284"/>
    <hyperlink r:id="rId5146" ref="C2285"/>
    <hyperlink r:id="rId5147" ref="L2285"/>
    <hyperlink r:id="rId5148" ref="C2286"/>
    <hyperlink r:id="rId5149" ref="K2286"/>
    <hyperlink r:id="rId5150" ref="L2286"/>
    <hyperlink r:id="rId5151" ref="C2287"/>
    <hyperlink r:id="rId5152" ref="L2287"/>
    <hyperlink r:id="rId5153" ref="C2288"/>
    <hyperlink r:id="rId5154" ref="K2288"/>
    <hyperlink r:id="rId5155" ref="L2288"/>
    <hyperlink r:id="rId5156" ref="C2289"/>
    <hyperlink r:id="rId5157" ref="L2289"/>
    <hyperlink r:id="rId5158" ref="C2290"/>
    <hyperlink r:id="rId5159" ref="L2290"/>
    <hyperlink r:id="rId5160" ref="C2291"/>
    <hyperlink r:id="rId5161" ref="L2291"/>
    <hyperlink r:id="rId5162" ref="C2292"/>
    <hyperlink r:id="rId5163" ref="K2292"/>
    <hyperlink r:id="rId5164" ref="L2292"/>
    <hyperlink r:id="rId5165" ref="C2293"/>
    <hyperlink r:id="rId5166" ref="L2293"/>
    <hyperlink r:id="rId5167" ref="C2294"/>
    <hyperlink r:id="rId5168" ref="L2294"/>
    <hyperlink r:id="rId5169" ref="C2295"/>
    <hyperlink r:id="rId5170" ref="L2295"/>
    <hyperlink r:id="rId5171" ref="C2296"/>
    <hyperlink r:id="rId5172" ref="L2296"/>
    <hyperlink r:id="rId5173" ref="C2297"/>
    <hyperlink r:id="rId5174" ref="L2297"/>
    <hyperlink r:id="rId5175" ref="C2298"/>
    <hyperlink r:id="rId5176" ref="L2298"/>
    <hyperlink r:id="rId5177" ref="C2299"/>
    <hyperlink r:id="rId5178" ref="L2299"/>
    <hyperlink r:id="rId5179" ref="C2300"/>
    <hyperlink r:id="rId5180" ref="K2300"/>
    <hyperlink r:id="rId5181" ref="L2300"/>
    <hyperlink r:id="rId5182" ref="C2301"/>
    <hyperlink r:id="rId5183" ref="K2301"/>
    <hyperlink r:id="rId5184" ref="L2301"/>
    <hyperlink r:id="rId5185" ref="C2302"/>
    <hyperlink r:id="rId5186" ref="L2302"/>
    <hyperlink r:id="rId5187" ref="C2303"/>
    <hyperlink r:id="rId5188" ref="L2303"/>
    <hyperlink r:id="rId5189" ref="C2304"/>
    <hyperlink r:id="rId5190" ref="K2304"/>
    <hyperlink r:id="rId5191" ref="L2304"/>
    <hyperlink r:id="rId5192" ref="C2305"/>
    <hyperlink r:id="rId5193" ref="L2305"/>
    <hyperlink r:id="rId5194" ref="C2306"/>
    <hyperlink r:id="rId5195" ref="K2306"/>
    <hyperlink r:id="rId5196" ref="L2306"/>
    <hyperlink r:id="rId5197" ref="C2307"/>
    <hyperlink r:id="rId5198" ref="K2307"/>
    <hyperlink r:id="rId5199" ref="L2307"/>
    <hyperlink r:id="rId5200" ref="C2308"/>
    <hyperlink r:id="rId5201" ref="K2308"/>
    <hyperlink r:id="rId5202" ref="L2308"/>
    <hyperlink r:id="rId5203" ref="C2309"/>
    <hyperlink r:id="rId5204" ref="L2309"/>
    <hyperlink r:id="rId5205" ref="C2310"/>
    <hyperlink r:id="rId5206" ref="K2310"/>
    <hyperlink r:id="rId5207" ref="L2310"/>
    <hyperlink r:id="rId5208" ref="C2311"/>
    <hyperlink r:id="rId5209" ref="K2311"/>
    <hyperlink r:id="rId5210" ref="C2312"/>
    <hyperlink r:id="rId5211" ref="K2312"/>
    <hyperlink r:id="rId5212" ref="L2312"/>
    <hyperlink r:id="rId5213" ref="C2313"/>
    <hyperlink r:id="rId5214" ref="K2313"/>
    <hyperlink r:id="rId5215" ref="L2313"/>
    <hyperlink r:id="rId5216" ref="C2314"/>
    <hyperlink r:id="rId5217" ref="K2314"/>
    <hyperlink r:id="rId5218" ref="L2314"/>
    <hyperlink r:id="rId5219" ref="C2315"/>
    <hyperlink r:id="rId5220" ref="C2316"/>
    <hyperlink r:id="rId5221" ref="L2316"/>
    <hyperlink r:id="rId5222" ref="C2317"/>
    <hyperlink r:id="rId5223" ref="K2317"/>
    <hyperlink r:id="rId5224" ref="L2317"/>
    <hyperlink r:id="rId5225" ref="C2318"/>
    <hyperlink r:id="rId5226" ref="K2318"/>
    <hyperlink r:id="rId5227" ref="L2318"/>
    <hyperlink r:id="rId5228" ref="C2319"/>
    <hyperlink r:id="rId5229" ref="K2319"/>
    <hyperlink r:id="rId5230" ref="L2319"/>
    <hyperlink r:id="rId5231" ref="C2320"/>
    <hyperlink r:id="rId5232" ref="K2320"/>
    <hyperlink r:id="rId5233" ref="L2320"/>
    <hyperlink r:id="rId5234" ref="C2321"/>
    <hyperlink r:id="rId5235" ref="K2321"/>
    <hyperlink r:id="rId5236" ref="L2321"/>
    <hyperlink r:id="rId5237" ref="C2322"/>
    <hyperlink r:id="rId5238" ref="K2322"/>
    <hyperlink r:id="rId5239" ref="L2322"/>
    <hyperlink r:id="rId5240" ref="C2323"/>
    <hyperlink r:id="rId5241" ref="L2323"/>
    <hyperlink r:id="rId5242" ref="C2324"/>
    <hyperlink r:id="rId5243" ref="K2324"/>
    <hyperlink r:id="rId5244" ref="L2324"/>
    <hyperlink r:id="rId5245" ref="C2325"/>
    <hyperlink r:id="rId5246" ref="K2325"/>
    <hyperlink r:id="rId5247" ref="L2325"/>
    <hyperlink r:id="rId5248" ref="C2326"/>
    <hyperlink r:id="rId5249" ref="K2326"/>
    <hyperlink r:id="rId5250" ref="L2326"/>
    <hyperlink r:id="rId5251" ref="C2327"/>
    <hyperlink r:id="rId5252" ref="K2327"/>
    <hyperlink r:id="rId5253" ref="C2328"/>
    <hyperlink r:id="rId5254" ref="L2328"/>
    <hyperlink r:id="rId5255" ref="C2329"/>
    <hyperlink r:id="rId5256" ref="K2329"/>
    <hyperlink r:id="rId5257" ref="L2329"/>
    <hyperlink r:id="rId5258" ref="C2330"/>
    <hyperlink r:id="rId5259" ref="L2330"/>
    <hyperlink r:id="rId5260" ref="C2331"/>
    <hyperlink r:id="rId5261" ref="L2331"/>
    <hyperlink r:id="rId5262" ref="C2332"/>
    <hyperlink r:id="rId5263" ref="K2332"/>
    <hyperlink r:id="rId5264" ref="L2332"/>
    <hyperlink r:id="rId5265" ref="C2333"/>
    <hyperlink r:id="rId5266" ref="K2333"/>
    <hyperlink r:id="rId5267" ref="C2334"/>
    <hyperlink r:id="rId5268" ref="L2334"/>
    <hyperlink r:id="rId5269" ref="C2335"/>
    <hyperlink r:id="rId5270" ref="L2335"/>
    <hyperlink r:id="rId5271" ref="C2336"/>
    <hyperlink r:id="rId5272" ref="K2336"/>
    <hyperlink r:id="rId5273" ref="L2336"/>
    <hyperlink r:id="rId5274" ref="C2337"/>
    <hyperlink r:id="rId5275" ref="K2337"/>
    <hyperlink r:id="rId5276" ref="L2337"/>
    <hyperlink r:id="rId5277" ref="C2338"/>
    <hyperlink r:id="rId5278" ref="L2338"/>
    <hyperlink r:id="rId5279" ref="C2339"/>
    <hyperlink r:id="rId5280" ref="L2339"/>
    <hyperlink r:id="rId5281" ref="C2340"/>
    <hyperlink r:id="rId5282" ref="L2340"/>
    <hyperlink r:id="rId5283" ref="C2341"/>
    <hyperlink r:id="rId5284" ref="K2341"/>
    <hyperlink r:id="rId5285" ref="L2341"/>
    <hyperlink r:id="rId5286" ref="C2342"/>
    <hyperlink r:id="rId5287" ref="L2342"/>
    <hyperlink r:id="rId5288" ref="C2343"/>
    <hyperlink r:id="rId5289" ref="K2343"/>
    <hyperlink r:id="rId5290" ref="L2343"/>
    <hyperlink r:id="rId5291" ref="C2344"/>
    <hyperlink r:id="rId5292" ref="L2344"/>
    <hyperlink r:id="rId5293" ref="C2345"/>
    <hyperlink r:id="rId5294" ref="K2345"/>
    <hyperlink r:id="rId5295" ref="L2345"/>
    <hyperlink r:id="rId5296" ref="C2346"/>
    <hyperlink r:id="rId5297" ref="K2346"/>
    <hyperlink r:id="rId5298" ref="L2346"/>
    <hyperlink r:id="rId5299" ref="C2347"/>
    <hyperlink r:id="rId5300" ref="K2347"/>
    <hyperlink r:id="rId5301" ref="L2347"/>
    <hyperlink r:id="rId5302" ref="C2348"/>
    <hyperlink r:id="rId5303" ref="L2348"/>
    <hyperlink r:id="rId5304" ref="C2349"/>
    <hyperlink r:id="rId5305" ref="K2349"/>
    <hyperlink r:id="rId5306" ref="L2349"/>
    <hyperlink r:id="rId5307" ref="C2350"/>
    <hyperlink r:id="rId5308" ref="L2350"/>
    <hyperlink r:id="rId5309" ref="C2351"/>
    <hyperlink r:id="rId5310" ref="C2352"/>
    <hyperlink r:id="rId5311" ref="K2352"/>
    <hyperlink r:id="rId5312" ref="C2353"/>
    <hyperlink r:id="rId5313" ref="L2353"/>
    <hyperlink r:id="rId5314" ref="C2354"/>
    <hyperlink r:id="rId5315" ref="L2354"/>
    <hyperlink r:id="rId5316" ref="C2355"/>
    <hyperlink r:id="rId5317" ref="K2355"/>
    <hyperlink r:id="rId5318" ref="L2355"/>
    <hyperlink r:id="rId5319" ref="C2356"/>
    <hyperlink r:id="rId5320" ref="K2356"/>
    <hyperlink r:id="rId5321" ref="L2356"/>
    <hyperlink r:id="rId5322" ref="C2357"/>
    <hyperlink r:id="rId5323" ref="L2357"/>
    <hyperlink r:id="rId5324" ref="C2358"/>
    <hyperlink r:id="rId5325" ref="K2358"/>
    <hyperlink r:id="rId5326" ref="L2358"/>
    <hyperlink r:id="rId5327" ref="C2359"/>
    <hyperlink r:id="rId5328" ref="K2359"/>
    <hyperlink r:id="rId5329" ref="L2359"/>
    <hyperlink r:id="rId5330" ref="C2360"/>
    <hyperlink r:id="rId5331" ref="K2360"/>
    <hyperlink r:id="rId5332" ref="L2360"/>
    <hyperlink r:id="rId5333" ref="C2361"/>
    <hyperlink r:id="rId5334" ref="K2361"/>
    <hyperlink r:id="rId5335" ref="L2361"/>
    <hyperlink r:id="rId5336" ref="C2362"/>
    <hyperlink r:id="rId5337" ref="K2362"/>
    <hyperlink r:id="rId5338" ref="L2362"/>
    <hyperlink r:id="rId5339" ref="C2363"/>
    <hyperlink r:id="rId5340" ref="K2363"/>
    <hyperlink r:id="rId5341" ref="L2363"/>
    <hyperlink r:id="rId5342" ref="C2364"/>
    <hyperlink r:id="rId5343" ref="K2364"/>
    <hyperlink r:id="rId5344" ref="L2364"/>
    <hyperlink r:id="rId5345" ref="C2365"/>
    <hyperlink r:id="rId5346" ref="L2365"/>
    <hyperlink r:id="rId5347" ref="C2366"/>
    <hyperlink r:id="rId5348" ref="K2366"/>
    <hyperlink r:id="rId5349" ref="L2366"/>
    <hyperlink r:id="rId5350" ref="C2367"/>
    <hyperlink r:id="rId5351" ref="L2367"/>
    <hyperlink r:id="rId5352" ref="C2368"/>
    <hyperlink r:id="rId5353" ref="K2368"/>
    <hyperlink r:id="rId5354" ref="L2368"/>
    <hyperlink r:id="rId5355" ref="C2369"/>
    <hyperlink r:id="rId5356" ref="L2369"/>
    <hyperlink r:id="rId5357" ref="C2370"/>
    <hyperlink r:id="rId5358" ref="L2370"/>
    <hyperlink r:id="rId5359" ref="C2371"/>
    <hyperlink r:id="rId5360" ref="L2371"/>
    <hyperlink r:id="rId5361" ref="C2372"/>
    <hyperlink r:id="rId5362" ref="K2372"/>
    <hyperlink r:id="rId5363" ref="L2372"/>
    <hyperlink r:id="rId5364" ref="C2373"/>
    <hyperlink r:id="rId5365" ref="K2373"/>
    <hyperlink r:id="rId5366" ref="L2373"/>
    <hyperlink r:id="rId5367" ref="C2374"/>
    <hyperlink r:id="rId5368" ref="K2374"/>
    <hyperlink r:id="rId5369" ref="L2374"/>
    <hyperlink r:id="rId5370" ref="C2375"/>
    <hyperlink r:id="rId5371" ref="K2375"/>
    <hyperlink r:id="rId5372" ref="L2375"/>
    <hyperlink r:id="rId5373" ref="C2376"/>
    <hyperlink r:id="rId5374" ref="L2376"/>
    <hyperlink r:id="rId5375" ref="C2377"/>
    <hyperlink r:id="rId5376" ref="L2377"/>
    <hyperlink r:id="rId5377" ref="C2378"/>
    <hyperlink r:id="rId5378" ref="K2378"/>
    <hyperlink r:id="rId5379" ref="L2378"/>
    <hyperlink r:id="rId5380" ref="C2379"/>
    <hyperlink r:id="rId5381" ref="L2379"/>
    <hyperlink r:id="rId5382" ref="C2380"/>
    <hyperlink r:id="rId5383" ref="L2380"/>
    <hyperlink r:id="rId5384" ref="C2381"/>
    <hyperlink r:id="rId5385" ref="K2381"/>
    <hyperlink r:id="rId5386" ref="L2381"/>
    <hyperlink r:id="rId5387" ref="C2382"/>
    <hyperlink r:id="rId5388" ref="L2382"/>
    <hyperlink r:id="rId5389" ref="C2383"/>
    <hyperlink r:id="rId5390" ref="K2383"/>
    <hyperlink r:id="rId5391" ref="L2383"/>
    <hyperlink r:id="rId5392" ref="C2384"/>
    <hyperlink r:id="rId5393" ref="L2384"/>
    <hyperlink r:id="rId5394" ref="C2385"/>
    <hyperlink r:id="rId5395" ref="K2385"/>
    <hyperlink r:id="rId5396" ref="L2385"/>
    <hyperlink r:id="rId5397" ref="C2386"/>
    <hyperlink r:id="rId5398" ref="C2387"/>
    <hyperlink r:id="rId5399" ref="K2387"/>
    <hyperlink r:id="rId5400" ref="L2387"/>
    <hyperlink r:id="rId5401" ref="C2388"/>
    <hyperlink r:id="rId5402" ref="L2388"/>
    <hyperlink r:id="rId5403" ref="C2389"/>
    <hyperlink r:id="rId5404" ref="L2389"/>
    <hyperlink r:id="rId5405" ref="C2390"/>
    <hyperlink r:id="rId5406" ref="L2390"/>
    <hyperlink r:id="rId5407" ref="C2391"/>
    <hyperlink r:id="rId5408" ref="K2391"/>
    <hyperlink r:id="rId5409" ref="L2391"/>
    <hyperlink r:id="rId5410" ref="C2392"/>
    <hyperlink r:id="rId5411" ref="K2392"/>
    <hyperlink r:id="rId5412" ref="L2392"/>
    <hyperlink r:id="rId5413" ref="C2393"/>
    <hyperlink r:id="rId5414" ref="L2393"/>
    <hyperlink r:id="rId5415" ref="C2394"/>
    <hyperlink r:id="rId5416" ref="L2394"/>
    <hyperlink r:id="rId5417" ref="C2395"/>
    <hyperlink r:id="rId5418" ref="K2395"/>
    <hyperlink r:id="rId5419" ref="L2395"/>
    <hyperlink r:id="rId5420" ref="C2396"/>
    <hyperlink r:id="rId5421" ref="K2396"/>
    <hyperlink r:id="rId5422" ref="L2396"/>
    <hyperlink r:id="rId5423" ref="C2397"/>
    <hyperlink r:id="rId5424" ref="L2397"/>
    <hyperlink r:id="rId5425" ref="C2398"/>
    <hyperlink r:id="rId5426" ref="L2398"/>
    <hyperlink r:id="rId5427" ref="C2399"/>
    <hyperlink r:id="rId5428" ref="L2399"/>
    <hyperlink r:id="rId5429" ref="C2400"/>
    <hyperlink r:id="rId5430" ref="K2400"/>
    <hyperlink r:id="rId5431" ref="L2400"/>
    <hyperlink r:id="rId5432" ref="C2401"/>
    <hyperlink r:id="rId5433" ref="L2401"/>
    <hyperlink r:id="rId5434" ref="C2402"/>
    <hyperlink r:id="rId5435" ref="K2402"/>
    <hyperlink r:id="rId5436" ref="L2402"/>
    <hyperlink r:id="rId5437" ref="C2403"/>
    <hyperlink r:id="rId5438" ref="L2403"/>
    <hyperlink r:id="rId5439" ref="C2404"/>
    <hyperlink r:id="rId5440" ref="K2404"/>
    <hyperlink r:id="rId5441" ref="L2404"/>
    <hyperlink r:id="rId5442" ref="C2405"/>
    <hyperlink r:id="rId5443" ref="L2405"/>
    <hyperlink r:id="rId5444" ref="C2406"/>
    <hyperlink r:id="rId5445" ref="L2406"/>
    <hyperlink r:id="rId5446" ref="C2407"/>
    <hyperlink r:id="rId5447" ref="K2407"/>
    <hyperlink r:id="rId5448" ref="L2407"/>
    <hyperlink r:id="rId5449" ref="C2408"/>
    <hyperlink r:id="rId5450" ref="K2408"/>
    <hyperlink r:id="rId5451" ref="L2408"/>
    <hyperlink r:id="rId5452" ref="C2409"/>
    <hyperlink r:id="rId5453" ref="L2409"/>
    <hyperlink r:id="rId5454" ref="C2410"/>
    <hyperlink r:id="rId5455" ref="L2410"/>
    <hyperlink r:id="rId5456" ref="C2411"/>
    <hyperlink r:id="rId5457" ref="K2411"/>
    <hyperlink r:id="rId5458" ref="L2411"/>
    <hyperlink r:id="rId5459" ref="C2412"/>
    <hyperlink r:id="rId5460" ref="L2412"/>
    <hyperlink r:id="rId5461" ref="C2413"/>
    <hyperlink r:id="rId5462" ref="L2413"/>
    <hyperlink r:id="rId5463" ref="C2414"/>
    <hyperlink r:id="rId5464" ref="K2414"/>
    <hyperlink r:id="rId5465" ref="L2414"/>
    <hyperlink r:id="rId5466" ref="C2415"/>
    <hyperlink r:id="rId5467" ref="K2415"/>
    <hyperlink r:id="rId5468" ref="L2415"/>
    <hyperlink r:id="rId5469" ref="C2416"/>
    <hyperlink r:id="rId5470" ref="L2416"/>
    <hyperlink r:id="rId5471" ref="C2417"/>
    <hyperlink r:id="rId5472" ref="L2417"/>
    <hyperlink r:id="rId5473" ref="C2418"/>
    <hyperlink r:id="rId5474" ref="L2418"/>
    <hyperlink r:id="rId5475" ref="C2419"/>
    <hyperlink r:id="rId5476" ref="K2419"/>
    <hyperlink r:id="rId5477" ref="L2419"/>
    <hyperlink r:id="rId5478" ref="C2420"/>
    <hyperlink r:id="rId5479" ref="K2420"/>
    <hyperlink r:id="rId5480" ref="L2420"/>
    <hyperlink r:id="rId5481" ref="C2421"/>
    <hyperlink r:id="rId5482" ref="K2421"/>
    <hyperlink r:id="rId5483" ref="L2421"/>
    <hyperlink r:id="rId5484" ref="C2422"/>
    <hyperlink r:id="rId5485" ref="L2422"/>
    <hyperlink r:id="rId5486" ref="C2423"/>
    <hyperlink r:id="rId5487" ref="L2423"/>
    <hyperlink r:id="rId5488" ref="C2424"/>
    <hyperlink r:id="rId5489" ref="L2424"/>
    <hyperlink r:id="rId5490" ref="C2425"/>
    <hyperlink r:id="rId5491" ref="K2425"/>
    <hyperlink r:id="rId5492" ref="L2425"/>
    <hyperlink r:id="rId5493" ref="C2426"/>
    <hyperlink r:id="rId5494" ref="L2426"/>
    <hyperlink r:id="rId5495" ref="C2427"/>
    <hyperlink r:id="rId5496" ref="K2427"/>
    <hyperlink r:id="rId5497" ref="C2428"/>
    <hyperlink r:id="rId5498" ref="L2428"/>
    <hyperlink r:id="rId5499" ref="C2429"/>
    <hyperlink r:id="rId5500" ref="K2429"/>
    <hyperlink r:id="rId5501" ref="L2429"/>
    <hyperlink r:id="rId5502" ref="C2430"/>
    <hyperlink r:id="rId5503" ref="K2430"/>
    <hyperlink r:id="rId5504" ref="L2430"/>
    <hyperlink r:id="rId5505" ref="C2431"/>
    <hyperlink r:id="rId5506" ref="L2431"/>
    <hyperlink r:id="rId5507" ref="C2432"/>
    <hyperlink r:id="rId5508" ref="L2432"/>
    <hyperlink r:id="rId5509" ref="C2433"/>
    <hyperlink r:id="rId5510" ref="K2433"/>
    <hyperlink r:id="rId5511" ref="L2433"/>
    <hyperlink r:id="rId5512" ref="C2434"/>
    <hyperlink r:id="rId5513" ref="L2434"/>
    <hyperlink r:id="rId5514" ref="C2435"/>
    <hyperlink r:id="rId5515" ref="L2435"/>
    <hyperlink r:id="rId5516" ref="C2436"/>
    <hyperlink r:id="rId5517" ref="L2436"/>
    <hyperlink r:id="rId5518" ref="C2437"/>
    <hyperlink r:id="rId5519" ref="K2437"/>
    <hyperlink r:id="rId5520" ref="L2437"/>
    <hyperlink r:id="rId5521" ref="C2438"/>
    <hyperlink r:id="rId5522" ref="K2438"/>
    <hyperlink r:id="rId5523" ref="L2438"/>
    <hyperlink r:id="rId5524" ref="C2439"/>
    <hyperlink r:id="rId5525" ref="K2439"/>
    <hyperlink r:id="rId5526" ref="L2439"/>
    <hyperlink r:id="rId5527" ref="C2440"/>
    <hyperlink r:id="rId5528" ref="C2441"/>
    <hyperlink r:id="rId5529" ref="K2441"/>
    <hyperlink r:id="rId5530" ref="L2441"/>
    <hyperlink r:id="rId5531" ref="C2442"/>
    <hyperlink r:id="rId5532" ref="K2442"/>
    <hyperlink r:id="rId5533" ref="C2443"/>
    <hyperlink r:id="rId5534" ref="K2443"/>
    <hyperlink r:id="rId5535" ref="C2444"/>
    <hyperlink r:id="rId5536" ref="L2444"/>
    <hyperlink r:id="rId5537" ref="C2445"/>
    <hyperlink r:id="rId5538" ref="L2445"/>
    <hyperlink r:id="rId5539" ref="C2446"/>
    <hyperlink r:id="rId5540" ref="K2446"/>
    <hyperlink r:id="rId5541" ref="L2446"/>
    <hyperlink r:id="rId5542" ref="C2447"/>
    <hyperlink r:id="rId5543" ref="K2447"/>
    <hyperlink r:id="rId5544" ref="L2447"/>
    <hyperlink r:id="rId5545" ref="C2448"/>
    <hyperlink r:id="rId5546" ref="K2448"/>
    <hyperlink r:id="rId5547" ref="L2448"/>
    <hyperlink r:id="rId5548" ref="C2449"/>
    <hyperlink r:id="rId5549" ref="K2449"/>
    <hyperlink r:id="rId5550" ref="L2449"/>
    <hyperlink r:id="rId5551" ref="C2450"/>
    <hyperlink r:id="rId5552" ref="L2450"/>
    <hyperlink r:id="rId5553" ref="C2451"/>
    <hyperlink r:id="rId5554" ref="C2452"/>
    <hyperlink r:id="rId5555" ref="K2452"/>
    <hyperlink r:id="rId5556" ref="L2452"/>
    <hyperlink r:id="rId5557" ref="C2453"/>
    <hyperlink r:id="rId5558" ref="K2453"/>
    <hyperlink r:id="rId5559" ref="L2453"/>
    <hyperlink r:id="rId5560" ref="C2454"/>
    <hyperlink r:id="rId5561" ref="K2454"/>
    <hyperlink r:id="rId5562" ref="L2454"/>
    <hyperlink r:id="rId5563" ref="C2455"/>
    <hyperlink r:id="rId5564" ref="L2455"/>
    <hyperlink r:id="rId5565" ref="C2456"/>
    <hyperlink r:id="rId5566" ref="L2456"/>
    <hyperlink r:id="rId5567" ref="C2457"/>
    <hyperlink r:id="rId5568" ref="K2457"/>
    <hyperlink r:id="rId5569" ref="L2457"/>
    <hyperlink r:id="rId5570" ref="C2458"/>
    <hyperlink r:id="rId5571" ref="K2458"/>
    <hyperlink r:id="rId5572" ref="L2458"/>
    <hyperlink r:id="rId5573" ref="C2459"/>
    <hyperlink r:id="rId5574" ref="L2459"/>
    <hyperlink r:id="rId5575" ref="C2460"/>
    <hyperlink r:id="rId5576" ref="K2460"/>
    <hyperlink r:id="rId5577" ref="C2461"/>
    <hyperlink r:id="rId5578" ref="L2461"/>
    <hyperlink r:id="rId5579" ref="C2462"/>
    <hyperlink r:id="rId5580" ref="L2462"/>
    <hyperlink r:id="rId5581" ref="C2463"/>
    <hyperlink r:id="rId5582" ref="K2463"/>
    <hyperlink r:id="rId5583" ref="L2463"/>
    <hyperlink r:id="rId5584" ref="C2464"/>
    <hyperlink r:id="rId5585" ref="L2464"/>
    <hyperlink r:id="rId5586" ref="C2465"/>
    <hyperlink r:id="rId5587" ref="L2465"/>
    <hyperlink r:id="rId5588" ref="C2466"/>
    <hyperlink r:id="rId5589" ref="L2466"/>
    <hyperlink r:id="rId5590" ref="C2467"/>
    <hyperlink r:id="rId5591" ref="K2467"/>
    <hyperlink r:id="rId5592" ref="C2468"/>
    <hyperlink r:id="rId5593" ref="L2468"/>
    <hyperlink r:id="rId5594" ref="C2469"/>
    <hyperlink r:id="rId5595" ref="K2469"/>
    <hyperlink r:id="rId5596" ref="C2470"/>
    <hyperlink r:id="rId5597" ref="L2470"/>
    <hyperlink r:id="rId5598" ref="C2471"/>
    <hyperlink r:id="rId5599" ref="L2471"/>
    <hyperlink r:id="rId5600" ref="C2472"/>
    <hyperlink r:id="rId5601" ref="L2472"/>
    <hyperlink r:id="rId5602" ref="C2473"/>
    <hyperlink r:id="rId5603" ref="L2473"/>
    <hyperlink r:id="rId5604" ref="C2474"/>
    <hyperlink r:id="rId5605" ref="L2474"/>
    <hyperlink r:id="rId5606" ref="C2475"/>
    <hyperlink r:id="rId5607" ref="L2475"/>
    <hyperlink r:id="rId5608" ref="C2476"/>
    <hyperlink r:id="rId5609" ref="L2476"/>
    <hyperlink r:id="rId5610" ref="C2477"/>
    <hyperlink r:id="rId5611" ref="K2477"/>
    <hyperlink r:id="rId5612" ref="L2477"/>
    <hyperlink r:id="rId5613" ref="C2478"/>
    <hyperlink r:id="rId5614" ref="K2478"/>
    <hyperlink r:id="rId5615" ref="L2478"/>
    <hyperlink r:id="rId5616" ref="C2479"/>
    <hyperlink r:id="rId5617" ref="K2479"/>
    <hyperlink r:id="rId5618" ref="L2479"/>
    <hyperlink r:id="rId5619" ref="C2480"/>
    <hyperlink r:id="rId5620" ref="K2480"/>
    <hyperlink r:id="rId5621" ref="L2480"/>
    <hyperlink r:id="rId5622" ref="C2481"/>
    <hyperlink r:id="rId5623" ref="L2481"/>
    <hyperlink r:id="rId5624" ref="C2482"/>
    <hyperlink r:id="rId5625" ref="L2482"/>
    <hyperlink r:id="rId5626" ref="C2483"/>
    <hyperlink r:id="rId5627" ref="K2483"/>
    <hyperlink r:id="rId5628" ref="L2483"/>
    <hyperlink r:id="rId5629" ref="C2484"/>
    <hyperlink r:id="rId5630" ref="L2484"/>
    <hyperlink r:id="rId5631" ref="C2485"/>
    <hyperlink r:id="rId5632" ref="K2485"/>
    <hyperlink r:id="rId5633" ref="L2485"/>
    <hyperlink r:id="rId5634" ref="C2486"/>
    <hyperlink r:id="rId5635" ref="L2486"/>
    <hyperlink r:id="rId5636" ref="C2487"/>
    <hyperlink r:id="rId5637" ref="K2487"/>
    <hyperlink r:id="rId5638" ref="C2488"/>
    <hyperlink r:id="rId5639" ref="C2489"/>
    <hyperlink r:id="rId5640" ref="L2489"/>
    <hyperlink r:id="rId5641" ref="C2490"/>
    <hyperlink r:id="rId5642" ref="L2490"/>
    <hyperlink r:id="rId5643" ref="C2491"/>
    <hyperlink r:id="rId5644" ref="K2491"/>
    <hyperlink r:id="rId5645" ref="C2492"/>
    <hyperlink r:id="rId5646" ref="K2492"/>
    <hyperlink r:id="rId5647" ref="L2492"/>
    <hyperlink r:id="rId5648" ref="C2493"/>
    <hyperlink r:id="rId5649" ref="K2493"/>
    <hyperlink r:id="rId5650" ref="L2493"/>
    <hyperlink r:id="rId5651" ref="C2494"/>
    <hyperlink r:id="rId5652" ref="L2494"/>
    <hyperlink r:id="rId5653" ref="C2495"/>
    <hyperlink r:id="rId5654" ref="L2495"/>
    <hyperlink r:id="rId5655" ref="C2496"/>
    <hyperlink r:id="rId5656" ref="L2496"/>
    <hyperlink r:id="rId5657" ref="C2497"/>
    <hyperlink r:id="rId5658" ref="L2497"/>
    <hyperlink r:id="rId5659" ref="C2498"/>
    <hyperlink r:id="rId5660" ref="K2498"/>
    <hyperlink r:id="rId5661" ref="L2498"/>
    <hyperlink r:id="rId5662" ref="C2499"/>
    <hyperlink r:id="rId5663" ref="L2499"/>
    <hyperlink r:id="rId5664" ref="C2500"/>
    <hyperlink r:id="rId5665" ref="K2500"/>
    <hyperlink r:id="rId5666" ref="L2500"/>
    <hyperlink r:id="rId5667" ref="C2501"/>
    <hyperlink r:id="rId5668" ref="L2501"/>
    <hyperlink r:id="rId5669" ref="C2502"/>
    <hyperlink r:id="rId5670" ref="L2502"/>
    <hyperlink r:id="rId5671" ref="C2503"/>
    <hyperlink r:id="rId5672" ref="K2503"/>
    <hyperlink r:id="rId5673" ref="L2503"/>
    <hyperlink r:id="rId5674" ref="C2504"/>
    <hyperlink r:id="rId5675" ref="L2504"/>
    <hyperlink r:id="rId5676" ref="C2505"/>
    <hyperlink r:id="rId5677" ref="L2505"/>
    <hyperlink r:id="rId5678" ref="C2506"/>
    <hyperlink r:id="rId5679" ref="L2506"/>
    <hyperlink r:id="rId5680" ref="C2507"/>
    <hyperlink r:id="rId5681" ref="K2507"/>
    <hyperlink r:id="rId5682" ref="L2507"/>
    <hyperlink r:id="rId5683" ref="C2508"/>
    <hyperlink r:id="rId5684" ref="L2508"/>
    <hyperlink r:id="rId5685" ref="C2509"/>
    <hyperlink r:id="rId5686" ref="K2509"/>
    <hyperlink r:id="rId5687" ref="L2509"/>
    <hyperlink r:id="rId5688" ref="C2510"/>
    <hyperlink r:id="rId5689" ref="L2510"/>
    <hyperlink r:id="rId5690" ref="C2511"/>
    <hyperlink r:id="rId5691" ref="L2511"/>
    <hyperlink r:id="rId5692" ref="C2512"/>
    <hyperlink r:id="rId5693" ref="K2512"/>
    <hyperlink r:id="rId5694" ref="C2513"/>
    <hyperlink r:id="rId5695" ref="K2513"/>
    <hyperlink r:id="rId5696" ref="L2513"/>
    <hyperlink r:id="rId5697" ref="C2514"/>
    <hyperlink r:id="rId5698" ref="L2514"/>
    <hyperlink r:id="rId5699" ref="C2515"/>
    <hyperlink r:id="rId5700" ref="L2515"/>
    <hyperlink r:id="rId5701" ref="C2516"/>
    <hyperlink r:id="rId5702" ref="K2516"/>
    <hyperlink r:id="rId5703" ref="L2516"/>
    <hyperlink r:id="rId5704" ref="C2517"/>
    <hyperlink r:id="rId5705" ref="K2517"/>
    <hyperlink r:id="rId5706" ref="C2518"/>
    <hyperlink r:id="rId5707" ref="C2519"/>
    <hyperlink r:id="rId5708" ref="L2519"/>
    <hyperlink r:id="rId5709" ref="C2520"/>
    <hyperlink r:id="rId5710" ref="K2520"/>
    <hyperlink r:id="rId5711" ref="L2520"/>
    <hyperlink r:id="rId5712" ref="C2521"/>
    <hyperlink r:id="rId5713" ref="L2521"/>
    <hyperlink r:id="rId5714" ref="C2522"/>
    <hyperlink r:id="rId5715" ref="K2522"/>
    <hyperlink r:id="rId5716" ref="L2522"/>
    <hyperlink r:id="rId5717" ref="C2523"/>
    <hyperlink r:id="rId5718" ref="K2523"/>
    <hyperlink r:id="rId5719" ref="L2523"/>
    <hyperlink r:id="rId5720" ref="C2524"/>
    <hyperlink r:id="rId5721" ref="L2524"/>
    <hyperlink r:id="rId5722" ref="C2525"/>
    <hyperlink r:id="rId5723" ref="L2525"/>
    <hyperlink r:id="rId5724" ref="C2526"/>
    <hyperlink r:id="rId5725" ref="K2526"/>
    <hyperlink r:id="rId5726" ref="L2526"/>
    <hyperlink r:id="rId5727" ref="C2527"/>
    <hyperlink r:id="rId5728" ref="L2527"/>
    <hyperlink r:id="rId5729" ref="C2528"/>
    <hyperlink r:id="rId5730" ref="L2528"/>
    <hyperlink r:id="rId5731" ref="C2529"/>
    <hyperlink r:id="rId5732" ref="K2529"/>
    <hyperlink r:id="rId5733" ref="C2530"/>
    <hyperlink r:id="rId5734" ref="K2530"/>
    <hyperlink r:id="rId5735" ref="L2530"/>
    <hyperlink r:id="rId5736" ref="C2531"/>
    <hyperlink r:id="rId5737" ref="K2531"/>
    <hyperlink r:id="rId5738" ref="L2531"/>
    <hyperlink r:id="rId5739" ref="C2532"/>
    <hyperlink r:id="rId5740" ref="L2532"/>
    <hyperlink r:id="rId5741" ref="C2533"/>
    <hyperlink r:id="rId5742" ref="L2533"/>
    <hyperlink r:id="rId5743" ref="C2534"/>
    <hyperlink r:id="rId5744" ref="L2534"/>
    <hyperlink r:id="rId5745" ref="C2535"/>
    <hyperlink r:id="rId5746" ref="K2535"/>
    <hyperlink r:id="rId5747" ref="L2535"/>
    <hyperlink r:id="rId5748" ref="C2536"/>
    <hyperlink r:id="rId5749" ref="K2536"/>
    <hyperlink r:id="rId5750" ref="L2536"/>
    <hyperlink r:id="rId5751" ref="C2537"/>
    <hyperlink r:id="rId5752" ref="L2537"/>
    <hyperlink r:id="rId5753" ref="C2538"/>
    <hyperlink r:id="rId5754" ref="C2539"/>
    <hyperlink r:id="rId5755" ref="C2540"/>
    <hyperlink r:id="rId5756" ref="C2541"/>
    <hyperlink r:id="rId5757" ref="L2541"/>
    <hyperlink r:id="rId5758" ref="C2542"/>
    <hyperlink r:id="rId5759" ref="K2542"/>
    <hyperlink r:id="rId5760" ref="L2542"/>
    <hyperlink r:id="rId5761" ref="C2543"/>
    <hyperlink r:id="rId5762" ref="C2544"/>
    <hyperlink r:id="rId5763" ref="L2544"/>
    <hyperlink r:id="rId5764" ref="C2545"/>
    <hyperlink r:id="rId5765" ref="L2545"/>
    <hyperlink r:id="rId5766" ref="C2546"/>
    <hyperlink r:id="rId5767" ref="K2546"/>
    <hyperlink r:id="rId5768" ref="L2546"/>
    <hyperlink r:id="rId5769" ref="C2547"/>
    <hyperlink r:id="rId5770" ref="C2548"/>
    <hyperlink r:id="rId5771" ref="L2548"/>
    <hyperlink r:id="rId5772" ref="C2549"/>
    <hyperlink r:id="rId5773" ref="K2549"/>
    <hyperlink r:id="rId5774" ref="L2549"/>
    <hyperlink r:id="rId5775" ref="C2550"/>
    <hyperlink r:id="rId5776" ref="K2550"/>
    <hyperlink r:id="rId5777" ref="L2550"/>
    <hyperlink r:id="rId5778" ref="C2551"/>
    <hyperlink r:id="rId5779" ref="L2551"/>
    <hyperlink r:id="rId5780" ref="C2552"/>
    <hyperlink r:id="rId5781" ref="L2552"/>
  </hyperlinks>
  <printOptions/>
  <pageMargins bottom="0.75" footer="0.0" header="0.0" left="0.7" right="0.7" top="0.75"/>
  <pageSetup orientation="landscape"/>
  <drawing r:id="rId5782"/>
  <tableParts count="1">
    <tablePart r:id="rId5784"/>
  </tableParts>
</worksheet>
</file>